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bbkelly\Documents\Brook Trout_Brett\Data 2018\Analysis\AFS and Driftless\"/>
    </mc:Choice>
  </mc:AlternateContent>
  <bookViews>
    <workbookView xWindow="0" yWindow="0" windowWidth="24585" windowHeight="12555" firstSheet="5" activeTab="7"/>
  </bookViews>
  <sheets>
    <sheet name="Habitat18" sheetId="3" r:id="rId1"/>
    <sheet name="dim_sub_mac" sheetId="4" r:id="rId2"/>
    <sheet name="flow_instream" sheetId="6" r:id="rId3"/>
    <sheet name="Riparian" sheetId="7" r:id="rId4"/>
    <sheet name="copy_paste" sheetId="5" r:id="rId5"/>
    <sheet name="PctSubOpt" sheetId="2" r:id="rId6"/>
    <sheet name="bkt_prelim_occ" sheetId="1" r:id="rId7"/>
    <sheet name="LogTransformed" sheetId="10" r:id="rId8"/>
    <sheet name="BKTLogTransformed EncHist" sheetId="11" r:id="rId9"/>
    <sheet name="BRT_analysis" sheetId="12" r:id="rId10"/>
    <sheet name="brt_logTransformed_EncHist" sheetId="13" r:id="rId11"/>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H3" i="12" l="1"/>
  <c r="CH11" i="12"/>
  <c r="CH19" i="12"/>
  <c r="CH27" i="12"/>
  <c r="CH35" i="12"/>
  <c r="CH43" i="12"/>
  <c r="CH51" i="12"/>
  <c r="CH59" i="12"/>
  <c r="CH67" i="12"/>
  <c r="CH75" i="12"/>
  <c r="CH83" i="12"/>
  <c r="CH34" i="12"/>
  <c r="CH82" i="12"/>
  <c r="CH4" i="12"/>
  <c r="CH12" i="12"/>
  <c r="CH20" i="12"/>
  <c r="CH28" i="12"/>
  <c r="CH36" i="12"/>
  <c r="CH44" i="12"/>
  <c r="CH52" i="12"/>
  <c r="CH60" i="12"/>
  <c r="CH68" i="12"/>
  <c r="CH76" i="12"/>
  <c r="CH84" i="12"/>
  <c r="CH58" i="12"/>
  <c r="CH5" i="12"/>
  <c r="CH13" i="12"/>
  <c r="CH21" i="12"/>
  <c r="CH29" i="12"/>
  <c r="CH37" i="12"/>
  <c r="CH45" i="12"/>
  <c r="CH53" i="12"/>
  <c r="CH61" i="12"/>
  <c r="CH69" i="12"/>
  <c r="CH77" i="12"/>
  <c r="CH85" i="12"/>
  <c r="CH10" i="12"/>
  <c r="CH66" i="12"/>
  <c r="CH6" i="12"/>
  <c r="CH14" i="12"/>
  <c r="CH22" i="12"/>
  <c r="CH30" i="12"/>
  <c r="CH38" i="12"/>
  <c r="CH46" i="12"/>
  <c r="CH54" i="12"/>
  <c r="CH62" i="12"/>
  <c r="CH70" i="12"/>
  <c r="CH78" i="12"/>
  <c r="CH86" i="12"/>
  <c r="CH50" i="12"/>
  <c r="CH7" i="12"/>
  <c r="CH15" i="12"/>
  <c r="CH23" i="12"/>
  <c r="CH31" i="12"/>
  <c r="CH39" i="12"/>
  <c r="CH47" i="12"/>
  <c r="CH55" i="12"/>
  <c r="CH63" i="12"/>
  <c r="CH71" i="12"/>
  <c r="CH79" i="12"/>
  <c r="CH87" i="12"/>
  <c r="CH26" i="12"/>
  <c r="CH74" i="12"/>
  <c r="CH8" i="12"/>
  <c r="CH16" i="12"/>
  <c r="CH24" i="12"/>
  <c r="CH32" i="12"/>
  <c r="CH40" i="12"/>
  <c r="CH48" i="12"/>
  <c r="CH56" i="12"/>
  <c r="CH64" i="12"/>
  <c r="CH72" i="12"/>
  <c r="CH80" i="12"/>
  <c r="CH88" i="12"/>
  <c r="CH42" i="12"/>
  <c r="CH9" i="12"/>
  <c r="CH17" i="12"/>
  <c r="CH25" i="12"/>
  <c r="CH33" i="12"/>
  <c r="CH41" i="12"/>
  <c r="CH49" i="12"/>
  <c r="CH57" i="12"/>
  <c r="CH65" i="12"/>
  <c r="CH73" i="12"/>
  <c r="CH81" i="12"/>
  <c r="CH89" i="12"/>
  <c r="CH18" i="12"/>
  <c r="CH2" i="12"/>
  <c r="BX94" i="10" l="1"/>
  <c r="BX93" i="10"/>
  <c r="AY94" i="10"/>
  <c r="AY93" i="10"/>
  <c r="AG94" i="10"/>
  <c r="AG93" i="10"/>
  <c r="E94" i="10"/>
  <c r="E93" i="10"/>
  <c r="E92" i="10"/>
  <c r="E91" i="10"/>
  <c r="AG92" i="10"/>
  <c r="AG91" i="10"/>
  <c r="AY92" i="10"/>
  <c r="AY91" i="10"/>
  <c r="BX92" i="10"/>
  <c r="BX91" i="10"/>
  <c r="CI3" i="1"/>
  <c r="CH31" i="10"/>
  <c r="CH32" i="10"/>
  <c r="CH65" i="10"/>
  <c r="CH34" i="10"/>
  <c r="CH68" i="10"/>
  <c r="CH75" i="10"/>
  <c r="CH45" i="10"/>
  <c r="CH12" i="10"/>
  <c r="CH40" i="10"/>
  <c r="CH83" i="10"/>
  <c r="CH9" i="10"/>
  <c r="CH39" i="10"/>
  <c r="CH73" i="10"/>
  <c r="CH53" i="10"/>
  <c r="CH47" i="10"/>
  <c r="CH48" i="10"/>
  <c r="CH81" i="10"/>
  <c r="CH50" i="10"/>
  <c r="CH80" i="10"/>
  <c r="CH36" i="10"/>
  <c r="CH61" i="10"/>
  <c r="CH56" i="10"/>
  <c r="CH13" i="10"/>
  <c r="CH30" i="10"/>
  <c r="CH17" i="10"/>
  <c r="CH55" i="10"/>
  <c r="CH64" i="10"/>
  <c r="CH58" i="10"/>
  <c r="CH35" i="10"/>
  <c r="CH52" i="10"/>
  <c r="CH69" i="10"/>
  <c r="CH3" i="10"/>
  <c r="CH26" i="10"/>
  <c r="CH22" i="10"/>
  <c r="CH89" i="10"/>
  <c r="CH21" i="10"/>
  <c r="CH25" i="10"/>
  <c r="CH63" i="10"/>
  <c r="CH33" i="10"/>
  <c r="CH60" i="10"/>
  <c r="CH66" i="10"/>
  <c r="CH43" i="10"/>
  <c r="CH76" i="10"/>
  <c r="CH77" i="10"/>
  <c r="CH11" i="10"/>
  <c r="CH29" i="10"/>
  <c r="CH7" i="10"/>
  <c r="CH10" i="10"/>
  <c r="CH71" i="10"/>
  <c r="CH41" i="10"/>
  <c r="CH84" i="10"/>
  <c r="CH74" i="10"/>
  <c r="CH51" i="10"/>
  <c r="CH78" i="10"/>
  <c r="CH85" i="10"/>
  <c r="CH19" i="10"/>
  <c r="CH16" i="10"/>
  <c r="CH15" i="10"/>
  <c r="CH18" i="10"/>
  <c r="CH87" i="10"/>
  <c r="CH44" i="10"/>
  <c r="CH37" i="10"/>
  <c r="CH4" i="10"/>
  <c r="CH8" i="10"/>
  <c r="CH54" i="10"/>
  <c r="CH24" i="10"/>
  <c r="CH70" i="10"/>
  <c r="CH5" i="10"/>
  <c r="CH79" i="10"/>
  <c r="CH49" i="10"/>
  <c r="CH86" i="10"/>
  <c r="CH82" i="10"/>
  <c r="CH59" i="10"/>
  <c r="CH72" i="10"/>
  <c r="CH38" i="10"/>
  <c r="CH27" i="10"/>
  <c r="CH28" i="10"/>
  <c r="CH23" i="10"/>
  <c r="CH20" i="10"/>
  <c r="CH57" i="10"/>
  <c r="CH88" i="10"/>
  <c r="CH67" i="10"/>
  <c r="CH46" i="10"/>
  <c r="CH6" i="10"/>
  <c r="CH2" i="10"/>
  <c r="CH14" i="10"/>
  <c r="CH42" i="10"/>
  <c r="CH62" i="10"/>
  <c r="B95" i="1" l="1"/>
  <c r="C95" i="1"/>
  <c r="D95" i="1"/>
  <c r="E95" i="1"/>
  <c r="F95" i="1"/>
  <c r="G95" i="1"/>
  <c r="H95" i="1"/>
  <c r="I95" i="1"/>
  <c r="J95" i="1"/>
  <c r="K95" i="1"/>
  <c r="L95" i="1"/>
  <c r="M95" i="1"/>
  <c r="N95" i="1"/>
  <c r="O95" i="1"/>
  <c r="P95" i="1"/>
  <c r="Q95" i="1"/>
  <c r="R95" i="1"/>
  <c r="S95" i="1"/>
  <c r="T95" i="1"/>
  <c r="U95" i="1"/>
  <c r="V95" i="1"/>
  <c r="W95" i="1"/>
  <c r="X95" i="1"/>
  <c r="Y95" i="1"/>
  <c r="Z95" i="1"/>
  <c r="AA95" i="1"/>
  <c r="AB95" i="1"/>
  <c r="AC95" i="1"/>
  <c r="AD95" i="1"/>
  <c r="AE95" i="1"/>
  <c r="AF95" i="1"/>
  <c r="AG95" i="1"/>
  <c r="AH95" i="1"/>
  <c r="AI95" i="1"/>
  <c r="AJ95" i="1"/>
  <c r="AK95" i="1"/>
  <c r="AL95" i="1"/>
  <c r="AM95" i="1"/>
  <c r="AN95" i="1"/>
  <c r="AO95" i="1"/>
  <c r="AP95" i="1"/>
  <c r="AQ95" i="1"/>
  <c r="AR95" i="1"/>
  <c r="AS95" i="1"/>
  <c r="AT95" i="1"/>
  <c r="AU95" i="1"/>
  <c r="AV95" i="1"/>
  <c r="AW95" i="1"/>
  <c r="AX95" i="1"/>
  <c r="AY95" i="1"/>
  <c r="AZ95" i="1"/>
  <c r="BA95" i="1"/>
  <c r="BB95" i="1"/>
  <c r="BC95" i="1"/>
  <c r="BD95" i="1"/>
  <c r="BE95" i="1"/>
  <c r="BF95" i="1"/>
  <c r="BG95" i="1"/>
  <c r="BH95" i="1"/>
  <c r="BI95" i="1"/>
  <c r="BJ95" i="1"/>
  <c r="BK95" i="1"/>
  <c r="BL95" i="1"/>
  <c r="BM95" i="1"/>
  <c r="BN95" i="1"/>
  <c r="BO95" i="1"/>
  <c r="BP95" i="1"/>
  <c r="BQ95" i="1"/>
  <c r="BR95" i="1"/>
  <c r="BS95" i="1"/>
  <c r="BT95" i="1"/>
  <c r="BU95" i="1"/>
  <c r="BV95" i="1"/>
  <c r="BW95" i="1"/>
  <c r="BX95" i="1"/>
  <c r="BY95" i="1"/>
  <c r="BZ95" i="1"/>
  <c r="CA95" i="1"/>
  <c r="CB95" i="1"/>
  <c r="CC95" i="1"/>
  <c r="B96" i="1"/>
  <c r="C96" i="1"/>
  <c r="D96" i="1"/>
  <c r="E96" i="1"/>
  <c r="F96" i="1"/>
  <c r="G96" i="1"/>
  <c r="H96" i="1"/>
  <c r="I96" i="1"/>
  <c r="J96" i="1"/>
  <c r="K96" i="1"/>
  <c r="L96" i="1"/>
  <c r="M96" i="1"/>
  <c r="N96" i="1"/>
  <c r="O96" i="1"/>
  <c r="P96" i="1"/>
  <c r="Q96" i="1"/>
  <c r="R96" i="1"/>
  <c r="S96" i="1"/>
  <c r="T96" i="1"/>
  <c r="U96" i="1"/>
  <c r="V96" i="1"/>
  <c r="W96" i="1"/>
  <c r="X96" i="1"/>
  <c r="Y96" i="1"/>
  <c r="Z96" i="1"/>
  <c r="AA96" i="1"/>
  <c r="AB96" i="1"/>
  <c r="AC96" i="1"/>
  <c r="AD96" i="1"/>
  <c r="AE96" i="1"/>
  <c r="AF96" i="1"/>
  <c r="AG96" i="1"/>
  <c r="AH96" i="1"/>
  <c r="AI96" i="1"/>
  <c r="AJ96" i="1"/>
  <c r="AK96" i="1"/>
  <c r="AL96" i="1"/>
  <c r="AM96" i="1"/>
  <c r="AN96" i="1"/>
  <c r="AO96" i="1"/>
  <c r="AP96" i="1"/>
  <c r="AQ96" i="1"/>
  <c r="AR96" i="1"/>
  <c r="AS96" i="1"/>
  <c r="AT96" i="1"/>
  <c r="AU96" i="1"/>
  <c r="AV96" i="1"/>
  <c r="AW96" i="1"/>
  <c r="AX96" i="1"/>
  <c r="AY96" i="1"/>
  <c r="AZ96" i="1"/>
  <c r="BA96" i="1"/>
  <c r="BB96" i="1"/>
  <c r="BC96" i="1"/>
  <c r="BD96" i="1"/>
  <c r="BE96" i="1"/>
  <c r="BF96" i="1"/>
  <c r="BG96" i="1"/>
  <c r="BH96" i="1"/>
  <c r="BI96" i="1"/>
  <c r="BJ96" i="1"/>
  <c r="BK96" i="1"/>
  <c r="BL96" i="1"/>
  <c r="BM96" i="1"/>
  <c r="BN96" i="1"/>
  <c r="BO96" i="1"/>
  <c r="BP96" i="1"/>
  <c r="BQ96" i="1"/>
  <c r="BR96" i="1"/>
  <c r="BS96" i="1"/>
  <c r="BT96" i="1"/>
  <c r="BU96" i="1"/>
  <c r="BV96" i="1"/>
  <c r="BW96" i="1"/>
  <c r="BX96" i="1"/>
  <c r="BY96" i="1"/>
  <c r="BZ96" i="1"/>
  <c r="CA96" i="1"/>
  <c r="CB96" i="1"/>
  <c r="CC96" i="1"/>
  <c r="B97" i="1"/>
  <c r="C97" i="1"/>
  <c r="D97" i="1"/>
  <c r="E97" i="1"/>
  <c r="F97" i="1"/>
  <c r="G97" i="1"/>
  <c r="H97" i="1"/>
  <c r="I97" i="1"/>
  <c r="J97" i="1"/>
  <c r="K97" i="1"/>
  <c r="L97" i="1"/>
  <c r="M97" i="1"/>
  <c r="N97" i="1"/>
  <c r="O97" i="1"/>
  <c r="P97" i="1"/>
  <c r="Q97" i="1"/>
  <c r="R97" i="1"/>
  <c r="S97" i="1"/>
  <c r="T97" i="1"/>
  <c r="U97" i="1"/>
  <c r="V97" i="1"/>
  <c r="W97" i="1"/>
  <c r="X97" i="1"/>
  <c r="Y97" i="1"/>
  <c r="Z97" i="1"/>
  <c r="AA97" i="1"/>
  <c r="AB97" i="1"/>
  <c r="AC97" i="1"/>
  <c r="AD97" i="1"/>
  <c r="AE97" i="1"/>
  <c r="AF97" i="1"/>
  <c r="AG97" i="1"/>
  <c r="AH97" i="1"/>
  <c r="AI97" i="1"/>
  <c r="AJ97" i="1"/>
  <c r="AK97" i="1"/>
  <c r="AL97" i="1"/>
  <c r="AM97" i="1"/>
  <c r="AN97" i="1"/>
  <c r="AO97" i="1"/>
  <c r="AP97" i="1"/>
  <c r="AQ97" i="1"/>
  <c r="AR97" i="1"/>
  <c r="AS97" i="1"/>
  <c r="AT97" i="1"/>
  <c r="AU97" i="1"/>
  <c r="AV97" i="1"/>
  <c r="AW97" i="1"/>
  <c r="AX97" i="1"/>
  <c r="AY97" i="1"/>
  <c r="AZ97" i="1"/>
  <c r="BA97" i="1"/>
  <c r="BB97" i="1"/>
  <c r="BC97" i="1"/>
  <c r="BD97" i="1"/>
  <c r="BE97" i="1"/>
  <c r="BF97" i="1"/>
  <c r="BG97" i="1"/>
  <c r="BH97" i="1"/>
  <c r="BI97" i="1"/>
  <c r="BJ97" i="1"/>
  <c r="BK97" i="1"/>
  <c r="BL97" i="1"/>
  <c r="BM97" i="1"/>
  <c r="BN97" i="1"/>
  <c r="BO97" i="1"/>
  <c r="BP97" i="1"/>
  <c r="BQ97" i="1"/>
  <c r="BR97" i="1"/>
  <c r="BS97" i="1"/>
  <c r="BT97" i="1"/>
  <c r="BU97" i="1"/>
  <c r="BV97" i="1"/>
  <c r="BW97" i="1"/>
  <c r="BX97" i="1"/>
  <c r="BY97" i="1"/>
  <c r="BZ97" i="1"/>
  <c r="CA97" i="1"/>
  <c r="CB97" i="1"/>
  <c r="CC97" i="1"/>
  <c r="B98" i="1"/>
  <c r="C98" i="1"/>
  <c r="D98" i="1"/>
  <c r="E98" i="1"/>
  <c r="F98" i="1"/>
  <c r="G98" i="1"/>
  <c r="H98" i="1"/>
  <c r="I98" i="1"/>
  <c r="J98" i="1"/>
  <c r="K98" i="1"/>
  <c r="L98" i="1"/>
  <c r="M98" i="1"/>
  <c r="N98" i="1"/>
  <c r="O98" i="1"/>
  <c r="P98" i="1"/>
  <c r="Q98" i="1"/>
  <c r="R98" i="1"/>
  <c r="S98" i="1"/>
  <c r="T98" i="1"/>
  <c r="U98" i="1"/>
  <c r="V98" i="1"/>
  <c r="W98" i="1"/>
  <c r="X98" i="1"/>
  <c r="Y98" i="1"/>
  <c r="Z98" i="1"/>
  <c r="AA98" i="1"/>
  <c r="AB98" i="1"/>
  <c r="AC98" i="1"/>
  <c r="AD98" i="1"/>
  <c r="AE98" i="1"/>
  <c r="AF98" i="1"/>
  <c r="AG98" i="1"/>
  <c r="AH98" i="1"/>
  <c r="AI98" i="1"/>
  <c r="AJ98" i="1"/>
  <c r="AK98" i="1"/>
  <c r="AL98" i="1"/>
  <c r="AM98" i="1"/>
  <c r="AN98" i="1"/>
  <c r="AO98" i="1"/>
  <c r="AP98" i="1"/>
  <c r="AQ98" i="1"/>
  <c r="AR98" i="1"/>
  <c r="AS98" i="1"/>
  <c r="AT98" i="1"/>
  <c r="AU98" i="1"/>
  <c r="AV98" i="1"/>
  <c r="AW98" i="1"/>
  <c r="AX98" i="1"/>
  <c r="AY98" i="1"/>
  <c r="AZ98" i="1"/>
  <c r="BA98" i="1"/>
  <c r="BB98" i="1"/>
  <c r="BC98" i="1"/>
  <c r="BD98" i="1"/>
  <c r="BE98" i="1"/>
  <c r="BF98" i="1"/>
  <c r="BG98" i="1"/>
  <c r="BH98" i="1"/>
  <c r="BI98" i="1"/>
  <c r="BJ98" i="1"/>
  <c r="BK98" i="1"/>
  <c r="BL98" i="1"/>
  <c r="BM98" i="1"/>
  <c r="BN98" i="1"/>
  <c r="BO98" i="1"/>
  <c r="BP98" i="1"/>
  <c r="BQ98" i="1"/>
  <c r="BR98" i="1"/>
  <c r="BS98" i="1"/>
  <c r="BT98" i="1"/>
  <c r="BU98" i="1"/>
  <c r="BV98" i="1"/>
  <c r="BW98" i="1"/>
  <c r="BX98" i="1"/>
  <c r="BY98" i="1"/>
  <c r="BZ98" i="1"/>
  <c r="CA98" i="1"/>
  <c r="CB98" i="1"/>
  <c r="CC98" i="1"/>
  <c r="B99" i="1"/>
  <c r="C99" i="1"/>
  <c r="D99" i="1"/>
  <c r="E99" i="1"/>
  <c r="F99" i="1"/>
  <c r="G99" i="1"/>
  <c r="H99" i="1"/>
  <c r="I99" i="1"/>
  <c r="J99" i="1"/>
  <c r="K99" i="1"/>
  <c r="L99" i="1"/>
  <c r="M99" i="1"/>
  <c r="N99" i="1"/>
  <c r="O99" i="1"/>
  <c r="P99" i="1"/>
  <c r="Q99" i="1"/>
  <c r="R99" i="1"/>
  <c r="S99" i="1"/>
  <c r="T99" i="1"/>
  <c r="U99" i="1"/>
  <c r="V99" i="1"/>
  <c r="W99" i="1"/>
  <c r="X99" i="1"/>
  <c r="Y99" i="1"/>
  <c r="Z99" i="1"/>
  <c r="AA99" i="1"/>
  <c r="AB99" i="1"/>
  <c r="AC99" i="1"/>
  <c r="AD99" i="1"/>
  <c r="AE99" i="1"/>
  <c r="AF99" i="1"/>
  <c r="AG99" i="1"/>
  <c r="AH99" i="1"/>
  <c r="AI99" i="1"/>
  <c r="AJ99" i="1"/>
  <c r="AK99" i="1"/>
  <c r="AL99" i="1"/>
  <c r="AM99" i="1"/>
  <c r="AN99" i="1"/>
  <c r="AO99" i="1"/>
  <c r="AP99" i="1"/>
  <c r="AQ99" i="1"/>
  <c r="AR99" i="1"/>
  <c r="AS99" i="1"/>
  <c r="AT99" i="1"/>
  <c r="AU99" i="1"/>
  <c r="AV99" i="1"/>
  <c r="AW99" i="1"/>
  <c r="AX99" i="1"/>
  <c r="AY99" i="1"/>
  <c r="AZ99" i="1"/>
  <c r="BA99" i="1"/>
  <c r="BB99" i="1"/>
  <c r="BC99" i="1"/>
  <c r="BD99" i="1"/>
  <c r="BE99" i="1"/>
  <c r="BF99" i="1"/>
  <c r="BG99" i="1"/>
  <c r="BH99" i="1"/>
  <c r="BI99" i="1"/>
  <c r="BJ99" i="1"/>
  <c r="BK99" i="1"/>
  <c r="BL99" i="1"/>
  <c r="BM99" i="1"/>
  <c r="BN99" i="1"/>
  <c r="BO99" i="1"/>
  <c r="BP99" i="1"/>
  <c r="BQ99" i="1"/>
  <c r="BR99" i="1"/>
  <c r="BS99" i="1"/>
  <c r="BT99" i="1"/>
  <c r="BU99" i="1"/>
  <c r="BV99" i="1"/>
  <c r="BW99" i="1"/>
  <c r="BX99" i="1"/>
  <c r="BY99" i="1"/>
  <c r="BZ99" i="1"/>
  <c r="CA99" i="1"/>
  <c r="CB99" i="1"/>
  <c r="CC99" i="1"/>
  <c r="B100" i="1"/>
  <c r="C100" i="1"/>
  <c r="D100" i="1"/>
  <c r="E100" i="1"/>
  <c r="F100" i="1"/>
  <c r="G100" i="1"/>
  <c r="H100" i="1"/>
  <c r="I100" i="1"/>
  <c r="J100" i="1"/>
  <c r="K100" i="1"/>
  <c r="L100" i="1"/>
  <c r="M100" i="1"/>
  <c r="N100" i="1"/>
  <c r="O100" i="1"/>
  <c r="P100" i="1"/>
  <c r="Q100" i="1"/>
  <c r="R100" i="1"/>
  <c r="S100" i="1"/>
  <c r="T100" i="1"/>
  <c r="U100" i="1"/>
  <c r="V100" i="1"/>
  <c r="W100" i="1"/>
  <c r="X100" i="1"/>
  <c r="Y100" i="1"/>
  <c r="Z100" i="1"/>
  <c r="AA100" i="1"/>
  <c r="AB100" i="1"/>
  <c r="AC100" i="1"/>
  <c r="AD100" i="1"/>
  <c r="AE100" i="1"/>
  <c r="AF100" i="1"/>
  <c r="AG100" i="1"/>
  <c r="AH100" i="1"/>
  <c r="AI100" i="1"/>
  <c r="AJ100" i="1"/>
  <c r="AK100" i="1"/>
  <c r="AL100" i="1"/>
  <c r="AM100" i="1"/>
  <c r="AN100" i="1"/>
  <c r="AO100" i="1"/>
  <c r="AP100" i="1"/>
  <c r="AQ100" i="1"/>
  <c r="AR100" i="1"/>
  <c r="AS100" i="1"/>
  <c r="AT100" i="1"/>
  <c r="AU100" i="1"/>
  <c r="AV100" i="1"/>
  <c r="AW100" i="1"/>
  <c r="AX100" i="1"/>
  <c r="AY100" i="1"/>
  <c r="AZ100" i="1"/>
  <c r="BA100" i="1"/>
  <c r="BB100" i="1"/>
  <c r="BC100" i="1"/>
  <c r="BD100" i="1"/>
  <c r="BE100" i="1"/>
  <c r="BF100" i="1"/>
  <c r="BG100" i="1"/>
  <c r="BH100" i="1"/>
  <c r="BI100" i="1"/>
  <c r="BJ100" i="1"/>
  <c r="BK100" i="1"/>
  <c r="BL100" i="1"/>
  <c r="BM100" i="1"/>
  <c r="BN100" i="1"/>
  <c r="BO100" i="1"/>
  <c r="BP100" i="1"/>
  <c r="BQ100" i="1"/>
  <c r="BR100" i="1"/>
  <c r="BS100" i="1"/>
  <c r="BT100" i="1"/>
  <c r="BU100" i="1"/>
  <c r="BV100" i="1"/>
  <c r="BW100" i="1"/>
  <c r="BX100" i="1"/>
  <c r="BY100" i="1"/>
  <c r="BZ100" i="1"/>
  <c r="CA100" i="1"/>
  <c r="CB100" i="1"/>
  <c r="CC100" i="1"/>
  <c r="B101" i="1"/>
  <c r="C101" i="1"/>
  <c r="D101" i="1"/>
  <c r="E101" i="1"/>
  <c r="F101" i="1"/>
  <c r="G101" i="1"/>
  <c r="H101" i="1"/>
  <c r="I101" i="1"/>
  <c r="J101" i="1"/>
  <c r="K101" i="1"/>
  <c r="L101" i="1"/>
  <c r="M101" i="1"/>
  <c r="N101" i="1"/>
  <c r="O101" i="1"/>
  <c r="P101" i="1"/>
  <c r="Q101" i="1"/>
  <c r="R101" i="1"/>
  <c r="S101" i="1"/>
  <c r="T101" i="1"/>
  <c r="U101" i="1"/>
  <c r="V101" i="1"/>
  <c r="W101" i="1"/>
  <c r="X101" i="1"/>
  <c r="Y101" i="1"/>
  <c r="Z101" i="1"/>
  <c r="AA101" i="1"/>
  <c r="AB101" i="1"/>
  <c r="AC101" i="1"/>
  <c r="AD101" i="1"/>
  <c r="AE101" i="1"/>
  <c r="AF101" i="1"/>
  <c r="AG101" i="1"/>
  <c r="AH101" i="1"/>
  <c r="AI101" i="1"/>
  <c r="AJ101" i="1"/>
  <c r="AK101" i="1"/>
  <c r="AL101" i="1"/>
  <c r="AM101" i="1"/>
  <c r="AN101" i="1"/>
  <c r="AO101" i="1"/>
  <c r="AP101" i="1"/>
  <c r="AQ101" i="1"/>
  <c r="AR101" i="1"/>
  <c r="AS101" i="1"/>
  <c r="AT101" i="1"/>
  <c r="AU101" i="1"/>
  <c r="AV101" i="1"/>
  <c r="AW101" i="1"/>
  <c r="AX101" i="1"/>
  <c r="AY101" i="1"/>
  <c r="AZ101" i="1"/>
  <c r="BA101" i="1"/>
  <c r="BB101" i="1"/>
  <c r="BC101" i="1"/>
  <c r="BD101" i="1"/>
  <c r="BE101" i="1"/>
  <c r="BF101" i="1"/>
  <c r="BG101" i="1"/>
  <c r="BH101" i="1"/>
  <c r="BI101" i="1"/>
  <c r="BJ101" i="1"/>
  <c r="BK101" i="1"/>
  <c r="BL101" i="1"/>
  <c r="BM101" i="1"/>
  <c r="BN101" i="1"/>
  <c r="BO101" i="1"/>
  <c r="BP101" i="1"/>
  <c r="BQ101" i="1"/>
  <c r="BR101" i="1"/>
  <c r="BS101" i="1"/>
  <c r="BT101" i="1"/>
  <c r="BU101" i="1"/>
  <c r="BV101" i="1"/>
  <c r="BW101" i="1"/>
  <c r="BX101" i="1"/>
  <c r="BY101" i="1"/>
  <c r="BZ101" i="1"/>
  <c r="CA101" i="1"/>
  <c r="CB101" i="1"/>
  <c r="CC101" i="1"/>
  <c r="B102" i="1"/>
  <c r="C102" i="1"/>
  <c r="D102" i="1"/>
  <c r="E102" i="1"/>
  <c r="F102" i="1"/>
  <c r="G102" i="1"/>
  <c r="H102" i="1"/>
  <c r="I102" i="1"/>
  <c r="J102" i="1"/>
  <c r="K102" i="1"/>
  <c r="L102" i="1"/>
  <c r="M102" i="1"/>
  <c r="N102" i="1"/>
  <c r="O102" i="1"/>
  <c r="P102" i="1"/>
  <c r="Q102" i="1"/>
  <c r="R102" i="1"/>
  <c r="S102" i="1"/>
  <c r="T102" i="1"/>
  <c r="U102" i="1"/>
  <c r="V102" i="1"/>
  <c r="W102" i="1"/>
  <c r="X102" i="1"/>
  <c r="Y102" i="1"/>
  <c r="Z102" i="1"/>
  <c r="AA102" i="1"/>
  <c r="AB102" i="1"/>
  <c r="AC102" i="1"/>
  <c r="AD102" i="1"/>
  <c r="AE102" i="1"/>
  <c r="AF102" i="1"/>
  <c r="AG102" i="1"/>
  <c r="AH102" i="1"/>
  <c r="AI102" i="1"/>
  <c r="AJ102" i="1"/>
  <c r="AK102" i="1"/>
  <c r="AL102" i="1"/>
  <c r="AM102" i="1"/>
  <c r="AN102" i="1"/>
  <c r="AO102" i="1"/>
  <c r="AP102" i="1"/>
  <c r="AQ102" i="1"/>
  <c r="AR102" i="1"/>
  <c r="AS102" i="1"/>
  <c r="AT102" i="1"/>
  <c r="AU102" i="1"/>
  <c r="AV102" i="1"/>
  <c r="AW102" i="1"/>
  <c r="AX102" i="1"/>
  <c r="AY102" i="1"/>
  <c r="AZ102" i="1"/>
  <c r="BA102" i="1"/>
  <c r="BB102" i="1"/>
  <c r="BC102" i="1"/>
  <c r="BD102" i="1"/>
  <c r="BE102" i="1"/>
  <c r="BF102" i="1"/>
  <c r="BG102" i="1"/>
  <c r="BH102" i="1"/>
  <c r="BI102" i="1"/>
  <c r="BJ102" i="1"/>
  <c r="BK102" i="1"/>
  <c r="BL102" i="1"/>
  <c r="BM102" i="1"/>
  <c r="BN102" i="1"/>
  <c r="BO102" i="1"/>
  <c r="BP102" i="1"/>
  <c r="BQ102" i="1"/>
  <c r="BR102" i="1"/>
  <c r="BS102" i="1"/>
  <c r="BT102" i="1"/>
  <c r="BU102" i="1"/>
  <c r="BV102" i="1"/>
  <c r="BW102" i="1"/>
  <c r="BX102" i="1"/>
  <c r="BY102" i="1"/>
  <c r="BZ102" i="1"/>
  <c r="CA102" i="1"/>
  <c r="CB102" i="1"/>
  <c r="CC102" i="1"/>
  <c r="B103" i="1"/>
  <c r="C103" i="1"/>
  <c r="D103" i="1"/>
  <c r="E103" i="1"/>
  <c r="F103" i="1"/>
  <c r="G103" i="1"/>
  <c r="H103" i="1"/>
  <c r="I103" i="1"/>
  <c r="J103" i="1"/>
  <c r="K103" i="1"/>
  <c r="L103" i="1"/>
  <c r="M103" i="1"/>
  <c r="N103" i="1"/>
  <c r="O103" i="1"/>
  <c r="P103" i="1"/>
  <c r="Q103" i="1"/>
  <c r="R103" i="1"/>
  <c r="S103" i="1"/>
  <c r="T103" i="1"/>
  <c r="U103" i="1"/>
  <c r="V103" i="1"/>
  <c r="W103" i="1"/>
  <c r="X103" i="1"/>
  <c r="Y103" i="1"/>
  <c r="Z103" i="1"/>
  <c r="AA103" i="1"/>
  <c r="AB103" i="1"/>
  <c r="AC103" i="1"/>
  <c r="AD103" i="1"/>
  <c r="AE103" i="1"/>
  <c r="AF103" i="1"/>
  <c r="AG103" i="1"/>
  <c r="AH103" i="1"/>
  <c r="AI103" i="1"/>
  <c r="AJ103" i="1"/>
  <c r="AK103" i="1"/>
  <c r="AL103" i="1"/>
  <c r="AM103" i="1"/>
  <c r="AN103" i="1"/>
  <c r="AO103" i="1"/>
  <c r="AP103" i="1"/>
  <c r="AQ103" i="1"/>
  <c r="AR103" i="1"/>
  <c r="AS103" i="1"/>
  <c r="AT103" i="1"/>
  <c r="AU103" i="1"/>
  <c r="AV103" i="1"/>
  <c r="AW103" i="1"/>
  <c r="AX103" i="1"/>
  <c r="AY103" i="1"/>
  <c r="AZ103" i="1"/>
  <c r="BA103" i="1"/>
  <c r="BB103" i="1"/>
  <c r="BC103" i="1"/>
  <c r="BD103" i="1"/>
  <c r="BE103" i="1"/>
  <c r="BF103" i="1"/>
  <c r="BG103" i="1"/>
  <c r="BH103" i="1"/>
  <c r="BI103" i="1"/>
  <c r="BJ103" i="1"/>
  <c r="BK103" i="1"/>
  <c r="BL103" i="1"/>
  <c r="BM103" i="1"/>
  <c r="BN103" i="1"/>
  <c r="BO103" i="1"/>
  <c r="BP103" i="1"/>
  <c r="BQ103" i="1"/>
  <c r="BR103" i="1"/>
  <c r="BS103" i="1"/>
  <c r="BT103" i="1"/>
  <c r="BU103" i="1"/>
  <c r="BV103" i="1"/>
  <c r="BW103" i="1"/>
  <c r="BX103" i="1"/>
  <c r="BY103" i="1"/>
  <c r="BZ103" i="1"/>
  <c r="CA103" i="1"/>
  <c r="CB103" i="1"/>
  <c r="CC103" i="1"/>
  <c r="B104" i="1"/>
  <c r="C104" i="1"/>
  <c r="D104" i="1"/>
  <c r="E104" i="1"/>
  <c r="F104" i="1"/>
  <c r="G104" i="1"/>
  <c r="H104" i="1"/>
  <c r="I104" i="1"/>
  <c r="J104" i="1"/>
  <c r="K104" i="1"/>
  <c r="L104" i="1"/>
  <c r="M104" i="1"/>
  <c r="N104" i="1"/>
  <c r="O104" i="1"/>
  <c r="P104" i="1"/>
  <c r="Q104" i="1"/>
  <c r="R104" i="1"/>
  <c r="S104" i="1"/>
  <c r="T104" i="1"/>
  <c r="U104" i="1"/>
  <c r="V104" i="1"/>
  <c r="W104" i="1"/>
  <c r="X104" i="1"/>
  <c r="Y104" i="1"/>
  <c r="Z104" i="1"/>
  <c r="AA104" i="1"/>
  <c r="AB104" i="1"/>
  <c r="AC104" i="1"/>
  <c r="AD104" i="1"/>
  <c r="AE104" i="1"/>
  <c r="AF104" i="1"/>
  <c r="AG104" i="1"/>
  <c r="AH104" i="1"/>
  <c r="AI104" i="1"/>
  <c r="AJ104" i="1"/>
  <c r="AK104" i="1"/>
  <c r="AL104" i="1"/>
  <c r="AM104" i="1"/>
  <c r="AN104" i="1"/>
  <c r="AO104" i="1"/>
  <c r="AP104" i="1"/>
  <c r="AQ104" i="1"/>
  <c r="AR104" i="1"/>
  <c r="AS104" i="1"/>
  <c r="AT104" i="1"/>
  <c r="AU104" i="1"/>
  <c r="AV104" i="1"/>
  <c r="AW104" i="1"/>
  <c r="AX104" i="1"/>
  <c r="AY104" i="1"/>
  <c r="AZ104" i="1"/>
  <c r="BA104" i="1"/>
  <c r="BB104" i="1"/>
  <c r="BC104" i="1"/>
  <c r="BD104" i="1"/>
  <c r="BE104" i="1"/>
  <c r="BF104" i="1"/>
  <c r="BG104" i="1"/>
  <c r="BH104" i="1"/>
  <c r="BI104" i="1"/>
  <c r="BJ104" i="1"/>
  <c r="BK104" i="1"/>
  <c r="BL104" i="1"/>
  <c r="BM104" i="1"/>
  <c r="BN104" i="1"/>
  <c r="BO104" i="1"/>
  <c r="BP104" i="1"/>
  <c r="BQ104" i="1"/>
  <c r="BR104" i="1"/>
  <c r="BS104" i="1"/>
  <c r="BT104" i="1"/>
  <c r="BU104" i="1"/>
  <c r="BV104" i="1"/>
  <c r="BW104" i="1"/>
  <c r="BX104" i="1"/>
  <c r="BY104" i="1"/>
  <c r="BZ104" i="1"/>
  <c r="CA104" i="1"/>
  <c r="CB104" i="1"/>
  <c r="CC104" i="1"/>
  <c r="B105" i="1"/>
  <c r="C105" i="1"/>
  <c r="D105" i="1"/>
  <c r="E105" i="1"/>
  <c r="F105" i="1"/>
  <c r="G105" i="1"/>
  <c r="H105" i="1"/>
  <c r="I105" i="1"/>
  <c r="J105" i="1"/>
  <c r="K105" i="1"/>
  <c r="L105" i="1"/>
  <c r="M105" i="1"/>
  <c r="N105" i="1"/>
  <c r="O105" i="1"/>
  <c r="P105" i="1"/>
  <c r="Q105" i="1"/>
  <c r="R105" i="1"/>
  <c r="S105" i="1"/>
  <c r="T105" i="1"/>
  <c r="U105" i="1"/>
  <c r="V105" i="1"/>
  <c r="W105" i="1"/>
  <c r="X105" i="1"/>
  <c r="Y105" i="1"/>
  <c r="Z105" i="1"/>
  <c r="AA105" i="1"/>
  <c r="AB105" i="1"/>
  <c r="AC105" i="1"/>
  <c r="AD105" i="1"/>
  <c r="AE105" i="1"/>
  <c r="AF105" i="1"/>
  <c r="AG105" i="1"/>
  <c r="AH105" i="1"/>
  <c r="AI105" i="1"/>
  <c r="AJ105" i="1"/>
  <c r="AK105" i="1"/>
  <c r="AL105" i="1"/>
  <c r="AM105" i="1"/>
  <c r="AN105" i="1"/>
  <c r="AO105" i="1"/>
  <c r="AP105" i="1"/>
  <c r="AQ105" i="1"/>
  <c r="AR105" i="1"/>
  <c r="AS105" i="1"/>
  <c r="AT105" i="1"/>
  <c r="AU105" i="1"/>
  <c r="AV105" i="1"/>
  <c r="AW105" i="1"/>
  <c r="AX105" i="1"/>
  <c r="AY105" i="1"/>
  <c r="AZ105" i="1"/>
  <c r="BA105" i="1"/>
  <c r="BB105" i="1"/>
  <c r="BC105" i="1"/>
  <c r="BD105" i="1"/>
  <c r="BE105" i="1"/>
  <c r="BF105" i="1"/>
  <c r="BG105" i="1"/>
  <c r="BH105" i="1"/>
  <c r="BI105" i="1"/>
  <c r="BJ105" i="1"/>
  <c r="BK105" i="1"/>
  <c r="BL105" i="1"/>
  <c r="BM105" i="1"/>
  <c r="BN105" i="1"/>
  <c r="BO105" i="1"/>
  <c r="BP105" i="1"/>
  <c r="BQ105" i="1"/>
  <c r="BR105" i="1"/>
  <c r="BS105" i="1"/>
  <c r="BT105" i="1"/>
  <c r="BU105" i="1"/>
  <c r="BV105" i="1"/>
  <c r="BW105" i="1"/>
  <c r="BX105" i="1"/>
  <c r="BY105" i="1"/>
  <c r="BZ105" i="1"/>
  <c r="CA105" i="1"/>
  <c r="CB105" i="1"/>
  <c r="CC105" i="1"/>
  <c r="B106" i="1"/>
  <c r="C106" i="1"/>
  <c r="D106" i="1"/>
  <c r="E106" i="1"/>
  <c r="F106" i="1"/>
  <c r="G106" i="1"/>
  <c r="H106" i="1"/>
  <c r="I106" i="1"/>
  <c r="J106" i="1"/>
  <c r="K106" i="1"/>
  <c r="L106" i="1"/>
  <c r="M106" i="1"/>
  <c r="N106" i="1"/>
  <c r="O106" i="1"/>
  <c r="P106" i="1"/>
  <c r="Q106" i="1"/>
  <c r="R106" i="1"/>
  <c r="S106" i="1"/>
  <c r="T106" i="1"/>
  <c r="U106" i="1"/>
  <c r="V106" i="1"/>
  <c r="W106" i="1"/>
  <c r="X106" i="1"/>
  <c r="Y106" i="1"/>
  <c r="Z106" i="1"/>
  <c r="AA106" i="1"/>
  <c r="AB106" i="1"/>
  <c r="AC106" i="1"/>
  <c r="AD106" i="1"/>
  <c r="AE106" i="1"/>
  <c r="AF106" i="1"/>
  <c r="AG106" i="1"/>
  <c r="AH106" i="1"/>
  <c r="AI106" i="1"/>
  <c r="AJ106" i="1"/>
  <c r="AK106" i="1"/>
  <c r="AL106" i="1"/>
  <c r="AM106" i="1"/>
  <c r="AN106" i="1"/>
  <c r="AO106" i="1"/>
  <c r="AP106" i="1"/>
  <c r="AQ106" i="1"/>
  <c r="AR106" i="1"/>
  <c r="AS106" i="1"/>
  <c r="AT106" i="1"/>
  <c r="AU106" i="1"/>
  <c r="AV106" i="1"/>
  <c r="AW106" i="1"/>
  <c r="AX106" i="1"/>
  <c r="AY106" i="1"/>
  <c r="AZ106" i="1"/>
  <c r="BA106" i="1"/>
  <c r="BB106" i="1"/>
  <c r="BC106" i="1"/>
  <c r="BD106" i="1"/>
  <c r="BE106" i="1"/>
  <c r="BF106" i="1"/>
  <c r="BG106" i="1"/>
  <c r="BH106" i="1"/>
  <c r="BI106" i="1"/>
  <c r="BJ106" i="1"/>
  <c r="BK106" i="1"/>
  <c r="BL106" i="1"/>
  <c r="BM106" i="1"/>
  <c r="BN106" i="1"/>
  <c r="BO106" i="1"/>
  <c r="BP106" i="1"/>
  <c r="BQ106" i="1"/>
  <c r="BR106" i="1"/>
  <c r="BS106" i="1"/>
  <c r="BT106" i="1"/>
  <c r="BU106" i="1"/>
  <c r="BV106" i="1"/>
  <c r="BW106" i="1"/>
  <c r="BX106" i="1"/>
  <c r="BY106" i="1"/>
  <c r="BZ106" i="1"/>
  <c r="CA106" i="1"/>
  <c r="CB106" i="1"/>
  <c r="CC106" i="1"/>
  <c r="B107" i="1"/>
  <c r="C107" i="1"/>
  <c r="D107" i="1"/>
  <c r="E107" i="1"/>
  <c r="F107" i="1"/>
  <c r="G107" i="1"/>
  <c r="H107" i="1"/>
  <c r="I107" i="1"/>
  <c r="J107" i="1"/>
  <c r="K107" i="1"/>
  <c r="L107" i="1"/>
  <c r="M107" i="1"/>
  <c r="N107" i="1"/>
  <c r="O107" i="1"/>
  <c r="P107" i="1"/>
  <c r="Q107" i="1"/>
  <c r="R107" i="1"/>
  <c r="S107" i="1"/>
  <c r="T107" i="1"/>
  <c r="U107" i="1"/>
  <c r="V107" i="1"/>
  <c r="W107" i="1"/>
  <c r="X107" i="1"/>
  <c r="Y107" i="1"/>
  <c r="Z107" i="1"/>
  <c r="AA107" i="1"/>
  <c r="AB107" i="1"/>
  <c r="AC107" i="1"/>
  <c r="AD107" i="1"/>
  <c r="AE107" i="1"/>
  <c r="AF107" i="1"/>
  <c r="AG107" i="1"/>
  <c r="AH107" i="1"/>
  <c r="AI107" i="1"/>
  <c r="AJ107" i="1"/>
  <c r="AK107" i="1"/>
  <c r="AL107" i="1"/>
  <c r="AM107" i="1"/>
  <c r="AN107" i="1"/>
  <c r="AO107" i="1"/>
  <c r="AP107" i="1"/>
  <c r="AQ107" i="1"/>
  <c r="AR107" i="1"/>
  <c r="AS107" i="1"/>
  <c r="AT107" i="1"/>
  <c r="AU107" i="1"/>
  <c r="AV107" i="1"/>
  <c r="AW107" i="1"/>
  <c r="AX107" i="1"/>
  <c r="AY107" i="1"/>
  <c r="AZ107" i="1"/>
  <c r="BA107" i="1"/>
  <c r="BB107" i="1"/>
  <c r="BC107" i="1"/>
  <c r="BD107" i="1"/>
  <c r="BE107" i="1"/>
  <c r="BF107" i="1"/>
  <c r="BG107" i="1"/>
  <c r="BH107" i="1"/>
  <c r="BI107" i="1"/>
  <c r="BJ107" i="1"/>
  <c r="BK107" i="1"/>
  <c r="BL107" i="1"/>
  <c r="BM107" i="1"/>
  <c r="BN107" i="1"/>
  <c r="BO107" i="1"/>
  <c r="BP107" i="1"/>
  <c r="BQ107" i="1"/>
  <c r="BR107" i="1"/>
  <c r="BS107" i="1"/>
  <c r="BT107" i="1"/>
  <c r="BU107" i="1"/>
  <c r="BV107" i="1"/>
  <c r="BW107" i="1"/>
  <c r="BX107" i="1"/>
  <c r="BY107" i="1"/>
  <c r="BZ107" i="1"/>
  <c r="CA107" i="1"/>
  <c r="CB107" i="1"/>
  <c r="CC107" i="1"/>
  <c r="B108" i="1"/>
  <c r="C108" i="1"/>
  <c r="D108" i="1"/>
  <c r="E108" i="1"/>
  <c r="F108" i="1"/>
  <c r="G108" i="1"/>
  <c r="H108" i="1"/>
  <c r="I108" i="1"/>
  <c r="J108" i="1"/>
  <c r="K108" i="1"/>
  <c r="L108" i="1"/>
  <c r="M108" i="1"/>
  <c r="N108" i="1"/>
  <c r="O108" i="1"/>
  <c r="P108" i="1"/>
  <c r="Q108" i="1"/>
  <c r="R108" i="1"/>
  <c r="S108" i="1"/>
  <c r="T108" i="1"/>
  <c r="U108" i="1"/>
  <c r="V108" i="1"/>
  <c r="W108" i="1"/>
  <c r="X108" i="1"/>
  <c r="Y108" i="1"/>
  <c r="Z108" i="1"/>
  <c r="AA108" i="1"/>
  <c r="AB108" i="1"/>
  <c r="AC108" i="1"/>
  <c r="AD108" i="1"/>
  <c r="AE108" i="1"/>
  <c r="AF108" i="1"/>
  <c r="AG108" i="1"/>
  <c r="AH108" i="1"/>
  <c r="AI108" i="1"/>
  <c r="AJ108" i="1"/>
  <c r="AK108" i="1"/>
  <c r="AL108" i="1"/>
  <c r="AM108" i="1"/>
  <c r="AN108" i="1"/>
  <c r="AO108" i="1"/>
  <c r="AP108" i="1"/>
  <c r="AQ108" i="1"/>
  <c r="AR108" i="1"/>
  <c r="AS108" i="1"/>
  <c r="AT108" i="1"/>
  <c r="AU108" i="1"/>
  <c r="AV108" i="1"/>
  <c r="AW108" i="1"/>
  <c r="AX108" i="1"/>
  <c r="AY108" i="1"/>
  <c r="AZ108" i="1"/>
  <c r="BA108" i="1"/>
  <c r="BB108" i="1"/>
  <c r="BC108" i="1"/>
  <c r="BD108" i="1"/>
  <c r="BE108" i="1"/>
  <c r="BF108" i="1"/>
  <c r="BG108" i="1"/>
  <c r="BH108" i="1"/>
  <c r="BI108" i="1"/>
  <c r="BJ108" i="1"/>
  <c r="BK108" i="1"/>
  <c r="BL108" i="1"/>
  <c r="BM108" i="1"/>
  <c r="BN108" i="1"/>
  <c r="BO108" i="1"/>
  <c r="BP108" i="1"/>
  <c r="BQ108" i="1"/>
  <c r="BR108" i="1"/>
  <c r="BS108" i="1"/>
  <c r="BT108" i="1"/>
  <c r="BU108" i="1"/>
  <c r="BV108" i="1"/>
  <c r="BW108" i="1"/>
  <c r="BX108" i="1"/>
  <c r="BY108" i="1"/>
  <c r="BZ108" i="1"/>
  <c r="CA108" i="1"/>
  <c r="CB108" i="1"/>
  <c r="CC108" i="1"/>
  <c r="B109" i="1"/>
  <c r="C109" i="1"/>
  <c r="D109" i="1"/>
  <c r="E109" i="1"/>
  <c r="F109" i="1"/>
  <c r="G109" i="1"/>
  <c r="H109" i="1"/>
  <c r="I109" i="1"/>
  <c r="J109" i="1"/>
  <c r="K109" i="1"/>
  <c r="L109" i="1"/>
  <c r="M109" i="1"/>
  <c r="N109" i="1"/>
  <c r="O109" i="1"/>
  <c r="P109" i="1"/>
  <c r="Q109" i="1"/>
  <c r="R109" i="1"/>
  <c r="S109" i="1"/>
  <c r="T109" i="1"/>
  <c r="U109" i="1"/>
  <c r="V109" i="1"/>
  <c r="W109" i="1"/>
  <c r="X109" i="1"/>
  <c r="Y109" i="1"/>
  <c r="Z109" i="1"/>
  <c r="AA109" i="1"/>
  <c r="AB109" i="1"/>
  <c r="AC109" i="1"/>
  <c r="AD109" i="1"/>
  <c r="AE109" i="1"/>
  <c r="AF109" i="1"/>
  <c r="AG109" i="1"/>
  <c r="AH109" i="1"/>
  <c r="AI109" i="1"/>
  <c r="AJ109" i="1"/>
  <c r="AK109" i="1"/>
  <c r="AL109" i="1"/>
  <c r="AM109" i="1"/>
  <c r="AN109" i="1"/>
  <c r="AO109" i="1"/>
  <c r="AP109" i="1"/>
  <c r="AQ109" i="1"/>
  <c r="AR109" i="1"/>
  <c r="AS109" i="1"/>
  <c r="AT109" i="1"/>
  <c r="AU109" i="1"/>
  <c r="AV109" i="1"/>
  <c r="AW109" i="1"/>
  <c r="AX109" i="1"/>
  <c r="AY109" i="1"/>
  <c r="AZ109" i="1"/>
  <c r="BA109" i="1"/>
  <c r="BB109" i="1"/>
  <c r="BC109" i="1"/>
  <c r="BD109" i="1"/>
  <c r="BE109" i="1"/>
  <c r="BF109" i="1"/>
  <c r="BG109" i="1"/>
  <c r="BH109" i="1"/>
  <c r="BI109" i="1"/>
  <c r="BJ109" i="1"/>
  <c r="BK109" i="1"/>
  <c r="BL109" i="1"/>
  <c r="BM109" i="1"/>
  <c r="BN109" i="1"/>
  <c r="BO109" i="1"/>
  <c r="BP109" i="1"/>
  <c r="BQ109" i="1"/>
  <c r="BR109" i="1"/>
  <c r="BS109" i="1"/>
  <c r="BT109" i="1"/>
  <c r="BU109" i="1"/>
  <c r="BV109" i="1"/>
  <c r="BW109" i="1"/>
  <c r="BX109" i="1"/>
  <c r="BY109" i="1"/>
  <c r="BZ109" i="1"/>
  <c r="CA109" i="1"/>
  <c r="CB109" i="1"/>
  <c r="CC109" i="1"/>
  <c r="B110" i="1"/>
  <c r="C110" i="1"/>
  <c r="D110" i="1"/>
  <c r="E110" i="1"/>
  <c r="F110" i="1"/>
  <c r="G110" i="1"/>
  <c r="H110" i="1"/>
  <c r="I110" i="1"/>
  <c r="J110" i="1"/>
  <c r="K110" i="1"/>
  <c r="L110" i="1"/>
  <c r="M110" i="1"/>
  <c r="N110" i="1"/>
  <c r="O110" i="1"/>
  <c r="P110" i="1"/>
  <c r="Q110" i="1"/>
  <c r="R110" i="1"/>
  <c r="S110" i="1"/>
  <c r="T110" i="1"/>
  <c r="U110" i="1"/>
  <c r="V110" i="1"/>
  <c r="W110" i="1"/>
  <c r="X110" i="1"/>
  <c r="Y110" i="1"/>
  <c r="Z110" i="1"/>
  <c r="AA110" i="1"/>
  <c r="AB110" i="1"/>
  <c r="AC110" i="1"/>
  <c r="AD110" i="1"/>
  <c r="AE110" i="1"/>
  <c r="AF110" i="1"/>
  <c r="AG110" i="1"/>
  <c r="AH110" i="1"/>
  <c r="AI110" i="1"/>
  <c r="AJ110" i="1"/>
  <c r="AK110" i="1"/>
  <c r="AL110" i="1"/>
  <c r="AM110" i="1"/>
  <c r="AN110" i="1"/>
  <c r="AO110" i="1"/>
  <c r="AP110" i="1"/>
  <c r="AQ110" i="1"/>
  <c r="AR110" i="1"/>
  <c r="AS110" i="1"/>
  <c r="AT110" i="1"/>
  <c r="AU110" i="1"/>
  <c r="AV110" i="1"/>
  <c r="AW110" i="1"/>
  <c r="AX110" i="1"/>
  <c r="AY110" i="1"/>
  <c r="AZ110" i="1"/>
  <c r="BA110" i="1"/>
  <c r="BB110" i="1"/>
  <c r="BC110" i="1"/>
  <c r="BD110" i="1"/>
  <c r="BE110" i="1"/>
  <c r="BF110" i="1"/>
  <c r="BG110" i="1"/>
  <c r="BH110" i="1"/>
  <c r="BI110" i="1"/>
  <c r="BJ110" i="1"/>
  <c r="BK110" i="1"/>
  <c r="BL110" i="1"/>
  <c r="BM110" i="1"/>
  <c r="BN110" i="1"/>
  <c r="BO110" i="1"/>
  <c r="BP110" i="1"/>
  <c r="BQ110" i="1"/>
  <c r="BR110" i="1"/>
  <c r="BS110" i="1"/>
  <c r="BT110" i="1"/>
  <c r="BU110" i="1"/>
  <c r="BV110" i="1"/>
  <c r="BW110" i="1"/>
  <c r="BX110" i="1"/>
  <c r="BY110" i="1"/>
  <c r="BZ110" i="1"/>
  <c r="CA110" i="1"/>
  <c r="CB110" i="1"/>
  <c r="CC110" i="1"/>
  <c r="B111" i="1"/>
  <c r="C111" i="1"/>
  <c r="D111" i="1"/>
  <c r="E111" i="1"/>
  <c r="F111" i="1"/>
  <c r="G111" i="1"/>
  <c r="H111" i="1"/>
  <c r="I111" i="1"/>
  <c r="J111" i="1"/>
  <c r="K111" i="1"/>
  <c r="L111" i="1"/>
  <c r="M111" i="1"/>
  <c r="N111" i="1"/>
  <c r="O111" i="1"/>
  <c r="P111" i="1"/>
  <c r="Q111" i="1"/>
  <c r="R111" i="1"/>
  <c r="S111" i="1"/>
  <c r="T111" i="1"/>
  <c r="U111" i="1"/>
  <c r="V111" i="1"/>
  <c r="W111" i="1"/>
  <c r="X111" i="1"/>
  <c r="Y111" i="1"/>
  <c r="Z111" i="1"/>
  <c r="AA111" i="1"/>
  <c r="AB111" i="1"/>
  <c r="AC111" i="1"/>
  <c r="AD111" i="1"/>
  <c r="AE111" i="1"/>
  <c r="AF111" i="1"/>
  <c r="AG111" i="1"/>
  <c r="AH111" i="1"/>
  <c r="AI111" i="1"/>
  <c r="AJ111" i="1"/>
  <c r="AK111" i="1"/>
  <c r="AL111" i="1"/>
  <c r="AM111" i="1"/>
  <c r="AN111" i="1"/>
  <c r="AO111" i="1"/>
  <c r="AP111" i="1"/>
  <c r="AQ111" i="1"/>
  <c r="AR111" i="1"/>
  <c r="AS111" i="1"/>
  <c r="AT111" i="1"/>
  <c r="AU111" i="1"/>
  <c r="AV111" i="1"/>
  <c r="AW111" i="1"/>
  <c r="AX111" i="1"/>
  <c r="AY111" i="1"/>
  <c r="AZ111" i="1"/>
  <c r="BA111" i="1"/>
  <c r="BB111" i="1"/>
  <c r="BC111" i="1"/>
  <c r="BD111" i="1"/>
  <c r="BE111" i="1"/>
  <c r="BF111" i="1"/>
  <c r="BG111" i="1"/>
  <c r="BH111" i="1"/>
  <c r="BI111" i="1"/>
  <c r="BJ111" i="1"/>
  <c r="BK111" i="1"/>
  <c r="BL111" i="1"/>
  <c r="BM111" i="1"/>
  <c r="BN111" i="1"/>
  <c r="BO111" i="1"/>
  <c r="BP111" i="1"/>
  <c r="BQ111" i="1"/>
  <c r="BR111" i="1"/>
  <c r="BS111" i="1"/>
  <c r="BT111" i="1"/>
  <c r="BU111" i="1"/>
  <c r="BV111" i="1"/>
  <c r="BW111" i="1"/>
  <c r="BX111" i="1"/>
  <c r="BY111" i="1"/>
  <c r="BZ111" i="1"/>
  <c r="CA111" i="1"/>
  <c r="CB111" i="1"/>
  <c r="CC111" i="1"/>
  <c r="B112" i="1"/>
  <c r="C112" i="1"/>
  <c r="D112" i="1"/>
  <c r="E112" i="1"/>
  <c r="F112" i="1"/>
  <c r="G112" i="1"/>
  <c r="H112" i="1"/>
  <c r="I112" i="1"/>
  <c r="J112" i="1"/>
  <c r="K112" i="1"/>
  <c r="L112" i="1"/>
  <c r="M112" i="1"/>
  <c r="N112" i="1"/>
  <c r="O112" i="1"/>
  <c r="P112" i="1"/>
  <c r="Q112" i="1"/>
  <c r="R112" i="1"/>
  <c r="S112" i="1"/>
  <c r="T112" i="1"/>
  <c r="U112" i="1"/>
  <c r="V112" i="1"/>
  <c r="W112" i="1"/>
  <c r="X112" i="1"/>
  <c r="Y112" i="1"/>
  <c r="Z112" i="1"/>
  <c r="AA112" i="1"/>
  <c r="AB112" i="1"/>
  <c r="AC112" i="1"/>
  <c r="AD112" i="1"/>
  <c r="AE112" i="1"/>
  <c r="AF112" i="1"/>
  <c r="AG112" i="1"/>
  <c r="AH112" i="1"/>
  <c r="AI112" i="1"/>
  <c r="AJ112" i="1"/>
  <c r="AK112" i="1"/>
  <c r="AL112" i="1"/>
  <c r="AM112" i="1"/>
  <c r="AN112" i="1"/>
  <c r="AO112" i="1"/>
  <c r="AP112" i="1"/>
  <c r="AQ112" i="1"/>
  <c r="AR112" i="1"/>
  <c r="AS112" i="1"/>
  <c r="AT112" i="1"/>
  <c r="AU112" i="1"/>
  <c r="AV112" i="1"/>
  <c r="AW112" i="1"/>
  <c r="AX112" i="1"/>
  <c r="AY112" i="1"/>
  <c r="AZ112" i="1"/>
  <c r="BA112" i="1"/>
  <c r="BB112" i="1"/>
  <c r="BC112" i="1"/>
  <c r="BD112" i="1"/>
  <c r="BE112" i="1"/>
  <c r="BF112" i="1"/>
  <c r="BG112" i="1"/>
  <c r="BH112" i="1"/>
  <c r="BI112" i="1"/>
  <c r="BJ112" i="1"/>
  <c r="BK112" i="1"/>
  <c r="BL112" i="1"/>
  <c r="BM112" i="1"/>
  <c r="BN112" i="1"/>
  <c r="BO112" i="1"/>
  <c r="BP112" i="1"/>
  <c r="BQ112" i="1"/>
  <c r="BR112" i="1"/>
  <c r="BS112" i="1"/>
  <c r="BT112" i="1"/>
  <c r="BU112" i="1"/>
  <c r="BV112" i="1"/>
  <c r="BW112" i="1"/>
  <c r="BX112" i="1"/>
  <c r="BY112" i="1"/>
  <c r="BZ112" i="1"/>
  <c r="CA112" i="1"/>
  <c r="CB112" i="1"/>
  <c r="CC112" i="1"/>
  <c r="B113" i="1"/>
  <c r="C113" i="1"/>
  <c r="D113" i="1"/>
  <c r="E113" i="1"/>
  <c r="F113" i="1"/>
  <c r="G113" i="1"/>
  <c r="H113" i="1"/>
  <c r="I113" i="1"/>
  <c r="J113" i="1"/>
  <c r="K113" i="1"/>
  <c r="L113" i="1"/>
  <c r="M113" i="1"/>
  <c r="N113" i="1"/>
  <c r="O113" i="1"/>
  <c r="P113" i="1"/>
  <c r="Q113" i="1"/>
  <c r="R113" i="1"/>
  <c r="S113" i="1"/>
  <c r="T113" i="1"/>
  <c r="U113" i="1"/>
  <c r="V113" i="1"/>
  <c r="W113" i="1"/>
  <c r="X113" i="1"/>
  <c r="Y113" i="1"/>
  <c r="Z113" i="1"/>
  <c r="AA113" i="1"/>
  <c r="AB113" i="1"/>
  <c r="AC113" i="1"/>
  <c r="AD113" i="1"/>
  <c r="AE113" i="1"/>
  <c r="AF113" i="1"/>
  <c r="AG113" i="1"/>
  <c r="AH113" i="1"/>
  <c r="AI113" i="1"/>
  <c r="AJ113" i="1"/>
  <c r="AK113" i="1"/>
  <c r="AL113" i="1"/>
  <c r="AM113" i="1"/>
  <c r="AN113" i="1"/>
  <c r="AO113" i="1"/>
  <c r="AP113" i="1"/>
  <c r="AQ113" i="1"/>
  <c r="AR113" i="1"/>
  <c r="AS113" i="1"/>
  <c r="AT113" i="1"/>
  <c r="AU113" i="1"/>
  <c r="AV113" i="1"/>
  <c r="AW113" i="1"/>
  <c r="AX113" i="1"/>
  <c r="AY113" i="1"/>
  <c r="AZ113" i="1"/>
  <c r="BA113" i="1"/>
  <c r="BB113" i="1"/>
  <c r="BC113" i="1"/>
  <c r="BD113" i="1"/>
  <c r="BE113" i="1"/>
  <c r="BF113" i="1"/>
  <c r="BG113" i="1"/>
  <c r="BH113" i="1"/>
  <c r="BI113" i="1"/>
  <c r="BJ113" i="1"/>
  <c r="BK113" i="1"/>
  <c r="BL113" i="1"/>
  <c r="BM113" i="1"/>
  <c r="BN113" i="1"/>
  <c r="BO113" i="1"/>
  <c r="BP113" i="1"/>
  <c r="BQ113" i="1"/>
  <c r="BR113" i="1"/>
  <c r="BS113" i="1"/>
  <c r="BT113" i="1"/>
  <c r="BU113" i="1"/>
  <c r="BV113" i="1"/>
  <c r="BW113" i="1"/>
  <c r="BX113" i="1"/>
  <c r="BY113" i="1"/>
  <c r="BZ113" i="1"/>
  <c r="CA113" i="1"/>
  <c r="CB113" i="1"/>
  <c r="CC113" i="1"/>
  <c r="B114" i="1"/>
  <c r="C114" i="1"/>
  <c r="D114" i="1"/>
  <c r="E114" i="1"/>
  <c r="F114" i="1"/>
  <c r="G114" i="1"/>
  <c r="H114" i="1"/>
  <c r="I114" i="1"/>
  <c r="J114" i="1"/>
  <c r="K114" i="1"/>
  <c r="L114" i="1"/>
  <c r="M114" i="1"/>
  <c r="N114" i="1"/>
  <c r="O114" i="1"/>
  <c r="P114" i="1"/>
  <c r="Q114" i="1"/>
  <c r="R114" i="1"/>
  <c r="S114" i="1"/>
  <c r="T114" i="1"/>
  <c r="U114" i="1"/>
  <c r="V114" i="1"/>
  <c r="W114" i="1"/>
  <c r="X114" i="1"/>
  <c r="Y114" i="1"/>
  <c r="Z114" i="1"/>
  <c r="AA114" i="1"/>
  <c r="AB114" i="1"/>
  <c r="AC114" i="1"/>
  <c r="AD114" i="1"/>
  <c r="AE114" i="1"/>
  <c r="AF114" i="1"/>
  <c r="AG114" i="1"/>
  <c r="AH114" i="1"/>
  <c r="AI114" i="1"/>
  <c r="AJ114" i="1"/>
  <c r="AK114" i="1"/>
  <c r="AL114" i="1"/>
  <c r="AM114" i="1"/>
  <c r="AN114" i="1"/>
  <c r="AO114" i="1"/>
  <c r="AP114" i="1"/>
  <c r="AQ114" i="1"/>
  <c r="AR114" i="1"/>
  <c r="AS114" i="1"/>
  <c r="AT114" i="1"/>
  <c r="AU114" i="1"/>
  <c r="AV114" i="1"/>
  <c r="AW114" i="1"/>
  <c r="AX114" i="1"/>
  <c r="AY114" i="1"/>
  <c r="AZ114" i="1"/>
  <c r="BA114" i="1"/>
  <c r="BB114" i="1"/>
  <c r="BC114" i="1"/>
  <c r="BD114" i="1"/>
  <c r="BE114" i="1"/>
  <c r="BF114" i="1"/>
  <c r="BG114" i="1"/>
  <c r="BH114" i="1"/>
  <c r="BI114" i="1"/>
  <c r="BJ114" i="1"/>
  <c r="BK114" i="1"/>
  <c r="BL114" i="1"/>
  <c r="BM114" i="1"/>
  <c r="BN114" i="1"/>
  <c r="BO114" i="1"/>
  <c r="BP114" i="1"/>
  <c r="BQ114" i="1"/>
  <c r="BR114" i="1"/>
  <c r="BS114" i="1"/>
  <c r="BT114" i="1"/>
  <c r="BU114" i="1"/>
  <c r="BV114" i="1"/>
  <c r="BW114" i="1"/>
  <c r="BX114" i="1"/>
  <c r="BY114" i="1"/>
  <c r="BZ114" i="1"/>
  <c r="CA114" i="1"/>
  <c r="CB114" i="1"/>
  <c r="CC114" i="1"/>
  <c r="B115" i="1"/>
  <c r="C115" i="1"/>
  <c r="D115" i="1"/>
  <c r="E115" i="1"/>
  <c r="F115" i="1"/>
  <c r="G115" i="1"/>
  <c r="H115" i="1"/>
  <c r="I115" i="1"/>
  <c r="J115" i="1"/>
  <c r="K115" i="1"/>
  <c r="L115" i="1"/>
  <c r="M115" i="1"/>
  <c r="N115" i="1"/>
  <c r="O115" i="1"/>
  <c r="P115" i="1"/>
  <c r="Q115" i="1"/>
  <c r="R115" i="1"/>
  <c r="S115" i="1"/>
  <c r="T115" i="1"/>
  <c r="U115" i="1"/>
  <c r="V115" i="1"/>
  <c r="W115" i="1"/>
  <c r="X115" i="1"/>
  <c r="Y115" i="1"/>
  <c r="Z115" i="1"/>
  <c r="AA115" i="1"/>
  <c r="AB115" i="1"/>
  <c r="AC115" i="1"/>
  <c r="AD115" i="1"/>
  <c r="AE115" i="1"/>
  <c r="AF115" i="1"/>
  <c r="AG115" i="1"/>
  <c r="AH115" i="1"/>
  <c r="AI115" i="1"/>
  <c r="AJ115" i="1"/>
  <c r="AK115" i="1"/>
  <c r="AL115" i="1"/>
  <c r="AM115" i="1"/>
  <c r="AN115" i="1"/>
  <c r="AO115" i="1"/>
  <c r="AP115" i="1"/>
  <c r="AQ115" i="1"/>
  <c r="AR115" i="1"/>
  <c r="AS115" i="1"/>
  <c r="AT115" i="1"/>
  <c r="AU115" i="1"/>
  <c r="AV115" i="1"/>
  <c r="AW115" i="1"/>
  <c r="AX115" i="1"/>
  <c r="AY115" i="1"/>
  <c r="AZ115" i="1"/>
  <c r="BA115" i="1"/>
  <c r="BB115" i="1"/>
  <c r="BC115" i="1"/>
  <c r="BD115" i="1"/>
  <c r="BE115" i="1"/>
  <c r="BF115" i="1"/>
  <c r="BG115" i="1"/>
  <c r="BH115" i="1"/>
  <c r="BI115" i="1"/>
  <c r="BJ115" i="1"/>
  <c r="BK115" i="1"/>
  <c r="BL115" i="1"/>
  <c r="BM115" i="1"/>
  <c r="BN115" i="1"/>
  <c r="BO115" i="1"/>
  <c r="BP115" i="1"/>
  <c r="BQ115" i="1"/>
  <c r="BR115" i="1"/>
  <c r="BS115" i="1"/>
  <c r="BT115" i="1"/>
  <c r="BU115" i="1"/>
  <c r="BV115" i="1"/>
  <c r="BW115" i="1"/>
  <c r="BX115" i="1"/>
  <c r="BY115" i="1"/>
  <c r="BZ115" i="1"/>
  <c r="CA115" i="1"/>
  <c r="CB115" i="1"/>
  <c r="CC115" i="1"/>
  <c r="B116" i="1"/>
  <c r="C116" i="1"/>
  <c r="D116" i="1"/>
  <c r="E116" i="1"/>
  <c r="F116" i="1"/>
  <c r="G116" i="1"/>
  <c r="H116" i="1"/>
  <c r="I116" i="1"/>
  <c r="J116" i="1"/>
  <c r="K116" i="1"/>
  <c r="L116" i="1"/>
  <c r="M116" i="1"/>
  <c r="N116" i="1"/>
  <c r="O116" i="1"/>
  <c r="P116" i="1"/>
  <c r="Q116" i="1"/>
  <c r="R116" i="1"/>
  <c r="S116" i="1"/>
  <c r="T116" i="1"/>
  <c r="U116" i="1"/>
  <c r="V116" i="1"/>
  <c r="W116" i="1"/>
  <c r="X116" i="1"/>
  <c r="Y116" i="1"/>
  <c r="Z116" i="1"/>
  <c r="AA116" i="1"/>
  <c r="AB116" i="1"/>
  <c r="AC116" i="1"/>
  <c r="AD116" i="1"/>
  <c r="AE116" i="1"/>
  <c r="AF116" i="1"/>
  <c r="AG116" i="1"/>
  <c r="AH116" i="1"/>
  <c r="AI116" i="1"/>
  <c r="AJ116" i="1"/>
  <c r="AK116" i="1"/>
  <c r="AL116" i="1"/>
  <c r="AM116" i="1"/>
  <c r="AN116" i="1"/>
  <c r="AO116" i="1"/>
  <c r="AP116" i="1"/>
  <c r="AQ116" i="1"/>
  <c r="AR116" i="1"/>
  <c r="AS116" i="1"/>
  <c r="AT116" i="1"/>
  <c r="AU116" i="1"/>
  <c r="AV116" i="1"/>
  <c r="AW116" i="1"/>
  <c r="AX116" i="1"/>
  <c r="AY116" i="1"/>
  <c r="AZ116" i="1"/>
  <c r="BA116" i="1"/>
  <c r="BB116" i="1"/>
  <c r="BC116" i="1"/>
  <c r="BD116" i="1"/>
  <c r="BE116" i="1"/>
  <c r="BF116" i="1"/>
  <c r="BG116" i="1"/>
  <c r="BH116" i="1"/>
  <c r="BI116" i="1"/>
  <c r="BJ116" i="1"/>
  <c r="BK116" i="1"/>
  <c r="BL116" i="1"/>
  <c r="BM116" i="1"/>
  <c r="BN116" i="1"/>
  <c r="BO116" i="1"/>
  <c r="BP116" i="1"/>
  <c r="BQ116" i="1"/>
  <c r="BR116" i="1"/>
  <c r="BS116" i="1"/>
  <c r="BT116" i="1"/>
  <c r="BU116" i="1"/>
  <c r="BV116" i="1"/>
  <c r="BW116" i="1"/>
  <c r="BX116" i="1"/>
  <c r="BY116" i="1"/>
  <c r="BZ116" i="1"/>
  <c r="CA116" i="1"/>
  <c r="CB116" i="1"/>
  <c r="CC116" i="1"/>
  <c r="B117" i="1"/>
  <c r="C117" i="1"/>
  <c r="D117" i="1"/>
  <c r="E117" i="1"/>
  <c r="F117" i="1"/>
  <c r="G117" i="1"/>
  <c r="H117" i="1"/>
  <c r="I117" i="1"/>
  <c r="J117" i="1"/>
  <c r="K117" i="1"/>
  <c r="L117" i="1"/>
  <c r="M117" i="1"/>
  <c r="N117" i="1"/>
  <c r="O117" i="1"/>
  <c r="P117" i="1"/>
  <c r="Q117" i="1"/>
  <c r="R117" i="1"/>
  <c r="S117" i="1"/>
  <c r="T117" i="1"/>
  <c r="U117" i="1"/>
  <c r="V117" i="1"/>
  <c r="W117" i="1"/>
  <c r="X117" i="1"/>
  <c r="Y117" i="1"/>
  <c r="Z117" i="1"/>
  <c r="AA117" i="1"/>
  <c r="AB117" i="1"/>
  <c r="AC117" i="1"/>
  <c r="AD117" i="1"/>
  <c r="AE117" i="1"/>
  <c r="AF117" i="1"/>
  <c r="AG117" i="1"/>
  <c r="AH117" i="1"/>
  <c r="AI117" i="1"/>
  <c r="AJ117" i="1"/>
  <c r="AK117" i="1"/>
  <c r="AL117" i="1"/>
  <c r="AM117" i="1"/>
  <c r="AN117" i="1"/>
  <c r="AO117" i="1"/>
  <c r="AP117" i="1"/>
  <c r="AQ117" i="1"/>
  <c r="AR117" i="1"/>
  <c r="AS117" i="1"/>
  <c r="AT117" i="1"/>
  <c r="AU117" i="1"/>
  <c r="AV117" i="1"/>
  <c r="AW117" i="1"/>
  <c r="AX117" i="1"/>
  <c r="AY117" i="1"/>
  <c r="AZ117" i="1"/>
  <c r="BA117" i="1"/>
  <c r="BB117" i="1"/>
  <c r="BC117" i="1"/>
  <c r="BD117" i="1"/>
  <c r="BE117" i="1"/>
  <c r="BF117" i="1"/>
  <c r="BG117" i="1"/>
  <c r="BH117" i="1"/>
  <c r="BI117" i="1"/>
  <c r="BJ117" i="1"/>
  <c r="BK117" i="1"/>
  <c r="BL117" i="1"/>
  <c r="BM117" i="1"/>
  <c r="BN117" i="1"/>
  <c r="BO117" i="1"/>
  <c r="BP117" i="1"/>
  <c r="BQ117" i="1"/>
  <c r="BR117" i="1"/>
  <c r="BS117" i="1"/>
  <c r="BT117" i="1"/>
  <c r="BU117" i="1"/>
  <c r="BV117" i="1"/>
  <c r="BW117" i="1"/>
  <c r="BX117" i="1"/>
  <c r="BY117" i="1"/>
  <c r="BZ117" i="1"/>
  <c r="CA117" i="1"/>
  <c r="CB117" i="1"/>
  <c r="CC117" i="1"/>
  <c r="B118" i="1"/>
  <c r="C118" i="1"/>
  <c r="D118" i="1"/>
  <c r="E118" i="1"/>
  <c r="F118" i="1"/>
  <c r="G118" i="1"/>
  <c r="H118" i="1"/>
  <c r="I118" i="1"/>
  <c r="J118" i="1"/>
  <c r="K118" i="1"/>
  <c r="L118" i="1"/>
  <c r="M118" i="1"/>
  <c r="N118" i="1"/>
  <c r="O118" i="1"/>
  <c r="P118" i="1"/>
  <c r="Q118" i="1"/>
  <c r="R118" i="1"/>
  <c r="S118" i="1"/>
  <c r="T118" i="1"/>
  <c r="U118" i="1"/>
  <c r="V118" i="1"/>
  <c r="W118" i="1"/>
  <c r="X118" i="1"/>
  <c r="Y118" i="1"/>
  <c r="Z118" i="1"/>
  <c r="AA118" i="1"/>
  <c r="AB118" i="1"/>
  <c r="AC118" i="1"/>
  <c r="AD118" i="1"/>
  <c r="AE118" i="1"/>
  <c r="AF118" i="1"/>
  <c r="AG118" i="1"/>
  <c r="AH118" i="1"/>
  <c r="AI118" i="1"/>
  <c r="AJ118" i="1"/>
  <c r="AK118" i="1"/>
  <c r="AL118" i="1"/>
  <c r="AM118" i="1"/>
  <c r="AN118" i="1"/>
  <c r="AO118" i="1"/>
  <c r="AP118" i="1"/>
  <c r="AQ118" i="1"/>
  <c r="AR118" i="1"/>
  <c r="AS118" i="1"/>
  <c r="AT118" i="1"/>
  <c r="AU118" i="1"/>
  <c r="AV118" i="1"/>
  <c r="AW118" i="1"/>
  <c r="AX118" i="1"/>
  <c r="AY118" i="1"/>
  <c r="AZ118" i="1"/>
  <c r="BA118" i="1"/>
  <c r="BB118" i="1"/>
  <c r="BC118" i="1"/>
  <c r="BD118" i="1"/>
  <c r="BE118" i="1"/>
  <c r="BF118" i="1"/>
  <c r="BG118" i="1"/>
  <c r="BH118" i="1"/>
  <c r="BI118" i="1"/>
  <c r="BJ118" i="1"/>
  <c r="BK118" i="1"/>
  <c r="BL118" i="1"/>
  <c r="BM118" i="1"/>
  <c r="BN118" i="1"/>
  <c r="BO118" i="1"/>
  <c r="BP118" i="1"/>
  <c r="BQ118" i="1"/>
  <c r="BR118" i="1"/>
  <c r="BS118" i="1"/>
  <c r="BT118" i="1"/>
  <c r="BU118" i="1"/>
  <c r="BV118" i="1"/>
  <c r="BW118" i="1"/>
  <c r="BX118" i="1"/>
  <c r="BY118" i="1"/>
  <c r="BZ118" i="1"/>
  <c r="CA118" i="1"/>
  <c r="CB118" i="1"/>
  <c r="CC118" i="1"/>
  <c r="B119" i="1"/>
  <c r="C119" i="1"/>
  <c r="D119" i="1"/>
  <c r="E119" i="1"/>
  <c r="F119" i="1"/>
  <c r="G119" i="1"/>
  <c r="H119" i="1"/>
  <c r="I119" i="1"/>
  <c r="J119" i="1"/>
  <c r="K119" i="1"/>
  <c r="L119" i="1"/>
  <c r="M119" i="1"/>
  <c r="N119" i="1"/>
  <c r="O119" i="1"/>
  <c r="P119" i="1"/>
  <c r="Q119" i="1"/>
  <c r="R119" i="1"/>
  <c r="S119" i="1"/>
  <c r="T119" i="1"/>
  <c r="U119" i="1"/>
  <c r="V119" i="1"/>
  <c r="W119" i="1"/>
  <c r="X119" i="1"/>
  <c r="Y119" i="1"/>
  <c r="Z119" i="1"/>
  <c r="AA119" i="1"/>
  <c r="AB119" i="1"/>
  <c r="AC119" i="1"/>
  <c r="AD119" i="1"/>
  <c r="AE119" i="1"/>
  <c r="AF119" i="1"/>
  <c r="AG119" i="1"/>
  <c r="AH119" i="1"/>
  <c r="AI119" i="1"/>
  <c r="AJ119" i="1"/>
  <c r="AK119" i="1"/>
  <c r="AL119" i="1"/>
  <c r="AM119" i="1"/>
  <c r="AN119" i="1"/>
  <c r="AO119" i="1"/>
  <c r="AP119" i="1"/>
  <c r="AQ119" i="1"/>
  <c r="AR119" i="1"/>
  <c r="AS119" i="1"/>
  <c r="AT119" i="1"/>
  <c r="AU119" i="1"/>
  <c r="AV119" i="1"/>
  <c r="AW119" i="1"/>
  <c r="AX119" i="1"/>
  <c r="AY119" i="1"/>
  <c r="AZ119" i="1"/>
  <c r="BA119" i="1"/>
  <c r="BB119" i="1"/>
  <c r="BC119" i="1"/>
  <c r="BD119" i="1"/>
  <c r="BE119" i="1"/>
  <c r="BF119" i="1"/>
  <c r="BG119" i="1"/>
  <c r="BH119" i="1"/>
  <c r="BI119" i="1"/>
  <c r="BJ119" i="1"/>
  <c r="BK119" i="1"/>
  <c r="BL119" i="1"/>
  <c r="BM119" i="1"/>
  <c r="BN119" i="1"/>
  <c r="BO119" i="1"/>
  <c r="BP119" i="1"/>
  <c r="BQ119" i="1"/>
  <c r="BR119" i="1"/>
  <c r="BS119" i="1"/>
  <c r="BT119" i="1"/>
  <c r="BU119" i="1"/>
  <c r="BV119" i="1"/>
  <c r="BW119" i="1"/>
  <c r="BX119" i="1"/>
  <c r="BY119" i="1"/>
  <c r="BZ119" i="1"/>
  <c r="CA119" i="1"/>
  <c r="CB119" i="1"/>
  <c r="CC119" i="1"/>
  <c r="B120" i="1"/>
  <c r="C120" i="1"/>
  <c r="D120" i="1"/>
  <c r="E120" i="1"/>
  <c r="F120" i="1"/>
  <c r="G120" i="1"/>
  <c r="H120" i="1"/>
  <c r="I120" i="1"/>
  <c r="J120" i="1"/>
  <c r="K120" i="1"/>
  <c r="L120" i="1"/>
  <c r="M120" i="1"/>
  <c r="N120" i="1"/>
  <c r="O120" i="1"/>
  <c r="P120" i="1"/>
  <c r="Q120" i="1"/>
  <c r="R120" i="1"/>
  <c r="S120" i="1"/>
  <c r="T120" i="1"/>
  <c r="U120" i="1"/>
  <c r="V120" i="1"/>
  <c r="W120" i="1"/>
  <c r="X120" i="1"/>
  <c r="Y120" i="1"/>
  <c r="Z120" i="1"/>
  <c r="AA120" i="1"/>
  <c r="AB120" i="1"/>
  <c r="AC120" i="1"/>
  <c r="AD120" i="1"/>
  <c r="AE120" i="1"/>
  <c r="AF120" i="1"/>
  <c r="AG120" i="1"/>
  <c r="AH120" i="1"/>
  <c r="AI120" i="1"/>
  <c r="AJ120" i="1"/>
  <c r="AK120" i="1"/>
  <c r="AL120" i="1"/>
  <c r="AM120" i="1"/>
  <c r="AN120" i="1"/>
  <c r="AO120" i="1"/>
  <c r="AP120" i="1"/>
  <c r="AQ120" i="1"/>
  <c r="AR120" i="1"/>
  <c r="AS120" i="1"/>
  <c r="AT120" i="1"/>
  <c r="AU120" i="1"/>
  <c r="AV120" i="1"/>
  <c r="AW120" i="1"/>
  <c r="AX120" i="1"/>
  <c r="AY120" i="1"/>
  <c r="AZ120" i="1"/>
  <c r="BA120" i="1"/>
  <c r="BB120" i="1"/>
  <c r="BC120" i="1"/>
  <c r="BD120" i="1"/>
  <c r="BE120" i="1"/>
  <c r="BF120" i="1"/>
  <c r="BG120" i="1"/>
  <c r="BH120" i="1"/>
  <c r="BI120" i="1"/>
  <c r="BJ120" i="1"/>
  <c r="BK120" i="1"/>
  <c r="BL120" i="1"/>
  <c r="BM120" i="1"/>
  <c r="BN120" i="1"/>
  <c r="BO120" i="1"/>
  <c r="BP120" i="1"/>
  <c r="BQ120" i="1"/>
  <c r="BR120" i="1"/>
  <c r="BS120" i="1"/>
  <c r="BT120" i="1"/>
  <c r="BU120" i="1"/>
  <c r="BV120" i="1"/>
  <c r="BW120" i="1"/>
  <c r="BX120" i="1"/>
  <c r="BY120" i="1"/>
  <c r="BZ120" i="1"/>
  <c r="CA120" i="1"/>
  <c r="CB120" i="1"/>
  <c r="CC120" i="1"/>
  <c r="B121" i="1"/>
  <c r="C121" i="1"/>
  <c r="D121" i="1"/>
  <c r="E121" i="1"/>
  <c r="F121" i="1"/>
  <c r="G121" i="1"/>
  <c r="H121" i="1"/>
  <c r="I121" i="1"/>
  <c r="J121" i="1"/>
  <c r="K121" i="1"/>
  <c r="L121" i="1"/>
  <c r="M121" i="1"/>
  <c r="N121" i="1"/>
  <c r="O121" i="1"/>
  <c r="P121" i="1"/>
  <c r="Q121" i="1"/>
  <c r="R121" i="1"/>
  <c r="S121" i="1"/>
  <c r="T121" i="1"/>
  <c r="U121" i="1"/>
  <c r="V121" i="1"/>
  <c r="W121" i="1"/>
  <c r="X121" i="1"/>
  <c r="Y121" i="1"/>
  <c r="Z121" i="1"/>
  <c r="AA121" i="1"/>
  <c r="AB121" i="1"/>
  <c r="AC121" i="1"/>
  <c r="AD121" i="1"/>
  <c r="AE121" i="1"/>
  <c r="AF121" i="1"/>
  <c r="AG121" i="1"/>
  <c r="AH121" i="1"/>
  <c r="AI121" i="1"/>
  <c r="AJ121" i="1"/>
  <c r="AK121" i="1"/>
  <c r="AL121" i="1"/>
  <c r="AM121" i="1"/>
  <c r="AN121" i="1"/>
  <c r="AO121" i="1"/>
  <c r="AP121" i="1"/>
  <c r="AQ121" i="1"/>
  <c r="AR121" i="1"/>
  <c r="AS121" i="1"/>
  <c r="AT121" i="1"/>
  <c r="AU121" i="1"/>
  <c r="AV121" i="1"/>
  <c r="AW121" i="1"/>
  <c r="AX121" i="1"/>
  <c r="AY121" i="1"/>
  <c r="AZ121" i="1"/>
  <c r="BA121" i="1"/>
  <c r="BB121" i="1"/>
  <c r="BC121" i="1"/>
  <c r="BD121" i="1"/>
  <c r="BE121" i="1"/>
  <c r="BF121" i="1"/>
  <c r="BG121" i="1"/>
  <c r="BH121" i="1"/>
  <c r="BI121" i="1"/>
  <c r="BJ121" i="1"/>
  <c r="BK121" i="1"/>
  <c r="BL121" i="1"/>
  <c r="BM121" i="1"/>
  <c r="BN121" i="1"/>
  <c r="BO121" i="1"/>
  <c r="BP121" i="1"/>
  <c r="BQ121" i="1"/>
  <c r="BR121" i="1"/>
  <c r="BS121" i="1"/>
  <c r="BT121" i="1"/>
  <c r="BU121" i="1"/>
  <c r="BV121" i="1"/>
  <c r="BW121" i="1"/>
  <c r="BX121" i="1"/>
  <c r="BY121" i="1"/>
  <c r="BZ121" i="1"/>
  <c r="CA121" i="1"/>
  <c r="CB121" i="1"/>
  <c r="CC121" i="1"/>
  <c r="B122" i="1"/>
  <c r="C122" i="1"/>
  <c r="D122" i="1"/>
  <c r="E122" i="1"/>
  <c r="F122" i="1"/>
  <c r="G122" i="1"/>
  <c r="H122" i="1"/>
  <c r="I122" i="1"/>
  <c r="J122" i="1"/>
  <c r="K122" i="1"/>
  <c r="L122" i="1"/>
  <c r="M122" i="1"/>
  <c r="N122" i="1"/>
  <c r="O122" i="1"/>
  <c r="P122" i="1"/>
  <c r="Q122" i="1"/>
  <c r="R122" i="1"/>
  <c r="S122" i="1"/>
  <c r="T122" i="1"/>
  <c r="U122" i="1"/>
  <c r="V122" i="1"/>
  <c r="W122" i="1"/>
  <c r="X122" i="1"/>
  <c r="Y122" i="1"/>
  <c r="Z122" i="1"/>
  <c r="AA122" i="1"/>
  <c r="AB122" i="1"/>
  <c r="AC122" i="1"/>
  <c r="AD122" i="1"/>
  <c r="AE122" i="1"/>
  <c r="AF122" i="1"/>
  <c r="AG122" i="1"/>
  <c r="AH122" i="1"/>
  <c r="AI122" i="1"/>
  <c r="AJ122" i="1"/>
  <c r="AK122" i="1"/>
  <c r="AL122" i="1"/>
  <c r="AM122" i="1"/>
  <c r="AN122" i="1"/>
  <c r="AO122" i="1"/>
  <c r="AP122" i="1"/>
  <c r="AQ122" i="1"/>
  <c r="AR122" i="1"/>
  <c r="AS122" i="1"/>
  <c r="AT122" i="1"/>
  <c r="AU122" i="1"/>
  <c r="AV122" i="1"/>
  <c r="AW122" i="1"/>
  <c r="AX122" i="1"/>
  <c r="AY122" i="1"/>
  <c r="AZ122" i="1"/>
  <c r="BA122" i="1"/>
  <c r="BB122" i="1"/>
  <c r="BC122" i="1"/>
  <c r="BD122" i="1"/>
  <c r="BE122" i="1"/>
  <c r="BF122" i="1"/>
  <c r="BG122" i="1"/>
  <c r="BH122" i="1"/>
  <c r="BI122" i="1"/>
  <c r="BJ122" i="1"/>
  <c r="BK122" i="1"/>
  <c r="BL122" i="1"/>
  <c r="BM122" i="1"/>
  <c r="BN122" i="1"/>
  <c r="BO122" i="1"/>
  <c r="BP122" i="1"/>
  <c r="BQ122" i="1"/>
  <c r="BR122" i="1"/>
  <c r="BS122" i="1"/>
  <c r="BT122" i="1"/>
  <c r="BU122" i="1"/>
  <c r="BV122" i="1"/>
  <c r="BW122" i="1"/>
  <c r="BX122" i="1"/>
  <c r="BY122" i="1"/>
  <c r="BZ122" i="1"/>
  <c r="CA122" i="1"/>
  <c r="CB122" i="1"/>
  <c r="CC122" i="1"/>
  <c r="B123" i="1"/>
  <c r="C123" i="1"/>
  <c r="D123" i="1"/>
  <c r="E123" i="1"/>
  <c r="F123" i="1"/>
  <c r="G123" i="1"/>
  <c r="H123" i="1"/>
  <c r="I123" i="1"/>
  <c r="J123" i="1"/>
  <c r="K123" i="1"/>
  <c r="L123" i="1"/>
  <c r="M123" i="1"/>
  <c r="N123" i="1"/>
  <c r="O123" i="1"/>
  <c r="P123" i="1"/>
  <c r="Q123" i="1"/>
  <c r="R123" i="1"/>
  <c r="S123" i="1"/>
  <c r="T123" i="1"/>
  <c r="U123" i="1"/>
  <c r="V123" i="1"/>
  <c r="W123" i="1"/>
  <c r="X123" i="1"/>
  <c r="Y123" i="1"/>
  <c r="Z123" i="1"/>
  <c r="AA123" i="1"/>
  <c r="AB123" i="1"/>
  <c r="AC123" i="1"/>
  <c r="AD123" i="1"/>
  <c r="AE123" i="1"/>
  <c r="AF123" i="1"/>
  <c r="AG123" i="1"/>
  <c r="AH123" i="1"/>
  <c r="AI123" i="1"/>
  <c r="AJ123" i="1"/>
  <c r="AK123" i="1"/>
  <c r="AL123" i="1"/>
  <c r="AM123" i="1"/>
  <c r="AN123" i="1"/>
  <c r="AO123" i="1"/>
  <c r="AP123" i="1"/>
  <c r="AQ123" i="1"/>
  <c r="AR123" i="1"/>
  <c r="AS123" i="1"/>
  <c r="AT123" i="1"/>
  <c r="AU123" i="1"/>
  <c r="AV123" i="1"/>
  <c r="AW123" i="1"/>
  <c r="AX123" i="1"/>
  <c r="AY123" i="1"/>
  <c r="AZ123" i="1"/>
  <c r="BA123" i="1"/>
  <c r="BB123" i="1"/>
  <c r="BC123" i="1"/>
  <c r="BD123" i="1"/>
  <c r="BE123" i="1"/>
  <c r="BF123" i="1"/>
  <c r="BG123" i="1"/>
  <c r="BH123" i="1"/>
  <c r="BI123" i="1"/>
  <c r="BJ123" i="1"/>
  <c r="BK123" i="1"/>
  <c r="BL123" i="1"/>
  <c r="BM123" i="1"/>
  <c r="BN123" i="1"/>
  <c r="BO123" i="1"/>
  <c r="BP123" i="1"/>
  <c r="BQ123" i="1"/>
  <c r="BR123" i="1"/>
  <c r="BS123" i="1"/>
  <c r="BT123" i="1"/>
  <c r="BU123" i="1"/>
  <c r="BV123" i="1"/>
  <c r="BW123" i="1"/>
  <c r="BX123" i="1"/>
  <c r="BY123" i="1"/>
  <c r="BZ123" i="1"/>
  <c r="CA123" i="1"/>
  <c r="CB123" i="1"/>
  <c r="CC123" i="1"/>
  <c r="B124" i="1"/>
  <c r="C124" i="1"/>
  <c r="D124" i="1"/>
  <c r="E124" i="1"/>
  <c r="F124" i="1"/>
  <c r="G124" i="1"/>
  <c r="H124" i="1"/>
  <c r="I124" i="1"/>
  <c r="J124" i="1"/>
  <c r="K124" i="1"/>
  <c r="L124" i="1"/>
  <c r="M124" i="1"/>
  <c r="N124" i="1"/>
  <c r="O124" i="1"/>
  <c r="P124" i="1"/>
  <c r="Q124" i="1"/>
  <c r="R124" i="1"/>
  <c r="S124" i="1"/>
  <c r="T124" i="1"/>
  <c r="U124" i="1"/>
  <c r="V124" i="1"/>
  <c r="W124" i="1"/>
  <c r="X124" i="1"/>
  <c r="Y124" i="1"/>
  <c r="Z124" i="1"/>
  <c r="AA124" i="1"/>
  <c r="AB124" i="1"/>
  <c r="AC124" i="1"/>
  <c r="AD124" i="1"/>
  <c r="AE124" i="1"/>
  <c r="AF124" i="1"/>
  <c r="AG124" i="1"/>
  <c r="AH124" i="1"/>
  <c r="AI124" i="1"/>
  <c r="AJ124" i="1"/>
  <c r="AK124" i="1"/>
  <c r="AL124" i="1"/>
  <c r="AM124" i="1"/>
  <c r="AN124" i="1"/>
  <c r="AO124" i="1"/>
  <c r="AP124" i="1"/>
  <c r="AQ124" i="1"/>
  <c r="AR124" i="1"/>
  <c r="AS124" i="1"/>
  <c r="AT124" i="1"/>
  <c r="AU124" i="1"/>
  <c r="AV124" i="1"/>
  <c r="AW124" i="1"/>
  <c r="AX124" i="1"/>
  <c r="AY124" i="1"/>
  <c r="AZ124" i="1"/>
  <c r="BA124" i="1"/>
  <c r="BB124" i="1"/>
  <c r="BC124" i="1"/>
  <c r="BD124" i="1"/>
  <c r="BE124" i="1"/>
  <c r="BF124" i="1"/>
  <c r="BG124" i="1"/>
  <c r="BH124" i="1"/>
  <c r="BI124" i="1"/>
  <c r="BJ124" i="1"/>
  <c r="BK124" i="1"/>
  <c r="BL124" i="1"/>
  <c r="BM124" i="1"/>
  <c r="BN124" i="1"/>
  <c r="BO124" i="1"/>
  <c r="BP124" i="1"/>
  <c r="BQ124" i="1"/>
  <c r="BR124" i="1"/>
  <c r="BS124" i="1"/>
  <c r="BT124" i="1"/>
  <c r="BU124" i="1"/>
  <c r="BV124" i="1"/>
  <c r="BW124" i="1"/>
  <c r="BX124" i="1"/>
  <c r="BY124" i="1"/>
  <c r="BZ124" i="1"/>
  <c r="CA124" i="1"/>
  <c r="CB124" i="1"/>
  <c r="CC124" i="1"/>
  <c r="B125" i="1"/>
  <c r="C125" i="1"/>
  <c r="D125" i="1"/>
  <c r="E125" i="1"/>
  <c r="F125" i="1"/>
  <c r="G125" i="1"/>
  <c r="H125" i="1"/>
  <c r="I125" i="1"/>
  <c r="J125" i="1"/>
  <c r="K125" i="1"/>
  <c r="L125" i="1"/>
  <c r="M125" i="1"/>
  <c r="N125" i="1"/>
  <c r="O125" i="1"/>
  <c r="P125" i="1"/>
  <c r="Q125" i="1"/>
  <c r="R125" i="1"/>
  <c r="S125" i="1"/>
  <c r="T125" i="1"/>
  <c r="U125" i="1"/>
  <c r="V125" i="1"/>
  <c r="W125" i="1"/>
  <c r="X125" i="1"/>
  <c r="Y125" i="1"/>
  <c r="Z125" i="1"/>
  <c r="AA125" i="1"/>
  <c r="AB125" i="1"/>
  <c r="AC125" i="1"/>
  <c r="AD125" i="1"/>
  <c r="AE125" i="1"/>
  <c r="AF125" i="1"/>
  <c r="AG125" i="1"/>
  <c r="AH125" i="1"/>
  <c r="AI125" i="1"/>
  <c r="AJ125" i="1"/>
  <c r="AK125" i="1"/>
  <c r="AL125" i="1"/>
  <c r="AM125" i="1"/>
  <c r="AN125" i="1"/>
  <c r="AO125" i="1"/>
  <c r="AP125" i="1"/>
  <c r="AQ125" i="1"/>
  <c r="AR125" i="1"/>
  <c r="AS125" i="1"/>
  <c r="AT125" i="1"/>
  <c r="AU125" i="1"/>
  <c r="AV125" i="1"/>
  <c r="AW125" i="1"/>
  <c r="AX125" i="1"/>
  <c r="AY125" i="1"/>
  <c r="AZ125" i="1"/>
  <c r="BA125" i="1"/>
  <c r="BB125" i="1"/>
  <c r="BC125" i="1"/>
  <c r="BD125" i="1"/>
  <c r="BE125" i="1"/>
  <c r="BF125" i="1"/>
  <c r="BG125" i="1"/>
  <c r="BH125" i="1"/>
  <c r="BI125" i="1"/>
  <c r="BJ125" i="1"/>
  <c r="BK125" i="1"/>
  <c r="BL125" i="1"/>
  <c r="BM125" i="1"/>
  <c r="BN125" i="1"/>
  <c r="BO125" i="1"/>
  <c r="BP125" i="1"/>
  <c r="BQ125" i="1"/>
  <c r="BR125" i="1"/>
  <c r="BS125" i="1"/>
  <c r="BT125" i="1"/>
  <c r="BU125" i="1"/>
  <c r="BV125" i="1"/>
  <c r="BW125" i="1"/>
  <c r="BX125" i="1"/>
  <c r="BY125" i="1"/>
  <c r="BZ125" i="1"/>
  <c r="CA125" i="1"/>
  <c r="CB125" i="1"/>
  <c r="CC125" i="1"/>
  <c r="B126" i="1"/>
  <c r="C126" i="1"/>
  <c r="D126" i="1"/>
  <c r="E126" i="1"/>
  <c r="F126" i="1"/>
  <c r="G126" i="1"/>
  <c r="H126" i="1"/>
  <c r="I126" i="1"/>
  <c r="J126" i="1"/>
  <c r="K126" i="1"/>
  <c r="L126" i="1"/>
  <c r="M126" i="1"/>
  <c r="N126" i="1"/>
  <c r="O126" i="1"/>
  <c r="P126" i="1"/>
  <c r="Q126" i="1"/>
  <c r="R126" i="1"/>
  <c r="S126" i="1"/>
  <c r="T126" i="1"/>
  <c r="U126" i="1"/>
  <c r="V126" i="1"/>
  <c r="W126" i="1"/>
  <c r="X126" i="1"/>
  <c r="Y126" i="1"/>
  <c r="Z126" i="1"/>
  <c r="AA126" i="1"/>
  <c r="AB126" i="1"/>
  <c r="AC126" i="1"/>
  <c r="AD126" i="1"/>
  <c r="AE126" i="1"/>
  <c r="AF126" i="1"/>
  <c r="AG126" i="1"/>
  <c r="AH126" i="1"/>
  <c r="AI126" i="1"/>
  <c r="AJ126" i="1"/>
  <c r="AK126" i="1"/>
  <c r="AL126" i="1"/>
  <c r="AM126" i="1"/>
  <c r="AN126" i="1"/>
  <c r="AO126" i="1"/>
  <c r="AP126" i="1"/>
  <c r="AQ126" i="1"/>
  <c r="AR126" i="1"/>
  <c r="AS126" i="1"/>
  <c r="AT126" i="1"/>
  <c r="AU126" i="1"/>
  <c r="AV126" i="1"/>
  <c r="AW126" i="1"/>
  <c r="AX126" i="1"/>
  <c r="AY126" i="1"/>
  <c r="AZ126" i="1"/>
  <c r="BA126" i="1"/>
  <c r="BB126" i="1"/>
  <c r="BC126" i="1"/>
  <c r="BD126" i="1"/>
  <c r="BE126" i="1"/>
  <c r="BF126" i="1"/>
  <c r="BG126" i="1"/>
  <c r="BH126" i="1"/>
  <c r="BI126" i="1"/>
  <c r="BJ126" i="1"/>
  <c r="BK126" i="1"/>
  <c r="BL126" i="1"/>
  <c r="BM126" i="1"/>
  <c r="BN126" i="1"/>
  <c r="BO126" i="1"/>
  <c r="BP126" i="1"/>
  <c r="BQ126" i="1"/>
  <c r="BR126" i="1"/>
  <c r="BS126" i="1"/>
  <c r="BT126" i="1"/>
  <c r="BU126" i="1"/>
  <c r="BV126" i="1"/>
  <c r="BW126" i="1"/>
  <c r="BX126" i="1"/>
  <c r="BY126" i="1"/>
  <c r="BZ126" i="1"/>
  <c r="CA126" i="1"/>
  <c r="CB126" i="1"/>
  <c r="CC126" i="1"/>
  <c r="B127" i="1"/>
  <c r="C127" i="1"/>
  <c r="D127" i="1"/>
  <c r="E127" i="1"/>
  <c r="F127" i="1"/>
  <c r="G127" i="1"/>
  <c r="H127" i="1"/>
  <c r="I127" i="1"/>
  <c r="J127" i="1"/>
  <c r="K127" i="1"/>
  <c r="L127" i="1"/>
  <c r="M127" i="1"/>
  <c r="N127" i="1"/>
  <c r="O127" i="1"/>
  <c r="P127" i="1"/>
  <c r="Q127" i="1"/>
  <c r="R127" i="1"/>
  <c r="S127" i="1"/>
  <c r="T127" i="1"/>
  <c r="U127" i="1"/>
  <c r="V127" i="1"/>
  <c r="W127" i="1"/>
  <c r="X127" i="1"/>
  <c r="Y127" i="1"/>
  <c r="Z127" i="1"/>
  <c r="AA127" i="1"/>
  <c r="AB127" i="1"/>
  <c r="AC127" i="1"/>
  <c r="AD127" i="1"/>
  <c r="AE127" i="1"/>
  <c r="AF127" i="1"/>
  <c r="AG127" i="1"/>
  <c r="AH127" i="1"/>
  <c r="AI127" i="1"/>
  <c r="AJ127" i="1"/>
  <c r="AK127" i="1"/>
  <c r="AL127" i="1"/>
  <c r="AM127" i="1"/>
  <c r="AN127" i="1"/>
  <c r="AO127" i="1"/>
  <c r="AP127" i="1"/>
  <c r="AQ127" i="1"/>
  <c r="AR127" i="1"/>
  <c r="AS127" i="1"/>
  <c r="AT127" i="1"/>
  <c r="AU127" i="1"/>
  <c r="AV127" i="1"/>
  <c r="AW127" i="1"/>
  <c r="AX127" i="1"/>
  <c r="AY127" i="1"/>
  <c r="AZ127" i="1"/>
  <c r="BA127" i="1"/>
  <c r="BB127" i="1"/>
  <c r="BC127" i="1"/>
  <c r="BD127" i="1"/>
  <c r="BE127" i="1"/>
  <c r="BF127" i="1"/>
  <c r="BG127" i="1"/>
  <c r="BH127" i="1"/>
  <c r="BI127" i="1"/>
  <c r="BJ127" i="1"/>
  <c r="BK127" i="1"/>
  <c r="BL127" i="1"/>
  <c r="BM127" i="1"/>
  <c r="BN127" i="1"/>
  <c r="BO127" i="1"/>
  <c r="BP127" i="1"/>
  <c r="BQ127" i="1"/>
  <c r="BR127" i="1"/>
  <c r="BS127" i="1"/>
  <c r="BT127" i="1"/>
  <c r="BU127" i="1"/>
  <c r="BV127" i="1"/>
  <c r="BW127" i="1"/>
  <c r="BX127" i="1"/>
  <c r="BY127" i="1"/>
  <c r="BZ127" i="1"/>
  <c r="CA127" i="1"/>
  <c r="CB127" i="1"/>
  <c r="CC127" i="1"/>
  <c r="B128" i="1"/>
  <c r="C128" i="1"/>
  <c r="D128" i="1"/>
  <c r="E128" i="1"/>
  <c r="F128" i="1"/>
  <c r="G128" i="1"/>
  <c r="H128" i="1"/>
  <c r="I128" i="1"/>
  <c r="J128" i="1"/>
  <c r="K128" i="1"/>
  <c r="L128" i="1"/>
  <c r="M128" i="1"/>
  <c r="N128" i="1"/>
  <c r="O128" i="1"/>
  <c r="P128" i="1"/>
  <c r="Q128" i="1"/>
  <c r="R128" i="1"/>
  <c r="S128" i="1"/>
  <c r="T128" i="1"/>
  <c r="U128" i="1"/>
  <c r="V128" i="1"/>
  <c r="W128" i="1"/>
  <c r="X128" i="1"/>
  <c r="Y128" i="1"/>
  <c r="Z128" i="1"/>
  <c r="AA128" i="1"/>
  <c r="AB128" i="1"/>
  <c r="AC128" i="1"/>
  <c r="AD128" i="1"/>
  <c r="AE128" i="1"/>
  <c r="AF128" i="1"/>
  <c r="AG128" i="1"/>
  <c r="AH128" i="1"/>
  <c r="AI128" i="1"/>
  <c r="AJ128" i="1"/>
  <c r="AK128" i="1"/>
  <c r="AL128" i="1"/>
  <c r="AM128" i="1"/>
  <c r="AN128" i="1"/>
  <c r="AO128" i="1"/>
  <c r="AP128" i="1"/>
  <c r="AQ128" i="1"/>
  <c r="AR128" i="1"/>
  <c r="AS128" i="1"/>
  <c r="AT128" i="1"/>
  <c r="AU128" i="1"/>
  <c r="AV128" i="1"/>
  <c r="AW128" i="1"/>
  <c r="AX128" i="1"/>
  <c r="AY128" i="1"/>
  <c r="AZ128" i="1"/>
  <c r="BA128" i="1"/>
  <c r="BB128" i="1"/>
  <c r="BC128" i="1"/>
  <c r="BD128" i="1"/>
  <c r="BE128" i="1"/>
  <c r="BF128" i="1"/>
  <c r="BG128" i="1"/>
  <c r="BH128" i="1"/>
  <c r="BI128" i="1"/>
  <c r="BJ128" i="1"/>
  <c r="BK128" i="1"/>
  <c r="BL128" i="1"/>
  <c r="BM128" i="1"/>
  <c r="BN128" i="1"/>
  <c r="BO128" i="1"/>
  <c r="BP128" i="1"/>
  <c r="BQ128" i="1"/>
  <c r="BR128" i="1"/>
  <c r="BS128" i="1"/>
  <c r="BT128" i="1"/>
  <c r="BU128" i="1"/>
  <c r="BV128" i="1"/>
  <c r="BW128" i="1"/>
  <c r="BX128" i="1"/>
  <c r="BY128" i="1"/>
  <c r="BZ128" i="1"/>
  <c r="CA128" i="1"/>
  <c r="CB128" i="1"/>
  <c r="CC128" i="1"/>
  <c r="B129" i="1"/>
  <c r="C129" i="1"/>
  <c r="D129" i="1"/>
  <c r="E129" i="1"/>
  <c r="F129" i="1"/>
  <c r="G129" i="1"/>
  <c r="H129" i="1"/>
  <c r="I129" i="1"/>
  <c r="J129" i="1"/>
  <c r="K129" i="1"/>
  <c r="L129" i="1"/>
  <c r="M129" i="1"/>
  <c r="N129" i="1"/>
  <c r="O129" i="1"/>
  <c r="P129" i="1"/>
  <c r="Q129" i="1"/>
  <c r="R129" i="1"/>
  <c r="S129" i="1"/>
  <c r="T129" i="1"/>
  <c r="U129" i="1"/>
  <c r="V129" i="1"/>
  <c r="W129" i="1"/>
  <c r="X129" i="1"/>
  <c r="Y129" i="1"/>
  <c r="Z129" i="1"/>
  <c r="AA129" i="1"/>
  <c r="AB129" i="1"/>
  <c r="AC129" i="1"/>
  <c r="AD129" i="1"/>
  <c r="AE129" i="1"/>
  <c r="AF129" i="1"/>
  <c r="AG129" i="1"/>
  <c r="AH129" i="1"/>
  <c r="AI129" i="1"/>
  <c r="AJ129" i="1"/>
  <c r="AK129" i="1"/>
  <c r="AL129" i="1"/>
  <c r="AM129" i="1"/>
  <c r="AN129" i="1"/>
  <c r="AO129" i="1"/>
  <c r="AP129" i="1"/>
  <c r="AQ129" i="1"/>
  <c r="AR129" i="1"/>
  <c r="AS129" i="1"/>
  <c r="AT129" i="1"/>
  <c r="AU129" i="1"/>
  <c r="AV129" i="1"/>
  <c r="AW129" i="1"/>
  <c r="AX129" i="1"/>
  <c r="AY129" i="1"/>
  <c r="AZ129" i="1"/>
  <c r="BA129" i="1"/>
  <c r="BB129" i="1"/>
  <c r="BC129" i="1"/>
  <c r="BD129" i="1"/>
  <c r="BE129" i="1"/>
  <c r="BF129" i="1"/>
  <c r="BG129" i="1"/>
  <c r="BH129" i="1"/>
  <c r="BI129" i="1"/>
  <c r="BJ129" i="1"/>
  <c r="BK129" i="1"/>
  <c r="BL129" i="1"/>
  <c r="BM129" i="1"/>
  <c r="BN129" i="1"/>
  <c r="BO129" i="1"/>
  <c r="BP129" i="1"/>
  <c r="BQ129" i="1"/>
  <c r="BR129" i="1"/>
  <c r="BS129" i="1"/>
  <c r="BT129" i="1"/>
  <c r="BU129" i="1"/>
  <c r="BV129" i="1"/>
  <c r="BW129" i="1"/>
  <c r="BX129" i="1"/>
  <c r="BY129" i="1"/>
  <c r="BZ129" i="1"/>
  <c r="CA129" i="1"/>
  <c r="CB129" i="1"/>
  <c r="CC129" i="1"/>
  <c r="B130" i="1"/>
  <c r="C130" i="1"/>
  <c r="D130" i="1"/>
  <c r="E130" i="1"/>
  <c r="F130" i="1"/>
  <c r="G130" i="1"/>
  <c r="H130" i="1"/>
  <c r="I130" i="1"/>
  <c r="J130" i="1"/>
  <c r="K130" i="1"/>
  <c r="L130" i="1"/>
  <c r="M130" i="1"/>
  <c r="N130" i="1"/>
  <c r="O130" i="1"/>
  <c r="P130" i="1"/>
  <c r="Q130" i="1"/>
  <c r="R130" i="1"/>
  <c r="S130" i="1"/>
  <c r="T130" i="1"/>
  <c r="U130" i="1"/>
  <c r="V130" i="1"/>
  <c r="W130" i="1"/>
  <c r="X130" i="1"/>
  <c r="Y130" i="1"/>
  <c r="Z130" i="1"/>
  <c r="AA130" i="1"/>
  <c r="AB130" i="1"/>
  <c r="AC130" i="1"/>
  <c r="AD130" i="1"/>
  <c r="AE130" i="1"/>
  <c r="AF130" i="1"/>
  <c r="AG130" i="1"/>
  <c r="AH130" i="1"/>
  <c r="AI130" i="1"/>
  <c r="AJ130" i="1"/>
  <c r="AK130" i="1"/>
  <c r="AL130" i="1"/>
  <c r="AM130" i="1"/>
  <c r="AN130" i="1"/>
  <c r="AO130" i="1"/>
  <c r="AP130" i="1"/>
  <c r="AQ130" i="1"/>
  <c r="AR130" i="1"/>
  <c r="AS130" i="1"/>
  <c r="AT130" i="1"/>
  <c r="AU130" i="1"/>
  <c r="AV130" i="1"/>
  <c r="AW130" i="1"/>
  <c r="AX130" i="1"/>
  <c r="AY130" i="1"/>
  <c r="AZ130" i="1"/>
  <c r="BA130" i="1"/>
  <c r="BB130" i="1"/>
  <c r="BC130" i="1"/>
  <c r="BD130" i="1"/>
  <c r="BE130" i="1"/>
  <c r="BF130" i="1"/>
  <c r="BG130" i="1"/>
  <c r="BH130" i="1"/>
  <c r="BI130" i="1"/>
  <c r="BJ130" i="1"/>
  <c r="BK130" i="1"/>
  <c r="BL130" i="1"/>
  <c r="BM130" i="1"/>
  <c r="BN130" i="1"/>
  <c r="BO130" i="1"/>
  <c r="BP130" i="1"/>
  <c r="BQ130" i="1"/>
  <c r="BR130" i="1"/>
  <c r="BS130" i="1"/>
  <c r="BT130" i="1"/>
  <c r="BU130" i="1"/>
  <c r="BV130" i="1"/>
  <c r="BW130" i="1"/>
  <c r="BX130" i="1"/>
  <c r="BY130" i="1"/>
  <c r="BZ130" i="1"/>
  <c r="CA130" i="1"/>
  <c r="CB130" i="1"/>
  <c r="CC130" i="1"/>
  <c r="B131" i="1"/>
  <c r="C131" i="1"/>
  <c r="D131" i="1"/>
  <c r="E131" i="1"/>
  <c r="F131" i="1"/>
  <c r="G131" i="1"/>
  <c r="H131" i="1"/>
  <c r="I131" i="1"/>
  <c r="J131" i="1"/>
  <c r="K131" i="1"/>
  <c r="L131" i="1"/>
  <c r="M131" i="1"/>
  <c r="N131" i="1"/>
  <c r="O131" i="1"/>
  <c r="P131" i="1"/>
  <c r="Q131" i="1"/>
  <c r="R131" i="1"/>
  <c r="S131" i="1"/>
  <c r="T131" i="1"/>
  <c r="U131" i="1"/>
  <c r="V131" i="1"/>
  <c r="W131" i="1"/>
  <c r="X131" i="1"/>
  <c r="Y131" i="1"/>
  <c r="Z131" i="1"/>
  <c r="AA131" i="1"/>
  <c r="AB131" i="1"/>
  <c r="AC131" i="1"/>
  <c r="AD131" i="1"/>
  <c r="AE131" i="1"/>
  <c r="AF131" i="1"/>
  <c r="AG131" i="1"/>
  <c r="AH131" i="1"/>
  <c r="AI131" i="1"/>
  <c r="AJ131" i="1"/>
  <c r="AK131" i="1"/>
  <c r="AL131" i="1"/>
  <c r="AM131" i="1"/>
  <c r="AN131" i="1"/>
  <c r="AO131" i="1"/>
  <c r="AP131" i="1"/>
  <c r="AQ131" i="1"/>
  <c r="AR131" i="1"/>
  <c r="AS131" i="1"/>
  <c r="AT131" i="1"/>
  <c r="AU131" i="1"/>
  <c r="AV131" i="1"/>
  <c r="AW131" i="1"/>
  <c r="AX131" i="1"/>
  <c r="AY131" i="1"/>
  <c r="AZ131" i="1"/>
  <c r="BA131" i="1"/>
  <c r="BB131" i="1"/>
  <c r="BC131" i="1"/>
  <c r="BD131" i="1"/>
  <c r="BE131" i="1"/>
  <c r="BF131" i="1"/>
  <c r="BG131" i="1"/>
  <c r="BH131" i="1"/>
  <c r="BI131" i="1"/>
  <c r="BJ131" i="1"/>
  <c r="BK131" i="1"/>
  <c r="BL131" i="1"/>
  <c r="BM131" i="1"/>
  <c r="BN131" i="1"/>
  <c r="BO131" i="1"/>
  <c r="BP131" i="1"/>
  <c r="BQ131" i="1"/>
  <c r="BR131" i="1"/>
  <c r="BS131" i="1"/>
  <c r="BT131" i="1"/>
  <c r="BU131" i="1"/>
  <c r="BV131" i="1"/>
  <c r="BW131" i="1"/>
  <c r="BX131" i="1"/>
  <c r="BY131" i="1"/>
  <c r="BZ131" i="1"/>
  <c r="CA131" i="1"/>
  <c r="CB131" i="1"/>
  <c r="CC131" i="1"/>
  <c r="B132" i="1"/>
  <c r="C132" i="1"/>
  <c r="D132" i="1"/>
  <c r="E132" i="1"/>
  <c r="F132" i="1"/>
  <c r="G132" i="1"/>
  <c r="H132" i="1"/>
  <c r="I132" i="1"/>
  <c r="J132" i="1"/>
  <c r="K132" i="1"/>
  <c r="L132" i="1"/>
  <c r="M132" i="1"/>
  <c r="N132" i="1"/>
  <c r="O132" i="1"/>
  <c r="P132" i="1"/>
  <c r="Q132" i="1"/>
  <c r="R132" i="1"/>
  <c r="S132" i="1"/>
  <c r="T132" i="1"/>
  <c r="U132" i="1"/>
  <c r="V132" i="1"/>
  <c r="W132" i="1"/>
  <c r="X132" i="1"/>
  <c r="Y132" i="1"/>
  <c r="Z132" i="1"/>
  <c r="AA132" i="1"/>
  <c r="AB132" i="1"/>
  <c r="AC132" i="1"/>
  <c r="AD132" i="1"/>
  <c r="AE132" i="1"/>
  <c r="AF132" i="1"/>
  <c r="AG132" i="1"/>
  <c r="AH132" i="1"/>
  <c r="AI132" i="1"/>
  <c r="AJ132" i="1"/>
  <c r="AK132" i="1"/>
  <c r="AL132" i="1"/>
  <c r="AM132" i="1"/>
  <c r="AN132" i="1"/>
  <c r="AO132" i="1"/>
  <c r="AP132" i="1"/>
  <c r="AQ132" i="1"/>
  <c r="AR132" i="1"/>
  <c r="AS132" i="1"/>
  <c r="AT132" i="1"/>
  <c r="AU132" i="1"/>
  <c r="AV132" i="1"/>
  <c r="AW132" i="1"/>
  <c r="AX132" i="1"/>
  <c r="AY132" i="1"/>
  <c r="AZ132" i="1"/>
  <c r="BA132" i="1"/>
  <c r="BB132" i="1"/>
  <c r="BC132" i="1"/>
  <c r="BD132" i="1"/>
  <c r="BE132" i="1"/>
  <c r="BF132" i="1"/>
  <c r="BG132" i="1"/>
  <c r="BH132" i="1"/>
  <c r="BI132" i="1"/>
  <c r="BJ132" i="1"/>
  <c r="BK132" i="1"/>
  <c r="BL132" i="1"/>
  <c r="BM132" i="1"/>
  <c r="BN132" i="1"/>
  <c r="BO132" i="1"/>
  <c r="BP132" i="1"/>
  <c r="BQ132" i="1"/>
  <c r="BR132" i="1"/>
  <c r="BS132" i="1"/>
  <c r="BT132" i="1"/>
  <c r="BU132" i="1"/>
  <c r="BV132" i="1"/>
  <c r="BW132" i="1"/>
  <c r="BX132" i="1"/>
  <c r="BY132" i="1"/>
  <c r="BZ132" i="1"/>
  <c r="CA132" i="1"/>
  <c r="CB132" i="1"/>
  <c r="CC132" i="1"/>
  <c r="B133" i="1"/>
  <c r="C133" i="1"/>
  <c r="D133" i="1"/>
  <c r="E133" i="1"/>
  <c r="F133" i="1"/>
  <c r="G133" i="1"/>
  <c r="H133" i="1"/>
  <c r="I133" i="1"/>
  <c r="J133" i="1"/>
  <c r="K133" i="1"/>
  <c r="L133" i="1"/>
  <c r="M133" i="1"/>
  <c r="N133" i="1"/>
  <c r="O133" i="1"/>
  <c r="P133" i="1"/>
  <c r="Q133" i="1"/>
  <c r="R133" i="1"/>
  <c r="S133" i="1"/>
  <c r="T133" i="1"/>
  <c r="U133" i="1"/>
  <c r="V133" i="1"/>
  <c r="W133" i="1"/>
  <c r="X133" i="1"/>
  <c r="Y133" i="1"/>
  <c r="Z133" i="1"/>
  <c r="AA133" i="1"/>
  <c r="AB133" i="1"/>
  <c r="AC133" i="1"/>
  <c r="AD133" i="1"/>
  <c r="AE133" i="1"/>
  <c r="AF133" i="1"/>
  <c r="AG133" i="1"/>
  <c r="AH133" i="1"/>
  <c r="AI133" i="1"/>
  <c r="AJ133" i="1"/>
  <c r="AK133" i="1"/>
  <c r="AL133" i="1"/>
  <c r="AM133" i="1"/>
  <c r="AN133" i="1"/>
  <c r="AO133" i="1"/>
  <c r="AP133" i="1"/>
  <c r="AQ133" i="1"/>
  <c r="AR133" i="1"/>
  <c r="AS133" i="1"/>
  <c r="AT133" i="1"/>
  <c r="AU133" i="1"/>
  <c r="AV133" i="1"/>
  <c r="AW133" i="1"/>
  <c r="AX133" i="1"/>
  <c r="AY133" i="1"/>
  <c r="AZ133" i="1"/>
  <c r="BA133" i="1"/>
  <c r="BB133" i="1"/>
  <c r="BC133" i="1"/>
  <c r="BD133" i="1"/>
  <c r="BE133" i="1"/>
  <c r="BF133" i="1"/>
  <c r="BG133" i="1"/>
  <c r="BH133" i="1"/>
  <c r="BI133" i="1"/>
  <c r="BJ133" i="1"/>
  <c r="BK133" i="1"/>
  <c r="BL133" i="1"/>
  <c r="BM133" i="1"/>
  <c r="BN133" i="1"/>
  <c r="BO133" i="1"/>
  <c r="BP133" i="1"/>
  <c r="BQ133" i="1"/>
  <c r="BR133" i="1"/>
  <c r="BS133" i="1"/>
  <c r="BT133" i="1"/>
  <c r="BU133" i="1"/>
  <c r="BV133" i="1"/>
  <c r="BW133" i="1"/>
  <c r="BX133" i="1"/>
  <c r="BY133" i="1"/>
  <c r="BZ133" i="1"/>
  <c r="CA133" i="1"/>
  <c r="CB133" i="1"/>
  <c r="CC133" i="1"/>
  <c r="B134" i="1"/>
  <c r="C134" i="1"/>
  <c r="D134" i="1"/>
  <c r="E134" i="1"/>
  <c r="F134" i="1"/>
  <c r="G134" i="1"/>
  <c r="H134" i="1"/>
  <c r="I134" i="1"/>
  <c r="J134" i="1"/>
  <c r="K134" i="1"/>
  <c r="L134" i="1"/>
  <c r="M134" i="1"/>
  <c r="N134" i="1"/>
  <c r="O134" i="1"/>
  <c r="P134" i="1"/>
  <c r="Q134" i="1"/>
  <c r="R134" i="1"/>
  <c r="S134" i="1"/>
  <c r="T134" i="1"/>
  <c r="U134" i="1"/>
  <c r="V134" i="1"/>
  <c r="W134" i="1"/>
  <c r="X134" i="1"/>
  <c r="Y134" i="1"/>
  <c r="Z134" i="1"/>
  <c r="AA134" i="1"/>
  <c r="AB134" i="1"/>
  <c r="AC134" i="1"/>
  <c r="AD134" i="1"/>
  <c r="AE134" i="1"/>
  <c r="AF134" i="1"/>
  <c r="AG134" i="1"/>
  <c r="AH134" i="1"/>
  <c r="AI134" i="1"/>
  <c r="AJ134" i="1"/>
  <c r="AK134" i="1"/>
  <c r="AL134" i="1"/>
  <c r="AM134" i="1"/>
  <c r="AN134" i="1"/>
  <c r="AO134" i="1"/>
  <c r="AP134" i="1"/>
  <c r="AQ134" i="1"/>
  <c r="AR134" i="1"/>
  <c r="AS134" i="1"/>
  <c r="AT134" i="1"/>
  <c r="AU134" i="1"/>
  <c r="AV134" i="1"/>
  <c r="AW134" i="1"/>
  <c r="AX134" i="1"/>
  <c r="AY134" i="1"/>
  <c r="AZ134" i="1"/>
  <c r="BA134" i="1"/>
  <c r="BB134" i="1"/>
  <c r="BC134" i="1"/>
  <c r="BD134" i="1"/>
  <c r="BE134" i="1"/>
  <c r="BF134" i="1"/>
  <c r="BG134" i="1"/>
  <c r="BH134" i="1"/>
  <c r="BI134" i="1"/>
  <c r="BJ134" i="1"/>
  <c r="BK134" i="1"/>
  <c r="BL134" i="1"/>
  <c r="BM134" i="1"/>
  <c r="BN134" i="1"/>
  <c r="BO134" i="1"/>
  <c r="BP134" i="1"/>
  <c r="BQ134" i="1"/>
  <c r="BR134" i="1"/>
  <c r="BS134" i="1"/>
  <c r="BT134" i="1"/>
  <c r="BU134" i="1"/>
  <c r="BV134" i="1"/>
  <c r="BW134" i="1"/>
  <c r="BX134" i="1"/>
  <c r="BY134" i="1"/>
  <c r="BZ134" i="1"/>
  <c r="CA134" i="1"/>
  <c r="CB134" i="1"/>
  <c r="CC134" i="1"/>
  <c r="B135" i="1"/>
  <c r="C135" i="1"/>
  <c r="D135" i="1"/>
  <c r="E135" i="1"/>
  <c r="F135" i="1"/>
  <c r="G135" i="1"/>
  <c r="H135" i="1"/>
  <c r="I135" i="1"/>
  <c r="J135" i="1"/>
  <c r="K135" i="1"/>
  <c r="L135" i="1"/>
  <c r="M135" i="1"/>
  <c r="N135" i="1"/>
  <c r="O135" i="1"/>
  <c r="P135" i="1"/>
  <c r="Q135" i="1"/>
  <c r="R135" i="1"/>
  <c r="S135" i="1"/>
  <c r="T135" i="1"/>
  <c r="U135" i="1"/>
  <c r="V135" i="1"/>
  <c r="W135" i="1"/>
  <c r="X135" i="1"/>
  <c r="Y135" i="1"/>
  <c r="Z135" i="1"/>
  <c r="AA135" i="1"/>
  <c r="AB135" i="1"/>
  <c r="AC135" i="1"/>
  <c r="AD135" i="1"/>
  <c r="AE135" i="1"/>
  <c r="AF135" i="1"/>
  <c r="AG135" i="1"/>
  <c r="AH135" i="1"/>
  <c r="AI135" i="1"/>
  <c r="AJ135" i="1"/>
  <c r="AK135" i="1"/>
  <c r="AL135" i="1"/>
  <c r="AM135" i="1"/>
  <c r="AN135" i="1"/>
  <c r="AO135" i="1"/>
  <c r="AP135" i="1"/>
  <c r="AQ135" i="1"/>
  <c r="AR135" i="1"/>
  <c r="AS135" i="1"/>
  <c r="AT135" i="1"/>
  <c r="AU135" i="1"/>
  <c r="AV135" i="1"/>
  <c r="AW135" i="1"/>
  <c r="AX135" i="1"/>
  <c r="AY135" i="1"/>
  <c r="AZ135" i="1"/>
  <c r="BA135" i="1"/>
  <c r="BB135" i="1"/>
  <c r="BC135" i="1"/>
  <c r="BD135" i="1"/>
  <c r="BE135" i="1"/>
  <c r="BF135" i="1"/>
  <c r="BG135" i="1"/>
  <c r="BH135" i="1"/>
  <c r="BI135" i="1"/>
  <c r="BJ135" i="1"/>
  <c r="BK135" i="1"/>
  <c r="BL135" i="1"/>
  <c r="BM135" i="1"/>
  <c r="BN135" i="1"/>
  <c r="BO135" i="1"/>
  <c r="BP135" i="1"/>
  <c r="BQ135" i="1"/>
  <c r="BR135" i="1"/>
  <c r="BS135" i="1"/>
  <c r="BT135" i="1"/>
  <c r="BU135" i="1"/>
  <c r="BV135" i="1"/>
  <c r="BW135" i="1"/>
  <c r="BX135" i="1"/>
  <c r="BY135" i="1"/>
  <c r="BZ135" i="1"/>
  <c r="CA135" i="1"/>
  <c r="CB135" i="1"/>
  <c r="CC135" i="1"/>
  <c r="B136" i="1"/>
  <c r="C136" i="1"/>
  <c r="D136" i="1"/>
  <c r="E136" i="1"/>
  <c r="F136" i="1"/>
  <c r="G136" i="1"/>
  <c r="H136" i="1"/>
  <c r="I136" i="1"/>
  <c r="J136" i="1"/>
  <c r="K136" i="1"/>
  <c r="L136" i="1"/>
  <c r="M136" i="1"/>
  <c r="N136" i="1"/>
  <c r="O136" i="1"/>
  <c r="P136" i="1"/>
  <c r="Q136" i="1"/>
  <c r="R136" i="1"/>
  <c r="S136" i="1"/>
  <c r="T136" i="1"/>
  <c r="U136" i="1"/>
  <c r="V136" i="1"/>
  <c r="W136" i="1"/>
  <c r="X136" i="1"/>
  <c r="Y136" i="1"/>
  <c r="Z136" i="1"/>
  <c r="AA136" i="1"/>
  <c r="AB136" i="1"/>
  <c r="AC136" i="1"/>
  <c r="AD136" i="1"/>
  <c r="AE136" i="1"/>
  <c r="AF136" i="1"/>
  <c r="AG136" i="1"/>
  <c r="AH136" i="1"/>
  <c r="AI136" i="1"/>
  <c r="AJ136" i="1"/>
  <c r="AK136" i="1"/>
  <c r="AL136" i="1"/>
  <c r="AM136" i="1"/>
  <c r="AN136" i="1"/>
  <c r="AO136" i="1"/>
  <c r="AP136" i="1"/>
  <c r="AQ136" i="1"/>
  <c r="AR136" i="1"/>
  <c r="AS136" i="1"/>
  <c r="AT136" i="1"/>
  <c r="AU136" i="1"/>
  <c r="AV136" i="1"/>
  <c r="AW136" i="1"/>
  <c r="AX136" i="1"/>
  <c r="AY136" i="1"/>
  <c r="AZ136" i="1"/>
  <c r="BA136" i="1"/>
  <c r="BB136" i="1"/>
  <c r="BC136" i="1"/>
  <c r="BD136" i="1"/>
  <c r="BE136" i="1"/>
  <c r="BF136" i="1"/>
  <c r="BG136" i="1"/>
  <c r="BH136" i="1"/>
  <c r="BI136" i="1"/>
  <c r="BJ136" i="1"/>
  <c r="BK136" i="1"/>
  <c r="BL136" i="1"/>
  <c r="BM136" i="1"/>
  <c r="BN136" i="1"/>
  <c r="BO136" i="1"/>
  <c r="BP136" i="1"/>
  <c r="BQ136" i="1"/>
  <c r="BR136" i="1"/>
  <c r="BS136" i="1"/>
  <c r="BT136" i="1"/>
  <c r="BU136" i="1"/>
  <c r="BV136" i="1"/>
  <c r="BW136" i="1"/>
  <c r="BX136" i="1"/>
  <c r="BY136" i="1"/>
  <c r="BZ136" i="1"/>
  <c r="CA136" i="1"/>
  <c r="CB136" i="1"/>
  <c r="CC136" i="1"/>
  <c r="B137" i="1"/>
  <c r="C137" i="1"/>
  <c r="D137" i="1"/>
  <c r="E137" i="1"/>
  <c r="F137" i="1"/>
  <c r="G137" i="1"/>
  <c r="H137" i="1"/>
  <c r="I137" i="1"/>
  <c r="J137" i="1"/>
  <c r="K137" i="1"/>
  <c r="L137" i="1"/>
  <c r="M137" i="1"/>
  <c r="N137" i="1"/>
  <c r="O137" i="1"/>
  <c r="P137" i="1"/>
  <c r="Q137" i="1"/>
  <c r="R137" i="1"/>
  <c r="S137" i="1"/>
  <c r="T137" i="1"/>
  <c r="U137" i="1"/>
  <c r="V137" i="1"/>
  <c r="W137" i="1"/>
  <c r="X137" i="1"/>
  <c r="Y137" i="1"/>
  <c r="Z137" i="1"/>
  <c r="AA137" i="1"/>
  <c r="AB137" i="1"/>
  <c r="AC137" i="1"/>
  <c r="AD137" i="1"/>
  <c r="AE137" i="1"/>
  <c r="AF137" i="1"/>
  <c r="AG137" i="1"/>
  <c r="AH137" i="1"/>
  <c r="AI137" i="1"/>
  <c r="AJ137" i="1"/>
  <c r="AK137" i="1"/>
  <c r="AL137" i="1"/>
  <c r="AM137" i="1"/>
  <c r="AN137" i="1"/>
  <c r="AO137" i="1"/>
  <c r="AP137" i="1"/>
  <c r="AQ137" i="1"/>
  <c r="AR137" i="1"/>
  <c r="AS137" i="1"/>
  <c r="AT137" i="1"/>
  <c r="AU137" i="1"/>
  <c r="AV137" i="1"/>
  <c r="AW137" i="1"/>
  <c r="AX137" i="1"/>
  <c r="AY137" i="1"/>
  <c r="AZ137" i="1"/>
  <c r="BA137" i="1"/>
  <c r="BB137" i="1"/>
  <c r="BC137" i="1"/>
  <c r="BD137" i="1"/>
  <c r="BE137" i="1"/>
  <c r="BF137" i="1"/>
  <c r="BG137" i="1"/>
  <c r="BH137" i="1"/>
  <c r="BI137" i="1"/>
  <c r="BJ137" i="1"/>
  <c r="BK137" i="1"/>
  <c r="BL137" i="1"/>
  <c r="BM137" i="1"/>
  <c r="BN137" i="1"/>
  <c r="BO137" i="1"/>
  <c r="BP137" i="1"/>
  <c r="BQ137" i="1"/>
  <c r="BR137" i="1"/>
  <c r="BS137" i="1"/>
  <c r="BT137" i="1"/>
  <c r="BU137" i="1"/>
  <c r="BV137" i="1"/>
  <c r="BW137" i="1"/>
  <c r="BX137" i="1"/>
  <c r="BY137" i="1"/>
  <c r="BZ137" i="1"/>
  <c r="CA137" i="1"/>
  <c r="CB137" i="1"/>
  <c r="CC137" i="1"/>
  <c r="B138" i="1"/>
  <c r="C138" i="1"/>
  <c r="D138" i="1"/>
  <c r="E138" i="1"/>
  <c r="F138" i="1"/>
  <c r="G138" i="1"/>
  <c r="H138" i="1"/>
  <c r="I138" i="1"/>
  <c r="J138" i="1"/>
  <c r="K138" i="1"/>
  <c r="L138" i="1"/>
  <c r="M138" i="1"/>
  <c r="N138" i="1"/>
  <c r="O138" i="1"/>
  <c r="P138" i="1"/>
  <c r="Q138" i="1"/>
  <c r="R138" i="1"/>
  <c r="S138" i="1"/>
  <c r="T138" i="1"/>
  <c r="U138" i="1"/>
  <c r="V138" i="1"/>
  <c r="W138" i="1"/>
  <c r="X138" i="1"/>
  <c r="Y138" i="1"/>
  <c r="Z138" i="1"/>
  <c r="AA138" i="1"/>
  <c r="AB138" i="1"/>
  <c r="AC138" i="1"/>
  <c r="AD138" i="1"/>
  <c r="AE138" i="1"/>
  <c r="AF138" i="1"/>
  <c r="AG138" i="1"/>
  <c r="AH138" i="1"/>
  <c r="AI138" i="1"/>
  <c r="AJ138" i="1"/>
  <c r="AK138" i="1"/>
  <c r="AL138" i="1"/>
  <c r="AM138" i="1"/>
  <c r="AN138" i="1"/>
  <c r="AO138" i="1"/>
  <c r="AP138" i="1"/>
  <c r="AQ138" i="1"/>
  <c r="AR138" i="1"/>
  <c r="AS138" i="1"/>
  <c r="AT138" i="1"/>
  <c r="AU138" i="1"/>
  <c r="AV138" i="1"/>
  <c r="AW138" i="1"/>
  <c r="AX138" i="1"/>
  <c r="AY138" i="1"/>
  <c r="AZ138" i="1"/>
  <c r="BA138" i="1"/>
  <c r="BB138" i="1"/>
  <c r="BC138" i="1"/>
  <c r="BD138" i="1"/>
  <c r="BE138" i="1"/>
  <c r="BF138" i="1"/>
  <c r="BG138" i="1"/>
  <c r="BH138" i="1"/>
  <c r="BI138" i="1"/>
  <c r="BJ138" i="1"/>
  <c r="BK138" i="1"/>
  <c r="BL138" i="1"/>
  <c r="BM138" i="1"/>
  <c r="BN138" i="1"/>
  <c r="BO138" i="1"/>
  <c r="BP138" i="1"/>
  <c r="BQ138" i="1"/>
  <c r="BR138" i="1"/>
  <c r="BS138" i="1"/>
  <c r="BT138" i="1"/>
  <c r="BU138" i="1"/>
  <c r="BV138" i="1"/>
  <c r="BW138" i="1"/>
  <c r="BX138" i="1"/>
  <c r="BY138" i="1"/>
  <c r="BZ138" i="1"/>
  <c r="CA138" i="1"/>
  <c r="CB138" i="1"/>
  <c r="CC138" i="1"/>
  <c r="B139" i="1"/>
  <c r="C139" i="1"/>
  <c r="D139" i="1"/>
  <c r="E139" i="1"/>
  <c r="F139" i="1"/>
  <c r="G139" i="1"/>
  <c r="H139" i="1"/>
  <c r="I139" i="1"/>
  <c r="J139" i="1"/>
  <c r="K139" i="1"/>
  <c r="L139" i="1"/>
  <c r="M139" i="1"/>
  <c r="N139" i="1"/>
  <c r="O139" i="1"/>
  <c r="P139" i="1"/>
  <c r="Q139" i="1"/>
  <c r="R139" i="1"/>
  <c r="S139" i="1"/>
  <c r="T139" i="1"/>
  <c r="U139" i="1"/>
  <c r="V139" i="1"/>
  <c r="W139" i="1"/>
  <c r="X139" i="1"/>
  <c r="Y139" i="1"/>
  <c r="Z139" i="1"/>
  <c r="AA139" i="1"/>
  <c r="AB139" i="1"/>
  <c r="AC139" i="1"/>
  <c r="AD139" i="1"/>
  <c r="AE139" i="1"/>
  <c r="AF139" i="1"/>
  <c r="AG139" i="1"/>
  <c r="AH139" i="1"/>
  <c r="AI139" i="1"/>
  <c r="AJ139" i="1"/>
  <c r="AK139" i="1"/>
  <c r="AL139" i="1"/>
  <c r="AM139" i="1"/>
  <c r="AN139" i="1"/>
  <c r="AO139" i="1"/>
  <c r="AP139" i="1"/>
  <c r="AQ139" i="1"/>
  <c r="AR139" i="1"/>
  <c r="AS139" i="1"/>
  <c r="AT139" i="1"/>
  <c r="AU139" i="1"/>
  <c r="AV139" i="1"/>
  <c r="AW139" i="1"/>
  <c r="AX139" i="1"/>
  <c r="AY139" i="1"/>
  <c r="AZ139" i="1"/>
  <c r="BA139" i="1"/>
  <c r="BB139" i="1"/>
  <c r="BC139" i="1"/>
  <c r="BD139" i="1"/>
  <c r="BE139" i="1"/>
  <c r="BF139" i="1"/>
  <c r="BG139" i="1"/>
  <c r="BH139" i="1"/>
  <c r="BI139" i="1"/>
  <c r="BJ139" i="1"/>
  <c r="BK139" i="1"/>
  <c r="BL139" i="1"/>
  <c r="BM139" i="1"/>
  <c r="BN139" i="1"/>
  <c r="BO139" i="1"/>
  <c r="BP139" i="1"/>
  <c r="BQ139" i="1"/>
  <c r="BR139" i="1"/>
  <c r="BS139" i="1"/>
  <c r="BT139" i="1"/>
  <c r="BU139" i="1"/>
  <c r="BV139" i="1"/>
  <c r="BW139" i="1"/>
  <c r="BX139" i="1"/>
  <c r="BY139" i="1"/>
  <c r="BZ139" i="1"/>
  <c r="CA139" i="1"/>
  <c r="CB139" i="1"/>
  <c r="CC139" i="1"/>
  <c r="B140" i="1"/>
  <c r="C140" i="1"/>
  <c r="D140" i="1"/>
  <c r="E140" i="1"/>
  <c r="F140" i="1"/>
  <c r="G140" i="1"/>
  <c r="H140" i="1"/>
  <c r="I140" i="1"/>
  <c r="J140" i="1"/>
  <c r="K140" i="1"/>
  <c r="L140" i="1"/>
  <c r="M140" i="1"/>
  <c r="N140" i="1"/>
  <c r="O140" i="1"/>
  <c r="P140" i="1"/>
  <c r="Q140" i="1"/>
  <c r="R140" i="1"/>
  <c r="S140" i="1"/>
  <c r="T140" i="1"/>
  <c r="U140" i="1"/>
  <c r="V140" i="1"/>
  <c r="W140" i="1"/>
  <c r="X140" i="1"/>
  <c r="Y140" i="1"/>
  <c r="Z140" i="1"/>
  <c r="AA140" i="1"/>
  <c r="AB140" i="1"/>
  <c r="AC140" i="1"/>
  <c r="AD140" i="1"/>
  <c r="AE140" i="1"/>
  <c r="AF140" i="1"/>
  <c r="AG140" i="1"/>
  <c r="AH140" i="1"/>
  <c r="AI140" i="1"/>
  <c r="AJ140" i="1"/>
  <c r="AK140" i="1"/>
  <c r="AL140" i="1"/>
  <c r="AM140" i="1"/>
  <c r="AN140" i="1"/>
  <c r="AO140" i="1"/>
  <c r="AP140" i="1"/>
  <c r="AQ140" i="1"/>
  <c r="AR140" i="1"/>
  <c r="AS140" i="1"/>
  <c r="AT140" i="1"/>
  <c r="AU140" i="1"/>
  <c r="AV140" i="1"/>
  <c r="AW140" i="1"/>
  <c r="AX140" i="1"/>
  <c r="AY140" i="1"/>
  <c r="AZ140" i="1"/>
  <c r="BA140" i="1"/>
  <c r="BB140" i="1"/>
  <c r="BC140" i="1"/>
  <c r="BD140" i="1"/>
  <c r="BE140" i="1"/>
  <c r="BF140" i="1"/>
  <c r="BG140" i="1"/>
  <c r="BH140" i="1"/>
  <c r="BI140" i="1"/>
  <c r="BJ140" i="1"/>
  <c r="BK140" i="1"/>
  <c r="BL140" i="1"/>
  <c r="BM140" i="1"/>
  <c r="BN140" i="1"/>
  <c r="BO140" i="1"/>
  <c r="BP140" i="1"/>
  <c r="BQ140" i="1"/>
  <c r="BR140" i="1"/>
  <c r="BS140" i="1"/>
  <c r="BT140" i="1"/>
  <c r="BU140" i="1"/>
  <c r="BV140" i="1"/>
  <c r="BW140" i="1"/>
  <c r="BX140" i="1"/>
  <c r="BY140" i="1"/>
  <c r="BZ140" i="1"/>
  <c r="CA140" i="1"/>
  <c r="CB140" i="1"/>
  <c r="CC140" i="1"/>
  <c r="B141" i="1"/>
  <c r="C141" i="1"/>
  <c r="D141" i="1"/>
  <c r="E141" i="1"/>
  <c r="F141" i="1"/>
  <c r="G141" i="1"/>
  <c r="H141" i="1"/>
  <c r="I141" i="1"/>
  <c r="J141" i="1"/>
  <c r="K141" i="1"/>
  <c r="L141" i="1"/>
  <c r="M141" i="1"/>
  <c r="N141" i="1"/>
  <c r="O141" i="1"/>
  <c r="P141" i="1"/>
  <c r="Q141" i="1"/>
  <c r="R141" i="1"/>
  <c r="S141" i="1"/>
  <c r="T141" i="1"/>
  <c r="U141" i="1"/>
  <c r="V141" i="1"/>
  <c r="W141" i="1"/>
  <c r="X141" i="1"/>
  <c r="Y141" i="1"/>
  <c r="Z141" i="1"/>
  <c r="AA141" i="1"/>
  <c r="AB141" i="1"/>
  <c r="AC141" i="1"/>
  <c r="AD141" i="1"/>
  <c r="AE141" i="1"/>
  <c r="AF141" i="1"/>
  <c r="AG141" i="1"/>
  <c r="AH141" i="1"/>
  <c r="AI141" i="1"/>
  <c r="AJ141" i="1"/>
  <c r="AK141" i="1"/>
  <c r="AL141" i="1"/>
  <c r="AM141" i="1"/>
  <c r="AN141" i="1"/>
  <c r="AO141" i="1"/>
  <c r="AP141" i="1"/>
  <c r="AQ141" i="1"/>
  <c r="AR141" i="1"/>
  <c r="AS141" i="1"/>
  <c r="AT141" i="1"/>
  <c r="AU141" i="1"/>
  <c r="AV141" i="1"/>
  <c r="AW141" i="1"/>
  <c r="AX141" i="1"/>
  <c r="AY141" i="1"/>
  <c r="AZ141" i="1"/>
  <c r="BA141" i="1"/>
  <c r="BB141" i="1"/>
  <c r="BC141" i="1"/>
  <c r="BD141" i="1"/>
  <c r="BE141" i="1"/>
  <c r="BF141" i="1"/>
  <c r="BG141" i="1"/>
  <c r="BH141" i="1"/>
  <c r="BI141" i="1"/>
  <c r="BJ141" i="1"/>
  <c r="BK141" i="1"/>
  <c r="BL141" i="1"/>
  <c r="BM141" i="1"/>
  <c r="BN141" i="1"/>
  <c r="BO141" i="1"/>
  <c r="BP141" i="1"/>
  <c r="BQ141" i="1"/>
  <c r="BR141" i="1"/>
  <c r="BS141" i="1"/>
  <c r="BT141" i="1"/>
  <c r="BU141" i="1"/>
  <c r="BV141" i="1"/>
  <c r="BW141" i="1"/>
  <c r="BX141" i="1"/>
  <c r="BY141" i="1"/>
  <c r="BZ141" i="1"/>
  <c r="CA141" i="1"/>
  <c r="CB141" i="1"/>
  <c r="CC141" i="1"/>
  <c r="B142" i="1"/>
  <c r="C142" i="1"/>
  <c r="D142" i="1"/>
  <c r="E142" i="1"/>
  <c r="F142" i="1"/>
  <c r="G142" i="1"/>
  <c r="H142" i="1"/>
  <c r="I142" i="1"/>
  <c r="J142" i="1"/>
  <c r="K142" i="1"/>
  <c r="L142" i="1"/>
  <c r="M142" i="1"/>
  <c r="N142" i="1"/>
  <c r="O142" i="1"/>
  <c r="P142" i="1"/>
  <c r="Q142" i="1"/>
  <c r="R142" i="1"/>
  <c r="S142" i="1"/>
  <c r="T142" i="1"/>
  <c r="U142" i="1"/>
  <c r="V142" i="1"/>
  <c r="W142" i="1"/>
  <c r="X142" i="1"/>
  <c r="Y142" i="1"/>
  <c r="Z142" i="1"/>
  <c r="AA142" i="1"/>
  <c r="AB142" i="1"/>
  <c r="AC142" i="1"/>
  <c r="AD142" i="1"/>
  <c r="AE142" i="1"/>
  <c r="AF142" i="1"/>
  <c r="AG142" i="1"/>
  <c r="AH142" i="1"/>
  <c r="AI142" i="1"/>
  <c r="AJ142" i="1"/>
  <c r="AK142" i="1"/>
  <c r="AL142" i="1"/>
  <c r="AM142" i="1"/>
  <c r="AN142" i="1"/>
  <c r="AO142" i="1"/>
  <c r="AP142" i="1"/>
  <c r="AQ142" i="1"/>
  <c r="AR142" i="1"/>
  <c r="AS142" i="1"/>
  <c r="AT142" i="1"/>
  <c r="AU142" i="1"/>
  <c r="AV142" i="1"/>
  <c r="AW142" i="1"/>
  <c r="AX142" i="1"/>
  <c r="AY142" i="1"/>
  <c r="AZ142" i="1"/>
  <c r="BA142" i="1"/>
  <c r="BB142" i="1"/>
  <c r="BC142" i="1"/>
  <c r="BD142" i="1"/>
  <c r="BE142" i="1"/>
  <c r="BF142" i="1"/>
  <c r="BG142" i="1"/>
  <c r="BH142" i="1"/>
  <c r="BI142" i="1"/>
  <c r="BJ142" i="1"/>
  <c r="BK142" i="1"/>
  <c r="BL142" i="1"/>
  <c r="BM142" i="1"/>
  <c r="BN142" i="1"/>
  <c r="BO142" i="1"/>
  <c r="BP142" i="1"/>
  <c r="BQ142" i="1"/>
  <c r="BR142" i="1"/>
  <c r="BS142" i="1"/>
  <c r="BT142" i="1"/>
  <c r="BU142" i="1"/>
  <c r="BV142" i="1"/>
  <c r="BW142" i="1"/>
  <c r="BX142" i="1"/>
  <c r="BY142" i="1"/>
  <c r="BZ142" i="1"/>
  <c r="CA142" i="1"/>
  <c r="CB142" i="1"/>
  <c r="CC142" i="1"/>
  <c r="B143" i="1"/>
  <c r="C143" i="1"/>
  <c r="D143" i="1"/>
  <c r="E143" i="1"/>
  <c r="F143" i="1"/>
  <c r="G143" i="1"/>
  <c r="H143" i="1"/>
  <c r="I143" i="1"/>
  <c r="J143" i="1"/>
  <c r="K143" i="1"/>
  <c r="L143" i="1"/>
  <c r="M143" i="1"/>
  <c r="N143" i="1"/>
  <c r="O143" i="1"/>
  <c r="P143" i="1"/>
  <c r="Q143" i="1"/>
  <c r="R143" i="1"/>
  <c r="S143" i="1"/>
  <c r="T143" i="1"/>
  <c r="U143" i="1"/>
  <c r="V143" i="1"/>
  <c r="W143" i="1"/>
  <c r="X143" i="1"/>
  <c r="Y143" i="1"/>
  <c r="Z143" i="1"/>
  <c r="AA143" i="1"/>
  <c r="AB143" i="1"/>
  <c r="AC143" i="1"/>
  <c r="AD143" i="1"/>
  <c r="AE143" i="1"/>
  <c r="AF143" i="1"/>
  <c r="AG143" i="1"/>
  <c r="AH143" i="1"/>
  <c r="AI143" i="1"/>
  <c r="AJ143" i="1"/>
  <c r="AK143" i="1"/>
  <c r="AL143" i="1"/>
  <c r="AM143" i="1"/>
  <c r="AN143" i="1"/>
  <c r="AO143" i="1"/>
  <c r="AP143" i="1"/>
  <c r="AQ143" i="1"/>
  <c r="AR143" i="1"/>
  <c r="AS143" i="1"/>
  <c r="AT143" i="1"/>
  <c r="AU143" i="1"/>
  <c r="AV143" i="1"/>
  <c r="AW143" i="1"/>
  <c r="AX143" i="1"/>
  <c r="AY143" i="1"/>
  <c r="AZ143" i="1"/>
  <c r="BA143" i="1"/>
  <c r="BB143" i="1"/>
  <c r="BC143" i="1"/>
  <c r="BD143" i="1"/>
  <c r="BE143" i="1"/>
  <c r="BF143" i="1"/>
  <c r="BG143" i="1"/>
  <c r="BH143" i="1"/>
  <c r="BI143" i="1"/>
  <c r="BJ143" i="1"/>
  <c r="BK143" i="1"/>
  <c r="BL143" i="1"/>
  <c r="BM143" i="1"/>
  <c r="BN143" i="1"/>
  <c r="BO143" i="1"/>
  <c r="BP143" i="1"/>
  <c r="BQ143" i="1"/>
  <c r="BR143" i="1"/>
  <c r="BS143" i="1"/>
  <c r="BT143" i="1"/>
  <c r="BU143" i="1"/>
  <c r="BV143" i="1"/>
  <c r="BW143" i="1"/>
  <c r="BX143" i="1"/>
  <c r="BY143" i="1"/>
  <c r="BZ143" i="1"/>
  <c r="CA143" i="1"/>
  <c r="CB143" i="1"/>
  <c r="CC143" i="1"/>
  <c r="B144" i="1"/>
  <c r="C144" i="1"/>
  <c r="D144" i="1"/>
  <c r="E144" i="1"/>
  <c r="F144" i="1"/>
  <c r="G144" i="1"/>
  <c r="H144" i="1"/>
  <c r="I144" i="1"/>
  <c r="J144" i="1"/>
  <c r="K144" i="1"/>
  <c r="L144" i="1"/>
  <c r="M144" i="1"/>
  <c r="N144" i="1"/>
  <c r="O144" i="1"/>
  <c r="P144" i="1"/>
  <c r="Q144" i="1"/>
  <c r="R144" i="1"/>
  <c r="S144" i="1"/>
  <c r="T144" i="1"/>
  <c r="U144" i="1"/>
  <c r="V144" i="1"/>
  <c r="W144" i="1"/>
  <c r="X144" i="1"/>
  <c r="Y144" i="1"/>
  <c r="Z144" i="1"/>
  <c r="AA144" i="1"/>
  <c r="AB144" i="1"/>
  <c r="AC144" i="1"/>
  <c r="AD144" i="1"/>
  <c r="AE144" i="1"/>
  <c r="AF144" i="1"/>
  <c r="AG144" i="1"/>
  <c r="AH144" i="1"/>
  <c r="AI144" i="1"/>
  <c r="AJ144" i="1"/>
  <c r="AK144" i="1"/>
  <c r="AL144" i="1"/>
  <c r="AM144" i="1"/>
  <c r="AN144" i="1"/>
  <c r="AO144" i="1"/>
  <c r="AP144" i="1"/>
  <c r="AQ144" i="1"/>
  <c r="AR144" i="1"/>
  <c r="AS144" i="1"/>
  <c r="AT144" i="1"/>
  <c r="AU144" i="1"/>
  <c r="AV144" i="1"/>
  <c r="AW144" i="1"/>
  <c r="AX144" i="1"/>
  <c r="AY144" i="1"/>
  <c r="AZ144" i="1"/>
  <c r="BA144" i="1"/>
  <c r="BB144" i="1"/>
  <c r="BC144" i="1"/>
  <c r="BD144" i="1"/>
  <c r="BE144" i="1"/>
  <c r="BF144" i="1"/>
  <c r="BG144" i="1"/>
  <c r="BH144" i="1"/>
  <c r="BI144" i="1"/>
  <c r="BJ144" i="1"/>
  <c r="BK144" i="1"/>
  <c r="BL144" i="1"/>
  <c r="BM144" i="1"/>
  <c r="BN144" i="1"/>
  <c r="BO144" i="1"/>
  <c r="BP144" i="1"/>
  <c r="BQ144" i="1"/>
  <c r="BR144" i="1"/>
  <c r="BS144" i="1"/>
  <c r="BT144" i="1"/>
  <c r="BU144" i="1"/>
  <c r="BV144" i="1"/>
  <c r="BW144" i="1"/>
  <c r="BX144" i="1"/>
  <c r="BY144" i="1"/>
  <c r="BZ144" i="1"/>
  <c r="CA144" i="1"/>
  <c r="CB144" i="1"/>
  <c r="CC144" i="1"/>
  <c r="B145" i="1"/>
  <c r="C145" i="1"/>
  <c r="D145" i="1"/>
  <c r="E145" i="1"/>
  <c r="F145" i="1"/>
  <c r="G145" i="1"/>
  <c r="H145" i="1"/>
  <c r="I145" i="1"/>
  <c r="J145" i="1"/>
  <c r="K145" i="1"/>
  <c r="L145" i="1"/>
  <c r="M145" i="1"/>
  <c r="N145" i="1"/>
  <c r="O145" i="1"/>
  <c r="P145" i="1"/>
  <c r="Q145" i="1"/>
  <c r="R145" i="1"/>
  <c r="S145" i="1"/>
  <c r="T145" i="1"/>
  <c r="U145" i="1"/>
  <c r="V145" i="1"/>
  <c r="W145" i="1"/>
  <c r="X145" i="1"/>
  <c r="Y145" i="1"/>
  <c r="Z145" i="1"/>
  <c r="AA145" i="1"/>
  <c r="AB145" i="1"/>
  <c r="AC145" i="1"/>
  <c r="AD145" i="1"/>
  <c r="AE145" i="1"/>
  <c r="AF145" i="1"/>
  <c r="AG145" i="1"/>
  <c r="AH145" i="1"/>
  <c r="AI145" i="1"/>
  <c r="AJ145" i="1"/>
  <c r="AK145" i="1"/>
  <c r="AL145" i="1"/>
  <c r="AM145" i="1"/>
  <c r="AN145" i="1"/>
  <c r="AO145" i="1"/>
  <c r="AP145" i="1"/>
  <c r="AQ145" i="1"/>
  <c r="AR145" i="1"/>
  <c r="AS145" i="1"/>
  <c r="AT145" i="1"/>
  <c r="AU145" i="1"/>
  <c r="AV145" i="1"/>
  <c r="AW145" i="1"/>
  <c r="AX145" i="1"/>
  <c r="AY145" i="1"/>
  <c r="AZ145" i="1"/>
  <c r="BA145" i="1"/>
  <c r="BB145" i="1"/>
  <c r="BC145" i="1"/>
  <c r="BD145" i="1"/>
  <c r="BE145" i="1"/>
  <c r="BF145" i="1"/>
  <c r="BG145" i="1"/>
  <c r="BH145" i="1"/>
  <c r="BI145" i="1"/>
  <c r="BJ145" i="1"/>
  <c r="BK145" i="1"/>
  <c r="BL145" i="1"/>
  <c r="BM145" i="1"/>
  <c r="BN145" i="1"/>
  <c r="BO145" i="1"/>
  <c r="BP145" i="1"/>
  <c r="BQ145" i="1"/>
  <c r="BR145" i="1"/>
  <c r="BS145" i="1"/>
  <c r="BT145" i="1"/>
  <c r="BU145" i="1"/>
  <c r="BV145" i="1"/>
  <c r="BW145" i="1"/>
  <c r="BX145" i="1"/>
  <c r="BY145" i="1"/>
  <c r="BZ145" i="1"/>
  <c r="CA145" i="1"/>
  <c r="CB145" i="1"/>
  <c r="CC145" i="1"/>
  <c r="B146" i="1"/>
  <c r="C146" i="1"/>
  <c r="D146" i="1"/>
  <c r="E146" i="1"/>
  <c r="F146" i="1"/>
  <c r="G146" i="1"/>
  <c r="H146" i="1"/>
  <c r="I146" i="1"/>
  <c r="J146" i="1"/>
  <c r="K146" i="1"/>
  <c r="L146" i="1"/>
  <c r="M146" i="1"/>
  <c r="N146" i="1"/>
  <c r="O146" i="1"/>
  <c r="P146" i="1"/>
  <c r="Q146" i="1"/>
  <c r="R146" i="1"/>
  <c r="S146" i="1"/>
  <c r="T146" i="1"/>
  <c r="U146" i="1"/>
  <c r="V146" i="1"/>
  <c r="W146" i="1"/>
  <c r="X146" i="1"/>
  <c r="Y146" i="1"/>
  <c r="Z146" i="1"/>
  <c r="AA146" i="1"/>
  <c r="AB146" i="1"/>
  <c r="AC146" i="1"/>
  <c r="AD146" i="1"/>
  <c r="AE146" i="1"/>
  <c r="AF146" i="1"/>
  <c r="AG146" i="1"/>
  <c r="AH146" i="1"/>
  <c r="AI146" i="1"/>
  <c r="AJ146" i="1"/>
  <c r="AK146" i="1"/>
  <c r="AL146" i="1"/>
  <c r="AM146" i="1"/>
  <c r="AN146" i="1"/>
  <c r="AO146" i="1"/>
  <c r="AP146" i="1"/>
  <c r="AQ146" i="1"/>
  <c r="AR146" i="1"/>
  <c r="AS146" i="1"/>
  <c r="AT146" i="1"/>
  <c r="AU146" i="1"/>
  <c r="AV146" i="1"/>
  <c r="AW146" i="1"/>
  <c r="AX146" i="1"/>
  <c r="AY146" i="1"/>
  <c r="AZ146" i="1"/>
  <c r="BA146" i="1"/>
  <c r="BB146" i="1"/>
  <c r="BC146" i="1"/>
  <c r="BD146" i="1"/>
  <c r="BE146" i="1"/>
  <c r="BF146" i="1"/>
  <c r="BG146" i="1"/>
  <c r="BH146" i="1"/>
  <c r="BI146" i="1"/>
  <c r="BJ146" i="1"/>
  <c r="BK146" i="1"/>
  <c r="BL146" i="1"/>
  <c r="BM146" i="1"/>
  <c r="BN146" i="1"/>
  <c r="BO146" i="1"/>
  <c r="BP146" i="1"/>
  <c r="BQ146" i="1"/>
  <c r="BR146" i="1"/>
  <c r="BS146" i="1"/>
  <c r="BT146" i="1"/>
  <c r="BU146" i="1"/>
  <c r="BV146" i="1"/>
  <c r="BW146" i="1"/>
  <c r="BX146" i="1"/>
  <c r="BY146" i="1"/>
  <c r="BZ146" i="1"/>
  <c r="CA146" i="1"/>
  <c r="CB146" i="1"/>
  <c r="CC146" i="1"/>
  <c r="B147" i="1"/>
  <c r="C147" i="1"/>
  <c r="D147" i="1"/>
  <c r="E147" i="1"/>
  <c r="F147" i="1"/>
  <c r="G147" i="1"/>
  <c r="H147" i="1"/>
  <c r="I147" i="1"/>
  <c r="J147" i="1"/>
  <c r="K147" i="1"/>
  <c r="L147" i="1"/>
  <c r="M147" i="1"/>
  <c r="N147" i="1"/>
  <c r="O147" i="1"/>
  <c r="P147" i="1"/>
  <c r="Q147" i="1"/>
  <c r="R147" i="1"/>
  <c r="S147" i="1"/>
  <c r="T147" i="1"/>
  <c r="U147" i="1"/>
  <c r="V147" i="1"/>
  <c r="W147" i="1"/>
  <c r="X147" i="1"/>
  <c r="Y147" i="1"/>
  <c r="Z147" i="1"/>
  <c r="AA147" i="1"/>
  <c r="AB147" i="1"/>
  <c r="AC147" i="1"/>
  <c r="AD147" i="1"/>
  <c r="AE147" i="1"/>
  <c r="AF147" i="1"/>
  <c r="AG147" i="1"/>
  <c r="AH147" i="1"/>
  <c r="AI147" i="1"/>
  <c r="AJ147" i="1"/>
  <c r="AK147" i="1"/>
  <c r="AL147" i="1"/>
  <c r="AM147" i="1"/>
  <c r="AN147" i="1"/>
  <c r="AO147" i="1"/>
  <c r="AP147" i="1"/>
  <c r="AQ147" i="1"/>
  <c r="AR147" i="1"/>
  <c r="AS147" i="1"/>
  <c r="AT147" i="1"/>
  <c r="AU147" i="1"/>
  <c r="AV147" i="1"/>
  <c r="AW147" i="1"/>
  <c r="AX147" i="1"/>
  <c r="AY147" i="1"/>
  <c r="AZ147" i="1"/>
  <c r="BA147" i="1"/>
  <c r="BB147" i="1"/>
  <c r="BC147" i="1"/>
  <c r="BD147" i="1"/>
  <c r="BE147" i="1"/>
  <c r="BF147" i="1"/>
  <c r="BG147" i="1"/>
  <c r="BH147" i="1"/>
  <c r="BI147" i="1"/>
  <c r="BJ147" i="1"/>
  <c r="BK147" i="1"/>
  <c r="BL147" i="1"/>
  <c r="BM147" i="1"/>
  <c r="BN147" i="1"/>
  <c r="BO147" i="1"/>
  <c r="BP147" i="1"/>
  <c r="BQ147" i="1"/>
  <c r="BR147" i="1"/>
  <c r="BS147" i="1"/>
  <c r="BT147" i="1"/>
  <c r="BU147" i="1"/>
  <c r="BV147" i="1"/>
  <c r="BW147" i="1"/>
  <c r="BX147" i="1"/>
  <c r="BY147" i="1"/>
  <c r="BZ147" i="1"/>
  <c r="CA147" i="1"/>
  <c r="CB147" i="1"/>
  <c r="CC147" i="1"/>
  <c r="B148" i="1"/>
  <c r="C148" i="1"/>
  <c r="D148" i="1"/>
  <c r="E148" i="1"/>
  <c r="F148" i="1"/>
  <c r="G148" i="1"/>
  <c r="H148" i="1"/>
  <c r="I148" i="1"/>
  <c r="J148" i="1"/>
  <c r="K148" i="1"/>
  <c r="L148" i="1"/>
  <c r="M148" i="1"/>
  <c r="N148" i="1"/>
  <c r="O148" i="1"/>
  <c r="P148" i="1"/>
  <c r="Q148" i="1"/>
  <c r="R148" i="1"/>
  <c r="S148" i="1"/>
  <c r="T148" i="1"/>
  <c r="U148" i="1"/>
  <c r="V148" i="1"/>
  <c r="W148" i="1"/>
  <c r="X148" i="1"/>
  <c r="Y148" i="1"/>
  <c r="Z148" i="1"/>
  <c r="AA148" i="1"/>
  <c r="AB148" i="1"/>
  <c r="AC148" i="1"/>
  <c r="AD148" i="1"/>
  <c r="AE148" i="1"/>
  <c r="AF148" i="1"/>
  <c r="AG148" i="1"/>
  <c r="AH148" i="1"/>
  <c r="AI148" i="1"/>
  <c r="AJ148" i="1"/>
  <c r="AK148" i="1"/>
  <c r="AL148" i="1"/>
  <c r="AM148" i="1"/>
  <c r="AN148" i="1"/>
  <c r="AO148" i="1"/>
  <c r="AP148" i="1"/>
  <c r="AQ148" i="1"/>
  <c r="AR148" i="1"/>
  <c r="AS148" i="1"/>
  <c r="AT148" i="1"/>
  <c r="AU148" i="1"/>
  <c r="AV148" i="1"/>
  <c r="AW148" i="1"/>
  <c r="AX148" i="1"/>
  <c r="AY148" i="1"/>
  <c r="AZ148" i="1"/>
  <c r="BA148" i="1"/>
  <c r="BB148" i="1"/>
  <c r="BC148" i="1"/>
  <c r="BD148" i="1"/>
  <c r="BE148" i="1"/>
  <c r="BF148" i="1"/>
  <c r="BG148" i="1"/>
  <c r="BH148" i="1"/>
  <c r="BI148" i="1"/>
  <c r="BJ148" i="1"/>
  <c r="BK148" i="1"/>
  <c r="BL148" i="1"/>
  <c r="BM148" i="1"/>
  <c r="BN148" i="1"/>
  <c r="BO148" i="1"/>
  <c r="BP148" i="1"/>
  <c r="BQ148" i="1"/>
  <c r="BR148" i="1"/>
  <c r="BS148" i="1"/>
  <c r="BT148" i="1"/>
  <c r="BU148" i="1"/>
  <c r="BV148" i="1"/>
  <c r="BW148" i="1"/>
  <c r="BX148" i="1"/>
  <c r="BY148" i="1"/>
  <c r="BZ148" i="1"/>
  <c r="CA148" i="1"/>
  <c r="CB148" i="1"/>
  <c r="CC148" i="1"/>
  <c r="B149" i="1"/>
  <c r="C149" i="1"/>
  <c r="D149" i="1"/>
  <c r="E149" i="1"/>
  <c r="F149" i="1"/>
  <c r="G149" i="1"/>
  <c r="H149" i="1"/>
  <c r="I149" i="1"/>
  <c r="J149" i="1"/>
  <c r="K149" i="1"/>
  <c r="L149" i="1"/>
  <c r="M149" i="1"/>
  <c r="N149" i="1"/>
  <c r="O149" i="1"/>
  <c r="P149" i="1"/>
  <c r="Q149" i="1"/>
  <c r="R149" i="1"/>
  <c r="S149" i="1"/>
  <c r="T149" i="1"/>
  <c r="U149" i="1"/>
  <c r="V149" i="1"/>
  <c r="W149" i="1"/>
  <c r="X149" i="1"/>
  <c r="Y149" i="1"/>
  <c r="Z149" i="1"/>
  <c r="AA149" i="1"/>
  <c r="AB149" i="1"/>
  <c r="AC149" i="1"/>
  <c r="AD149" i="1"/>
  <c r="AE149" i="1"/>
  <c r="AF149" i="1"/>
  <c r="AG149" i="1"/>
  <c r="AH149" i="1"/>
  <c r="AI149" i="1"/>
  <c r="AJ149" i="1"/>
  <c r="AK149" i="1"/>
  <c r="AL149" i="1"/>
  <c r="AM149" i="1"/>
  <c r="AN149" i="1"/>
  <c r="AO149" i="1"/>
  <c r="AP149" i="1"/>
  <c r="AQ149" i="1"/>
  <c r="AR149" i="1"/>
  <c r="AS149" i="1"/>
  <c r="AT149" i="1"/>
  <c r="AU149" i="1"/>
  <c r="AV149" i="1"/>
  <c r="AW149" i="1"/>
  <c r="AX149" i="1"/>
  <c r="AY149" i="1"/>
  <c r="AZ149" i="1"/>
  <c r="BA149" i="1"/>
  <c r="BB149" i="1"/>
  <c r="BC149" i="1"/>
  <c r="BD149" i="1"/>
  <c r="BE149" i="1"/>
  <c r="BF149" i="1"/>
  <c r="BG149" i="1"/>
  <c r="BH149" i="1"/>
  <c r="BI149" i="1"/>
  <c r="BJ149" i="1"/>
  <c r="BK149" i="1"/>
  <c r="BL149" i="1"/>
  <c r="BM149" i="1"/>
  <c r="BN149" i="1"/>
  <c r="BO149" i="1"/>
  <c r="BP149" i="1"/>
  <c r="BQ149" i="1"/>
  <c r="BR149" i="1"/>
  <c r="BS149" i="1"/>
  <c r="BT149" i="1"/>
  <c r="BU149" i="1"/>
  <c r="BV149" i="1"/>
  <c r="BW149" i="1"/>
  <c r="BX149" i="1"/>
  <c r="BY149" i="1"/>
  <c r="BZ149" i="1"/>
  <c r="CA149" i="1"/>
  <c r="CB149" i="1"/>
  <c r="CC149" i="1"/>
  <c r="B150" i="1"/>
  <c r="C150" i="1"/>
  <c r="D150" i="1"/>
  <c r="E150" i="1"/>
  <c r="F150" i="1"/>
  <c r="G150" i="1"/>
  <c r="H150" i="1"/>
  <c r="I150" i="1"/>
  <c r="J150" i="1"/>
  <c r="K150" i="1"/>
  <c r="L150" i="1"/>
  <c r="M150" i="1"/>
  <c r="N150" i="1"/>
  <c r="O150" i="1"/>
  <c r="P150" i="1"/>
  <c r="Q150" i="1"/>
  <c r="R150" i="1"/>
  <c r="S150" i="1"/>
  <c r="T150" i="1"/>
  <c r="U150" i="1"/>
  <c r="V150" i="1"/>
  <c r="W150" i="1"/>
  <c r="X150" i="1"/>
  <c r="Y150" i="1"/>
  <c r="Z150" i="1"/>
  <c r="AA150" i="1"/>
  <c r="AB150" i="1"/>
  <c r="AC150" i="1"/>
  <c r="AD150" i="1"/>
  <c r="AE150" i="1"/>
  <c r="AF150" i="1"/>
  <c r="AG150" i="1"/>
  <c r="AH150" i="1"/>
  <c r="AI150" i="1"/>
  <c r="AJ150" i="1"/>
  <c r="AK150" i="1"/>
  <c r="AL150" i="1"/>
  <c r="AM150" i="1"/>
  <c r="AN150" i="1"/>
  <c r="AO150" i="1"/>
  <c r="AP150" i="1"/>
  <c r="AQ150" i="1"/>
  <c r="AR150" i="1"/>
  <c r="AS150" i="1"/>
  <c r="AT150" i="1"/>
  <c r="AU150" i="1"/>
  <c r="AV150" i="1"/>
  <c r="AW150" i="1"/>
  <c r="AX150" i="1"/>
  <c r="AY150" i="1"/>
  <c r="AZ150" i="1"/>
  <c r="BA150" i="1"/>
  <c r="BB150" i="1"/>
  <c r="BC150" i="1"/>
  <c r="BD150" i="1"/>
  <c r="BE150" i="1"/>
  <c r="BF150" i="1"/>
  <c r="BG150" i="1"/>
  <c r="BH150" i="1"/>
  <c r="BI150" i="1"/>
  <c r="BJ150" i="1"/>
  <c r="BK150" i="1"/>
  <c r="BL150" i="1"/>
  <c r="BM150" i="1"/>
  <c r="BN150" i="1"/>
  <c r="BO150" i="1"/>
  <c r="BP150" i="1"/>
  <c r="BQ150" i="1"/>
  <c r="BR150" i="1"/>
  <c r="BS150" i="1"/>
  <c r="BT150" i="1"/>
  <c r="BU150" i="1"/>
  <c r="BV150" i="1"/>
  <c r="BW150" i="1"/>
  <c r="BX150" i="1"/>
  <c r="BY150" i="1"/>
  <c r="BZ150" i="1"/>
  <c r="CA150" i="1"/>
  <c r="CB150" i="1"/>
  <c r="CC150" i="1"/>
  <c r="B151" i="1"/>
  <c r="C151" i="1"/>
  <c r="D151" i="1"/>
  <c r="E151" i="1"/>
  <c r="F151" i="1"/>
  <c r="G151" i="1"/>
  <c r="H151" i="1"/>
  <c r="I151" i="1"/>
  <c r="J151" i="1"/>
  <c r="K151" i="1"/>
  <c r="L151" i="1"/>
  <c r="M151" i="1"/>
  <c r="N151" i="1"/>
  <c r="O151" i="1"/>
  <c r="P151" i="1"/>
  <c r="Q151" i="1"/>
  <c r="R151" i="1"/>
  <c r="S151" i="1"/>
  <c r="T151" i="1"/>
  <c r="U151" i="1"/>
  <c r="V151" i="1"/>
  <c r="W151" i="1"/>
  <c r="X151" i="1"/>
  <c r="Y151" i="1"/>
  <c r="Z151" i="1"/>
  <c r="AA151" i="1"/>
  <c r="AB151" i="1"/>
  <c r="AC151" i="1"/>
  <c r="AD151" i="1"/>
  <c r="AE151" i="1"/>
  <c r="AF151" i="1"/>
  <c r="AG151" i="1"/>
  <c r="AH151" i="1"/>
  <c r="AI151" i="1"/>
  <c r="AJ151" i="1"/>
  <c r="AK151" i="1"/>
  <c r="AL151" i="1"/>
  <c r="AM151" i="1"/>
  <c r="AN151" i="1"/>
  <c r="AO151" i="1"/>
  <c r="AP151" i="1"/>
  <c r="AQ151" i="1"/>
  <c r="AR151" i="1"/>
  <c r="AS151" i="1"/>
  <c r="AT151" i="1"/>
  <c r="AU151" i="1"/>
  <c r="AV151" i="1"/>
  <c r="AW151" i="1"/>
  <c r="AX151" i="1"/>
  <c r="AY151" i="1"/>
  <c r="AZ151" i="1"/>
  <c r="BA151" i="1"/>
  <c r="BB151" i="1"/>
  <c r="BC151" i="1"/>
  <c r="BD151" i="1"/>
  <c r="BE151" i="1"/>
  <c r="BF151" i="1"/>
  <c r="BG151" i="1"/>
  <c r="BH151" i="1"/>
  <c r="BI151" i="1"/>
  <c r="BJ151" i="1"/>
  <c r="BK151" i="1"/>
  <c r="BL151" i="1"/>
  <c r="BM151" i="1"/>
  <c r="BN151" i="1"/>
  <c r="BO151" i="1"/>
  <c r="BP151" i="1"/>
  <c r="BQ151" i="1"/>
  <c r="BR151" i="1"/>
  <c r="BS151" i="1"/>
  <c r="BT151" i="1"/>
  <c r="BU151" i="1"/>
  <c r="BV151" i="1"/>
  <c r="BW151" i="1"/>
  <c r="BX151" i="1"/>
  <c r="BY151" i="1"/>
  <c r="BZ151" i="1"/>
  <c r="CA151" i="1"/>
  <c r="CB151" i="1"/>
  <c r="CC151" i="1"/>
  <c r="B152" i="1"/>
  <c r="C152" i="1"/>
  <c r="D152" i="1"/>
  <c r="E152" i="1"/>
  <c r="F152" i="1"/>
  <c r="G152" i="1"/>
  <c r="H152" i="1"/>
  <c r="I152" i="1"/>
  <c r="J152" i="1"/>
  <c r="K152" i="1"/>
  <c r="L152" i="1"/>
  <c r="M152" i="1"/>
  <c r="N152" i="1"/>
  <c r="O152" i="1"/>
  <c r="P152" i="1"/>
  <c r="Q152" i="1"/>
  <c r="R152" i="1"/>
  <c r="S152" i="1"/>
  <c r="T152" i="1"/>
  <c r="U152" i="1"/>
  <c r="V152" i="1"/>
  <c r="W152" i="1"/>
  <c r="X152" i="1"/>
  <c r="Y152" i="1"/>
  <c r="Z152" i="1"/>
  <c r="AA152" i="1"/>
  <c r="AB152" i="1"/>
  <c r="AC152" i="1"/>
  <c r="AD152" i="1"/>
  <c r="AE152" i="1"/>
  <c r="AF152" i="1"/>
  <c r="AG152" i="1"/>
  <c r="AH152" i="1"/>
  <c r="AI152" i="1"/>
  <c r="AJ152" i="1"/>
  <c r="AK152" i="1"/>
  <c r="AL152" i="1"/>
  <c r="AM152" i="1"/>
  <c r="AN152" i="1"/>
  <c r="AO152" i="1"/>
  <c r="AP152" i="1"/>
  <c r="AQ152" i="1"/>
  <c r="AR152" i="1"/>
  <c r="AS152" i="1"/>
  <c r="AT152" i="1"/>
  <c r="AU152" i="1"/>
  <c r="AV152" i="1"/>
  <c r="AW152" i="1"/>
  <c r="AX152" i="1"/>
  <c r="AY152" i="1"/>
  <c r="AZ152" i="1"/>
  <c r="BA152" i="1"/>
  <c r="BB152" i="1"/>
  <c r="BC152" i="1"/>
  <c r="BD152" i="1"/>
  <c r="BE152" i="1"/>
  <c r="BF152" i="1"/>
  <c r="BG152" i="1"/>
  <c r="BH152" i="1"/>
  <c r="BI152" i="1"/>
  <c r="BJ152" i="1"/>
  <c r="BK152" i="1"/>
  <c r="BL152" i="1"/>
  <c r="BM152" i="1"/>
  <c r="BN152" i="1"/>
  <c r="BO152" i="1"/>
  <c r="BP152" i="1"/>
  <c r="BQ152" i="1"/>
  <c r="BR152" i="1"/>
  <c r="BS152" i="1"/>
  <c r="BT152" i="1"/>
  <c r="BU152" i="1"/>
  <c r="BV152" i="1"/>
  <c r="BW152" i="1"/>
  <c r="BX152" i="1"/>
  <c r="BY152" i="1"/>
  <c r="BZ152" i="1"/>
  <c r="CA152" i="1"/>
  <c r="CB152" i="1"/>
  <c r="CC152" i="1"/>
  <c r="B153" i="1"/>
  <c r="C153" i="1"/>
  <c r="D153" i="1"/>
  <c r="E153" i="1"/>
  <c r="F153" i="1"/>
  <c r="G153" i="1"/>
  <c r="H153" i="1"/>
  <c r="I153" i="1"/>
  <c r="J153" i="1"/>
  <c r="K153" i="1"/>
  <c r="L153" i="1"/>
  <c r="M153" i="1"/>
  <c r="N153" i="1"/>
  <c r="O153" i="1"/>
  <c r="P153" i="1"/>
  <c r="Q153" i="1"/>
  <c r="R153" i="1"/>
  <c r="S153" i="1"/>
  <c r="T153" i="1"/>
  <c r="U153" i="1"/>
  <c r="V153" i="1"/>
  <c r="W153" i="1"/>
  <c r="X153" i="1"/>
  <c r="Y153" i="1"/>
  <c r="Z153" i="1"/>
  <c r="AA153" i="1"/>
  <c r="AB153" i="1"/>
  <c r="AC153" i="1"/>
  <c r="AD153" i="1"/>
  <c r="AE153" i="1"/>
  <c r="AF153" i="1"/>
  <c r="AG153" i="1"/>
  <c r="AH153" i="1"/>
  <c r="AI153" i="1"/>
  <c r="AJ153" i="1"/>
  <c r="AK153" i="1"/>
  <c r="AL153" i="1"/>
  <c r="AM153" i="1"/>
  <c r="AN153" i="1"/>
  <c r="AO153" i="1"/>
  <c r="AP153" i="1"/>
  <c r="AQ153" i="1"/>
  <c r="AR153" i="1"/>
  <c r="AS153" i="1"/>
  <c r="AT153" i="1"/>
  <c r="AU153" i="1"/>
  <c r="AV153" i="1"/>
  <c r="AW153" i="1"/>
  <c r="AX153" i="1"/>
  <c r="AY153" i="1"/>
  <c r="AZ153" i="1"/>
  <c r="BA153" i="1"/>
  <c r="BB153" i="1"/>
  <c r="BC153" i="1"/>
  <c r="BD153" i="1"/>
  <c r="BE153" i="1"/>
  <c r="BF153" i="1"/>
  <c r="BG153" i="1"/>
  <c r="BH153" i="1"/>
  <c r="BI153" i="1"/>
  <c r="BJ153" i="1"/>
  <c r="BK153" i="1"/>
  <c r="BL153" i="1"/>
  <c r="BM153" i="1"/>
  <c r="BN153" i="1"/>
  <c r="BO153" i="1"/>
  <c r="BP153" i="1"/>
  <c r="BQ153" i="1"/>
  <c r="BR153" i="1"/>
  <c r="BS153" i="1"/>
  <c r="BT153" i="1"/>
  <c r="BU153" i="1"/>
  <c r="BV153" i="1"/>
  <c r="BW153" i="1"/>
  <c r="BX153" i="1"/>
  <c r="BY153" i="1"/>
  <c r="BZ153" i="1"/>
  <c r="CA153" i="1"/>
  <c r="CB153" i="1"/>
  <c r="CC153" i="1"/>
  <c r="B154" i="1"/>
  <c r="C154" i="1"/>
  <c r="D154" i="1"/>
  <c r="E154" i="1"/>
  <c r="F154" i="1"/>
  <c r="G154" i="1"/>
  <c r="H154" i="1"/>
  <c r="I154" i="1"/>
  <c r="J154" i="1"/>
  <c r="K154" i="1"/>
  <c r="L154" i="1"/>
  <c r="M154" i="1"/>
  <c r="N154" i="1"/>
  <c r="O154" i="1"/>
  <c r="P154" i="1"/>
  <c r="Q154" i="1"/>
  <c r="R154" i="1"/>
  <c r="S154" i="1"/>
  <c r="T154" i="1"/>
  <c r="U154" i="1"/>
  <c r="V154" i="1"/>
  <c r="W154" i="1"/>
  <c r="X154" i="1"/>
  <c r="Y154" i="1"/>
  <c r="Z154" i="1"/>
  <c r="AA154" i="1"/>
  <c r="AB154" i="1"/>
  <c r="AC154" i="1"/>
  <c r="AD154" i="1"/>
  <c r="AE154" i="1"/>
  <c r="AF154" i="1"/>
  <c r="AG154" i="1"/>
  <c r="AH154" i="1"/>
  <c r="AI154" i="1"/>
  <c r="AJ154" i="1"/>
  <c r="AK154" i="1"/>
  <c r="AL154" i="1"/>
  <c r="AM154" i="1"/>
  <c r="AN154" i="1"/>
  <c r="AO154" i="1"/>
  <c r="AP154" i="1"/>
  <c r="AQ154" i="1"/>
  <c r="AR154" i="1"/>
  <c r="AS154" i="1"/>
  <c r="AT154" i="1"/>
  <c r="AU154" i="1"/>
  <c r="AV154" i="1"/>
  <c r="AW154" i="1"/>
  <c r="AX154" i="1"/>
  <c r="AY154" i="1"/>
  <c r="AZ154" i="1"/>
  <c r="BA154" i="1"/>
  <c r="BB154" i="1"/>
  <c r="BC154" i="1"/>
  <c r="BD154" i="1"/>
  <c r="BE154" i="1"/>
  <c r="BF154" i="1"/>
  <c r="BG154" i="1"/>
  <c r="BH154" i="1"/>
  <c r="BI154" i="1"/>
  <c r="BJ154" i="1"/>
  <c r="BK154" i="1"/>
  <c r="BL154" i="1"/>
  <c r="BM154" i="1"/>
  <c r="BN154" i="1"/>
  <c r="BO154" i="1"/>
  <c r="BP154" i="1"/>
  <c r="BQ154" i="1"/>
  <c r="BR154" i="1"/>
  <c r="BS154" i="1"/>
  <c r="BT154" i="1"/>
  <c r="BU154" i="1"/>
  <c r="BV154" i="1"/>
  <c r="BW154" i="1"/>
  <c r="BX154" i="1"/>
  <c r="BY154" i="1"/>
  <c r="BZ154" i="1"/>
  <c r="CA154" i="1"/>
  <c r="CB154" i="1"/>
  <c r="CC154" i="1"/>
  <c r="B155" i="1"/>
  <c r="C155" i="1"/>
  <c r="D155" i="1"/>
  <c r="E155" i="1"/>
  <c r="F155" i="1"/>
  <c r="G155" i="1"/>
  <c r="H155" i="1"/>
  <c r="I155" i="1"/>
  <c r="J155" i="1"/>
  <c r="K155" i="1"/>
  <c r="L155" i="1"/>
  <c r="M155" i="1"/>
  <c r="N155" i="1"/>
  <c r="O155" i="1"/>
  <c r="P155" i="1"/>
  <c r="Q155" i="1"/>
  <c r="R155" i="1"/>
  <c r="S155" i="1"/>
  <c r="T155" i="1"/>
  <c r="U155" i="1"/>
  <c r="V155" i="1"/>
  <c r="W155" i="1"/>
  <c r="X155" i="1"/>
  <c r="Y155" i="1"/>
  <c r="Z155" i="1"/>
  <c r="AA155" i="1"/>
  <c r="AB155" i="1"/>
  <c r="AC155" i="1"/>
  <c r="AD155" i="1"/>
  <c r="AE155" i="1"/>
  <c r="AF155" i="1"/>
  <c r="AG155" i="1"/>
  <c r="AH155" i="1"/>
  <c r="AI155" i="1"/>
  <c r="AJ155" i="1"/>
  <c r="AK155" i="1"/>
  <c r="AL155" i="1"/>
  <c r="AM155" i="1"/>
  <c r="AN155" i="1"/>
  <c r="AO155" i="1"/>
  <c r="AP155" i="1"/>
  <c r="AQ155" i="1"/>
  <c r="AR155" i="1"/>
  <c r="AS155" i="1"/>
  <c r="AT155" i="1"/>
  <c r="AU155" i="1"/>
  <c r="AV155" i="1"/>
  <c r="AW155" i="1"/>
  <c r="AX155" i="1"/>
  <c r="AY155" i="1"/>
  <c r="AZ155" i="1"/>
  <c r="BA155" i="1"/>
  <c r="BB155" i="1"/>
  <c r="BC155" i="1"/>
  <c r="BD155" i="1"/>
  <c r="BE155" i="1"/>
  <c r="BF155" i="1"/>
  <c r="BG155" i="1"/>
  <c r="BH155" i="1"/>
  <c r="BI155" i="1"/>
  <c r="BJ155" i="1"/>
  <c r="BK155" i="1"/>
  <c r="BL155" i="1"/>
  <c r="BM155" i="1"/>
  <c r="BN155" i="1"/>
  <c r="BO155" i="1"/>
  <c r="BP155" i="1"/>
  <c r="BQ155" i="1"/>
  <c r="BR155" i="1"/>
  <c r="BS155" i="1"/>
  <c r="BT155" i="1"/>
  <c r="BU155" i="1"/>
  <c r="BV155" i="1"/>
  <c r="BW155" i="1"/>
  <c r="BX155" i="1"/>
  <c r="BY155" i="1"/>
  <c r="BZ155" i="1"/>
  <c r="CA155" i="1"/>
  <c r="CB155" i="1"/>
  <c r="CC155" i="1"/>
  <c r="B156" i="1"/>
  <c r="C156" i="1"/>
  <c r="D156" i="1"/>
  <c r="E156" i="1"/>
  <c r="F156" i="1"/>
  <c r="G156" i="1"/>
  <c r="H156" i="1"/>
  <c r="I156" i="1"/>
  <c r="J156" i="1"/>
  <c r="K156" i="1"/>
  <c r="L156" i="1"/>
  <c r="M156" i="1"/>
  <c r="N156" i="1"/>
  <c r="O156" i="1"/>
  <c r="P156" i="1"/>
  <c r="Q156" i="1"/>
  <c r="R156" i="1"/>
  <c r="S156" i="1"/>
  <c r="T156" i="1"/>
  <c r="U156" i="1"/>
  <c r="V156" i="1"/>
  <c r="W156" i="1"/>
  <c r="X156" i="1"/>
  <c r="Y156" i="1"/>
  <c r="Z156" i="1"/>
  <c r="AA156" i="1"/>
  <c r="AB156" i="1"/>
  <c r="AC156" i="1"/>
  <c r="AD156" i="1"/>
  <c r="AE156" i="1"/>
  <c r="AF156" i="1"/>
  <c r="AG156" i="1"/>
  <c r="AH156" i="1"/>
  <c r="AI156" i="1"/>
  <c r="AJ156" i="1"/>
  <c r="AK156" i="1"/>
  <c r="AL156" i="1"/>
  <c r="AM156" i="1"/>
  <c r="AN156" i="1"/>
  <c r="AO156" i="1"/>
  <c r="AP156" i="1"/>
  <c r="AQ156" i="1"/>
  <c r="AR156" i="1"/>
  <c r="AS156" i="1"/>
  <c r="AT156" i="1"/>
  <c r="AU156" i="1"/>
  <c r="AV156" i="1"/>
  <c r="AW156" i="1"/>
  <c r="AX156" i="1"/>
  <c r="AY156" i="1"/>
  <c r="AZ156" i="1"/>
  <c r="BA156" i="1"/>
  <c r="BB156" i="1"/>
  <c r="BC156" i="1"/>
  <c r="BD156" i="1"/>
  <c r="BE156" i="1"/>
  <c r="BF156" i="1"/>
  <c r="BG156" i="1"/>
  <c r="BH156" i="1"/>
  <c r="BI156" i="1"/>
  <c r="BJ156" i="1"/>
  <c r="BK156" i="1"/>
  <c r="BL156" i="1"/>
  <c r="BM156" i="1"/>
  <c r="BN156" i="1"/>
  <c r="BO156" i="1"/>
  <c r="BP156" i="1"/>
  <c r="BQ156" i="1"/>
  <c r="BR156" i="1"/>
  <c r="BS156" i="1"/>
  <c r="BT156" i="1"/>
  <c r="BU156" i="1"/>
  <c r="BV156" i="1"/>
  <c r="BW156" i="1"/>
  <c r="BX156" i="1"/>
  <c r="BY156" i="1"/>
  <c r="BZ156" i="1"/>
  <c r="CA156" i="1"/>
  <c r="CB156" i="1"/>
  <c r="CC156" i="1"/>
  <c r="B157" i="1"/>
  <c r="C157" i="1"/>
  <c r="D157" i="1"/>
  <c r="E157" i="1"/>
  <c r="F157" i="1"/>
  <c r="G157" i="1"/>
  <c r="H157" i="1"/>
  <c r="I157" i="1"/>
  <c r="J157" i="1"/>
  <c r="K157" i="1"/>
  <c r="L157" i="1"/>
  <c r="M157" i="1"/>
  <c r="N157" i="1"/>
  <c r="O157" i="1"/>
  <c r="P157" i="1"/>
  <c r="Q157" i="1"/>
  <c r="R157" i="1"/>
  <c r="S157" i="1"/>
  <c r="T157" i="1"/>
  <c r="U157" i="1"/>
  <c r="V157" i="1"/>
  <c r="W157" i="1"/>
  <c r="X157" i="1"/>
  <c r="Y157" i="1"/>
  <c r="Z157" i="1"/>
  <c r="AA157" i="1"/>
  <c r="AB157" i="1"/>
  <c r="AC157" i="1"/>
  <c r="AD157" i="1"/>
  <c r="AE157" i="1"/>
  <c r="AF157" i="1"/>
  <c r="AG157" i="1"/>
  <c r="AH157" i="1"/>
  <c r="AI157" i="1"/>
  <c r="AJ157" i="1"/>
  <c r="AK157" i="1"/>
  <c r="AL157" i="1"/>
  <c r="AM157" i="1"/>
  <c r="AN157" i="1"/>
  <c r="AO157" i="1"/>
  <c r="AP157" i="1"/>
  <c r="AQ157" i="1"/>
  <c r="AR157" i="1"/>
  <c r="AS157" i="1"/>
  <c r="AT157" i="1"/>
  <c r="AU157" i="1"/>
  <c r="AV157" i="1"/>
  <c r="AW157" i="1"/>
  <c r="AX157" i="1"/>
  <c r="AY157" i="1"/>
  <c r="AZ157" i="1"/>
  <c r="BA157" i="1"/>
  <c r="BB157" i="1"/>
  <c r="BC157" i="1"/>
  <c r="BD157" i="1"/>
  <c r="BE157" i="1"/>
  <c r="BF157" i="1"/>
  <c r="BG157" i="1"/>
  <c r="BH157" i="1"/>
  <c r="BI157" i="1"/>
  <c r="BJ157" i="1"/>
  <c r="BK157" i="1"/>
  <c r="BL157" i="1"/>
  <c r="BM157" i="1"/>
  <c r="BN157" i="1"/>
  <c r="BO157" i="1"/>
  <c r="BP157" i="1"/>
  <c r="BQ157" i="1"/>
  <c r="BR157" i="1"/>
  <c r="BS157" i="1"/>
  <c r="BT157" i="1"/>
  <c r="BU157" i="1"/>
  <c r="BV157" i="1"/>
  <c r="BW157" i="1"/>
  <c r="BX157" i="1"/>
  <c r="BY157" i="1"/>
  <c r="BZ157" i="1"/>
  <c r="CA157" i="1"/>
  <c r="CB157" i="1"/>
  <c r="CC157" i="1"/>
  <c r="B158" i="1"/>
  <c r="C158" i="1"/>
  <c r="D158" i="1"/>
  <c r="E158" i="1"/>
  <c r="F158" i="1"/>
  <c r="G158" i="1"/>
  <c r="H158" i="1"/>
  <c r="I158" i="1"/>
  <c r="J158" i="1"/>
  <c r="K158" i="1"/>
  <c r="L158" i="1"/>
  <c r="M158" i="1"/>
  <c r="N158" i="1"/>
  <c r="O158" i="1"/>
  <c r="P158" i="1"/>
  <c r="Q158" i="1"/>
  <c r="R158" i="1"/>
  <c r="S158" i="1"/>
  <c r="T158" i="1"/>
  <c r="U158" i="1"/>
  <c r="V158" i="1"/>
  <c r="W158" i="1"/>
  <c r="X158" i="1"/>
  <c r="Y158" i="1"/>
  <c r="Z158" i="1"/>
  <c r="AA158" i="1"/>
  <c r="AB158" i="1"/>
  <c r="AC158" i="1"/>
  <c r="AD158" i="1"/>
  <c r="AE158" i="1"/>
  <c r="AF158" i="1"/>
  <c r="AG158" i="1"/>
  <c r="AH158" i="1"/>
  <c r="AI158" i="1"/>
  <c r="AJ158" i="1"/>
  <c r="AK158" i="1"/>
  <c r="AL158" i="1"/>
  <c r="AM158" i="1"/>
  <c r="AN158" i="1"/>
  <c r="AO158" i="1"/>
  <c r="AP158" i="1"/>
  <c r="AQ158" i="1"/>
  <c r="AR158" i="1"/>
  <c r="AS158" i="1"/>
  <c r="AT158" i="1"/>
  <c r="AU158" i="1"/>
  <c r="AV158" i="1"/>
  <c r="AW158" i="1"/>
  <c r="AX158" i="1"/>
  <c r="AY158" i="1"/>
  <c r="AZ158" i="1"/>
  <c r="BA158" i="1"/>
  <c r="BB158" i="1"/>
  <c r="BC158" i="1"/>
  <c r="BD158" i="1"/>
  <c r="BE158" i="1"/>
  <c r="BF158" i="1"/>
  <c r="BG158" i="1"/>
  <c r="BH158" i="1"/>
  <c r="BI158" i="1"/>
  <c r="BJ158" i="1"/>
  <c r="BK158" i="1"/>
  <c r="BL158" i="1"/>
  <c r="BM158" i="1"/>
  <c r="BN158" i="1"/>
  <c r="BO158" i="1"/>
  <c r="BP158" i="1"/>
  <c r="BQ158" i="1"/>
  <c r="BR158" i="1"/>
  <c r="BS158" i="1"/>
  <c r="BT158" i="1"/>
  <c r="BU158" i="1"/>
  <c r="BV158" i="1"/>
  <c r="BW158" i="1"/>
  <c r="BX158" i="1"/>
  <c r="BY158" i="1"/>
  <c r="BZ158" i="1"/>
  <c r="CA158" i="1"/>
  <c r="CB158" i="1"/>
  <c r="CC158" i="1"/>
  <c r="B159" i="1"/>
  <c r="C159" i="1"/>
  <c r="D159" i="1"/>
  <c r="E159" i="1"/>
  <c r="F159" i="1"/>
  <c r="G159" i="1"/>
  <c r="H159" i="1"/>
  <c r="I159" i="1"/>
  <c r="J159" i="1"/>
  <c r="K159" i="1"/>
  <c r="L159" i="1"/>
  <c r="M159" i="1"/>
  <c r="N159" i="1"/>
  <c r="O159" i="1"/>
  <c r="P159" i="1"/>
  <c r="Q159" i="1"/>
  <c r="R159" i="1"/>
  <c r="S159" i="1"/>
  <c r="T159" i="1"/>
  <c r="U159" i="1"/>
  <c r="V159" i="1"/>
  <c r="W159" i="1"/>
  <c r="X159" i="1"/>
  <c r="Y159" i="1"/>
  <c r="Z159" i="1"/>
  <c r="AA159" i="1"/>
  <c r="AB159" i="1"/>
  <c r="AC159" i="1"/>
  <c r="AD159" i="1"/>
  <c r="AE159" i="1"/>
  <c r="AF159" i="1"/>
  <c r="AG159" i="1"/>
  <c r="AH159" i="1"/>
  <c r="AI159" i="1"/>
  <c r="AJ159" i="1"/>
  <c r="AK159" i="1"/>
  <c r="AL159" i="1"/>
  <c r="AM159" i="1"/>
  <c r="AN159" i="1"/>
  <c r="AO159" i="1"/>
  <c r="AP159" i="1"/>
  <c r="AQ159" i="1"/>
  <c r="AR159" i="1"/>
  <c r="AS159" i="1"/>
  <c r="AT159" i="1"/>
  <c r="AU159" i="1"/>
  <c r="AV159" i="1"/>
  <c r="AW159" i="1"/>
  <c r="AX159" i="1"/>
  <c r="AY159" i="1"/>
  <c r="AZ159" i="1"/>
  <c r="BA159" i="1"/>
  <c r="BB159" i="1"/>
  <c r="BC159" i="1"/>
  <c r="BD159" i="1"/>
  <c r="BE159" i="1"/>
  <c r="BF159" i="1"/>
  <c r="BG159" i="1"/>
  <c r="BH159" i="1"/>
  <c r="BI159" i="1"/>
  <c r="BJ159" i="1"/>
  <c r="BK159" i="1"/>
  <c r="BL159" i="1"/>
  <c r="BM159" i="1"/>
  <c r="BN159" i="1"/>
  <c r="BO159" i="1"/>
  <c r="BP159" i="1"/>
  <c r="BQ159" i="1"/>
  <c r="BR159" i="1"/>
  <c r="BS159" i="1"/>
  <c r="BT159" i="1"/>
  <c r="BU159" i="1"/>
  <c r="BV159" i="1"/>
  <c r="BW159" i="1"/>
  <c r="BX159" i="1"/>
  <c r="BY159" i="1"/>
  <c r="BZ159" i="1"/>
  <c r="CA159" i="1"/>
  <c r="CB159" i="1"/>
  <c r="CC159" i="1"/>
  <c r="B160" i="1"/>
  <c r="C160" i="1"/>
  <c r="D160" i="1"/>
  <c r="E160" i="1"/>
  <c r="F160" i="1"/>
  <c r="G160" i="1"/>
  <c r="H160" i="1"/>
  <c r="I160" i="1"/>
  <c r="J160" i="1"/>
  <c r="K160" i="1"/>
  <c r="L160" i="1"/>
  <c r="M160" i="1"/>
  <c r="N160" i="1"/>
  <c r="O160" i="1"/>
  <c r="P160" i="1"/>
  <c r="Q160" i="1"/>
  <c r="R160" i="1"/>
  <c r="S160" i="1"/>
  <c r="T160" i="1"/>
  <c r="U160" i="1"/>
  <c r="V160" i="1"/>
  <c r="W160" i="1"/>
  <c r="X160" i="1"/>
  <c r="Y160" i="1"/>
  <c r="Z160" i="1"/>
  <c r="AA160" i="1"/>
  <c r="AB160" i="1"/>
  <c r="AC160" i="1"/>
  <c r="AD160" i="1"/>
  <c r="AE160" i="1"/>
  <c r="AF160" i="1"/>
  <c r="AG160" i="1"/>
  <c r="AH160" i="1"/>
  <c r="AI160" i="1"/>
  <c r="AJ160" i="1"/>
  <c r="AK160" i="1"/>
  <c r="AL160" i="1"/>
  <c r="AM160" i="1"/>
  <c r="AN160" i="1"/>
  <c r="AO160" i="1"/>
  <c r="AP160" i="1"/>
  <c r="AQ160" i="1"/>
  <c r="AR160" i="1"/>
  <c r="AS160" i="1"/>
  <c r="AT160" i="1"/>
  <c r="AU160" i="1"/>
  <c r="AV160" i="1"/>
  <c r="AW160" i="1"/>
  <c r="AX160" i="1"/>
  <c r="AY160" i="1"/>
  <c r="AZ160" i="1"/>
  <c r="BA160" i="1"/>
  <c r="BB160" i="1"/>
  <c r="BC160" i="1"/>
  <c r="BD160" i="1"/>
  <c r="BE160" i="1"/>
  <c r="BF160" i="1"/>
  <c r="BG160" i="1"/>
  <c r="BH160" i="1"/>
  <c r="BI160" i="1"/>
  <c r="BJ160" i="1"/>
  <c r="BK160" i="1"/>
  <c r="BL160" i="1"/>
  <c r="BM160" i="1"/>
  <c r="BN160" i="1"/>
  <c r="BO160" i="1"/>
  <c r="BP160" i="1"/>
  <c r="BQ160" i="1"/>
  <c r="BR160" i="1"/>
  <c r="BS160" i="1"/>
  <c r="BT160" i="1"/>
  <c r="BU160" i="1"/>
  <c r="BV160" i="1"/>
  <c r="BW160" i="1"/>
  <c r="BX160" i="1"/>
  <c r="BY160" i="1"/>
  <c r="BZ160" i="1"/>
  <c r="CA160" i="1"/>
  <c r="CB160" i="1"/>
  <c r="CC160" i="1"/>
  <c r="B161" i="1"/>
  <c r="C161" i="1"/>
  <c r="D161" i="1"/>
  <c r="E161" i="1"/>
  <c r="F161" i="1"/>
  <c r="G161" i="1"/>
  <c r="H161" i="1"/>
  <c r="I161" i="1"/>
  <c r="J161" i="1"/>
  <c r="K161" i="1"/>
  <c r="L161" i="1"/>
  <c r="M161" i="1"/>
  <c r="N161" i="1"/>
  <c r="O161" i="1"/>
  <c r="P161" i="1"/>
  <c r="Q161" i="1"/>
  <c r="R161" i="1"/>
  <c r="S161" i="1"/>
  <c r="T161" i="1"/>
  <c r="U161" i="1"/>
  <c r="V161" i="1"/>
  <c r="W161" i="1"/>
  <c r="X161" i="1"/>
  <c r="Y161" i="1"/>
  <c r="Z161" i="1"/>
  <c r="AA161" i="1"/>
  <c r="AB161" i="1"/>
  <c r="AC161" i="1"/>
  <c r="AD161" i="1"/>
  <c r="AE161" i="1"/>
  <c r="AF161" i="1"/>
  <c r="AG161" i="1"/>
  <c r="AH161" i="1"/>
  <c r="AI161" i="1"/>
  <c r="AJ161" i="1"/>
  <c r="AK161" i="1"/>
  <c r="AL161" i="1"/>
  <c r="AM161" i="1"/>
  <c r="AN161" i="1"/>
  <c r="AO161" i="1"/>
  <c r="AP161" i="1"/>
  <c r="AQ161" i="1"/>
  <c r="AR161" i="1"/>
  <c r="AS161" i="1"/>
  <c r="AT161" i="1"/>
  <c r="AU161" i="1"/>
  <c r="AV161" i="1"/>
  <c r="AW161" i="1"/>
  <c r="AX161" i="1"/>
  <c r="AY161" i="1"/>
  <c r="AZ161" i="1"/>
  <c r="BA161" i="1"/>
  <c r="BB161" i="1"/>
  <c r="BC161" i="1"/>
  <c r="BD161" i="1"/>
  <c r="BE161" i="1"/>
  <c r="BF161" i="1"/>
  <c r="BG161" i="1"/>
  <c r="BH161" i="1"/>
  <c r="BI161" i="1"/>
  <c r="BJ161" i="1"/>
  <c r="BK161" i="1"/>
  <c r="BL161" i="1"/>
  <c r="BM161" i="1"/>
  <c r="BN161" i="1"/>
  <c r="BO161" i="1"/>
  <c r="BP161" i="1"/>
  <c r="BQ161" i="1"/>
  <c r="BR161" i="1"/>
  <c r="BS161" i="1"/>
  <c r="BT161" i="1"/>
  <c r="BU161" i="1"/>
  <c r="BV161" i="1"/>
  <c r="BW161" i="1"/>
  <c r="BX161" i="1"/>
  <c r="BY161" i="1"/>
  <c r="BZ161" i="1"/>
  <c r="CA161" i="1"/>
  <c r="CB161" i="1"/>
  <c r="CC161" i="1"/>
  <c r="B162" i="1"/>
  <c r="C162" i="1"/>
  <c r="D162" i="1"/>
  <c r="E162" i="1"/>
  <c r="F162" i="1"/>
  <c r="G162" i="1"/>
  <c r="H162" i="1"/>
  <c r="I162" i="1"/>
  <c r="J162" i="1"/>
  <c r="K162" i="1"/>
  <c r="L162" i="1"/>
  <c r="M162" i="1"/>
  <c r="N162" i="1"/>
  <c r="O162" i="1"/>
  <c r="P162" i="1"/>
  <c r="Q162" i="1"/>
  <c r="R162" i="1"/>
  <c r="S162" i="1"/>
  <c r="T162" i="1"/>
  <c r="U162" i="1"/>
  <c r="V162" i="1"/>
  <c r="W162" i="1"/>
  <c r="X162" i="1"/>
  <c r="Y162" i="1"/>
  <c r="Z162" i="1"/>
  <c r="AA162" i="1"/>
  <c r="AB162" i="1"/>
  <c r="AC162" i="1"/>
  <c r="AD162" i="1"/>
  <c r="AE162" i="1"/>
  <c r="AF162" i="1"/>
  <c r="AG162" i="1"/>
  <c r="AH162" i="1"/>
  <c r="AI162" i="1"/>
  <c r="AJ162" i="1"/>
  <c r="AK162" i="1"/>
  <c r="AL162" i="1"/>
  <c r="AM162" i="1"/>
  <c r="AN162" i="1"/>
  <c r="AO162" i="1"/>
  <c r="AP162" i="1"/>
  <c r="AQ162" i="1"/>
  <c r="AR162" i="1"/>
  <c r="AS162" i="1"/>
  <c r="AT162" i="1"/>
  <c r="AU162" i="1"/>
  <c r="AV162" i="1"/>
  <c r="AW162" i="1"/>
  <c r="AX162" i="1"/>
  <c r="AY162" i="1"/>
  <c r="AZ162" i="1"/>
  <c r="BA162" i="1"/>
  <c r="BB162" i="1"/>
  <c r="BC162" i="1"/>
  <c r="BD162" i="1"/>
  <c r="BE162" i="1"/>
  <c r="BF162" i="1"/>
  <c r="BG162" i="1"/>
  <c r="BH162" i="1"/>
  <c r="BI162" i="1"/>
  <c r="BJ162" i="1"/>
  <c r="BK162" i="1"/>
  <c r="BL162" i="1"/>
  <c r="BM162" i="1"/>
  <c r="BN162" i="1"/>
  <c r="BO162" i="1"/>
  <c r="BP162" i="1"/>
  <c r="BQ162" i="1"/>
  <c r="BR162" i="1"/>
  <c r="BS162" i="1"/>
  <c r="BT162" i="1"/>
  <c r="BU162" i="1"/>
  <c r="BV162" i="1"/>
  <c r="BW162" i="1"/>
  <c r="BX162" i="1"/>
  <c r="BY162" i="1"/>
  <c r="BZ162" i="1"/>
  <c r="CA162" i="1"/>
  <c r="CB162" i="1"/>
  <c r="CC162" i="1"/>
  <c r="B163" i="1"/>
  <c r="C163" i="1"/>
  <c r="D163" i="1"/>
  <c r="E163" i="1"/>
  <c r="F163" i="1"/>
  <c r="G163" i="1"/>
  <c r="H163" i="1"/>
  <c r="I163" i="1"/>
  <c r="J163" i="1"/>
  <c r="K163" i="1"/>
  <c r="L163" i="1"/>
  <c r="M163" i="1"/>
  <c r="N163" i="1"/>
  <c r="O163" i="1"/>
  <c r="P163" i="1"/>
  <c r="Q163" i="1"/>
  <c r="R163" i="1"/>
  <c r="S163" i="1"/>
  <c r="T163" i="1"/>
  <c r="U163" i="1"/>
  <c r="V163" i="1"/>
  <c r="W163" i="1"/>
  <c r="X163" i="1"/>
  <c r="Y163" i="1"/>
  <c r="Z163" i="1"/>
  <c r="AA163" i="1"/>
  <c r="AB163" i="1"/>
  <c r="AC163" i="1"/>
  <c r="AD163" i="1"/>
  <c r="AE163" i="1"/>
  <c r="AF163" i="1"/>
  <c r="AG163" i="1"/>
  <c r="AH163" i="1"/>
  <c r="AI163" i="1"/>
  <c r="AJ163" i="1"/>
  <c r="AK163" i="1"/>
  <c r="AL163" i="1"/>
  <c r="AM163" i="1"/>
  <c r="AN163" i="1"/>
  <c r="AO163" i="1"/>
  <c r="AP163" i="1"/>
  <c r="AQ163" i="1"/>
  <c r="AR163" i="1"/>
  <c r="AS163" i="1"/>
  <c r="AT163" i="1"/>
  <c r="AU163" i="1"/>
  <c r="AV163" i="1"/>
  <c r="AW163" i="1"/>
  <c r="AX163" i="1"/>
  <c r="AY163" i="1"/>
  <c r="AZ163" i="1"/>
  <c r="BA163" i="1"/>
  <c r="BB163" i="1"/>
  <c r="BC163" i="1"/>
  <c r="BD163" i="1"/>
  <c r="BE163" i="1"/>
  <c r="BF163" i="1"/>
  <c r="BG163" i="1"/>
  <c r="BH163" i="1"/>
  <c r="BI163" i="1"/>
  <c r="BJ163" i="1"/>
  <c r="BK163" i="1"/>
  <c r="BL163" i="1"/>
  <c r="BM163" i="1"/>
  <c r="BN163" i="1"/>
  <c r="BO163" i="1"/>
  <c r="BP163" i="1"/>
  <c r="BQ163" i="1"/>
  <c r="BR163" i="1"/>
  <c r="BS163" i="1"/>
  <c r="BT163" i="1"/>
  <c r="BU163" i="1"/>
  <c r="BV163" i="1"/>
  <c r="BW163" i="1"/>
  <c r="BX163" i="1"/>
  <c r="BY163" i="1"/>
  <c r="BZ163" i="1"/>
  <c r="CA163" i="1"/>
  <c r="CB163" i="1"/>
  <c r="CC163" i="1"/>
  <c r="B164" i="1"/>
  <c r="C164" i="1"/>
  <c r="D164" i="1"/>
  <c r="E164" i="1"/>
  <c r="F164" i="1"/>
  <c r="G164" i="1"/>
  <c r="H164" i="1"/>
  <c r="I164" i="1"/>
  <c r="J164" i="1"/>
  <c r="K164" i="1"/>
  <c r="L164" i="1"/>
  <c r="M164" i="1"/>
  <c r="N164" i="1"/>
  <c r="O164" i="1"/>
  <c r="P164" i="1"/>
  <c r="Q164" i="1"/>
  <c r="R164" i="1"/>
  <c r="S164" i="1"/>
  <c r="T164" i="1"/>
  <c r="U164" i="1"/>
  <c r="V164" i="1"/>
  <c r="W164" i="1"/>
  <c r="X164" i="1"/>
  <c r="Y164" i="1"/>
  <c r="Z164" i="1"/>
  <c r="AA164" i="1"/>
  <c r="AB164" i="1"/>
  <c r="AC164" i="1"/>
  <c r="AD164" i="1"/>
  <c r="AE164" i="1"/>
  <c r="AF164" i="1"/>
  <c r="AG164" i="1"/>
  <c r="AH164" i="1"/>
  <c r="AI164" i="1"/>
  <c r="AJ164" i="1"/>
  <c r="AK164" i="1"/>
  <c r="AL164" i="1"/>
  <c r="AM164" i="1"/>
  <c r="AN164" i="1"/>
  <c r="AO164" i="1"/>
  <c r="AP164" i="1"/>
  <c r="AQ164" i="1"/>
  <c r="AR164" i="1"/>
  <c r="AS164" i="1"/>
  <c r="AT164" i="1"/>
  <c r="AU164" i="1"/>
  <c r="AV164" i="1"/>
  <c r="AW164" i="1"/>
  <c r="AX164" i="1"/>
  <c r="AY164" i="1"/>
  <c r="AZ164" i="1"/>
  <c r="BA164" i="1"/>
  <c r="BB164" i="1"/>
  <c r="BC164" i="1"/>
  <c r="BD164" i="1"/>
  <c r="BE164" i="1"/>
  <c r="BF164" i="1"/>
  <c r="BG164" i="1"/>
  <c r="BH164" i="1"/>
  <c r="BI164" i="1"/>
  <c r="BJ164" i="1"/>
  <c r="BK164" i="1"/>
  <c r="BL164" i="1"/>
  <c r="BM164" i="1"/>
  <c r="BN164" i="1"/>
  <c r="BO164" i="1"/>
  <c r="BP164" i="1"/>
  <c r="BQ164" i="1"/>
  <c r="BR164" i="1"/>
  <c r="BS164" i="1"/>
  <c r="BT164" i="1"/>
  <c r="BU164" i="1"/>
  <c r="BV164" i="1"/>
  <c r="BW164" i="1"/>
  <c r="BX164" i="1"/>
  <c r="BY164" i="1"/>
  <c r="BZ164" i="1"/>
  <c r="CA164" i="1"/>
  <c r="CB164" i="1"/>
  <c r="CC164" i="1"/>
  <c r="B165" i="1"/>
  <c r="C165" i="1"/>
  <c r="D165" i="1"/>
  <c r="E165" i="1"/>
  <c r="F165" i="1"/>
  <c r="G165" i="1"/>
  <c r="H165" i="1"/>
  <c r="I165" i="1"/>
  <c r="J165" i="1"/>
  <c r="K165" i="1"/>
  <c r="L165" i="1"/>
  <c r="M165" i="1"/>
  <c r="N165" i="1"/>
  <c r="O165" i="1"/>
  <c r="P165" i="1"/>
  <c r="Q165" i="1"/>
  <c r="R165" i="1"/>
  <c r="S165" i="1"/>
  <c r="T165" i="1"/>
  <c r="U165" i="1"/>
  <c r="V165" i="1"/>
  <c r="W165" i="1"/>
  <c r="X165" i="1"/>
  <c r="Y165" i="1"/>
  <c r="Z165" i="1"/>
  <c r="AA165" i="1"/>
  <c r="AB165" i="1"/>
  <c r="AC165" i="1"/>
  <c r="AD165" i="1"/>
  <c r="AE165" i="1"/>
  <c r="AF165" i="1"/>
  <c r="AG165" i="1"/>
  <c r="AH165" i="1"/>
  <c r="AI165" i="1"/>
  <c r="AJ165" i="1"/>
  <c r="AK165" i="1"/>
  <c r="AL165" i="1"/>
  <c r="AM165" i="1"/>
  <c r="AN165" i="1"/>
  <c r="AO165" i="1"/>
  <c r="AP165" i="1"/>
  <c r="AQ165" i="1"/>
  <c r="AR165" i="1"/>
  <c r="AS165" i="1"/>
  <c r="AT165" i="1"/>
  <c r="AU165" i="1"/>
  <c r="AV165" i="1"/>
  <c r="AW165" i="1"/>
  <c r="AX165" i="1"/>
  <c r="AY165" i="1"/>
  <c r="AZ165" i="1"/>
  <c r="BA165" i="1"/>
  <c r="BB165" i="1"/>
  <c r="BC165" i="1"/>
  <c r="BD165" i="1"/>
  <c r="BE165" i="1"/>
  <c r="BF165" i="1"/>
  <c r="BG165" i="1"/>
  <c r="BH165" i="1"/>
  <c r="BI165" i="1"/>
  <c r="BJ165" i="1"/>
  <c r="BK165" i="1"/>
  <c r="BL165" i="1"/>
  <c r="BM165" i="1"/>
  <c r="BN165" i="1"/>
  <c r="BO165" i="1"/>
  <c r="BP165" i="1"/>
  <c r="BQ165" i="1"/>
  <c r="BR165" i="1"/>
  <c r="BS165" i="1"/>
  <c r="BT165" i="1"/>
  <c r="BU165" i="1"/>
  <c r="BV165" i="1"/>
  <c r="BW165" i="1"/>
  <c r="BX165" i="1"/>
  <c r="BY165" i="1"/>
  <c r="BZ165" i="1"/>
  <c r="CA165" i="1"/>
  <c r="CB165" i="1"/>
  <c r="CC165" i="1"/>
  <c r="B166" i="1"/>
  <c r="C166" i="1"/>
  <c r="D166" i="1"/>
  <c r="E166" i="1"/>
  <c r="F166" i="1"/>
  <c r="G166" i="1"/>
  <c r="H166" i="1"/>
  <c r="I166" i="1"/>
  <c r="J166" i="1"/>
  <c r="K166" i="1"/>
  <c r="L166" i="1"/>
  <c r="M166" i="1"/>
  <c r="N166" i="1"/>
  <c r="O166" i="1"/>
  <c r="P166" i="1"/>
  <c r="Q166" i="1"/>
  <c r="R166" i="1"/>
  <c r="S166" i="1"/>
  <c r="T166" i="1"/>
  <c r="U166" i="1"/>
  <c r="V166" i="1"/>
  <c r="W166" i="1"/>
  <c r="X166" i="1"/>
  <c r="Y166" i="1"/>
  <c r="Z166" i="1"/>
  <c r="AA166" i="1"/>
  <c r="AB166" i="1"/>
  <c r="AC166" i="1"/>
  <c r="AD166" i="1"/>
  <c r="AE166" i="1"/>
  <c r="AF166" i="1"/>
  <c r="AG166" i="1"/>
  <c r="AH166" i="1"/>
  <c r="AI166" i="1"/>
  <c r="AJ166" i="1"/>
  <c r="AK166" i="1"/>
  <c r="AL166" i="1"/>
  <c r="AM166" i="1"/>
  <c r="AN166" i="1"/>
  <c r="AO166" i="1"/>
  <c r="AP166" i="1"/>
  <c r="AQ166" i="1"/>
  <c r="AR166" i="1"/>
  <c r="AS166" i="1"/>
  <c r="AT166" i="1"/>
  <c r="AU166" i="1"/>
  <c r="AV166" i="1"/>
  <c r="AW166" i="1"/>
  <c r="AX166" i="1"/>
  <c r="AY166" i="1"/>
  <c r="AZ166" i="1"/>
  <c r="BA166" i="1"/>
  <c r="BB166" i="1"/>
  <c r="BC166" i="1"/>
  <c r="BD166" i="1"/>
  <c r="BE166" i="1"/>
  <c r="BF166" i="1"/>
  <c r="BG166" i="1"/>
  <c r="BH166" i="1"/>
  <c r="BI166" i="1"/>
  <c r="BJ166" i="1"/>
  <c r="BK166" i="1"/>
  <c r="BL166" i="1"/>
  <c r="BM166" i="1"/>
  <c r="BN166" i="1"/>
  <c r="BO166" i="1"/>
  <c r="BP166" i="1"/>
  <c r="BQ166" i="1"/>
  <c r="BR166" i="1"/>
  <c r="BS166" i="1"/>
  <c r="BT166" i="1"/>
  <c r="BU166" i="1"/>
  <c r="BV166" i="1"/>
  <c r="BW166" i="1"/>
  <c r="BX166" i="1"/>
  <c r="BY166" i="1"/>
  <c r="BZ166" i="1"/>
  <c r="CA166" i="1"/>
  <c r="CB166" i="1"/>
  <c r="CC166" i="1"/>
  <c r="B167" i="1"/>
  <c r="C167" i="1"/>
  <c r="D167" i="1"/>
  <c r="E167" i="1"/>
  <c r="F167" i="1"/>
  <c r="G167" i="1"/>
  <c r="H167" i="1"/>
  <c r="I167" i="1"/>
  <c r="J167" i="1"/>
  <c r="K167" i="1"/>
  <c r="L167" i="1"/>
  <c r="M167" i="1"/>
  <c r="N167" i="1"/>
  <c r="O167" i="1"/>
  <c r="P167" i="1"/>
  <c r="Q167" i="1"/>
  <c r="R167" i="1"/>
  <c r="S167" i="1"/>
  <c r="T167" i="1"/>
  <c r="U167" i="1"/>
  <c r="V167" i="1"/>
  <c r="W167" i="1"/>
  <c r="X167" i="1"/>
  <c r="Y167" i="1"/>
  <c r="Z167" i="1"/>
  <c r="AA167" i="1"/>
  <c r="AB167" i="1"/>
  <c r="AC167" i="1"/>
  <c r="AD167" i="1"/>
  <c r="AE167" i="1"/>
  <c r="AF167" i="1"/>
  <c r="AG167" i="1"/>
  <c r="AH167" i="1"/>
  <c r="AI167" i="1"/>
  <c r="AJ167" i="1"/>
  <c r="AK167" i="1"/>
  <c r="AL167" i="1"/>
  <c r="AM167" i="1"/>
  <c r="AN167" i="1"/>
  <c r="AO167" i="1"/>
  <c r="AP167" i="1"/>
  <c r="AQ167" i="1"/>
  <c r="AR167" i="1"/>
  <c r="AS167" i="1"/>
  <c r="AT167" i="1"/>
  <c r="AU167" i="1"/>
  <c r="AV167" i="1"/>
  <c r="AW167" i="1"/>
  <c r="AX167" i="1"/>
  <c r="AY167" i="1"/>
  <c r="AZ167" i="1"/>
  <c r="BA167" i="1"/>
  <c r="BB167" i="1"/>
  <c r="BC167" i="1"/>
  <c r="BD167" i="1"/>
  <c r="BE167" i="1"/>
  <c r="BF167" i="1"/>
  <c r="BG167" i="1"/>
  <c r="BH167" i="1"/>
  <c r="BI167" i="1"/>
  <c r="BJ167" i="1"/>
  <c r="BK167" i="1"/>
  <c r="BL167" i="1"/>
  <c r="BM167" i="1"/>
  <c r="BN167" i="1"/>
  <c r="BO167" i="1"/>
  <c r="BP167" i="1"/>
  <c r="BQ167" i="1"/>
  <c r="BR167" i="1"/>
  <c r="BS167" i="1"/>
  <c r="BT167" i="1"/>
  <c r="BU167" i="1"/>
  <c r="BV167" i="1"/>
  <c r="BW167" i="1"/>
  <c r="BX167" i="1"/>
  <c r="BY167" i="1"/>
  <c r="BZ167" i="1"/>
  <c r="CA167" i="1"/>
  <c r="CB167" i="1"/>
  <c r="CC167" i="1"/>
  <c r="B168" i="1"/>
  <c r="C168" i="1"/>
  <c r="D168" i="1"/>
  <c r="E168" i="1"/>
  <c r="F168" i="1"/>
  <c r="G168" i="1"/>
  <c r="H168" i="1"/>
  <c r="I168" i="1"/>
  <c r="J168" i="1"/>
  <c r="K168" i="1"/>
  <c r="L168" i="1"/>
  <c r="M168" i="1"/>
  <c r="N168" i="1"/>
  <c r="O168" i="1"/>
  <c r="P168" i="1"/>
  <c r="Q168" i="1"/>
  <c r="R168" i="1"/>
  <c r="S168" i="1"/>
  <c r="T168" i="1"/>
  <c r="U168" i="1"/>
  <c r="V168" i="1"/>
  <c r="W168" i="1"/>
  <c r="X168" i="1"/>
  <c r="Y168" i="1"/>
  <c r="Z168" i="1"/>
  <c r="AA168" i="1"/>
  <c r="AB168" i="1"/>
  <c r="AC168" i="1"/>
  <c r="AD168" i="1"/>
  <c r="AE168" i="1"/>
  <c r="AF168" i="1"/>
  <c r="AG168" i="1"/>
  <c r="AH168" i="1"/>
  <c r="AI168" i="1"/>
  <c r="AJ168" i="1"/>
  <c r="AK168" i="1"/>
  <c r="AL168" i="1"/>
  <c r="AM168" i="1"/>
  <c r="AN168" i="1"/>
  <c r="AO168" i="1"/>
  <c r="AP168" i="1"/>
  <c r="AQ168" i="1"/>
  <c r="AR168" i="1"/>
  <c r="AS168" i="1"/>
  <c r="AT168" i="1"/>
  <c r="AU168" i="1"/>
  <c r="AV168" i="1"/>
  <c r="AW168" i="1"/>
  <c r="AX168" i="1"/>
  <c r="AY168" i="1"/>
  <c r="AZ168" i="1"/>
  <c r="BA168" i="1"/>
  <c r="BB168" i="1"/>
  <c r="BC168" i="1"/>
  <c r="BD168" i="1"/>
  <c r="BE168" i="1"/>
  <c r="BF168" i="1"/>
  <c r="BG168" i="1"/>
  <c r="BH168" i="1"/>
  <c r="BI168" i="1"/>
  <c r="BJ168" i="1"/>
  <c r="BK168" i="1"/>
  <c r="BL168" i="1"/>
  <c r="BM168" i="1"/>
  <c r="BN168" i="1"/>
  <c r="BO168" i="1"/>
  <c r="BP168" i="1"/>
  <c r="BQ168" i="1"/>
  <c r="BR168" i="1"/>
  <c r="BS168" i="1"/>
  <c r="BT168" i="1"/>
  <c r="BU168" i="1"/>
  <c r="BV168" i="1"/>
  <c r="BW168" i="1"/>
  <c r="BX168" i="1"/>
  <c r="BY168" i="1"/>
  <c r="BZ168" i="1"/>
  <c r="CA168" i="1"/>
  <c r="CB168" i="1"/>
  <c r="CC168" i="1"/>
  <c r="B169" i="1"/>
  <c r="C169" i="1"/>
  <c r="D169" i="1"/>
  <c r="E169" i="1"/>
  <c r="F169" i="1"/>
  <c r="G169" i="1"/>
  <c r="H169" i="1"/>
  <c r="I169" i="1"/>
  <c r="J169" i="1"/>
  <c r="K169" i="1"/>
  <c r="L169" i="1"/>
  <c r="M169" i="1"/>
  <c r="N169" i="1"/>
  <c r="O169" i="1"/>
  <c r="P169" i="1"/>
  <c r="Q169" i="1"/>
  <c r="R169" i="1"/>
  <c r="S169" i="1"/>
  <c r="T169" i="1"/>
  <c r="U169" i="1"/>
  <c r="V169" i="1"/>
  <c r="W169" i="1"/>
  <c r="X169" i="1"/>
  <c r="Y169" i="1"/>
  <c r="Z169" i="1"/>
  <c r="AA169" i="1"/>
  <c r="AB169" i="1"/>
  <c r="AC169" i="1"/>
  <c r="AD169" i="1"/>
  <c r="AE169" i="1"/>
  <c r="AF169" i="1"/>
  <c r="AG169" i="1"/>
  <c r="AH169" i="1"/>
  <c r="AI169" i="1"/>
  <c r="AJ169" i="1"/>
  <c r="AK169" i="1"/>
  <c r="AL169" i="1"/>
  <c r="AM169" i="1"/>
  <c r="AN169" i="1"/>
  <c r="AO169" i="1"/>
  <c r="AP169" i="1"/>
  <c r="AQ169" i="1"/>
  <c r="AR169" i="1"/>
  <c r="AS169" i="1"/>
  <c r="AT169" i="1"/>
  <c r="AU169" i="1"/>
  <c r="AV169" i="1"/>
  <c r="AW169" i="1"/>
  <c r="AX169" i="1"/>
  <c r="AY169" i="1"/>
  <c r="AZ169" i="1"/>
  <c r="BA169" i="1"/>
  <c r="BB169" i="1"/>
  <c r="BC169" i="1"/>
  <c r="BD169" i="1"/>
  <c r="BE169" i="1"/>
  <c r="BF169" i="1"/>
  <c r="BG169" i="1"/>
  <c r="BH169" i="1"/>
  <c r="BI169" i="1"/>
  <c r="BJ169" i="1"/>
  <c r="BK169" i="1"/>
  <c r="BL169" i="1"/>
  <c r="BM169" i="1"/>
  <c r="BN169" i="1"/>
  <c r="BO169" i="1"/>
  <c r="BP169" i="1"/>
  <c r="BQ169" i="1"/>
  <c r="BR169" i="1"/>
  <c r="BS169" i="1"/>
  <c r="BT169" i="1"/>
  <c r="BU169" i="1"/>
  <c r="BV169" i="1"/>
  <c r="BW169" i="1"/>
  <c r="BX169" i="1"/>
  <c r="BY169" i="1"/>
  <c r="BZ169" i="1"/>
  <c r="CA169" i="1"/>
  <c r="CB169" i="1"/>
  <c r="CC169" i="1"/>
  <c r="B170" i="1"/>
  <c r="C170" i="1"/>
  <c r="D170" i="1"/>
  <c r="E170" i="1"/>
  <c r="F170" i="1"/>
  <c r="G170" i="1"/>
  <c r="H170" i="1"/>
  <c r="I170" i="1"/>
  <c r="J170" i="1"/>
  <c r="K170" i="1"/>
  <c r="L170" i="1"/>
  <c r="M170" i="1"/>
  <c r="N170" i="1"/>
  <c r="O170" i="1"/>
  <c r="P170" i="1"/>
  <c r="Q170" i="1"/>
  <c r="R170" i="1"/>
  <c r="S170" i="1"/>
  <c r="T170" i="1"/>
  <c r="U170" i="1"/>
  <c r="V170" i="1"/>
  <c r="W170" i="1"/>
  <c r="X170" i="1"/>
  <c r="Y170" i="1"/>
  <c r="Z170" i="1"/>
  <c r="AA170" i="1"/>
  <c r="AB170" i="1"/>
  <c r="AC170" i="1"/>
  <c r="AD170" i="1"/>
  <c r="AE170" i="1"/>
  <c r="AF170" i="1"/>
  <c r="AG170" i="1"/>
  <c r="AH170" i="1"/>
  <c r="AI170" i="1"/>
  <c r="AJ170" i="1"/>
  <c r="AK170" i="1"/>
  <c r="AL170" i="1"/>
  <c r="AM170" i="1"/>
  <c r="AN170" i="1"/>
  <c r="AO170" i="1"/>
  <c r="AP170" i="1"/>
  <c r="AQ170" i="1"/>
  <c r="AR170" i="1"/>
  <c r="AS170" i="1"/>
  <c r="AT170" i="1"/>
  <c r="AU170" i="1"/>
  <c r="AV170" i="1"/>
  <c r="AW170" i="1"/>
  <c r="AX170" i="1"/>
  <c r="AY170" i="1"/>
  <c r="AZ170" i="1"/>
  <c r="BA170" i="1"/>
  <c r="BB170" i="1"/>
  <c r="BC170" i="1"/>
  <c r="BD170" i="1"/>
  <c r="BE170" i="1"/>
  <c r="BF170" i="1"/>
  <c r="BG170" i="1"/>
  <c r="BH170" i="1"/>
  <c r="BI170" i="1"/>
  <c r="BJ170" i="1"/>
  <c r="BK170" i="1"/>
  <c r="BL170" i="1"/>
  <c r="BM170" i="1"/>
  <c r="BN170" i="1"/>
  <c r="BO170" i="1"/>
  <c r="BP170" i="1"/>
  <c r="BQ170" i="1"/>
  <c r="BR170" i="1"/>
  <c r="BS170" i="1"/>
  <c r="BT170" i="1"/>
  <c r="BU170" i="1"/>
  <c r="BV170" i="1"/>
  <c r="BW170" i="1"/>
  <c r="BX170" i="1"/>
  <c r="BY170" i="1"/>
  <c r="BZ170" i="1"/>
  <c r="CA170" i="1"/>
  <c r="CB170" i="1"/>
  <c r="CC170" i="1"/>
  <c r="B171" i="1"/>
  <c r="C171" i="1"/>
  <c r="D171" i="1"/>
  <c r="E171" i="1"/>
  <c r="F171" i="1"/>
  <c r="G171" i="1"/>
  <c r="H171" i="1"/>
  <c r="I171" i="1"/>
  <c r="J171" i="1"/>
  <c r="K171" i="1"/>
  <c r="L171" i="1"/>
  <c r="M171" i="1"/>
  <c r="N171" i="1"/>
  <c r="O171" i="1"/>
  <c r="P171" i="1"/>
  <c r="Q171" i="1"/>
  <c r="R171" i="1"/>
  <c r="S171" i="1"/>
  <c r="T171" i="1"/>
  <c r="U171" i="1"/>
  <c r="V171" i="1"/>
  <c r="W171" i="1"/>
  <c r="X171" i="1"/>
  <c r="Y171" i="1"/>
  <c r="Z171" i="1"/>
  <c r="AA171" i="1"/>
  <c r="AB171" i="1"/>
  <c r="AC171" i="1"/>
  <c r="AD171" i="1"/>
  <c r="AE171" i="1"/>
  <c r="AF171" i="1"/>
  <c r="AG171" i="1"/>
  <c r="AH171" i="1"/>
  <c r="AI171" i="1"/>
  <c r="AJ171" i="1"/>
  <c r="AK171" i="1"/>
  <c r="AL171" i="1"/>
  <c r="AM171" i="1"/>
  <c r="AN171" i="1"/>
  <c r="AO171" i="1"/>
  <c r="AP171" i="1"/>
  <c r="AQ171" i="1"/>
  <c r="AR171" i="1"/>
  <c r="AS171" i="1"/>
  <c r="AT171" i="1"/>
  <c r="AU171" i="1"/>
  <c r="AV171" i="1"/>
  <c r="AW171" i="1"/>
  <c r="AX171" i="1"/>
  <c r="AY171" i="1"/>
  <c r="AZ171" i="1"/>
  <c r="BA171" i="1"/>
  <c r="BB171" i="1"/>
  <c r="BC171" i="1"/>
  <c r="BD171" i="1"/>
  <c r="BE171" i="1"/>
  <c r="BF171" i="1"/>
  <c r="BG171" i="1"/>
  <c r="BH171" i="1"/>
  <c r="BI171" i="1"/>
  <c r="BJ171" i="1"/>
  <c r="BK171" i="1"/>
  <c r="BL171" i="1"/>
  <c r="BM171" i="1"/>
  <c r="BN171" i="1"/>
  <c r="BO171" i="1"/>
  <c r="BP171" i="1"/>
  <c r="BQ171" i="1"/>
  <c r="BR171" i="1"/>
  <c r="BS171" i="1"/>
  <c r="BT171" i="1"/>
  <c r="BU171" i="1"/>
  <c r="BV171" i="1"/>
  <c r="BW171" i="1"/>
  <c r="BX171" i="1"/>
  <c r="BY171" i="1"/>
  <c r="BZ171" i="1"/>
  <c r="CA171" i="1"/>
  <c r="CB171" i="1"/>
  <c r="CC171" i="1"/>
  <c r="B172" i="1"/>
  <c r="C172" i="1"/>
  <c r="D172" i="1"/>
  <c r="E172" i="1"/>
  <c r="F172" i="1"/>
  <c r="G172" i="1"/>
  <c r="H172" i="1"/>
  <c r="I172" i="1"/>
  <c r="J172" i="1"/>
  <c r="K172" i="1"/>
  <c r="L172" i="1"/>
  <c r="M172" i="1"/>
  <c r="N172" i="1"/>
  <c r="O172" i="1"/>
  <c r="P172" i="1"/>
  <c r="Q172" i="1"/>
  <c r="R172" i="1"/>
  <c r="S172" i="1"/>
  <c r="T172" i="1"/>
  <c r="U172" i="1"/>
  <c r="V172" i="1"/>
  <c r="W172" i="1"/>
  <c r="X172" i="1"/>
  <c r="Y172" i="1"/>
  <c r="Z172" i="1"/>
  <c r="AA172" i="1"/>
  <c r="AB172" i="1"/>
  <c r="AC172" i="1"/>
  <c r="AD172" i="1"/>
  <c r="AE172" i="1"/>
  <c r="AF172" i="1"/>
  <c r="AG172" i="1"/>
  <c r="AH172" i="1"/>
  <c r="AI172" i="1"/>
  <c r="AJ172" i="1"/>
  <c r="AK172" i="1"/>
  <c r="AL172" i="1"/>
  <c r="AM172" i="1"/>
  <c r="AN172" i="1"/>
  <c r="AO172" i="1"/>
  <c r="AP172" i="1"/>
  <c r="AQ172" i="1"/>
  <c r="AR172" i="1"/>
  <c r="AS172" i="1"/>
  <c r="AT172" i="1"/>
  <c r="AU172" i="1"/>
  <c r="AV172" i="1"/>
  <c r="AW172" i="1"/>
  <c r="AX172" i="1"/>
  <c r="AY172" i="1"/>
  <c r="AZ172" i="1"/>
  <c r="BA172" i="1"/>
  <c r="BB172" i="1"/>
  <c r="BC172" i="1"/>
  <c r="BD172" i="1"/>
  <c r="BE172" i="1"/>
  <c r="BF172" i="1"/>
  <c r="BG172" i="1"/>
  <c r="BH172" i="1"/>
  <c r="BI172" i="1"/>
  <c r="BJ172" i="1"/>
  <c r="BK172" i="1"/>
  <c r="BL172" i="1"/>
  <c r="BM172" i="1"/>
  <c r="BN172" i="1"/>
  <c r="BO172" i="1"/>
  <c r="BP172" i="1"/>
  <c r="BQ172" i="1"/>
  <c r="BR172" i="1"/>
  <c r="BS172" i="1"/>
  <c r="BT172" i="1"/>
  <c r="BU172" i="1"/>
  <c r="BV172" i="1"/>
  <c r="BW172" i="1"/>
  <c r="BX172" i="1"/>
  <c r="BY172" i="1"/>
  <c r="BZ172" i="1"/>
  <c r="CA172" i="1"/>
  <c r="CB172" i="1"/>
  <c r="CC172" i="1"/>
  <c r="B173" i="1"/>
  <c r="C173" i="1"/>
  <c r="D173" i="1"/>
  <c r="E173" i="1"/>
  <c r="F173" i="1"/>
  <c r="G173" i="1"/>
  <c r="H173" i="1"/>
  <c r="I173" i="1"/>
  <c r="J173" i="1"/>
  <c r="K173" i="1"/>
  <c r="L173" i="1"/>
  <c r="M173" i="1"/>
  <c r="N173" i="1"/>
  <c r="O173" i="1"/>
  <c r="P173" i="1"/>
  <c r="Q173" i="1"/>
  <c r="R173" i="1"/>
  <c r="S173" i="1"/>
  <c r="T173" i="1"/>
  <c r="U173" i="1"/>
  <c r="V173" i="1"/>
  <c r="W173" i="1"/>
  <c r="X173" i="1"/>
  <c r="Y173" i="1"/>
  <c r="Z173" i="1"/>
  <c r="AA173" i="1"/>
  <c r="AB173" i="1"/>
  <c r="AC173" i="1"/>
  <c r="AD173" i="1"/>
  <c r="AE173" i="1"/>
  <c r="AF173" i="1"/>
  <c r="AG173" i="1"/>
  <c r="AH173" i="1"/>
  <c r="AI173" i="1"/>
  <c r="AJ173" i="1"/>
  <c r="AK173" i="1"/>
  <c r="AL173" i="1"/>
  <c r="AM173" i="1"/>
  <c r="AN173" i="1"/>
  <c r="AO173" i="1"/>
  <c r="AP173" i="1"/>
  <c r="AQ173" i="1"/>
  <c r="AR173" i="1"/>
  <c r="AS173" i="1"/>
  <c r="AT173" i="1"/>
  <c r="AU173" i="1"/>
  <c r="AV173" i="1"/>
  <c r="AW173" i="1"/>
  <c r="AX173" i="1"/>
  <c r="AY173" i="1"/>
  <c r="AZ173" i="1"/>
  <c r="BA173" i="1"/>
  <c r="BB173" i="1"/>
  <c r="BC173" i="1"/>
  <c r="BD173" i="1"/>
  <c r="BE173" i="1"/>
  <c r="BF173" i="1"/>
  <c r="BG173" i="1"/>
  <c r="BH173" i="1"/>
  <c r="BI173" i="1"/>
  <c r="BJ173" i="1"/>
  <c r="BK173" i="1"/>
  <c r="BL173" i="1"/>
  <c r="BM173" i="1"/>
  <c r="BN173" i="1"/>
  <c r="BO173" i="1"/>
  <c r="BP173" i="1"/>
  <c r="BQ173" i="1"/>
  <c r="BR173" i="1"/>
  <c r="BS173" i="1"/>
  <c r="BT173" i="1"/>
  <c r="BU173" i="1"/>
  <c r="BV173" i="1"/>
  <c r="BW173" i="1"/>
  <c r="BX173" i="1"/>
  <c r="BY173" i="1"/>
  <c r="BZ173" i="1"/>
  <c r="CA173" i="1"/>
  <c r="CB173" i="1"/>
  <c r="CC173" i="1"/>
  <c r="B174" i="1"/>
  <c r="C174" i="1"/>
  <c r="D174" i="1"/>
  <c r="E174" i="1"/>
  <c r="F174" i="1"/>
  <c r="G174" i="1"/>
  <c r="H174" i="1"/>
  <c r="I174" i="1"/>
  <c r="J174" i="1"/>
  <c r="K174" i="1"/>
  <c r="L174" i="1"/>
  <c r="M174" i="1"/>
  <c r="N174" i="1"/>
  <c r="O174" i="1"/>
  <c r="P174" i="1"/>
  <c r="Q174" i="1"/>
  <c r="R174" i="1"/>
  <c r="S174" i="1"/>
  <c r="T174" i="1"/>
  <c r="U174" i="1"/>
  <c r="V174" i="1"/>
  <c r="W174" i="1"/>
  <c r="X174" i="1"/>
  <c r="Y174" i="1"/>
  <c r="Z174" i="1"/>
  <c r="AA174" i="1"/>
  <c r="AB174" i="1"/>
  <c r="AC174" i="1"/>
  <c r="AD174" i="1"/>
  <c r="AE174" i="1"/>
  <c r="AF174" i="1"/>
  <c r="AG174" i="1"/>
  <c r="AH174" i="1"/>
  <c r="AI174" i="1"/>
  <c r="AJ174" i="1"/>
  <c r="AK174" i="1"/>
  <c r="AL174" i="1"/>
  <c r="AM174" i="1"/>
  <c r="AN174" i="1"/>
  <c r="AO174" i="1"/>
  <c r="AP174" i="1"/>
  <c r="AQ174" i="1"/>
  <c r="AR174" i="1"/>
  <c r="AS174" i="1"/>
  <c r="AT174" i="1"/>
  <c r="AU174" i="1"/>
  <c r="AV174" i="1"/>
  <c r="AW174" i="1"/>
  <c r="AX174" i="1"/>
  <c r="AY174" i="1"/>
  <c r="AZ174" i="1"/>
  <c r="BA174" i="1"/>
  <c r="BB174" i="1"/>
  <c r="BC174" i="1"/>
  <c r="BD174" i="1"/>
  <c r="BE174" i="1"/>
  <c r="BF174" i="1"/>
  <c r="BG174" i="1"/>
  <c r="BH174" i="1"/>
  <c r="BI174" i="1"/>
  <c r="BJ174" i="1"/>
  <c r="BK174" i="1"/>
  <c r="BL174" i="1"/>
  <c r="BM174" i="1"/>
  <c r="BN174" i="1"/>
  <c r="BO174" i="1"/>
  <c r="BP174" i="1"/>
  <c r="BQ174" i="1"/>
  <c r="BR174" i="1"/>
  <c r="BS174" i="1"/>
  <c r="BT174" i="1"/>
  <c r="BU174" i="1"/>
  <c r="BV174" i="1"/>
  <c r="BW174" i="1"/>
  <c r="BX174" i="1"/>
  <c r="BY174" i="1"/>
  <c r="BZ174" i="1"/>
  <c r="CA174" i="1"/>
  <c r="CB174" i="1"/>
  <c r="CC174" i="1"/>
  <c r="B175" i="1"/>
  <c r="C175" i="1"/>
  <c r="D175" i="1"/>
  <c r="E175" i="1"/>
  <c r="F175" i="1"/>
  <c r="G175" i="1"/>
  <c r="H175" i="1"/>
  <c r="I175" i="1"/>
  <c r="J175" i="1"/>
  <c r="K175" i="1"/>
  <c r="L175" i="1"/>
  <c r="M175" i="1"/>
  <c r="N175" i="1"/>
  <c r="O175" i="1"/>
  <c r="P175" i="1"/>
  <c r="Q175" i="1"/>
  <c r="R175" i="1"/>
  <c r="S175" i="1"/>
  <c r="T175" i="1"/>
  <c r="U175" i="1"/>
  <c r="V175" i="1"/>
  <c r="W175" i="1"/>
  <c r="X175" i="1"/>
  <c r="Y175" i="1"/>
  <c r="Z175" i="1"/>
  <c r="AA175" i="1"/>
  <c r="AB175" i="1"/>
  <c r="AC175" i="1"/>
  <c r="AD175" i="1"/>
  <c r="AE175" i="1"/>
  <c r="AF175" i="1"/>
  <c r="AG175" i="1"/>
  <c r="AH175" i="1"/>
  <c r="AI175" i="1"/>
  <c r="AJ175" i="1"/>
  <c r="AK175" i="1"/>
  <c r="AL175" i="1"/>
  <c r="AM175" i="1"/>
  <c r="AN175" i="1"/>
  <c r="AO175" i="1"/>
  <c r="AP175" i="1"/>
  <c r="AQ175" i="1"/>
  <c r="AR175" i="1"/>
  <c r="AS175" i="1"/>
  <c r="AT175" i="1"/>
  <c r="AU175" i="1"/>
  <c r="AV175" i="1"/>
  <c r="AW175" i="1"/>
  <c r="AX175" i="1"/>
  <c r="AY175" i="1"/>
  <c r="AZ175" i="1"/>
  <c r="BA175" i="1"/>
  <c r="BB175" i="1"/>
  <c r="BC175" i="1"/>
  <c r="BD175" i="1"/>
  <c r="BE175" i="1"/>
  <c r="BF175" i="1"/>
  <c r="BG175" i="1"/>
  <c r="BH175" i="1"/>
  <c r="BI175" i="1"/>
  <c r="BJ175" i="1"/>
  <c r="BK175" i="1"/>
  <c r="BL175" i="1"/>
  <c r="BM175" i="1"/>
  <c r="BN175" i="1"/>
  <c r="BO175" i="1"/>
  <c r="BP175" i="1"/>
  <c r="BQ175" i="1"/>
  <c r="BR175" i="1"/>
  <c r="BS175" i="1"/>
  <c r="BT175" i="1"/>
  <c r="BU175" i="1"/>
  <c r="BV175" i="1"/>
  <c r="BW175" i="1"/>
  <c r="BX175" i="1"/>
  <c r="BY175" i="1"/>
  <c r="BZ175" i="1"/>
  <c r="CA175" i="1"/>
  <c r="CB175" i="1"/>
  <c r="CC175" i="1"/>
  <c r="B176" i="1"/>
  <c r="C176" i="1"/>
  <c r="D176" i="1"/>
  <c r="E176" i="1"/>
  <c r="F176" i="1"/>
  <c r="G176" i="1"/>
  <c r="H176" i="1"/>
  <c r="I176" i="1"/>
  <c r="J176" i="1"/>
  <c r="K176" i="1"/>
  <c r="L176" i="1"/>
  <c r="M176" i="1"/>
  <c r="N176" i="1"/>
  <c r="O176" i="1"/>
  <c r="P176" i="1"/>
  <c r="Q176" i="1"/>
  <c r="R176" i="1"/>
  <c r="S176" i="1"/>
  <c r="T176" i="1"/>
  <c r="U176" i="1"/>
  <c r="V176" i="1"/>
  <c r="W176" i="1"/>
  <c r="X176" i="1"/>
  <c r="Y176" i="1"/>
  <c r="Z176" i="1"/>
  <c r="AA176" i="1"/>
  <c r="AB176" i="1"/>
  <c r="AC176" i="1"/>
  <c r="AD176" i="1"/>
  <c r="AE176" i="1"/>
  <c r="AF176" i="1"/>
  <c r="AG176" i="1"/>
  <c r="AH176" i="1"/>
  <c r="AI176" i="1"/>
  <c r="AJ176" i="1"/>
  <c r="AK176" i="1"/>
  <c r="AL176" i="1"/>
  <c r="AM176" i="1"/>
  <c r="AN176" i="1"/>
  <c r="AO176" i="1"/>
  <c r="AP176" i="1"/>
  <c r="AQ176" i="1"/>
  <c r="AR176" i="1"/>
  <c r="AS176" i="1"/>
  <c r="AT176" i="1"/>
  <c r="AU176" i="1"/>
  <c r="AV176" i="1"/>
  <c r="AW176" i="1"/>
  <c r="AX176" i="1"/>
  <c r="AY176" i="1"/>
  <c r="AZ176" i="1"/>
  <c r="BA176" i="1"/>
  <c r="BB176" i="1"/>
  <c r="BC176" i="1"/>
  <c r="BD176" i="1"/>
  <c r="BE176" i="1"/>
  <c r="BF176" i="1"/>
  <c r="BG176" i="1"/>
  <c r="BH176" i="1"/>
  <c r="BI176" i="1"/>
  <c r="BJ176" i="1"/>
  <c r="BK176" i="1"/>
  <c r="BL176" i="1"/>
  <c r="BM176" i="1"/>
  <c r="BN176" i="1"/>
  <c r="BO176" i="1"/>
  <c r="BP176" i="1"/>
  <c r="BQ176" i="1"/>
  <c r="BR176" i="1"/>
  <c r="BS176" i="1"/>
  <c r="BT176" i="1"/>
  <c r="BU176" i="1"/>
  <c r="BV176" i="1"/>
  <c r="BW176" i="1"/>
  <c r="BX176" i="1"/>
  <c r="BY176" i="1"/>
  <c r="BZ176" i="1"/>
  <c r="CA176" i="1"/>
  <c r="CB176" i="1"/>
  <c r="CC176" i="1"/>
  <c r="B177" i="1"/>
  <c r="C177" i="1"/>
  <c r="D177" i="1"/>
  <c r="E177" i="1"/>
  <c r="F177" i="1"/>
  <c r="G177" i="1"/>
  <c r="H177" i="1"/>
  <c r="I177" i="1"/>
  <c r="J177" i="1"/>
  <c r="K177" i="1"/>
  <c r="L177" i="1"/>
  <c r="M177" i="1"/>
  <c r="N177" i="1"/>
  <c r="O177" i="1"/>
  <c r="P177" i="1"/>
  <c r="Q177" i="1"/>
  <c r="R177" i="1"/>
  <c r="S177" i="1"/>
  <c r="T177" i="1"/>
  <c r="U177" i="1"/>
  <c r="V177" i="1"/>
  <c r="W177" i="1"/>
  <c r="X177" i="1"/>
  <c r="Y177" i="1"/>
  <c r="Z177" i="1"/>
  <c r="AA177" i="1"/>
  <c r="AB177" i="1"/>
  <c r="AC177" i="1"/>
  <c r="AD177" i="1"/>
  <c r="AE177" i="1"/>
  <c r="AF177" i="1"/>
  <c r="AG177" i="1"/>
  <c r="AH177" i="1"/>
  <c r="AI177" i="1"/>
  <c r="AJ177" i="1"/>
  <c r="AK177" i="1"/>
  <c r="AL177" i="1"/>
  <c r="AM177" i="1"/>
  <c r="AN177" i="1"/>
  <c r="AO177" i="1"/>
  <c r="AP177" i="1"/>
  <c r="AQ177" i="1"/>
  <c r="AR177" i="1"/>
  <c r="AS177" i="1"/>
  <c r="AT177" i="1"/>
  <c r="AU177" i="1"/>
  <c r="AV177" i="1"/>
  <c r="AW177" i="1"/>
  <c r="AX177" i="1"/>
  <c r="AY177" i="1"/>
  <c r="AZ177" i="1"/>
  <c r="BA177" i="1"/>
  <c r="BB177" i="1"/>
  <c r="BC177" i="1"/>
  <c r="BD177" i="1"/>
  <c r="BE177" i="1"/>
  <c r="BF177" i="1"/>
  <c r="BG177" i="1"/>
  <c r="BH177" i="1"/>
  <c r="BI177" i="1"/>
  <c r="BJ177" i="1"/>
  <c r="BK177" i="1"/>
  <c r="BL177" i="1"/>
  <c r="BM177" i="1"/>
  <c r="BN177" i="1"/>
  <c r="BO177" i="1"/>
  <c r="BP177" i="1"/>
  <c r="BQ177" i="1"/>
  <c r="BR177" i="1"/>
  <c r="BS177" i="1"/>
  <c r="BT177" i="1"/>
  <c r="BU177" i="1"/>
  <c r="BV177" i="1"/>
  <c r="BW177" i="1"/>
  <c r="BX177" i="1"/>
  <c r="BY177" i="1"/>
  <c r="BZ177" i="1"/>
  <c r="CA177" i="1"/>
  <c r="CB177" i="1"/>
  <c r="CC177" i="1"/>
  <c r="B178" i="1"/>
  <c r="C178" i="1"/>
  <c r="D178" i="1"/>
  <c r="E178" i="1"/>
  <c r="F178" i="1"/>
  <c r="G178" i="1"/>
  <c r="H178" i="1"/>
  <c r="I178" i="1"/>
  <c r="J178" i="1"/>
  <c r="K178" i="1"/>
  <c r="L178" i="1"/>
  <c r="M178" i="1"/>
  <c r="N178" i="1"/>
  <c r="O178" i="1"/>
  <c r="P178" i="1"/>
  <c r="Q178" i="1"/>
  <c r="R178" i="1"/>
  <c r="S178" i="1"/>
  <c r="T178" i="1"/>
  <c r="U178" i="1"/>
  <c r="V178" i="1"/>
  <c r="W178" i="1"/>
  <c r="X178" i="1"/>
  <c r="Y178" i="1"/>
  <c r="Z178" i="1"/>
  <c r="AA178" i="1"/>
  <c r="AB178" i="1"/>
  <c r="AC178" i="1"/>
  <c r="AD178" i="1"/>
  <c r="AE178" i="1"/>
  <c r="AF178" i="1"/>
  <c r="AG178" i="1"/>
  <c r="AH178" i="1"/>
  <c r="AI178" i="1"/>
  <c r="AJ178" i="1"/>
  <c r="AK178" i="1"/>
  <c r="AL178" i="1"/>
  <c r="AM178" i="1"/>
  <c r="AN178" i="1"/>
  <c r="AO178" i="1"/>
  <c r="AP178" i="1"/>
  <c r="AQ178" i="1"/>
  <c r="AR178" i="1"/>
  <c r="AS178" i="1"/>
  <c r="AT178" i="1"/>
  <c r="AU178" i="1"/>
  <c r="AV178" i="1"/>
  <c r="AW178" i="1"/>
  <c r="AX178" i="1"/>
  <c r="AY178" i="1"/>
  <c r="AZ178" i="1"/>
  <c r="BA178" i="1"/>
  <c r="BB178" i="1"/>
  <c r="BC178" i="1"/>
  <c r="BD178" i="1"/>
  <c r="BE178" i="1"/>
  <c r="BF178" i="1"/>
  <c r="BG178" i="1"/>
  <c r="BH178" i="1"/>
  <c r="BI178" i="1"/>
  <c r="BJ178" i="1"/>
  <c r="BK178" i="1"/>
  <c r="BL178" i="1"/>
  <c r="BM178" i="1"/>
  <c r="BN178" i="1"/>
  <c r="BO178" i="1"/>
  <c r="BP178" i="1"/>
  <c r="BQ178" i="1"/>
  <c r="BR178" i="1"/>
  <c r="BS178" i="1"/>
  <c r="BT178" i="1"/>
  <c r="BU178" i="1"/>
  <c r="BV178" i="1"/>
  <c r="BW178" i="1"/>
  <c r="BX178" i="1"/>
  <c r="BY178" i="1"/>
  <c r="BZ178" i="1"/>
  <c r="CA178" i="1"/>
  <c r="CB178" i="1"/>
  <c r="CC178" i="1"/>
  <c r="B179" i="1"/>
  <c r="C179" i="1"/>
  <c r="D179" i="1"/>
  <c r="E179" i="1"/>
  <c r="F179" i="1"/>
  <c r="G179" i="1"/>
  <c r="H179" i="1"/>
  <c r="I179" i="1"/>
  <c r="J179" i="1"/>
  <c r="K179" i="1"/>
  <c r="L179" i="1"/>
  <c r="M179" i="1"/>
  <c r="N179" i="1"/>
  <c r="O179" i="1"/>
  <c r="P179" i="1"/>
  <c r="Q179" i="1"/>
  <c r="R179" i="1"/>
  <c r="S179" i="1"/>
  <c r="T179" i="1"/>
  <c r="U179" i="1"/>
  <c r="V179" i="1"/>
  <c r="W179" i="1"/>
  <c r="X179" i="1"/>
  <c r="Y179" i="1"/>
  <c r="Z179" i="1"/>
  <c r="AA179" i="1"/>
  <c r="AB179" i="1"/>
  <c r="AC179" i="1"/>
  <c r="AD179" i="1"/>
  <c r="AE179" i="1"/>
  <c r="AF179" i="1"/>
  <c r="AG179" i="1"/>
  <c r="AH179" i="1"/>
  <c r="AI179" i="1"/>
  <c r="AJ179" i="1"/>
  <c r="AK179" i="1"/>
  <c r="AL179" i="1"/>
  <c r="AM179" i="1"/>
  <c r="AN179" i="1"/>
  <c r="AO179" i="1"/>
  <c r="AP179" i="1"/>
  <c r="AQ179" i="1"/>
  <c r="AR179" i="1"/>
  <c r="AS179" i="1"/>
  <c r="AT179" i="1"/>
  <c r="AU179" i="1"/>
  <c r="AV179" i="1"/>
  <c r="AW179" i="1"/>
  <c r="AX179" i="1"/>
  <c r="AY179" i="1"/>
  <c r="AZ179" i="1"/>
  <c r="BA179" i="1"/>
  <c r="BB179" i="1"/>
  <c r="BC179" i="1"/>
  <c r="BD179" i="1"/>
  <c r="BE179" i="1"/>
  <c r="BF179" i="1"/>
  <c r="BG179" i="1"/>
  <c r="BH179" i="1"/>
  <c r="BI179" i="1"/>
  <c r="BJ179" i="1"/>
  <c r="BK179" i="1"/>
  <c r="BL179" i="1"/>
  <c r="BM179" i="1"/>
  <c r="BN179" i="1"/>
  <c r="BO179" i="1"/>
  <c r="BP179" i="1"/>
  <c r="BQ179" i="1"/>
  <c r="BR179" i="1"/>
  <c r="BS179" i="1"/>
  <c r="BT179" i="1"/>
  <c r="BU179" i="1"/>
  <c r="BV179" i="1"/>
  <c r="BW179" i="1"/>
  <c r="BX179" i="1"/>
  <c r="BY179" i="1"/>
  <c r="BZ179" i="1"/>
  <c r="CA179" i="1"/>
  <c r="CB179" i="1"/>
  <c r="CC179" i="1"/>
  <c r="B180" i="1"/>
  <c r="C180" i="1"/>
  <c r="D180" i="1"/>
  <c r="E180" i="1"/>
  <c r="F180" i="1"/>
  <c r="G180" i="1"/>
  <c r="H180" i="1"/>
  <c r="I180" i="1"/>
  <c r="J180" i="1"/>
  <c r="K180" i="1"/>
  <c r="L180" i="1"/>
  <c r="M180" i="1"/>
  <c r="N180" i="1"/>
  <c r="O180" i="1"/>
  <c r="P180" i="1"/>
  <c r="Q180" i="1"/>
  <c r="R180" i="1"/>
  <c r="S180" i="1"/>
  <c r="T180" i="1"/>
  <c r="U180" i="1"/>
  <c r="V180" i="1"/>
  <c r="W180" i="1"/>
  <c r="X180" i="1"/>
  <c r="Y180" i="1"/>
  <c r="Z180" i="1"/>
  <c r="AA180" i="1"/>
  <c r="AB180" i="1"/>
  <c r="AC180" i="1"/>
  <c r="AD180" i="1"/>
  <c r="AE180" i="1"/>
  <c r="AF180" i="1"/>
  <c r="AG180" i="1"/>
  <c r="AH180" i="1"/>
  <c r="AI180" i="1"/>
  <c r="AJ180" i="1"/>
  <c r="AK180" i="1"/>
  <c r="AL180" i="1"/>
  <c r="AM180" i="1"/>
  <c r="AN180" i="1"/>
  <c r="AO180" i="1"/>
  <c r="AP180" i="1"/>
  <c r="AQ180" i="1"/>
  <c r="AR180" i="1"/>
  <c r="AS180" i="1"/>
  <c r="AT180" i="1"/>
  <c r="AU180" i="1"/>
  <c r="AV180" i="1"/>
  <c r="AW180" i="1"/>
  <c r="AX180" i="1"/>
  <c r="AY180" i="1"/>
  <c r="AZ180" i="1"/>
  <c r="BA180" i="1"/>
  <c r="BB180" i="1"/>
  <c r="BC180" i="1"/>
  <c r="BD180" i="1"/>
  <c r="BE180" i="1"/>
  <c r="BF180" i="1"/>
  <c r="BG180" i="1"/>
  <c r="BH180" i="1"/>
  <c r="BI180" i="1"/>
  <c r="BJ180" i="1"/>
  <c r="BK180" i="1"/>
  <c r="BL180" i="1"/>
  <c r="BM180" i="1"/>
  <c r="BN180" i="1"/>
  <c r="BO180" i="1"/>
  <c r="BP180" i="1"/>
  <c r="BQ180" i="1"/>
  <c r="BR180" i="1"/>
  <c r="BS180" i="1"/>
  <c r="BT180" i="1"/>
  <c r="BU180" i="1"/>
  <c r="BV180" i="1"/>
  <c r="BW180" i="1"/>
  <c r="BX180" i="1"/>
  <c r="BY180" i="1"/>
  <c r="BZ180" i="1"/>
  <c r="CA180" i="1"/>
  <c r="CB180" i="1"/>
  <c r="CC180" i="1"/>
  <c r="B181" i="1"/>
  <c r="C181" i="1"/>
  <c r="D181" i="1"/>
  <c r="E181" i="1"/>
  <c r="F181" i="1"/>
  <c r="G181" i="1"/>
  <c r="H181" i="1"/>
  <c r="I181" i="1"/>
  <c r="J181" i="1"/>
  <c r="K181" i="1"/>
  <c r="L181" i="1"/>
  <c r="M181" i="1"/>
  <c r="N181" i="1"/>
  <c r="O181" i="1"/>
  <c r="P181" i="1"/>
  <c r="Q181" i="1"/>
  <c r="R181" i="1"/>
  <c r="S181" i="1"/>
  <c r="T181" i="1"/>
  <c r="U181" i="1"/>
  <c r="V181" i="1"/>
  <c r="W181" i="1"/>
  <c r="X181" i="1"/>
  <c r="Y181" i="1"/>
  <c r="Z181" i="1"/>
  <c r="AA181" i="1"/>
  <c r="AB181" i="1"/>
  <c r="AC181" i="1"/>
  <c r="AD181" i="1"/>
  <c r="AE181" i="1"/>
  <c r="AF181" i="1"/>
  <c r="AG181" i="1"/>
  <c r="AH181" i="1"/>
  <c r="AI181" i="1"/>
  <c r="AJ181" i="1"/>
  <c r="AK181" i="1"/>
  <c r="AL181" i="1"/>
  <c r="AM181" i="1"/>
  <c r="AN181" i="1"/>
  <c r="AO181" i="1"/>
  <c r="AP181" i="1"/>
  <c r="AQ181" i="1"/>
  <c r="AR181" i="1"/>
  <c r="AS181" i="1"/>
  <c r="AT181" i="1"/>
  <c r="AU181" i="1"/>
  <c r="AV181" i="1"/>
  <c r="AW181" i="1"/>
  <c r="AX181" i="1"/>
  <c r="AY181" i="1"/>
  <c r="AZ181" i="1"/>
  <c r="BA181" i="1"/>
  <c r="BB181" i="1"/>
  <c r="BC181" i="1"/>
  <c r="BD181" i="1"/>
  <c r="BE181" i="1"/>
  <c r="BF181" i="1"/>
  <c r="BG181" i="1"/>
  <c r="BH181" i="1"/>
  <c r="BI181" i="1"/>
  <c r="BJ181" i="1"/>
  <c r="BK181" i="1"/>
  <c r="BL181" i="1"/>
  <c r="BM181" i="1"/>
  <c r="BN181" i="1"/>
  <c r="BO181" i="1"/>
  <c r="BP181" i="1"/>
  <c r="BQ181" i="1"/>
  <c r="BR181" i="1"/>
  <c r="BS181" i="1"/>
  <c r="BT181" i="1"/>
  <c r="BU181" i="1"/>
  <c r="BV181" i="1"/>
  <c r="BW181" i="1"/>
  <c r="BX181" i="1"/>
  <c r="BY181" i="1"/>
  <c r="BZ181" i="1"/>
  <c r="CA181" i="1"/>
  <c r="CB181" i="1"/>
  <c r="CC181" i="1"/>
  <c r="C94" i="1"/>
  <c r="D94" i="1"/>
  <c r="E94" i="1"/>
  <c r="F94" i="1"/>
  <c r="G94" i="1"/>
  <c r="H94" i="1"/>
  <c r="I94" i="1"/>
  <c r="J94" i="1"/>
  <c r="K94" i="1"/>
  <c r="L94" i="1"/>
  <c r="M94" i="1"/>
  <c r="N94" i="1"/>
  <c r="O94" i="1"/>
  <c r="P94" i="1"/>
  <c r="Q94" i="1"/>
  <c r="R94" i="1"/>
  <c r="S94" i="1"/>
  <c r="T94" i="1"/>
  <c r="U94" i="1"/>
  <c r="V94" i="1"/>
  <c r="W94" i="1"/>
  <c r="X94" i="1"/>
  <c r="Y94" i="1"/>
  <c r="Z94" i="1"/>
  <c r="AA94" i="1"/>
  <c r="AB94" i="1"/>
  <c r="AC94" i="1"/>
  <c r="AD94" i="1"/>
  <c r="AE94" i="1"/>
  <c r="AF94" i="1"/>
  <c r="AG94" i="1"/>
  <c r="AH94" i="1"/>
  <c r="AI94" i="1"/>
  <c r="AJ94" i="1"/>
  <c r="AK94" i="1"/>
  <c r="AL94" i="1"/>
  <c r="AM94" i="1"/>
  <c r="AN94" i="1"/>
  <c r="AO94" i="1"/>
  <c r="AP94" i="1"/>
  <c r="AQ94" i="1"/>
  <c r="AR94" i="1"/>
  <c r="AS94" i="1"/>
  <c r="AT94" i="1"/>
  <c r="AU94" i="1"/>
  <c r="AV94" i="1"/>
  <c r="AW94" i="1"/>
  <c r="AX94" i="1"/>
  <c r="AY94" i="1"/>
  <c r="AZ94" i="1"/>
  <c r="BA94" i="1"/>
  <c r="BB94" i="1"/>
  <c r="BC94" i="1"/>
  <c r="BD94" i="1"/>
  <c r="BE94" i="1"/>
  <c r="BF94" i="1"/>
  <c r="BG94" i="1"/>
  <c r="BH94" i="1"/>
  <c r="BI94" i="1"/>
  <c r="BJ94" i="1"/>
  <c r="BK94" i="1"/>
  <c r="BL94" i="1"/>
  <c r="BM94" i="1"/>
  <c r="BN94" i="1"/>
  <c r="BO94" i="1"/>
  <c r="BP94" i="1"/>
  <c r="BQ94" i="1"/>
  <c r="BR94" i="1"/>
  <c r="BS94" i="1"/>
  <c r="BT94" i="1"/>
  <c r="BU94" i="1"/>
  <c r="BV94" i="1"/>
  <c r="BW94" i="1"/>
  <c r="BX94" i="1"/>
  <c r="BY94" i="1"/>
  <c r="BZ94" i="1"/>
  <c r="CA94" i="1"/>
  <c r="CB94" i="1"/>
  <c r="CC94" i="1"/>
  <c r="B94" i="1"/>
  <c r="CI4" i="1"/>
  <c r="CI68" i="1"/>
  <c r="CI29" i="1"/>
  <c r="CI51" i="1"/>
  <c r="CI62" i="1"/>
  <c r="CI31" i="1"/>
  <c r="CI35" i="1"/>
  <c r="CI64" i="1"/>
  <c r="CI25" i="1"/>
  <c r="CI89" i="1"/>
  <c r="CI58" i="1"/>
  <c r="CI76" i="1"/>
  <c r="CI37" i="1"/>
  <c r="CI6" i="1"/>
  <c r="CI70" i="1"/>
  <c r="CI72" i="1"/>
  <c r="CI12" i="1"/>
  <c r="CI20" i="1"/>
  <c r="CI84" i="1"/>
  <c r="CI45" i="1"/>
  <c r="CI14" i="1"/>
  <c r="CI78" i="1"/>
  <c r="CI47" i="1"/>
  <c r="CI16" i="1"/>
  <c r="CI80" i="1"/>
  <c r="CI41" i="1"/>
  <c r="CI10" i="1"/>
  <c r="CI74" i="1"/>
  <c r="CI24" i="1"/>
  <c r="CI49" i="1"/>
  <c r="CI82" i="1"/>
  <c r="CI19" i="1"/>
  <c r="CI28" i="1"/>
  <c r="CI59" i="1"/>
  <c r="CI53" i="1"/>
  <c r="CI22" i="1"/>
  <c r="CI86" i="1"/>
  <c r="CI55" i="1"/>
  <c r="CI88" i="1"/>
  <c r="CI18" i="1"/>
  <c r="CI8" i="1"/>
  <c r="CI36" i="1"/>
  <c r="CI83" i="1"/>
  <c r="CI61" i="1"/>
  <c r="CI30" i="1"/>
  <c r="CI43" i="1"/>
  <c r="CI63" i="1"/>
  <c r="CI32" i="1"/>
  <c r="CI27" i="1"/>
  <c r="CI57" i="1"/>
  <c r="CI26" i="1"/>
  <c r="CI90" i="1"/>
  <c r="CI34" i="1"/>
  <c r="CI21" i="1"/>
  <c r="CI23" i="1"/>
  <c r="CI17" i="1"/>
  <c r="CI44" i="1"/>
  <c r="CI5" i="1"/>
  <c r="CI69" i="1"/>
  <c r="CI38" i="1"/>
  <c r="CI7" i="1"/>
  <c r="CI71" i="1"/>
  <c r="CI40" i="1"/>
  <c r="CI67" i="1"/>
  <c r="CI65" i="1"/>
  <c r="CI11" i="1"/>
  <c r="CI54" i="1"/>
  <c r="CI56" i="1"/>
  <c r="CI50" i="1"/>
  <c r="CI33" i="1"/>
  <c r="CI52" i="1"/>
  <c r="CI13" i="1"/>
  <c r="CI77" i="1"/>
  <c r="CI46" i="1"/>
  <c r="CI15" i="1"/>
  <c r="CI79" i="1"/>
  <c r="CI48" i="1"/>
  <c r="CI9" i="1"/>
  <c r="CI73" i="1"/>
  <c r="CI42" i="1"/>
  <c r="CI75" i="1"/>
  <c r="CI85" i="1"/>
  <c r="CI87" i="1"/>
  <c r="CI81" i="1"/>
  <c r="CI39" i="1"/>
  <c r="CI66" i="1"/>
  <c r="CI60" i="1"/>
  <c r="C250" i="4" l="1"/>
  <c r="D250" i="4"/>
  <c r="E250" i="4"/>
  <c r="F250" i="4"/>
  <c r="G250" i="4"/>
  <c r="H250" i="4"/>
  <c r="I250" i="4"/>
  <c r="J250" i="4"/>
  <c r="K250" i="4"/>
  <c r="L250" i="4"/>
  <c r="M250" i="4"/>
  <c r="N250" i="4"/>
  <c r="O250" i="4"/>
  <c r="P250" i="4"/>
  <c r="Q250" i="4"/>
  <c r="R250" i="4"/>
  <c r="S250" i="4"/>
  <c r="T250" i="4"/>
  <c r="U250" i="4"/>
  <c r="V250" i="4"/>
  <c r="W250" i="4"/>
  <c r="X250" i="4"/>
  <c r="Y250" i="4"/>
  <c r="Z250" i="4"/>
  <c r="AA250" i="4"/>
  <c r="AB250" i="4"/>
  <c r="AC250" i="4"/>
  <c r="AD250" i="4"/>
  <c r="AE250" i="4"/>
  <c r="AF250" i="4"/>
  <c r="AG250" i="4"/>
  <c r="AH250" i="4"/>
  <c r="AI250" i="4"/>
  <c r="AJ250" i="4"/>
  <c r="AK250" i="4"/>
  <c r="AL250" i="4"/>
  <c r="AM250" i="4"/>
  <c r="AN250" i="4"/>
  <c r="AO250" i="4"/>
  <c r="AP250" i="4"/>
  <c r="AQ250" i="4"/>
  <c r="AR250" i="4"/>
  <c r="AS250" i="4"/>
  <c r="AT250" i="4"/>
  <c r="AU250" i="4"/>
  <c r="AV250" i="4"/>
  <c r="AW250" i="4"/>
  <c r="AX250" i="4"/>
  <c r="AY250" i="4"/>
  <c r="AZ250" i="4"/>
  <c r="BA250" i="4"/>
  <c r="BB250" i="4"/>
  <c r="BC250" i="4"/>
  <c r="BD250" i="4"/>
  <c r="BE250" i="4"/>
  <c r="BF250" i="4"/>
  <c r="BG250" i="4"/>
  <c r="BH250" i="4"/>
  <c r="BI250" i="4"/>
  <c r="BJ250" i="4"/>
  <c r="BK250" i="4"/>
  <c r="BL250" i="4"/>
  <c r="BM250" i="4"/>
  <c r="BN250" i="4"/>
  <c r="BO250" i="4"/>
  <c r="BP250" i="4"/>
  <c r="BQ250" i="4"/>
  <c r="BR250" i="4"/>
  <c r="BS250" i="4"/>
  <c r="BT250" i="4"/>
  <c r="BU250" i="4"/>
  <c r="BV250" i="4"/>
  <c r="BW250" i="4"/>
  <c r="BX250" i="4"/>
  <c r="BY250" i="4"/>
  <c r="BZ250" i="4"/>
  <c r="CA250" i="4"/>
  <c r="CB250" i="4"/>
  <c r="CC250" i="4"/>
  <c r="CD250" i="4"/>
  <c r="CE250" i="4"/>
  <c r="CF250" i="4"/>
  <c r="CG250" i="4"/>
  <c r="CH250" i="4"/>
  <c r="CI250" i="4"/>
  <c r="CJ250" i="4"/>
  <c r="CK250" i="4"/>
  <c r="B250" i="4"/>
  <c r="C246" i="4"/>
  <c r="D246" i="4"/>
  <c r="E246" i="4"/>
  <c r="F246" i="4"/>
  <c r="G246" i="4"/>
  <c r="H246" i="4"/>
  <c r="I246" i="4"/>
  <c r="J246" i="4"/>
  <c r="K246" i="4"/>
  <c r="L246" i="4"/>
  <c r="M246" i="4"/>
  <c r="N246" i="4"/>
  <c r="O246" i="4"/>
  <c r="P246" i="4"/>
  <c r="Q246" i="4"/>
  <c r="R246" i="4"/>
  <c r="S246" i="4"/>
  <c r="T246" i="4"/>
  <c r="U246" i="4"/>
  <c r="V246" i="4"/>
  <c r="W246" i="4"/>
  <c r="X246" i="4"/>
  <c r="Y246" i="4"/>
  <c r="Z246" i="4"/>
  <c r="AA246" i="4"/>
  <c r="AB246" i="4"/>
  <c r="AC246" i="4"/>
  <c r="AD246" i="4"/>
  <c r="AE246" i="4"/>
  <c r="AF246" i="4"/>
  <c r="AG246" i="4"/>
  <c r="AH246" i="4"/>
  <c r="AI246" i="4"/>
  <c r="AJ246" i="4"/>
  <c r="AK246" i="4"/>
  <c r="AL246" i="4"/>
  <c r="AM246" i="4"/>
  <c r="AN246" i="4"/>
  <c r="AO246" i="4"/>
  <c r="AP246" i="4"/>
  <c r="AQ246" i="4"/>
  <c r="AR246" i="4"/>
  <c r="AS246" i="4"/>
  <c r="AT246" i="4"/>
  <c r="AU246" i="4"/>
  <c r="AV246" i="4"/>
  <c r="AW246" i="4"/>
  <c r="AX246" i="4"/>
  <c r="AY246" i="4"/>
  <c r="AZ246" i="4"/>
  <c r="BA246" i="4"/>
  <c r="BB246" i="4"/>
  <c r="BC246" i="4"/>
  <c r="BD246" i="4"/>
  <c r="BE246" i="4"/>
  <c r="BF246" i="4"/>
  <c r="BG246" i="4"/>
  <c r="BH246" i="4"/>
  <c r="BI246" i="4"/>
  <c r="BJ246" i="4"/>
  <c r="BK246" i="4"/>
  <c r="BL246" i="4"/>
  <c r="BM246" i="4"/>
  <c r="BN246" i="4"/>
  <c r="BO246" i="4"/>
  <c r="BP246" i="4"/>
  <c r="BQ246" i="4"/>
  <c r="BR246" i="4"/>
  <c r="BS246" i="4"/>
  <c r="BT246" i="4"/>
  <c r="BU246" i="4"/>
  <c r="BV246" i="4"/>
  <c r="BW246" i="4"/>
  <c r="BX246" i="4"/>
  <c r="BY246" i="4"/>
  <c r="BZ246" i="4"/>
  <c r="CA246" i="4"/>
  <c r="CB246" i="4"/>
  <c r="CC246" i="4"/>
  <c r="CD246" i="4"/>
  <c r="CE246" i="4"/>
  <c r="CF246" i="4"/>
  <c r="CG246" i="4"/>
  <c r="CH246" i="4"/>
  <c r="CI246" i="4"/>
  <c r="CJ246" i="4"/>
  <c r="CK246" i="4"/>
  <c r="C247" i="4"/>
  <c r="D247" i="4"/>
  <c r="E247" i="4"/>
  <c r="F247" i="4"/>
  <c r="G247" i="4"/>
  <c r="H247" i="4"/>
  <c r="I247" i="4"/>
  <c r="J247" i="4"/>
  <c r="K247" i="4"/>
  <c r="L247" i="4"/>
  <c r="M247" i="4"/>
  <c r="N247" i="4"/>
  <c r="O247" i="4"/>
  <c r="P247" i="4"/>
  <c r="Q247" i="4"/>
  <c r="R247" i="4"/>
  <c r="S247" i="4"/>
  <c r="T247" i="4"/>
  <c r="U247" i="4"/>
  <c r="V247" i="4"/>
  <c r="W247" i="4"/>
  <c r="X247" i="4"/>
  <c r="Y247" i="4"/>
  <c r="Z247" i="4"/>
  <c r="AA247" i="4"/>
  <c r="AB247" i="4"/>
  <c r="AC247" i="4"/>
  <c r="AD247" i="4"/>
  <c r="AE247" i="4"/>
  <c r="AF247" i="4"/>
  <c r="AG247" i="4"/>
  <c r="AH247" i="4"/>
  <c r="AI247" i="4"/>
  <c r="AJ247" i="4"/>
  <c r="AK247" i="4"/>
  <c r="AL247" i="4"/>
  <c r="AM247" i="4"/>
  <c r="AN247" i="4"/>
  <c r="AO247" i="4"/>
  <c r="AP247" i="4"/>
  <c r="AQ247" i="4"/>
  <c r="AR247" i="4"/>
  <c r="AS247" i="4"/>
  <c r="AT247" i="4"/>
  <c r="AU247" i="4"/>
  <c r="AV247" i="4"/>
  <c r="AW247" i="4"/>
  <c r="AX247" i="4"/>
  <c r="AY247" i="4"/>
  <c r="AZ247" i="4"/>
  <c r="BA247" i="4"/>
  <c r="BB247" i="4"/>
  <c r="BC247" i="4"/>
  <c r="BD247" i="4"/>
  <c r="BE247" i="4"/>
  <c r="BF247" i="4"/>
  <c r="BG247" i="4"/>
  <c r="BH247" i="4"/>
  <c r="BI247" i="4"/>
  <c r="BJ247" i="4"/>
  <c r="BK247" i="4"/>
  <c r="BL247" i="4"/>
  <c r="BM247" i="4"/>
  <c r="BN247" i="4"/>
  <c r="BO247" i="4"/>
  <c r="BP247" i="4"/>
  <c r="BQ247" i="4"/>
  <c r="BR247" i="4"/>
  <c r="BS247" i="4"/>
  <c r="BT247" i="4"/>
  <c r="BU247" i="4"/>
  <c r="BV247" i="4"/>
  <c r="BW247" i="4"/>
  <c r="BX247" i="4"/>
  <c r="BY247" i="4"/>
  <c r="BZ247" i="4"/>
  <c r="CA247" i="4"/>
  <c r="CB247" i="4"/>
  <c r="CC247" i="4"/>
  <c r="CD247" i="4"/>
  <c r="CE247" i="4"/>
  <c r="CF247" i="4"/>
  <c r="CG247" i="4"/>
  <c r="CH247" i="4"/>
  <c r="CI247" i="4"/>
  <c r="CJ247" i="4"/>
  <c r="CK247" i="4"/>
  <c r="C248" i="4"/>
  <c r="D248" i="4"/>
  <c r="E248" i="4"/>
  <c r="F248" i="4"/>
  <c r="G248" i="4"/>
  <c r="H248" i="4"/>
  <c r="I248" i="4"/>
  <c r="J248" i="4"/>
  <c r="K248" i="4"/>
  <c r="L248" i="4"/>
  <c r="M248" i="4"/>
  <c r="N248" i="4"/>
  <c r="O248" i="4"/>
  <c r="P248" i="4"/>
  <c r="Q248" i="4"/>
  <c r="R248" i="4"/>
  <c r="S248" i="4"/>
  <c r="T248" i="4"/>
  <c r="U248" i="4"/>
  <c r="V248" i="4"/>
  <c r="W248" i="4"/>
  <c r="X248" i="4"/>
  <c r="Y248" i="4"/>
  <c r="Z248" i="4"/>
  <c r="AA248" i="4"/>
  <c r="AB248" i="4"/>
  <c r="AC248" i="4"/>
  <c r="AD248" i="4"/>
  <c r="AE248" i="4"/>
  <c r="AF248" i="4"/>
  <c r="AG248" i="4"/>
  <c r="AH248" i="4"/>
  <c r="AI248" i="4"/>
  <c r="AJ248" i="4"/>
  <c r="AK248" i="4"/>
  <c r="AL248" i="4"/>
  <c r="AM248" i="4"/>
  <c r="AN248" i="4"/>
  <c r="AO248" i="4"/>
  <c r="AP248" i="4"/>
  <c r="AQ248" i="4"/>
  <c r="AR248" i="4"/>
  <c r="AS248" i="4"/>
  <c r="AT248" i="4"/>
  <c r="AU248" i="4"/>
  <c r="AV248" i="4"/>
  <c r="AW248" i="4"/>
  <c r="AX248" i="4"/>
  <c r="AY248" i="4"/>
  <c r="AZ248" i="4"/>
  <c r="BA248" i="4"/>
  <c r="BB248" i="4"/>
  <c r="BC248" i="4"/>
  <c r="BD248" i="4"/>
  <c r="BE248" i="4"/>
  <c r="BF248" i="4"/>
  <c r="BG248" i="4"/>
  <c r="BH248" i="4"/>
  <c r="BI248" i="4"/>
  <c r="BJ248" i="4"/>
  <c r="BK248" i="4"/>
  <c r="BL248" i="4"/>
  <c r="BM248" i="4"/>
  <c r="BN248" i="4"/>
  <c r="BO248" i="4"/>
  <c r="BP248" i="4"/>
  <c r="BQ248" i="4"/>
  <c r="BR248" i="4"/>
  <c r="BS248" i="4"/>
  <c r="BT248" i="4"/>
  <c r="BU248" i="4"/>
  <c r="BV248" i="4"/>
  <c r="BW248" i="4"/>
  <c r="BX248" i="4"/>
  <c r="BY248" i="4"/>
  <c r="BZ248" i="4"/>
  <c r="CA248" i="4"/>
  <c r="CB248" i="4"/>
  <c r="CC248" i="4"/>
  <c r="CD248" i="4"/>
  <c r="CE248" i="4"/>
  <c r="CF248" i="4"/>
  <c r="CG248" i="4"/>
  <c r="CH248" i="4"/>
  <c r="CI248" i="4"/>
  <c r="CJ248" i="4"/>
  <c r="CK248" i="4"/>
  <c r="B248" i="4"/>
  <c r="B247" i="4"/>
  <c r="B246" i="4"/>
  <c r="G241" i="4"/>
  <c r="H241" i="4"/>
  <c r="I241" i="4"/>
  <c r="J241" i="4"/>
  <c r="K241" i="4"/>
  <c r="L241" i="4"/>
  <c r="M241" i="4"/>
  <c r="N241" i="4"/>
  <c r="O241" i="4"/>
  <c r="P241" i="4"/>
  <c r="Q241" i="4"/>
  <c r="R241" i="4"/>
  <c r="S241" i="4"/>
  <c r="T241" i="4"/>
  <c r="U241" i="4"/>
  <c r="V241" i="4"/>
  <c r="W241" i="4"/>
  <c r="X241" i="4"/>
  <c r="Y241" i="4"/>
  <c r="Z241" i="4"/>
  <c r="AA241" i="4"/>
  <c r="AB241" i="4"/>
  <c r="AC241" i="4"/>
  <c r="AD241" i="4"/>
  <c r="AE241" i="4"/>
  <c r="AF241" i="4"/>
  <c r="AG241" i="4"/>
  <c r="AH241" i="4"/>
  <c r="AI241" i="4"/>
  <c r="AJ241" i="4"/>
  <c r="AK241" i="4"/>
  <c r="AL241" i="4"/>
  <c r="AM241" i="4"/>
  <c r="AN241" i="4"/>
  <c r="AO241" i="4"/>
  <c r="AP241" i="4"/>
  <c r="AQ241" i="4"/>
  <c r="AR241" i="4"/>
  <c r="AS241" i="4"/>
  <c r="AT241" i="4"/>
  <c r="AU241" i="4"/>
  <c r="AV241" i="4"/>
  <c r="AW241" i="4"/>
  <c r="AX241" i="4"/>
  <c r="AY241" i="4"/>
  <c r="AZ241" i="4"/>
  <c r="BA241" i="4"/>
  <c r="BB241" i="4"/>
  <c r="BC241" i="4"/>
  <c r="BD241" i="4"/>
  <c r="BE241" i="4"/>
  <c r="BF241" i="4"/>
  <c r="BG241" i="4"/>
  <c r="BH241" i="4"/>
  <c r="BI241" i="4"/>
  <c r="BJ241" i="4"/>
  <c r="BK241" i="4"/>
  <c r="BL241" i="4"/>
  <c r="BM241" i="4"/>
  <c r="BN241" i="4"/>
  <c r="BO241" i="4"/>
  <c r="BP241" i="4"/>
  <c r="BQ241" i="4"/>
  <c r="BR241" i="4"/>
  <c r="BS241" i="4"/>
  <c r="BT241" i="4"/>
  <c r="BU241" i="4"/>
  <c r="BV241" i="4"/>
  <c r="BW241" i="4"/>
  <c r="BX241" i="4"/>
  <c r="BY241" i="4"/>
  <c r="BZ241" i="4"/>
  <c r="CA241" i="4"/>
  <c r="CB241" i="4"/>
  <c r="CC241" i="4"/>
  <c r="CD241" i="4"/>
  <c r="CE241" i="4"/>
  <c r="CF241" i="4"/>
  <c r="CG241" i="4"/>
  <c r="CH241" i="4"/>
  <c r="CI241" i="4"/>
  <c r="CJ241" i="4"/>
  <c r="CK241" i="4"/>
  <c r="G242" i="4"/>
  <c r="H242" i="4"/>
  <c r="I242" i="4"/>
  <c r="J242" i="4"/>
  <c r="K242" i="4"/>
  <c r="L242" i="4"/>
  <c r="M242" i="4"/>
  <c r="N242" i="4"/>
  <c r="O242" i="4"/>
  <c r="P242" i="4"/>
  <c r="Q242" i="4"/>
  <c r="R242" i="4"/>
  <c r="S242" i="4"/>
  <c r="T242" i="4"/>
  <c r="U242" i="4"/>
  <c r="V242" i="4"/>
  <c r="W242" i="4"/>
  <c r="X242" i="4"/>
  <c r="Y242" i="4"/>
  <c r="Z242" i="4"/>
  <c r="AA242" i="4"/>
  <c r="AB242" i="4"/>
  <c r="AC242" i="4"/>
  <c r="AD242" i="4"/>
  <c r="AE242" i="4"/>
  <c r="AF242" i="4"/>
  <c r="AG242" i="4"/>
  <c r="AH242" i="4"/>
  <c r="AI242" i="4"/>
  <c r="AJ242" i="4"/>
  <c r="AK242" i="4"/>
  <c r="AL242" i="4"/>
  <c r="AM242" i="4"/>
  <c r="AN242" i="4"/>
  <c r="AO242" i="4"/>
  <c r="AP242" i="4"/>
  <c r="AQ242" i="4"/>
  <c r="AR242" i="4"/>
  <c r="AS242" i="4"/>
  <c r="AT242" i="4"/>
  <c r="AU242" i="4"/>
  <c r="AV242" i="4"/>
  <c r="AW242" i="4"/>
  <c r="AX242" i="4"/>
  <c r="AY242" i="4"/>
  <c r="AZ242" i="4"/>
  <c r="BA242" i="4"/>
  <c r="BB242" i="4"/>
  <c r="BC242" i="4"/>
  <c r="BD242" i="4"/>
  <c r="BE242" i="4"/>
  <c r="BF242" i="4"/>
  <c r="BG242" i="4"/>
  <c r="BH242" i="4"/>
  <c r="BI242" i="4"/>
  <c r="BJ242" i="4"/>
  <c r="BK242" i="4"/>
  <c r="BL242" i="4"/>
  <c r="BM242" i="4"/>
  <c r="BN242" i="4"/>
  <c r="BO242" i="4"/>
  <c r="BP242" i="4"/>
  <c r="BQ242" i="4"/>
  <c r="BR242" i="4"/>
  <c r="BS242" i="4"/>
  <c r="BT242" i="4"/>
  <c r="BU242" i="4"/>
  <c r="BV242" i="4"/>
  <c r="BW242" i="4"/>
  <c r="BX242" i="4"/>
  <c r="BY242" i="4"/>
  <c r="BZ242" i="4"/>
  <c r="CA242" i="4"/>
  <c r="CB242" i="4"/>
  <c r="CC242" i="4"/>
  <c r="CD242" i="4"/>
  <c r="CE242" i="4"/>
  <c r="CF242" i="4"/>
  <c r="CG242" i="4"/>
  <c r="CH242" i="4"/>
  <c r="CI242" i="4"/>
  <c r="CJ242" i="4"/>
  <c r="CK242" i="4"/>
  <c r="G243" i="4"/>
  <c r="H243" i="4"/>
  <c r="I243" i="4"/>
  <c r="J243" i="4"/>
  <c r="K243" i="4"/>
  <c r="L243" i="4"/>
  <c r="M243" i="4"/>
  <c r="N243" i="4"/>
  <c r="O243" i="4"/>
  <c r="P243" i="4"/>
  <c r="Q243" i="4"/>
  <c r="R243" i="4"/>
  <c r="S243" i="4"/>
  <c r="T243" i="4"/>
  <c r="U243" i="4"/>
  <c r="V243" i="4"/>
  <c r="W243" i="4"/>
  <c r="X243" i="4"/>
  <c r="Y243" i="4"/>
  <c r="Z243" i="4"/>
  <c r="AA243" i="4"/>
  <c r="AB243" i="4"/>
  <c r="AC243" i="4"/>
  <c r="AD243" i="4"/>
  <c r="AE243" i="4"/>
  <c r="AF243" i="4"/>
  <c r="AG243" i="4"/>
  <c r="AH243" i="4"/>
  <c r="AI243" i="4"/>
  <c r="AJ243" i="4"/>
  <c r="AK243" i="4"/>
  <c r="AL243" i="4"/>
  <c r="AM243" i="4"/>
  <c r="AN243" i="4"/>
  <c r="AO243" i="4"/>
  <c r="AP243" i="4"/>
  <c r="AQ243" i="4"/>
  <c r="AR243" i="4"/>
  <c r="AS243" i="4"/>
  <c r="AT243" i="4"/>
  <c r="AU243" i="4"/>
  <c r="AV243" i="4"/>
  <c r="AW243" i="4"/>
  <c r="AX243" i="4"/>
  <c r="AY243" i="4"/>
  <c r="AZ243" i="4"/>
  <c r="BA243" i="4"/>
  <c r="BB243" i="4"/>
  <c r="BC243" i="4"/>
  <c r="BD243" i="4"/>
  <c r="BE243" i="4"/>
  <c r="BF243" i="4"/>
  <c r="BG243" i="4"/>
  <c r="BH243" i="4"/>
  <c r="BI243" i="4"/>
  <c r="BJ243" i="4"/>
  <c r="BK243" i="4"/>
  <c r="BL243" i="4"/>
  <c r="BM243" i="4"/>
  <c r="BN243" i="4"/>
  <c r="BO243" i="4"/>
  <c r="BP243" i="4"/>
  <c r="BQ243" i="4"/>
  <c r="BR243" i="4"/>
  <c r="BS243" i="4"/>
  <c r="BT243" i="4"/>
  <c r="BU243" i="4"/>
  <c r="BV243" i="4"/>
  <c r="BW243" i="4"/>
  <c r="BX243" i="4"/>
  <c r="BY243" i="4"/>
  <c r="BZ243" i="4"/>
  <c r="CA243" i="4"/>
  <c r="CB243" i="4"/>
  <c r="CC243" i="4"/>
  <c r="CD243" i="4"/>
  <c r="CE243" i="4"/>
  <c r="CF243" i="4"/>
  <c r="CG243" i="4"/>
  <c r="CH243" i="4"/>
  <c r="CI243" i="4"/>
  <c r="CJ243" i="4"/>
  <c r="CK243" i="4"/>
  <c r="G244" i="4"/>
  <c r="H244" i="4"/>
  <c r="I244" i="4"/>
  <c r="J244" i="4"/>
  <c r="K244" i="4"/>
  <c r="L244" i="4"/>
  <c r="M244" i="4"/>
  <c r="N244" i="4"/>
  <c r="O244" i="4"/>
  <c r="P244" i="4"/>
  <c r="Q244" i="4"/>
  <c r="R244" i="4"/>
  <c r="S244" i="4"/>
  <c r="T244" i="4"/>
  <c r="U244" i="4"/>
  <c r="V244" i="4"/>
  <c r="W244" i="4"/>
  <c r="X244" i="4"/>
  <c r="Y244" i="4"/>
  <c r="Z244" i="4"/>
  <c r="AA244" i="4"/>
  <c r="AB244" i="4"/>
  <c r="AC244" i="4"/>
  <c r="AD244" i="4"/>
  <c r="AE244" i="4"/>
  <c r="AF244" i="4"/>
  <c r="AG244" i="4"/>
  <c r="AH244" i="4"/>
  <c r="AI244" i="4"/>
  <c r="AJ244" i="4"/>
  <c r="AK244" i="4"/>
  <c r="AL244" i="4"/>
  <c r="AM244" i="4"/>
  <c r="AN244" i="4"/>
  <c r="AO244" i="4"/>
  <c r="AP244" i="4"/>
  <c r="AQ244" i="4"/>
  <c r="AR244" i="4"/>
  <c r="AS244" i="4"/>
  <c r="AT244" i="4"/>
  <c r="AU244" i="4"/>
  <c r="AV244" i="4"/>
  <c r="AW244" i="4"/>
  <c r="AX244" i="4"/>
  <c r="AY244" i="4"/>
  <c r="AZ244" i="4"/>
  <c r="BA244" i="4"/>
  <c r="BB244" i="4"/>
  <c r="BC244" i="4"/>
  <c r="BD244" i="4"/>
  <c r="BE244" i="4"/>
  <c r="BF244" i="4"/>
  <c r="BG244" i="4"/>
  <c r="BH244" i="4"/>
  <c r="BI244" i="4"/>
  <c r="BJ244" i="4"/>
  <c r="BK244" i="4"/>
  <c r="BL244" i="4"/>
  <c r="BM244" i="4"/>
  <c r="BN244" i="4"/>
  <c r="BO244" i="4"/>
  <c r="BP244" i="4"/>
  <c r="BQ244" i="4"/>
  <c r="BR244" i="4"/>
  <c r="BS244" i="4"/>
  <c r="BT244" i="4"/>
  <c r="BU244" i="4"/>
  <c r="BV244" i="4"/>
  <c r="BW244" i="4"/>
  <c r="BX244" i="4"/>
  <c r="BY244" i="4"/>
  <c r="BZ244" i="4"/>
  <c r="CA244" i="4"/>
  <c r="CB244" i="4"/>
  <c r="CC244" i="4"/>
  <c r="CD244" i="4"/>
  <c r="CE244" i="4"/>
  <c r="CF244" i="4"/>
  <c r="CG244" i="4"/>
  <c r="CH244" i="4"/>
  <c r="CI244" i="4"/>
  <c r="CJ244" i="4"/>
  <c r="CK244" i="4"/>
  <c r="C241" i="4"/>
  <c r="D241" i="4"/>
  <c r="E241" i="4"/>
  <c r="F241" i="4"/>
  <c r="C242" i="4"/>
  <c r="D242" i="4"/>
  <c r="E242" i="4"/>
  <c r="F242" i="4"/>
  <c r="C243" i="4"/>
  <c r="D243" i="4"/>
  <c r="E243" i="4"/>
  <c r="F243" i="4"/>
  <c r="C244" i="4"/>
  <c r="D244" i="4"/>
  <c r="E244" i="4"/>
  <c r="F244" i="4"/>
  <c r="B244" i="4"/>
  <c r="B243" i="4"/>
  <c r="B242" i="4"/>
  <c r="B241" i="4"/>
  <c r="BL237" i="4"/>
  <c r="G236" i="4"/>
  <c r="H236" i="4"/>
  <c r="I236" i="4"/>
  <c r="J236" i="4"/>
  <c r="K236" i="4"/>
  <c r="L236" i="4"/>
  <c r="M236" i="4"/>
  <c r="N236" i="4"/>
  <c r="O236" i="4"/>
  <c r="P236" i="4"/>
  <c r="Q236" i="4"/>
  <c r="R236" i="4"/>
  <c r="S236" i="4"/>
  <c r="T236" i="4"/>
  <c r="U236" i="4"/>
  <c r="V236" i="4"/>
  <c r="W236" i="4"/>
  <c r="X236" i="4"/>
  <c r="Y236" i="4"/>
  <c r="Z236" i="4"/>
  <c r="AA236" i="4"/>
  <c r="AB236" i="4"/>
  <c r="AC236" i="4"/>
  <c r="AD236" i="4"/>
  <c r="AE236" i="4"/>
  <c r="AF236" i="4"/>
  <c r="AG236" i="4"/>
  <c r="AH236" i="4"/>
  <c r="AI236" i="4"/>
  <c r="AJ236" i="4"/>
  <c r="AK236" i="4"/>
  <c r="AL236" i="4"/>
  <c r="AM236" i="4"/>
  <c r="AN236" i="4"/>
  <c r="AO236" i="4"/>
  <c r="AP236" i="4"/>
  <c r="AQ236" i="4"/>
  <c r="AR236" i="4"/>
  <c r="AS236" i="4"/>
  <c r="AT236" i="4"/>
  <c r="AU236" i="4"/>
  <c r="AV236" i="4"/>
  <c r="AW236" i="4"/>
  <c r="AX236" i="4"/>
  <c r="AY236" i="4"/>
  <c r="AZ236" i="4"/>
  <c r="BA236" i="4"/>
  <c r="BB236" i="4"/>
  <c r="BC236" i="4"/>
  <c r="BD236" i="4"/>
  <c r="BE236" i="4"/>
  <c r="BF236" i="4"/>
  <c r="BG236" i="4"/>
  <c r="BH236" i="4"/>
  <c r="BI236" i="4"/>
  <c r="BJ236" i="4"/>
  <c r="BK236" i="4"/>
  <c r="BL236" i="4"/>
  <c r="BM236" i="4"/>
  <c r="BN236" i="4"/>
  <c r="BO236" i="4"/>
  <c r="BP236" i="4"/>
  <c r="BQ236" i="4"/>
  <c r="BR236" i="4"/>
  <c r="BS236" i="4"/>
  <c r="BT236" i="4"/>
  <c r="BU236" i="4"/>
  <c r="BV236" i="4"/>
  <c r="BW236" i="4"/>
  <c r="BX236" i="4"/>
  <c r="BY236" i="4"/>
  <c r="BZ236" i="4"/>
  <c r="CA236" i="4"/>
  <c r="CB236" i="4"/>
  <c r="CC236" i="4"/>
  <c r="CD236" i="4"/>
  <c r="CE236" i="4"/>
  <c r="CF236" i="4"/>
  <c r="CG236" i="4"/>
  <c r="CH236" i="4"/>
  <c r="CI236" i="4"/>
  <c r="CJ236" i="4"/>
  <c r="CK236" i="4"/>
  <c r="G237" i="4"/>
  <c r="H237" i="4"/>
  <c r="I237" i="4"/>
  <c r="J237" i="4"/>
  <c r="K237" i="4"/>
  <c r="L237" i="4"/>
  <c r="M237" i="4"/>
  <c r="N237" i="4"/>
  <c r="O237" i="4"/>
  <c r="P237" i="4"/>
  <c r="Q237" i="4"/>
  <c r="R237" i="4"/>
  <c r="S237" i="4"/>
  <c r="T237" i="4"/>
  <c r="U237" i="4"/>
  <c r="V237" i="4"/>
  <c r="W237" i="4"/>
  <c r="X237" i="4"/>
  <c r="Y237" i="4"/>
  <c r="Z237" i="4"/>
  <c r="AA237" i="4"/>
  <c r="AB237" i="4"/>
  <c r="AC237" i="4"/>
  <c r="AD237" i="4"/>
  <c r="AE237" i="4"/>
  <c r="AF237" i="4"/>
  <c r="AG237" i="4"/>
  <c r="AH237" i="4"/>
  <c r="AI237" i="4"/>
  <c r="AJ237" i="4"/>
  <c r="AK237" i="4"/>
  <c r="AL237" i="4"/>
  <c r="AM237" i="4"/>
  <c r="AN237" i="4"/>
  <c r="AO237" i="4"/>
  <c r="AP237" i="4"/>
  <c r="AQ237" i="4"/>
  <c r="AR237" i="4"/>
  <c r="AS237" i="4"/>
  <c r="AT237" i="4"/>
  <c r="AU237" i="4"/>
  <c r="AV237" i="4"/>
  <c r="AW237" i="4"/>
  <c r="AX237" i="4"/>
  <c r="AY237" i="4"/>
  <c r="AZ237" i="4"/>
  <c r="BA237" i="4"/>
  <c r="BB237" i="4"/>
  <c r="BC237" i="4"/>
  <c r="BD237" i="4"/>
  <c r="BE237" i="4"/>
  <c r="BF237" i="4"/>
  <c r="BG237" i="4"/>
  <c r="BH237" i="4"/>
  <c r="BI237" i="4"/>
  <c r="BJ237" i="4"/>
  <c r="BK237" i="4"/>
  <c r="BM237" i="4"/>
  <c r="BN237" i="4"/>
  <c r="BO237" i="4"/>
  <c r="BP237" i="4"/>
  <c r="BQ237" i="4"/>
  <c r="BR237" i="4"/>
  <c r="BS237" i="4"/>
  <c r="BT237" i="4"/>
  <c r="BU237" i="4"/>
  <c r="BV237" i="4"/>
  <c r="BW237" i="4"/>
  <c r="BX237" i="4"/>
  <c r="BY237" i="4"/>
  <c r="BZ237" i="4"/>
  <c r="CA237" i="4"/>
  <c r="CB237" i="4"/>
  <c r="CC237" i="4"/>
  <c r="CD237" i="4"/>
  <c r="CE237" i="4"/>
  <c r="CF237" i="4"/>
  <c r="CG237" i="4"/>
  <c r="CH237" i="4"/>
  <c r="CI237" i="4"/>
  <c r="CJ237" i="4"/>
  <c r="CK237" i="4"/>
  <c r="G238" i="4"/>
  <c r="H238" i="4"/>
  <c r="I238" i="4"/>
  <c r="J238" i="4"/>
  <c r="K238" i="4"/>
  <c r="L238" i="4"/>
  <c r="M238" i="4"/>
  <c r="N238" i="4"/>
  <c r="O238" i="4"/>
  <c r="P238" i="4"/>
  <c r="Q238" i="4"/>
  <c r="R238" i="4"/>
  <c r="S238" i="4"/>
  <c r="T238" i="4"/>
  <c r="U238" i="4"/>
  <c r="V238" i="4"/>
  <c r="W238" i="4"/>
  <c r="X238" i="4"/>
  <c r="Y238" i="4"/>
  <c r="Z238" i="4"/>
  <c r="AA238" i="4"/>
  <c r="AB238" i="4"/>
  <c r="AC238" i="4"/>
  <c r="AD238" i="4"/>
  <c r="AE238" i="4"/>
  <c r="AF238" i="4"/>
  <c r="AG238" i="4"/>
  <c r="AH238" i="4"/>
  <c r="AI238" i="4"/>
  <c r="AJ238" i="4"/>
  <c r="AK238" i="4"/>
  <c r="AL238" i="4"/>
  <c r="AM238" i="4"/>
  <c r="AN238" i="4"/>
  <c r="AO238" i="4"/>
  <c r="AP238" i="4"/>
  <c r="AQ238" i="4"/>
  <c r="AR238" i="4"/>
  <c r="AS238" i="4"/>
  <c r="AT238" i="4"/>
  <c r="AU238" i="4"/>
  <c r="AV238" i="4"/>
  <c r="AW238" i="4"/>
  <c r="AX238" i="4"/>
  <c r="AY238" i="4"/>
  <c r="AZ238" i="4"/>
  <c r="BA238" i="4"/>
  <c r="BB238" i="4"/>
  <c r="BC238" i="4"/>
  <c r="BD238" i="4"/>
  <c r="BE238" i="4"/>
  <c r="BF238" i="4"/>
  <c r="BG238" i="4"/>
  <c r="BH238" i="4"/>
  <c r="BI238" i="4"/>
  <c r="BJ238" i="4"/>
  <c r="BK238" i="4"/>
  <c r="BL238" i="4"/>
  <c r="BM238" i="4"/>
  <c r="BN238" i="4"/>
  <c r="BO238" i="4"/>
  <c r="BP238" i="4"/>
  <c r="BQ238" i="4"/>
  <c r="BR238" i="4"/>
  <c r="BS238" i="4"/>
  <c r="BT238" i="4"/>
  <c r="BU238" i="4"/>
  <c r="BV238" i="4"/>
  <c r="BW238" i="4"/>
  <c r="BX238" i="4"/>
  <c r="BY238" i="4"/>
  <c r="BZ238" i="4"/>
  <c r="CA238" i="4"/>
  <c r="CB238" i="4"/>
  <c r="CC238" i="4"/>
  <c r="CD238" i="4"/>
  <c r="CE238" i="4"/>
  <c r="CF238" i="4"/>
  <c r="CG238" i="4"/>
  <c r="CH238" i="4"/>
  <c r="CI238" i="4"/>
  <c r="CJ238" i="4"/>
  <c r="CK238" i="4"/>
  <c r="G239" i="4"/>
  <c r="H239" i="4"/>
  <c r="I239" i="4"/>
  <c r="J239" i="4"/>
  <c r="K239" i="4"/>
  <c r="L239" i="4"/>
  <c r="M239" i="4"/>
  <c r="N239" i="4"/>
  <c r="O239" i="4"/>
  <c r="P239" i="4"/>
  <c r="Q239" i="4"/>
  <c r="R239" i="4"/>
  <c r="S239" i="4"/>
  <c r="T239" i="4"/>
  <c r="U239" i="4"/>
  <c r="V239" i="4"/>
  <c r="W239" i="4"/>
  <c r="X239" i="4"/>
  <c r="Y239" i="4"/>
  <c r="Z239" i="4"/>
  <c r="AA239" i="4"/>
  <c r="AB239" i="4"/>
  <c r="AC239" i="4"/>
  <c r="AD239" i="4"/>
  <c r="AE239" i="4"/>
  <c r="AF239" i="4"/>
  <c r="AG239" i="4"/>
  <c r="AH239" i="4"/>
  <c r="AI239" i="4"/>
  <c r="AJ239" i="4"/>
  <c r="AK239" i="4"/>
  <c r="AL239" i="4"/>
  <c r="AM239" i="4"/>
  <c r="AN239" i="4"/>
  <c r="AO239" i="4"/>
  <c r="AP239" i="4"/>
  <c r="AQ239" i="4"/>
  <c r="AR239" i="4"/>
  <c r="AS239" i="4"/>
  <c r="AT239" i="4"/>
  <c r="AU239" i="4"/>
  <c r="AV239" i="4"/>
  <c r="AW239" i="4"/>
  <c r="AX239" i="4"/>
  <c r="AY239" i="4"/>
  <c r="AZ239" i="4"/>
  <c r="BA239" i="4"/>
  <c r="BB239" i="4"/>
  <c r="BC239" i="4"/>
  <c r="BD239" i="4"/>
  <c r="BE239" i="4"/>
  <c r="BF239" i="4"/>
  <c r="BG239" i="4"/>
  <c r="BH239" i="4"/>
  <c r="BI239" i="4"/>
  <c r="BJ239" i="4"/>
  <c r="BK239" i="4"/>
  <c r="BL239" i="4"/>
  <c r="BM239" i="4"/>
  <c r="BN239" i="4"/>
  <c r="BO239" i="4"/>
  <c r="BP239" i="4"/>
  <c r="BQ239" i="4"/>
  <c r="BR239" i="4"/>
  <c r="BS239" i="4"/>
  <c r="BT239" i="4"/>
  <c r="BU239" i="4"/>
  <c r="BV239" i="4"/>
  <c r="BW239" i="4"/>
  <c r="BX239" i="4"/>
  <c r="BY239" i="4"/>
  <c r="BZ239" i="4"/>
  <c r="CA239" i="4"/>
  <c r="CB239" i="4"/>
  <c r="CC239" i="4"/>
  <c r="CD239" i="4"/>
  <c r="CE239" i="4"/>
  <c r="CF239" i="4"/>
  <c r="CG239" i="4"/>
  <c r="CH239" i="4"/>
  <c r="CI239" i="4"/>
  <c r="CJ239" i="4"/>
  <c r="CK239" i="4"/>
  <c r="G240" i="4"/>
  <c r="H240" i="4"/>
  <c r="I240" i="4"/>
  <c r="J240" i="4"/>
  <c r="K240" i="4"/>
  <c r="L240" i="4"/>
  <c r="M240" i="4"/>
  <c r="N240" i="4"/>
  <c r="O240" i="4"/>
  <c r="P240" i="4"/>
  <c r="Q240" i="4"/>
  <c r="R240" i="4"/>
  <c r="S240" i="4"/>
  <c r="T240" i="4"/>
  <c r="U240" i="4"/>
  <c r="V240" i="4"/>
  <c r="W240" i="4"/>
  <c r="X240" i="4"/>
  <c r="Y240" i="4"/>
  <c r="Z240" i="4"/>
  <c r="AA240" i="4"/>
  <c r="AB240" i="4"/>
  <c r="AC240" i="4"/>
  <c r="AD240" i="4"/>
  <c r="AE240" i="4"/>
  <c r="AF240" i="4"/>
  <c r="AG240" i="4"/>
  <c r="AH240" i="4"/>
  <c r="AI240" i="4"/>
  <c r="AJ240" i="4"/>
  <c r="AK240" i="4"/>
  <c r="AL240" i="4"/>
  <c r="AM240" i="4"/>
  <c r="AN240" i="4"/>
  <c r="AO240" i="4"/>
  <c r="AP240" i="4"/>
  <c r="AQ240" i="4"/>
  <c r="AR240" i="4"/>
  <c r="AS240" i="4"/>
  <c r="AT240" i="4"/>
  <c r="AU240" i="4"/>
  <c r="AV240" i="4"/>
  <c r="AW240" i="4"/>
  <c r="AX240" i="4"/>
  <c r="AY240" i="4"/>
  <c r="AZ240" i="4"/>
  <c r="BA240" i="4"/>
  <c r="BB240" i="4"/>
  <c r="BC240" i="4"/>
  <c r="BD240" i="4"/>
  <c r="BE240" i="4"/>
  <c r="BF240" i="4"/>
  <c r="BG240" i="4"/>
  <c r="BH240" i="4"/>
  <c r="BI240" i="4"/>
  <c r="BJ240" i="4"/>
  <c r="BK240" i="4"/>
  <c r="BL240" i="4"/>
  <c r="BM240" i="4"/>
  <c r="BN240" i="4"/>
  <c r="BO240" i="4"/>
  <c r="BP240" i="4"/>
  <c r="BQ240" i="4"/>
  <c r="BR240" i="4"/>
  <c r="BS240" i="4"/>
  <c r="BT240" i="4"/>
  <c r="BU240" i="4"/>
  <c r="BV240" i="4"/>
  <c r="BW240" i="4"/>
  <c r="BX240" i="4"/>
  <c r="BY240" i="4"/>
  <c r="BZ240" i="4"/>
  <c r="CA240" i="4"/>
  <c r="CB240" i="4"/>
  <c r="CC240" i="4"/>
  <c r="CD240" i="4"/>
  <c r="CE240" i="4"/>
  <c r="CF240" i="4"/>
  <c r="CG240" i="4"/>
  <c r="CH240" i="4"/>
  <c r="CI240" i="4"/>
  <c r="CJ240" i="4"/>
  <c r="CK240" i="4"/>
  <c r="C240" i="4"/>
  <c r="D240" i="4"/>
  <c r="E240" i="4"/>
  <c r="F240" i="4"/>
  <c r="B240" i="4"/>
  <c r="C238" i="4"/>
  <c r="D238" i="4"/>
  <c r="E238" i="4"/>
  <c r="F238" i="4"/>
  <c r="C239" i="4"/>
  <c r="D239" i="4"/>
  <c r="E239" i="4"/>
  <c r="F239" i="4"/>
  <c r="B239" i="4"/>
  <c r="B238" i="4"/>
  <c r="C237" i="4"/>
  <c r="D237" i="4"/>
  <c r="E237" i="4"/>
  <c r="F237" i="4"/>
  <c r="B237" i="4"/>
  <c r="C236" i="4"/>
  <c r="D236" i="4"/>
  <c r="E236" i="4"/>
  <c r="F236" i="4"/>
  <c r="B236" i="4"/>
  <c r="C305" i="6" l="1"/>
  <c r="D305" i="6"/>
  <c r="E305" i="6"/>
  <c r="F305" i="6"/>
  <c r="G305" i="6"/>
  <c r="H305" i="6"/>
  <c r="AR305" i="6"/>
  <c r="B305" i="6"/>
  <c r="C312" i="6"/>
  <c r="D312" i="6"/>
  <c r="D280" i="6" s="1"/>
  <c r="E312" i="6"/>
  <c r="E280" i="6" s="1"/>
  <c r="F312" i="6"/>
  <c r="F280" i="6" s="1"/>
  <c r="G312" i="6"/>
  <c r="G280" i="6" s="1"/>
  <c r="H312" i="6"/>
  <c r="H280" i="6" s="1"/>
  <c r="I312" i="6"/>
  <c r="I280" i="6" s="1"/>
  <c r="J312" i="6"/>
  <c r="J280" i="6" s="1"/>
  <c r="K312" i="6"/>
  <c r="L312" i="6"/>
  <c r="L280" i="6" s="1"/>
  <c r="M312" i="6"/>
  <c r="M280" i="6" s="1"/>
  <c r="N312" i="6"/>
  <c r="N280" i="6" s="1"/>
  <c r="O312" i="6"/>
  <c r="O280" i="6" s="1"/>
  <c r="P312" i="6"/>
  <c r="P280" i="6" s="1"/>
  <c r="Q312" i="6"/>
  <c r="Q280" i="6" s="1"/>
  <c r="R312" i="6"/>
  <c r="R280" i="6" s="1"/>
  <c r="S312" i="6"/>
  <c r="S280" i="6" s="1"/>
  <c r="T312" i="6"/>
  <c r="T280" i="6" s="1"/>
  <c r="U312" i="6"/>
  <c r="U280" i="6" s="1"/>
  <c r="V312" i="6"/>
  <c r="V280" i="6" s="1"/>
  <c r="W312" i="6"/>
  <c r="W280" i="6" s="1"/>
  <c r="X312" i="6"/>
  <c r="X280" i="6" s="1"/>
  <c r="Y312" i="6"/>
  <c r="Y280" i="6" s="1"/>
  <c r="Z312" i="6"/>
  <c r="Z280" i="6" s="1"/>
  <c r="AA312" i="6"/>
  <c r="AA280" i="6" s="1"/>
  <c r="AB312" i="6"/>
  <c r="AB280" i="6" s="1"/>
  <c r="AC312" i="6"/>
  <c r="AC280" i="6" s="1"/>
  <c r="AD312" i="6"/>
  <c r="AD280" i="6" s="1"/>
  <c r="AE312" i="6"/>
  <c r="AE280" i="6" s="1"/>
  <c r="AF312" i="6"/>
  <c r="AF280" i="6" s="1"/>
  <c r="AG312" i="6"/>
  <c r="AG280" i="6" s="1"/>
  <c r="AH312" i="6"/>
  <c r="AH280" i="6" s="1"/>
  <c r="AI312" i="6"/>
  <c r="AI280" i="6" s="1"/>
  <c r="AJ312" i="6"/>
  <c r="AJ280" i="6" s="1"/>
  <c r="AK312" i="6"/>
  <c r="AK280" i="6" s="1"/>
  <c r="AL312" i="6"/>
  <c r="AL280" i="6" s="1"/>
  <c r="AM312" i="6"/>
  <c r="AM280" i="6" s="1"/>
  <c r="AN312" i="6"/>
  <c r="AN280" i="6" s="1"/>
  <c r="AO312" i="6"/>
  <c r="AO280" i="6" s="1"/>
  <c r="AP312" i="6"/>
  <c r="AP280" i="6" s="1"/>
  <c r="AQ312" i="6"/>
  <c r="AQ280" i="6" s="1"/>
  <c r="AR312" i="6"/>
  <c r="AR280" i="6" s="1"/>
  <c r="AS312" i="6"/>
  <c r="AS280" i="6" s="1"/>
  <c r="AT312" i="6"/>
  <c r="AT280" i="6" s="1"/>
  <c r="AU312" i="6"/>
  <c r="AU280" i="6" s="1"/>
  <c r="AV312" i="6"/>
  <c r="AV280" i="6" s="1"/>
  <c r="AW312" i="6"/>
  <c r="AW280" i="6" s="1"/>
  <c r="AX312" i="6"/>
  <c r="AX280" i="6" s="1"/>
  <c r="AY312" i="6"/>
  <c r="AY280" i="6" s="1"/>
  <c r="AZ312" i="6"/>
  <c r="AZ280" i="6" s="1"/>
  <c r="BA312" i="6"/>
  <c r="BA280" i="6" s="1"/>
  <c r="BB312" i="6"/>
  <c r="BB280" i="6" s="1"/>
  <c r="BC312" i="6"/>
  <c r="BC280" i="6" s="1"/>
  <c r="BD312" i="6"/>
  <c r="BD280" i="6" s="1"/>
  <c r="BE312" i="6"/>
  <c r="BE280" i="6" s="1"/>
  <c r="BF312" i="6"/>
  <c r="BF280" i="6" s="1"/>
  <c r="BG312" i="6"/>
  <c r="BG280" i="6" s="1"/>
  <c r="BH312" i="6"/>
  <c r="BH280" i="6" s="1"/>
  <c r="BI312" i="6"/>
  <c r="BI280" i="6" s="1"/>
  <c r="BJ312" i="6"/>
  <c r="BJ280" i="6" s="1"/>
  <c r="BK312" i="6"/>
  <c r="BK280" i="6" s="1"/>
  <c r="BL312" i="6"/>
  <c r="BL280" i="6" s="1"/>
  <c r="BM312" i="6"/>
  <c r="BM280" i="6" s="1"/>
  <c r="BN312" i="6"/>
  <c r="BN280" i="6" s="1"/>
  <c r="BO312" i="6"/>
  <c r="BO280" i="6" s="1"/>
  <c r="BP312" i="6"/>
  <c r="BP280" i="6" s="1"/>
  <c r="BQ312" i="6"/>
  <c r="BQ280" i="6" s="1"/>
  <c r="BR312" i="6"/>
  <c r="BR280" i="6" s="1"/>
  <c r="BS312" i="6"/>
  <c r="BS280" i="6" s="1"/>
  <c r="BT312" i="6"/>
  <c r="BT280" i="6" s="1"/>
  <c r="BU312" i="6"/>
  <c r="BU280" i="6" s="1"/>
  <c r="BV312" i="6"/>
  <c r="BV280" i="6" s="1"/>
  <c r="BW312" i="6"/>
  <c r="BW280" i="6" s="1"/>
  <c r="BX312" i="6"/>
  <c r="BX280" i="6" s="1"/>
  <c r="BY312" i="6"/>
  <c r="BY280" i="6" s="1"/>
  <c r="BZ312" i="6"/>
  <c r="BZ280" i="6" s="1"/>
  <c r="CA312" i="6"/>
  <c r="CA280" i="6" s="1"/>
  <c r="CB312" i="6"/>
  <c r="CB280" i="6" s="1"/>
  <c r="CC312" i="6"/>
  <c r="CC280" i="6" s="1"/>
  <c r="CD312" i="6"/>
  <c r="CD280" i="6" s="1"/>
  <c r="CE312" i="6"/>
  <c r="CE280" i="6" s="1"/>
  <c r="CF312" i="6"/>
  <c r="CF280" i="6" s="1"/>
  <c r="CG312" i="6"/>
  <c r="CG280" i="6" s="1"/>
  <c r="CH312" i="6"/>
  <c r="CH280" i="6" s="1"/>
  <c r="CI312" i="6"/>
  <c r="CI280" i="6" s="1"/>
  <c r="CJ312" i="6"/>
  <c r="CJ280" i="6" s="1"/>
  <c r="CK312" i="6"/>
  <c r="CK280" i="6" s="1"/>
  <c r="C280" i="6"/>
  <c r="K280" i="6"/>
  <c r="B280" i="6"/>
  <c r="B312" i="6"/>
  <c r="C229" i="4"/>
  <c r="D229" i="4"/>
  <c r="E229" i="4"/>
  <c r="F229" i="4"/>
  <c r="G229" i="4"/>
  <c r="H229" i="4"/>
  <c r="I229" i="4"/>
  <c r="J229" i="4"/>
  <c r="K229" i="4"/>
  <c r="L229" i="4"/>
  <c r="M229" i="4"/>
  <c r="N229" i="4"/>
  <c r="O229" i="4"/>
  <c r="P229" i="4"/>
  <c r="Q229" i="4"/>
  <c r="R229" i="4"/>
  <c r="S229" i="4"/>
  <c r="T229" i="4"/>
  <c r="U229" i="4"/>
  <c r="V229" i="4"/>
  <c r="W229" i="4"/>
  <c r="X229" i="4"/>
  <c r="Y229" i="4"/>
  <c r="Z229" i="4"/>
  <c r="AA229" i="4"/>
  <c r="AB229" i="4"/>
  <c r="AC229" i="4"/>
  <c r="AD229" i="4"/>
  <c r="AE229" i="4"/>
  <c r="AF229" i="4"/>
  <c r="AG229" i="4"/>
  <c r="AH229" i="4"/>
  <c r="AI229" i="4"/>
  <c r="AJ229" i="4"/>
  <c r="AK229" i="4"/>
  <c r="AL229" i="4"/>
  <c r="AM229" i="4"/>
  <c r="AN229" i="4"/>
  <c r="AO229" i="4"/>
  <c r="AP229" i="4"/>
  <c r="AQ229" i="4"/>
  <c r="AR229" i="4"/>
  <c r="AS229" i="4"/>
  <c r="AT229" i="4"/>
  <c r="AU229" i="4"/>
  <c r="AV229" i="4"/>
  <c r="AW229" i="4"/>
  <c r="AX229" i="4"/>
  <c r="AY229" i="4"/>
  <c r="AZ229" i="4"/>
  <c r="BA229" i="4"/>
  <c r="BB229" i="4"/>
  <c r="BC229" i="4"/>
  <c r="BD229" i="4"/>
  <c r="BE229" i="4"/>
  <c r="BF229" i="4"/>
  <c r="BG229" i="4"/>
  <c r="BH229" i="4"/>
  <c r="BI229" i="4"/>
  <c r="BJ229" i="4"/>
  <c r="BK229" i="4"/>
  <c r="BL229" i="4"/>
  <c r="BM229" i="4"/>
  <c r="BN229" i="4"/>
  <c r="BO229" i="4"/>
  <c r="BP229" i="4"/>
  <c r="BQ229" i="4"/>
  <c r="BR229" i="4"/>
  <c r="BS229" i="4"/>
  <c r="BT229" i="4"/>
  <c r="BU229" i="4"/>
  <c r="BV229" i="4"/>
  <c r="BW229" i="4"/>
  <c r="BX229" i="4"/>
  <c r="BY229" i="4"/>
  <c r="BZ229" i="4"/>
  <c r="CA229" i="4"/>
  <c r="CB229" i="4"/>
  <c r="CC229" i="4"/>
  <c r="CD229" i="4"/>
  <c r="CE229" i="4"/>
  <c r="CF229" i="4"/>
  <c r="CG229" i="4"/>
  <c r="CH229" i="4"/>
  <c r="CI229" i="4"/>
  <c r="CJ229" i="4"/>
  <c r="CK229" i="4"/>
  <c r="C230" i="4"/>
  <c r="D230" i="4"/>
  <c r="E230" i="4"/>
  <c r="F230" i="4"/>
  <c r="G230" i="4"/>
  <c r="H230" i="4"/>
  <c r="I230" i="4"/>
  <c r="J230" i="4"/>
  <c r="K230" i="4"/>
  <c r="L230" i="4"/>
  <c r="M230" i="4"/>
  <c r="N230" i="4"/>
  <c r="O230" i="4"/>
  <c r="P230" i="4"/>
  <c r="Q230" i="4"/>
  <c r="R230" i="4"/>
  <c r="S230" i="4"/>
  <c r="T230" i="4"/>
  <c r="U230" i="4"/>
  <c r="V230" i="4"/>
  <c r="W230" i="4"/>
  <c r="X230" i="4"/>
  <c r="Y230" i="4"/>
  <c r="Z230" i="4"/>
  <c r="AA230" i="4"/>
  <c r="AB230" i="4"/>
  <c r="AC230" i="4"/>
  <c r="AD230" i="4"/>
  <c r="AE230" i="4"/>
  <c r="AF230" i="4"/>
  <c r="AG230" i="4"/>
  <c r="AH230" i="4"/>
  <c r="AI230" i="4"/>
  <c r="AJ230" i="4"/>
  <c r="AK230" i="4"/>
  <c r="AL230" i="4"/>
  <c r="AM230" i="4"/>
  <c r="AN230" i="4"/>
  <c r="AO230" i="4"/>
  <c r="AP230" i="4"/>
  <c r="AQ230" i="4"/>
  <c r="AR230" i="4"/>
  <c r="AS230" i="4"/>
  <c r="AT230" i="4"/>
  <c r="AU230" i="4"/>
  <c r="AV230" i="4"/>
  <c r="AW230" i="4"/>
  <c r="AX230" i="4"/>
  <c r="AY230" i="4"/>
  <c r="AZ230" i="4"/>
  <c r="BA230" i="4"/>
  <c r="BB230" i="4"/>
  <c r="BB233" i="4" s="1"/>
  <c r="BC230" i="4"/>
  <c r="BD230" i="4"/>
  <c r="BE230" i="4"/>
  <c r="BF230" i="4"/>
  <c r="BG230" i="4"/>
  <c r="BH230" i="4"/>
  <c r="BI230" i="4"/>
  <c r="BJ230" i="4"/>
  <c r="BJ233" i="4" s="1"/>
  <c r="BK230" i="4"/>
  <c r="BL230" i="4"/>
  <c r="BM230" i="4"/>
  <c r="BN230" i="4"/>
  <c r="BO230" i="4"/>
  <c r="BP230" i="4"/>
  <c r="BQ230" i="4"/>
  <c r="BR230" i="4"/>
  <c r="BS230" i="4"/>
  <c r="BT230" i="4"/>
  <c r="BU230" i="4"/>
  <c r="BV230" i="4"/>
  <c r="BW230" i="4"/>
  <c r="BX230" i="4"/>
  <c r="BY230" i="4"/>
  <c r="BZ230" i="4"/>
  <c r="CA230" i="4"/>
  <c r="CB230" i="4"/>
  <c r="CC230" i="4"/>
  <c r="CD230" i="4"/>
  <c r="CE230" i="4"/>
  <c r="CF230" i="4"/>
  <c r="CG230" i="4"/>
  <c r="CH230" i="4"/>
  <c r="CI230" i="4"/>
  <c r="CJ230" i="4"/>
  <c r="CK230" i="4"/>
  <c r="C231" i="4"/>
  <c r="D231" i="4"/>
  <c r="E231" i="4"/>
  <c r="F231" i="4"/>
  <c r="G231" i="4"/>
  <c r="H231" i="4"/>
  <c r="H233" i="4" s="1"/>
  <c r="I231" i="4"/>
  <c r="J231" i="4"/>
  <c r="K231" i="4"/>
  <c r="L231" i="4"/>
  <c r="M231" i="4"/>
  <c r="N231" i="4"/>
  <c r="O231" i="4"/>
  <c r="P231" i="4"/>
  <c r="Q231" i="4"/>
  <c r="R231" i="4"/>
  <c r="S231" i="4"/>
  <c r="T231" i="4"/>
  <c r="U231" i="4"/>
  <c r="V231" i="4"/>
  <c r="W231" i="4"/>
  <c r="X231" i="4"/>
  <c r="Y231" i="4"/>
  <c r="Z231" i="4"/>
  <c r="AA231" i="4"/>
  <c r="AB231" i="4"/>
  <c r="AC231" i="4"/>
  <c r="AD231" i="4"/>
  <c r="AE231" i="4"/>
  <c r="AF231" i="4"/>
  <c r="AG231" i="4"/>
  <c r="AH231" i="4"/>
  <c r="AI231" i="4"/>
  <c r="AJ231" i="4"/>
  <c r="AK231" i="4"/>
  <c r="AL231" i="4"/>
  <c r="AM231" i="4"/>
  <c r="AN231" i="4"/>
  <c r="AO231" i="4"/>
  <c r="AP231" i="4"/>
  <c r="AQ231" i="4"/>
  <c r="AR231" i="4"/>
  <c r="AS231" i="4"/>
  <c r="AT231" i="4"/>
  <c r="AU231" i="4"/>
  <c r="AV231" i="4"/>
  <c r="AW231" i="4"/>
  <c r="AX231" i="4"/>
  <c r="AY231" i="4"/>
  <c r="AZ231" i="4"/>
  <c r="BA231" i="4"/>
  <c r="BB231" i="4"/>
  <c r="BC231" i="4"/>
  <c r="BD231" i="4"/>
  <c r="BE231" i="4"/>
  <c r="BF231" i="4"/>
  <c r="BG231" i="4"/>
  <c r="BH231" i="4"/>
  <c r="BI231" i="4"/>
  <c r="BJ231" i="4"/>
  <c r="BK231" i="4"/>
  <c r="BL231" i="4"/>
  <c r="BM231" i="4"/>
  <c r="BN231" i="4"/>
  <c r="BO231" i="4"/>
  <c r="BP231" i="4"/>
  <c r="BQ231" i="4"/>
  <c r="BR231" i="4"/>
  <c r="BS231" i="4"/>
  <c r="BT231" i="4"/>
  <c r="BU231" i="4"/>
  <c r="BV231" i="4"/>
  <c r="BW231" i="4"/>
  <c r="BX231" i="4"/>
  <c r="BY231" i="4"/>
  <c r="BZ231" i="4"/>
  <c r="CA231" i="4"/>
  <c r="CB231" i="4"/>
  <c r="CC231" i="4"/>
  <c r="CD231" i="4"/>
  <c r="CE231" i="4"/>
  <c r="CF231" i="4"/>
  <c r="CG231" i="4"/>
  <c r="CH231" i="4"/>
  <c r="CI231" i="4"/>
  <c r="CJ231" i="4"/>
  <c r="CK231" i="4"/>
  <c r="C232" i="4"/>
  <c r="D232" i="4"/>
  <c r="E232" i="4"/>
  <c r="F232" i="4"/>
  <c r="G232" i="4"/>
  <c r="H232" i="4"/>
  <c r="I232" i="4"/>
  <c r="J232" i="4"/>
  <c r="K232" i="4"/>
  <c r="L232" i="4"/>
  <c r="M232" i="4"/>
  <c r="N232" i="4"/>
  <c r="O232" i="4"/>
  <c r="P232" i="4"/>
  <c r="Q232" i="4"/>
  <c r="R232" i="4"/>
  <c r="S232" i="4"/>
  <c r="T232" i="4"/>
  <c r="U232" i="4"/>
  <c r="V232" i="4"/>
  <c r="W232" i="4"/>
  <c r="X232" i="4"/>
  <c r="Y232" i="4"/>
  <c r="Z232" i="4"/>
  <c r="AA232" i="4"/>
  <c r="AB232" i="4"/>
  <c r="AC232" i="4"/>
  <c r="AD232" i="4"/>
  <c r="AE232" i="4"/>
  <c r="AF232" i="4"/>
  <c r="AG232" i="4"/>
  <c r="AH232" i="4"/>
  <c r="AI232" i="4"/>
  <c r="AJ232" i="4"/>
  <c r="AK232" i="4"/>
  <c r="AL232" i="4"/>
  <c r="AM232" i="4"/>
  <c r="AN232" i="4"/>
  <c r="AO232" i="4"/>
  <c r="AP232" i="4"/>
  <c r="AQ232" i="4"/>
  <c r="AR232" i="4"/>
  <c r="AS232" i="4"/>
  <c r="AT232" i="4"/>
  <c r="AU232" i="4"/>
  <c r="AV232" i="4"/>
  <c r="AW232" i="4"/>
  <c r="AW233" i="4" s="1"/>
  <c r="AX232" i="4"/>
  <c r="AY232" i="4"/>
  <c r="AZ232" i="4"/>
  <c r="BA232" i="4"/>
  <c r="BB232" i="4"/>
  <c r="BC232" i="4"/>
  <c r="BD232" i="4"/>
  <c r="BE232" i="4"/>
  <c r="BF232" i="4"/>
  <c r="BG232" i="4"/>
  <c r="BH232" i="4"/>
  <c r="BI232" i="4"/>
  <c r="BJ232" i="4"/>
  <c r="BK232" i="4"/>
  <c r="BL232" i="4"/>
  <c r="BM232" i="4"/>
  <c r="BN232" i="4"/>
  <c r="BO232" i="4"/>
  <c r="BP232" i="4"/>
  <c r="BQ232" i="4"/>
  <c r="BR232" i="4"/>
  <c r="BS232" i="4"/>
  <c r="BT232" i="4"/>
  <c r="BU232" i="4"/>
  <c r="BV232" i="4"/>
  <c r="BW232" i="4"/>
  <c r="BX232" i="4"/>
  <c r="BY232" i="4"/>
  <c r="BZ232" i="4"/>
  <c r="CA232" i="4"/>
  <c r="CB232" i="4"/>
  <c r="CC232" i="4"/>
  <c r="CD232" i="4"/>
  <c r="CE232" i="4"/>
  <c r="CF232" i="4"/>
  <c r="CG232" i="4"/>
  <c r="CH232" i="4"/>
  <c r="CI232" i="4"/>
  <c r="CJ232" i="4"/>
  <c r="CK232" i="4"/>
  <c r="V233" i="4"/>
  <c r="BR233" i="4"/>
  <c r="B233" i="4"/>
  <c r="B232" i="4"/>
  <c r="B227" i="4"/>
  <c r="B231" i="4"/>
  <c r="B226" i="4"/>
  <c r="B230" i="4"/>
  <c r="B225" i="4"/>
  <c r="B229" i="4"/>
  <c r="E225" i="4"/>
  <c r="N225" i="4"/>
  <c r="O225" i="4"/>
  <c r="V225" i="4"/>
  <c r="W225" i="4"/>
  <c r="X225" i="4"/>
  <c r="AB225" i="4"/>
  <c r="AQ225" i="4"/>
  <c r="AX225" i="4"/>
  <c r="BA225" i="4"/>
  <c r="BB225" i="4"/>
  <c r="BC225" i="4"/>
  <c r="BD225" i="4"/>
  <c r="BE225" i="4"/>
  <c r="BH225" i="4"/>
  <c r="BJ225" i="4"/>
  <c r="BL225" i="4"/>
  <c r="BP225" i="4"/>
  <c r="BR225" i="4"/>
  <c r="BS225" i="4"/>
  <c r="BV225" i="4"/>
  <c r="BW225" i="4"/>
  <c r="BX225" i="4"/>
  <c r="CB225" i="4"/>
  <c r="CD225" i="4"/>
  <c r="CE225" i="4"/>
  <c r="CG225" i="4"/>
  <c r="CI225" i="4"/>
  <c r="K226" i="4"/>
  <c r="N226" i="4"/>
  <c r="O226" i="4"/>
  <c r="V226" i="4"/>
  <c r="X226" i="4"/>
  <c r="AB226" i="4"/>
  <c r="AE226" i="4"/>
  <c r="AK226" i="4"/>
  <c r="AQ226" i="4"/>
  <c r="AY226" i="4"/>
  <c r="BA226" i="4"/>
  <c r="BB226" i="4"/>
  <c r="BC226" i="4"/>
  <c r="BE226" i="4"/>
  <c r="BH226" i="4"/>
  <c r="BJ226" i="4"/>
  <c r="BK226" i="4"/>
  <c r="BL226" i="4"/>
  <c r="BQ226" i="4"/>
  <c r="BS226" i="4"/>
  <c r="BW226" i="4"/>
  <c r="CB226" i="4"/>
  <c r="CD226" i="4"/>
  <c r="CE226" i="4"/>
  <c r="CI226" i="4"/>
  <c r="G227" i="4"/>
  <c r="N227" i="4"/>
  <c r="O227" i="4"/>
  <c r="V227" i="4"/>
  <c r="W227" i="4"/>
  <c r="X227" i="4"/>
  <c r="AE227" i="4"/>
  <c r="AI227" i="4"/>
  <c r="AK227" i="4"/>
  <c r="AQ227" i="4"/>
  <c r="AS227" i="4"/>
  <c r="AV227" i="4"/>
  <c r="AX227" i="4"/>
  <c r="AY227" i="4"/>
  <c r="BA227" i="4"/>
  <c r="BC227" i="4"/>
  <c r="BE227" i="4"/>
  <c r="BG227" i="4"/>
  <c r="BH227" i="4"/>
  <c r="BJ227" i="4"/>
  <c r="BK227" i="4"/>
  <c r="BM227" i="4"/>
  <c r="BN227" i="4"/>
  <c r="BP227" i="4"/>
  <c r="BS227" i="4"/>
  <c r="BV227" i="4"/>
  <c r="BW227" i="4"/>
  <c r="CA227" i="4"/>
  <c r="CB227" i="4"/>
  <c r="CD227" i="4"/>
  <c r="N228" i="4"/>
  <c r="O228" i="4"/>
  <c r="V228" i="4"/>
  <c r="X228" i="4"/>
  <c r="AQ228" i="4"/>
  <c r="BA228" i="4"/>
  <c r="BC228" i="4"/>
  <c r="BE228" i="4"/>
  <c r="BH228" i="4"/>
  <c r="BJ228" i="4"/>
  <c r="BS228" i="4"/>
  <c r="BW228" i="4"/>
  <c r="CB228" i="4"/>
  <c r="CD228" i="4"/>
  <c r="B228" i="4"/>
  <c r="B197" i="4"/>
  <c r="C270" i="6"/>
  <c r="D270" i="6"/>
  <c r="E270" i="6"/>
  <c r="F270" i="6"/>
  <c r="G270" i="6"/>
  <c r="H270" i="6"/>
  <c r="I270" i="6"/>
  <c r="J270" i="6"/>
  <c r="K270" i="6"/>
  <c r="L270" i="6"/>
  <c r="M270" i="6"/>
  <c r="N270" i="6"/>
  <c r="O270" i="6"/>
  <c r="P270" i="6"/>
  <c r="Q270" i="6"/>
  <c r="R270" i="6"/>
  <c r="S270" i="6"/>
  <c r="T270" i="6"/>
  <c r="U270" i="6"/>
  <c r="V270" i="6"/>
  <c r="W270" i="6"/>
  <c r="X270" i="6"/>
  <c r="Y270" i="6"/>
  <c r="Z270" i="6"/>
  <c r="AA270" i="6"/>
  <c r="AB270" i="6"/>
  <c r="AC270" i="6"/>
  <c r="AD270" i="6"/>
  <c r="AE270" i="6"/>
  <c r="AF270" i="6"/>
  <c r="AG270" i="6"/>
  <c r="AH270" i="6"/>
  <c r="AI270" i="6"/>
  <c r="AJ270" i="6"/>
  <c r="AK270" i="6"/>
  <c r="AL270" i="6"/>
  <c r="AM270" i="6"/>
  <c r="AN270" i="6"/>
  <c r="AO270" i="6"/>
  <c r="AP270" i="6"/>
  <c r="AQ270" i="6"/>
  <c r="AR270" i="6"/>
  <c r="AS270" i="6"/>
  <c r="AT270" i="6"/>
  <c r="AU270" i="6"/>
  <c r="AV270" i="6"/>
  <c r="AW270" i="6"/>
  <c r="AX270" i="6"/>
  <c r="AY270" i="6"/>
  <c r="AZ270" i="6"/>
  <c r="BA270" i="6"/>
  <c r="BB270" i="6"/>
  <c r="BC270" i="6"/>
  <c r="BD270" i="6"/>
  <c r="BE270" i="6"/>
  <c r="BF270" i="6"/>
  <c r="BG270" i="6"/>
  <c r="BH270" i="6"/>
  <c r="BI270" i="6"/>
  <c r="BJ270" i="6"/>
  <c r="BK270" i="6"/>
  <c r="BL270" i="6"/>
  <c r="BM270" i="6"/>
  <c r="BN270" i="6"/>
  <c r="BO270" i="6"/>
  <c r="BP270" i="6"/>
  <c r="BQ270" i="6"/>
  <c r="BR270" i="6"/>
  <c r="BS270" i="6"/>
  <c r="BT270" i="6"/>
  <c r="BU270" i="6"/>
  <c r="BV270" i="6"/>
  <c r="BW270" i="6"/>
  <c r="BX270" i="6"/>
  <c r="BY270" i="6"/>
  <c r="BZ270" i="6"/>
  <c r="CA270" i="6"/>
  <c r="CB270" i="6"/>
  <c r="CC270" i="6"/>
  <c r="CD270" i="6"/>
  <c r="CE270" i="6"/>
  <c r="CF270" i="6"/>
  <c r="CG270" i="6"/>
  <c r="CH270" i="6"/>
  <c r="CI270" i="6"/>
  <c r="CJ270" i="6"/>
  <c r="CK270" i="6"/>
  <c r="C271" i="6"/>
  <c r="D271" i="6"/>
  <c r="E271" i="6"/>
  <c r="F271" i="6"/>
  <c r="G271" i="6"/>
  <c r="H271" i="6"/>
  <c r="I271" i="6"/>
  <c r="J271" i="6"/>
  <c r="K271" i="6"/>
  <c r="L271" i="6"/>
  <c r="M271" i="6"/>
  <c r="N271" i="6"/>
  <c r="O271" i="6"/>
  <c r="P271" i="6"/>
  <c r="Q271" i="6"/>
  <c r="R271" i="6"/>
  <c r="S271" i="6"/>
  <c r="T271" i="6"/>
  <c r="U271" i="6"/>
  <c r="V271" i="6"/>
  <c r="W271" i="6"/>
  <c r="X271" i="6"/>
  <c r="Y271" i="6"/>
  <c r="Z271" i="6"/>
  <c r="AA271" i="6"/>
  <c r="AB271" i="6"/>
  <c r="AC271" i="6"/>
  <c r="AD271" i="6"/>
  <c r="AE271" i="6"/>
  <c r="AF271" i="6"/>
  <c r="AG271" i="6"/>
  <c r="AH271" i="6"/>
  <c r="AI271" i="6"/>
  <c r="AJ271" i="6"/>
  <c r="AK271" i="6"/>
  <c r="AL271" i="6"/>
  <c r="AM271" i="6"/>
  <c r="AN271" i="6"/>
  <c r="AO271" i="6"/>
  <c r="AP271" i="6"/>
  <c r="AQ271" i="6"/>
  <c r="AR271" i="6"/>
  <c r="AS271" i="6"/>
  <c r="AT271" i="6"/>
  <c r="AU271" i="6"/>
  <c r="AV271" i="6"/>
  <c r="AW271" i="6"/>
  <c r="AX271" i="6"/>
  <c r="AY271" i="6"/>
  <c r="AZ271" i="6"/>
  <c r="BA271" i="6"/>
  <c r="BB271" i="6"/>
  <c r="BC271" i="6"/>
  <c r="BD271" i="6"/>
  <c r="BE271" i="6"/>
  <c r="BF271" i="6"/>
  <c r="BG271" i="6"/>
  <c r="BH271" i="6"/>
  <c r="BI271" i="6"/>
  <c r="BJ271" i="6"/>
  <c r="BK271" i="6"/>
  <c r="BL271" i="6"/>
  <c r="BM271" i="6"/>
  <c r="BN271" i="6"/>
  <c r="BO271" i="6"/>
  <c r="BP271" i="6"/>
  <c r="BQ271" i="6"/>
  <c r="BR271" i="6"/>
  <c r="BS271" i="6"/>
  <c r="BT271" i="6"/>
  <c r="BU271" i="6"/>
  <c r="BV271" i="6"/>
  <c r="BW271" i="6"/>
  <c r="BX271" i="6"/>
  <c r="BY271" i="6"/>
  <c r="BZ271" i="6"/>
  <c r="CA271" i="6"/>
  <c r="CB271" i="6"/>
  <c r="CC271" i="6"/>
  <c r="CD271" i="6"/>
  <c r="CE271" i="6"/>
  <c r="CF271" i="6"/>
  <c r="CG271" i="6"/>
  <c r="CH271" i="6"/>
  <c r="CI271" i="6"/>
  <c r="CJ271" i="6"/>
  <c r="CK271" i="6"/>
  <c r="C272" i="6"/>
  <c r="D272" i="6"/>
  <c r="E272" i="6"/>
  <c r="F272" i="6"/>
  <c r="G272" i="6"/>
  <c r="H272" i="6"/>
  <c r="I272" i="6"/>
  <c r="J272" i="6"/>
  <c r="K272" i="6"/>
  <c r="L272" i="6"/>
  <c r="M272" i="6"/>
  <c r="N272" i="6"/>
  <c r="O272" i="6"/>
  <c r="P272" i="6"/>
  <c r="Q272" i="6"/>
  <c r="R272" i="6"/>
  <c r="S272" i="6"/>
  <c r="T272" i="6"/>
  <c r="U272" i="6"/>
  <c r="V272" i="6"/>
  <c r="W272" i="6"/>
  <c r="X272" i="6"/>
  <c r="Y272" i="6"/>
  <c r="Z272" i="6"/>
  <c r="AA272" i="6"/>
  <c r="AB272" i="6"/>
  <c r="AC272" i="6"/>
  <c r="AD272" i="6"/>
  <c r="AE272" i="6"/>
  <c r="AF272" i="6"/>
  <c r="AG272" i="6"/>
  <c r="AH272" i="6"/>
  <c r="AI272" i="6"/>
  <c r="AJ272" i="6"/>
  <c r="AK272" i="6"/>
  <c r="AL272" i="6"/>
  <c r="AM272" i="6"/>
  <c r="AN272" i="6"/>
  <c r="AO272" i="6"/>
  <c r="AP272" i="6"/>
  <c r="AQ272" i="6"/>
  <c r="AR272" i="6"/>
  <c r="AS272" i="6"/>
  <c r="AT272" i="6"/>
  <c r="AU272" i="6"/>
  <c r="AV272" i="6"/>
  <c r="AW272" i="6"/>
  <c r="AX272" i="6"/>
  <c r="AY272" i="6"/>
  <c r="AZ272" i="6"/>
  <c r="BA272" i="6"/>
  <c r="BB272" i="6"/>
  <c r="BC272" i="6"/>
  <c r="BD272" i="6"/>
  <c r="BE272" i="6"/>
  <c r="BF272" i="6"/>
  <c r="BG272" i="6"/>
  <c r="BH272" i="6"/>
  <c r="BI272" i="6"/>
  <c r="BJ272" i="6"/>
  <c r="BK272" i="6"/>
  <c r="BL272" i="6"/>
  <c r="BM272" i="6"/>
  <c r="BN272" i="6"/>
  <c r="BO272" i="6"/>
  <c r="BP272" i="6"/>
  <c r="BQ272" i="6"/>
  <c r="BR272" i="6"/>
  <c r="BS272" i="6"/>
  <c r="BT272" i="6"/>
  <c r="BU272" i="6"/>
  <c r="BV272" i="6"/>
  <c r="BW272" i="6"/>
  <c r="BX272" i="6"/>
  <c r="BY272" i="6"/>
  <c r="BZ272" i="6"/>
  <c r="CA272" i="6"/>
  <c r="CB272" i="6"/>
  <c r="CC272" i="6"/>
  <c r="CD272" i="6"/>
  <c r="CE272" i="6"/>
  <c r="CF272" i="6"/>
  <c r="CG272" i="6"/>
  <c r="CH272" i="6"/>
  <c r="CI272" i="6"/>
  <c r="CJ272" i="6"/>
  <c r="CK272" i="6"/>
  <c r="C273" i="6"/>
  <c r="D273" i="6"/>
  <c r="E273" i="6"/>
  <c r="F273" i="6"/>
  <c r="G273" i="6"/>
  <c r="H273" i="6"/>
  <c r="I273" i="6"/>
  <c r="J273" i="6"/>
  <c r="K273" i="6"/>
  <c r="L273" i="6"/>
  <c r="M273" i="6"/>
  <c r="N273" i="6"/>
  <c r="O273" i="6"/>
  <c r="P273" i="6"/>
  <c r="Q273" i="6"/>
  <c r="R273" i="6"/>
  <c r="S273" i="6"/>
  <c r="T273" i="6"/>
  <c r="U273" i="6"/>
  <c r="V273" i="6"/>
  <c r="W273" i="6"/>
  <c r="X273" i="6"/>
  <c r="Y273" i="6"/>
  <c r="Z273" i="6"/>
  <c r="AA273" i="6"/>
  <c r="AB273" i="6"/>
  <c r="AC273" i="6"/>
  <c r="AD273" i="6"/>
  <c r="AE273" i="6"/>
  <c r="AF273" i="6"/>
  <c r="AG273" i="6"/>
  <c r="AH273" i="6"/>
  <c r="AI273" i="6"/>
  <c r="AJ273" i="6"/>
  <c r="AK273" i="6"/>
  <c r="AL273" i="6"/>
  <c r="AM273" i="6"/>
  <c r="AN273" i="6"/>
  <c r="AO273" i="6"/>
  <c r="AP273" i="6"/>
  <c r="AQ273" i="6"/>
  <c r="AR273" i="6"/>
  <c r="AS273" i="6"/>
  <c r="AT273" i="6"/>
  <c r="AU273" i="6"/>
  <c r="AV273" i="6"/>
  <c r="AW273" i="6"/>
  <c r="AX273" i="6"/>
  <c r="AY273" i="6"/>
  <c r="AZ273" i="6"/>
  <c r="BA273" i="6"/>
  <c r="BB273" i="6"/>
  <c r="BC273" i="6"/>
  <c r="BD273" i="6"/>
  <c r="BE273" i="6"/>
  <c r="BF273" i="6"/>
  <c r="BG273" i="6"/>
  <c r="BH273" i="6"/>
  <c r="BI273" i="6"/>
  <c r="BJ273" i="6"/>
  <c r="BK273" i="6"/>
  <c r="BL273" i="6"/>
  <c r="BM273" i="6"/>
  <c r="BN273" i="6"/>
  <c r="BO273" i="6"/>
  <c r="BP273" i="6"/>
  <c r="BQ273" i="6"/>
  <c r="BR273" i="6"/>
  <c r="BS273" i="6"/>
  <c r="BT273" i="6"/>
  <c r="BU273" i="6"/>
  <c r="BV273" i="6"/>
  <c r="BW273" i="6"/>
  <c r="BX273" i="6"/>
  <c r="BY273" i="6"/>
  <c r="BZ273" i="6"/>
  <c r="CA273" i="6"/>
  <c r="CB273" i="6"/>
  <c r="CC273" i="6"/>
  <c r="CD273" i="6"/>
  <c r="CE273" i="6"/>
  <c r="CF273" i="6"/>
  <c r="CG273" i="6"/>
  <c r="CH273" i="6"/>
  <c r="CI273" i="6"/>
  <c r="CJ273" i="6"/>
  <c r="CK273" i="6"/>
  <c r="C274" i="6"/>
  <c r="D274" i="6"/>
  <c r="E274" i="6"/>
  <c r="F274" i="6"/>
  <c r="G274" i="6"/>
  <c r="H274" i="6"/>
  <c r="I274" i="6"/>
  <c r="J274" i="6"/>
  <c r="K274" i="6"/>
  <c r="L274" i="6"/>
  <c r="M274" i="6"/>
  <c r="N274" i="6"/>
  <c r="O274" i="6"/>
  <c r="P274" i="6"/>
  <c r="Q274" i="6"/>
  <c r="R274" i="6"/>
  <c r="S274" i="6"/>
  <c r="T274" i="6"/>
  <c r="U274" i="6"/>
  <c r="V274" i="6"/>
  <c r="W274" i="6"/>
  <c r="X274" i="6"/>
  <c r="Y274" i="6"/>
  <c r="Z274" i="6"/>
  <c r="AA274" i="6"/>
  <c r="AB274" i="6"/>
  <c r="AC274" i="6"/>
  <c r="AD274" i="6"/>
  <c r="AE274" i="6"/>
  <c r="AF274" i="6"/>
  <c r="AG274" i="6"/>
  <c r="AH274" i="6"/>
  <c r="AI274" i="6"/>
  <c r="AJ274" i="6"/>
  <c r="AK274" i="6"/>
  <c r="AL274" i="6"/>
  <c r="AM274" i="6"/>
  <c r="AN274" i="6"/>
  <c r="AO274" i="6"/>
  <c r="AP274" i="6"/>
  <c r="AQ274" i="6"/>
  <c r="AR274" i="6"/>
  <c r="AS274" i="6"/>
  <c r="AT274" i="6"/>
  <c r="AU274" i="6"/>
  <c r="AV274" i="6"/>
  <c r="AW274" i="6"/>
  <c r="AX274" i="6"/>
  <c r="AY274" i="6"/>
  <c r="AZ274" i="6"/>
  <c r="BA274" i="6"/>
  <c r="BB274" i="6"/>
  <c r="BC274" i="6"/>
  <c r="BD274" i="6"/>
  <c r="BE274" i="6"/>
  <c r="BF274" i="6"/>
  <c r="BG274" i="6"/>
  <c r="BH274" i="6"/>
  <c r="BI274" i="6"/>
  <c r="BJ274" i="6"/>
  <c r="BK274" i="6"/>
  <c r="BL274" i="6"/>
  <c r="BM274" i="6"/>
  <c r="BN274" i="6"/>
  <c r="BO274" i="6"/>
  <c r="BP274" i="6"/>
  <c r="BQ274" i="6"/>
  <c r="BR274" i="6"/>
  <c r="BS274" i="6"/>
  <c r="BT274" i="6"/>
  <c r="BU274" i="6"/>
  <c r="BV274" i="6"/>
  <c r="BW274" i="6"/>
  <c r="BX274" i="6"/>
  <c r="BY274" i="6"/>
  <c r="BZ274" i="6"/>
  <c r="CA274" i="6"/>
  <c r="CB274" i="6"/>
  <c r="CC274" i="6"/>
  <c r="CD274" i="6"/>
  <c r="CE274" i="6"/>
  <c r="CF274" i="6"/>
  <c r="CG274" i="6"/>
  <c r="CH274" i="6"/>
  <c r="CI274" i="6"/>
  <c r="CJ274" i="6"/>
  <c r="CK274" i="6"/>
  <c r="C275" i="6"/>
  <c r="D275" i="6"/>
  <c r="E275" i="6"/>
  <c r="F275" i="6"/>
  <c r="G275" i="6"/>
  <c r="H275" i="6"/>
  <c r="I275" i="6"/>
  <c r="J275" i="6"/>
  <c r="K275" i="6"/>
  <c r="L275" i="6"/>
  <c r="M275" i="6"/>
  <c r="M278" i="6" s="1"/>
  <c r="N275" i="6"/>
  <c r="O275" i="6"/>
  <c r="P275" i="6"/>
  <c r="Q275" i="6"/>
  <c r="R275" i="6"/>
  <c r="S275" i="6"/>
  <c r="T275" i="6"/>
  <c r="U275" i="6"/>
  <c r="V275" i="6"/>
  <c r="W275" i="6"/>
  <c r="X275" i="6"/>
  <c r="Y275" i="6"/>
  <c r="Z275" i="6"/>
  <c r="AA275" i="6"/>
  <c r="AA278" i="6" s="1"/>
  <c r="AB275" i="6"/>
  <c r="AC275" i="6"/>
  <c r="AD275" i="6"/>
  <c r="AE275" i="6"/>
  <c r="AF275" i="6"/>
  <c r="AG275" i="6"/>
  <c r="AH275" i="6"/>
  <c r="AI275" i="6"/>
  <c r="AJ275" i="6"/>
  <c r="AK275" i="6"/>
  <c r="AL275" i="6"/>
  <c r="AM275" i="6"/>
  <c r="AN275" i="6"/>
  <c r="AO275" i="6"/>
  <c r="AP275" i="6"/>
  <c r="AQ275" i="6"/>
  <c r="AR275" i="6"/>
  <c r="AS275" i="6"/>
  <c r="AT275" i="6"/>
  <c r="AT278" i="6" s="1"/>
  <c r="AU275" i="6"/>
  <c r="AV275" i="6"/>
  <c r="AW275" i="6"/>
  <c r="AX275" i="6"/>
  <c r="AY275" i="6"/>
  <c r="AZ275" i="6"/>
  <c r="BA275" i="6"/>
  <c r="BB275" i="6"/>
  <c r="BC275" i="6"/>
  <c r="BC278" i="6" s="1"/>
  <c r="BD275" i="6"/>
  <c r="BE275" i="6"/>
  <c r="BF275" i="6"/>
  <c r="BG275" i="6"/>
  <c r="BH275" i="6"/>
  <c r="BI275" i="6"/>
  <c r="BJ275" i="6"/>
  <c r="BK275" i="6"/>
  <c r="BL275" i="6"/>
  <c r="BM275" i="6"/>
  <c r="BN275" i="6"/>
  <c r="BO275" i="6"/>
  <c r="BP275" i="6"/>
  <c r="BQ275" i="6"/>
  <c r="BR275" i="6"/>
  <c r="BS275" i="6"/>
  <c r="BT275" i="6"/>
  <c r="BU275" i="6"/>
  <c r="BV275" i="6"/>
  <c r="BW275" i="6"/>
  <c r="BX275" i="6"/>
  <c r="BY275" i="6"/>
  <c r="BZ275" i="6"/>
  <c r="CA275" i="6"/>
  <c r="CB275" i="6"/>
  <c r="CC275" i="6"/>
  <c r="CD275" i="6"/>
  <c r="CE275" i="6"/>
  <c r="CF275" i="6"/>
  <c r="CG275" i="6"/>
  <c r="CH275" i="6"/>
  <c r="CI275" i="6"/>
  <c r="CJ275" i="6"/>
  <c r="CK275" i="6"/>
  <c r="C276" i="6"/>
  <c r="D276" i="6"/>
  <c r="E276" i="6"/>
  <c r="F276" i="6"/>
  <c r="G276" i="6"/>
  <c r="H276" i="6"/>
  <c r="I276" i="6"/>
  <c r="J276" i="6"/>
  <c r="K276" i="6"/>
  <c r="L276" i="6"/>
  <c r="M276" i="6"/>
  <c r="N276" i="6"/>
  <c r="O276" i="6"/>
  <c r="P276" i="6"/>
  <c r="Q276" i="6"/>
  <c r="R276" i="6"/>
  <c r="S276" i="6"/>
  <c r="T276" i="6"/>
  <c r="T278" i="6" s="1"/>
  <c r="U276" i="6"/>
  <c r="V276" i="6"/>
  <c r="W276" i="6"/>
  <c r="X276" i="6"/>
  <c r="Y276" i="6"/>
  <c r="Z276" i="6"/>
  <c r="AA276" i="6"/>
  <c r="AB276" i="6"/>
  <c r="AC276" i="6"/>
  <c r="AD276" i="6"/>
  <c r="AE276" i="6"/>
  <c r="AF276" i="6"/>
  <c r="AG276" i="6"/>
  <c r="AH276" i="6"/>
  <c r="AI276" i="6"/>
  <c r="AJ276" i="6"/>
  <c r="AK276" i="6"/>
  <c r="AL276" i="6"/>
  <c r="AM276" i="6"/>
  <c r="AN276" i="6"/>
  <c r="AO276" i="6"/>
  <c r="AP276" i="6"/>
  <c r="AQ276" i="6"/>
  <c r="AR276" i="6"/>
  <c r="AR278" i="6" s="1"/>
  <c r="AS276" i="6"/>
  <c r="AT276" i="6"/>
  <c r="AU276" i="6"/>
  <c r="AV276" i="6"/>
  <c r="AV278" i="6" s="1"/>
  <c r="AW276" i="6"/>
  <c r="AX276" i="6"/>
  <c r="AY276" i="6"/>
  <c r="AZ276" i="6"/>
  <c r="BA276" i="6"/>
  <c r="BB276" i="6"/>
  <c r="BC276" i="6"/>
  <c r="BD276" i="6"/>
  <c r="BE276" i="6"/>
  <c r="BF276" i="6"/>
  <c r="BG276" i="6"/>
  <c r="BH276" i="6"/>
  <c r="BI276" i="6"/>
  <c r="BJ276" i="6"/>
  <c r="BK276" i="6"/>
  <c r="BL276" i="6"/>
  <c r="BM276" i="6"/>
  <c r="BN276" i="6"/>
  <c r="BO276" i="6"/>
  <c r="BP276" i="6"/>
  <c r="BQ276" i="6"/>
  <c r="BR276" i="6"/>
  <c r="BS276" i="6"/>
  <c r="BT276" i="6"/>
  <c r="BU276" i="6"/>
  <c r="BV276" i="6"/>
  <c r="BW276" i="6"/>
  <c r="BX276" i="6"/>
  <c r="BY276" i="6"/>
  <c r="BZ276" i="6"/>
  <c r="CA276" i="6"/>
  <c r="CB276" i="6"/>
  <c r="CC276" i="6"/>
  <c r="CD276" i="6"/>
  <c r="CE276" i="6"/>
  <c r="CF276" i="6"/>
  <c r="CG276" i="6"/>
  <c r="CH276" i="6"/>
  <c r="CH278" i="6" s="1"/>
  <c r="CI276" i="6"/>
  <c r="CJ276" i="6"/>
  <c r="CK276" i="6"/>
  <c r="C277" i="6"/>
  <c r="D277" i="6"/>
  <c r="E277" i="6"/>
  <c r="F277" i="6"/>
  <c r="G277" i="6"/>
  <c r="H277" i="6"/>
  <c r="I277" i="6"/>
  <c r="I278" i="6" s="1"/>
  <c r="J277" i="6"/>
  <c r="K277" i="6"/>
  <c r="L277" i="6"/>
  <c r="M277" i="6"/>
  <c r="N277" i="6"/>
  <c r="O277" i="6"/>
  <c r="P277" i="6"/>
  <c r="Q277" i="6"/>
  <c r="Q278" i="6" s="1"/>
  <c r="R277" i="6"/>
  <c r="R278" i="6" s="1"/>
  <c r="S277" i="6"/>
  <c r="T277" i="6"/>
  <c r="U277" i="6"/>
  <c r="V277" i="6"/>
  <c r="V278" i="6" s="1"/>
  <c r="W277" i="6"/>
  <c r="X277" i="6"/>
  <c r="Y277" i="6"/>
  <c r="Z277" i="6"/>
  <c r="Z278" i="6" s="1"/>
  <c r="AA277" i="6"/>
  <c r="AB277" i="6"/>
  <c r="AC277" i="6"/>
  <c r="AD277" i="6"/>
  <c r="AE277" i="6"/>
  <c r="AF277" i="6"/>
  <c r="AG277" i="6"/>
  <c r="AH277" i="6"/>
  <c r="AI277" i="6"/>
  <c r="AJ277" i="6"/>
  <c r="AK277" i="6"/>
  <c r="AL277" i="6"/>
  <c r="AM277" i="6"/>
  <c r="AN277" i="6"/>
  <c r="AO277" i="6"/>
  <c r="AP277" i="6"/>
  <c r="AQ277" i="6"/>
  <c r="AR277" i="6"/>
  <c r="AS277" i="6"/>
  <c r="AT277" i="6"/>
  <c r="AU277" i="6"/>
  <c r="AV277" i="6"/>
  <c r="AW277" i="6"/>
  <c r="AW278" i="6" s="1"/>
  <c r="AX277" i="6"/>
  <c r="AY277" i="6"/>
  <c r="AZ277" i="6"/>
  <c r="BA277" i="6"/>
  <c r="BB277" i="6"/>
  <c r="BC277" i="6"/>
  <c r="BD277" i="6"/>
  <c r="BE277" i="6"/>
  <c r="BE278" i="6" s="1"/>
  <c r="BF277" i="6"/>
  <c r="BG277" i="6"/>
  <c r="BH277" i="6"/>
  <c r="BI277" i="6"/>
  <c r="BJ277" i="6"/>
  <c r="BK277" i="6"/>
  <c r="BL277" i="6"/>
  <c r="BM277" i="6"/>
  <c r="BN277" i="6"/>
  <c r="BO277" i="6"/>
  <c r="BP277" i="6"/>
  <c r="BQ277" i="6"/>
  <c r="BR277" i="6"/>
  <c r="BS277" i="6"/>
  <c r="BT277" i="6"/>
  <c r="BU277" i="6"/>
  <c r="BV277" i="6"/>
  <c r="BW277" i="6"/>
  <c r="BX277" i="6"/>
  <c r="BY277" i="6"/>
  <c r="BZ277" i="6"/>
  <c r="CA277" i="6"/>
  <c r="CB277" i="6"/>
  <c r="CC277" i="6"/>
  <c r="CD277" i="6"/>
  <c r="CE277" i="6"/>
  <c r="CF277" i="6"/>
  <c r="CF278" i="6" s="1"/>
  <c r="CG277" i="6"/>
  <c r="CH277" i="6"/>
  <c r="CI277" i="6"/>
  <c r="CJ277" i="6"/>
  <c r="CK277" i="6"/>
  <c r="L278" i="6"/>
  <c r="AL278" i="6"/>
  <c r="AQ278" i="6"/>
  <c r="BI278" i="6"/>
  <c r="BN278" i="6"/>
  <c r="CE278" i="6"/>
  <c r="C279" i="6"/>
  <c r="D279" i="6"/>
  <c r="E279" i="6"/>
  <c r="F279" i="6"/>
  <c r="G279" i="6"/>
  <c r="H279" i="6"/>
  <c r="I279" i="6"/>
  <c r="J279" i="6"/>
  <c r="K279" i="6"/>
  <c r="L279" i="6"/>
  <c r="M279" i="6"/>
  <c r="N279" i="6"/>
  <c r="O279" i="6"/>
  <c r="P279" i="6"/>
  <c r="Q279" i="6"/>
  <c r="R279" i="6"/>
  <c r="S279" i="6"/>
  <c r="T279" i="6"/>
  <c r="U279" i="6"/>
  <c r="V279" i="6"/>
  <c r="W279" i="6"/>
  <c r="X279" i="6"/>
  <c r="Y279" i="6"/>
  <c r="Z279" i="6"/>
  <c r="AA279" i="6"/>
  <c r="AB279" i="6"/>
  <c r="AC279" i="6"/>
  <c r="AD279" i="6"/>
  <c r="AE279" i="6"/>
  <c r="AF279" i="6"/>
  <c r="AG279" i="6"/>
  <c r="AH279" i="6"/>
  <c r="AI279" i="6"/>
  <c r="AJ279" i="6"/>
  <c r="AK279" i="6"/>
  <c r="AL279" i="6"/>
  <c r="AM279" i="6"/>
  <c r="AN279" i="6"/>
  <c r="AO279" i="6"/>
  <c r="AP279" i="6"/>
  <c r="AQ279" i="6"/>
  <c r="AR279" i="6"/>
  <c r="AS279" i="6"/>
  <c r="AT279" i="6"/>
  <c r="AU279" i="6"/>
  <c r="AV279" i="6"/>
  <c r="AW279" i="6"/>
  <c r="AX279" i="6"/>
  <c r="AY279" i="6"/>
  <c r="AZ279" i="6"/>
  <c r="BA279" i="6"/>
  <c r="BB279" i="6"/>
  <c r="BC279" i="6"/>
  <c r="BD279" i="6"/>
  <c r="BE279" i="6"/>
  <c r="BF279" i="6"/>
  <c r="BG279" i="6"/>
  <c r="BH279" i="6"/>
  <c r="BI279" i="6"/>
  <c r="BJ279" i="6"/>
  <c r="BK279" i="6"/>
  <c r="BL279" i="6"/>
  <c r="BM279" i="6"/>
  <c r="BN279" i="6"/>
  <c r="BO279" i="6"/>
  <c r="BP279" i="6"/>
  <c r="BQ279" i="6"/>
  <c r="BR279" i="6"/>
  <c r="BS279" i="6"/>
  <c r="BT279" i="6"/>
  <c r="BU279" i="6"/>
  <c r="BV279" i="6"/>
  <c r="BW279" i="6"/>
  <c r="BX279" i="6"/>
  <c r="BY279" i="6"/>
  <c r="BZ279" i="6"/>
  <c r="CA279" i="6"/>
  <c r="CB279" i="6"/>
  <c r="CC279" i="6"/>
  <c r="CD279" i="6"/>
  <c r="CE279" i="6"/>
  <c r="CF279" i="6"/>
  <c r="CG279" i="6"/>
  <c r="CH279" i="6"/>
  <c r="CI279" i="6"/>
  <c r="CJ279" i="6"/>
  <c r="CK279" i="6"/>
  <c r="C281" i="6"/>
  <c r="D281" i="6"/>
  <c r="E281" i="6"/>
  <c r="F281" i="6"/>
  <c r="G281" i="6"/>
  <c r="H281" i="6"/>
  <c r="I281" i="6"/>
  <c r="J281" i="6"/>
  <c r="K281" i="6"/>
  <c r="L281" i="6"/>
  <c r="M281" i="6"/>
  <c r="N281" i="6"/>
  <c r="O281" i="6"/>
  <c r="P281" i="6"/>
  <c r="Q281" i="6"/>
  <c r="R281" i="6"/>
  <c r="S281" i="6"/>
  <c r="T281" i="6"/>
  <c r="U281" i="6"/>
  <c r="V281" i="6"/>
  <c r="W281" i="6"/>
  <c r="X281" i="6"/>
  <c r="Y281" i="6"/>
  <c r="Z281" i="6"/>
  <c r="AA281" i="6"/>
  <c r="AB281" i="6"/>
  <c r="AC281" i="6"/>
  <c r="AD281" i="6"/>
  <c r="AE281" i="6"/>
  <c r="AF281" i="6"/>
  <c r="AG281" i="6"/>
  <c r="AH281" i="6"/>
  <c r="AI281" i="6"/>
  <c r="AJ281" i="6"/>
  <c r="AK281" i="6"/>
  <c r="AL281" i="6"/>
  <c r="AM281" i="6"/>
  <c r="AN281" i="6"/>
  <c r="AO281" i="6"/>
  <c r="AP281" i="6"/>
  <c r="AQ281" i="6"/>
  <c r="AR281" i="6"/>
  <c r="AS281" i="6"/>
  <c r="AT281" i="6"/>
  <c r="AU281" i="6"/>
  <c r="AV281" i="6"/>
  <c r="AW281" i="6"/>
  <c r="AX281" i="6"/>
  <c r="AY281" i="6"/>
  <c r="AZ281" i="6"/>
  <c r="BA281" i="6"/>
  <c r="BB281" i="6"/>
  <c r="BC281" i="6"/>
  <c r="BD281" i="6"/>
  <c r="BE281" i="6"/>
  <c r="BF281" i="6"/>
  <c r="BG281" i="6"/>
  <c r="BH281" i="6"/>
  <c r="BI281" i="6"/>
  <c r="BJ281" i="6"/>
  <c r="BK281" i="6"/>
  <c r="BL281" i="6"/>
  <c r="BM281" i="6"/>
  <c r="BN281" i="6"/>
  <c r="BO281" i="6"/>
  <c r="BP281" i="6"/>
  <c r="BQ281" i="6"/>
  <c r="BR281" i="6"/>
  <c r="BS281" i="6"/>
  <c r="BT281" i="6"/>
  <c r="BU281" i="6"/>
  <c r="BV281" i="6"/>
  <c r="BW281" i="6"/>
  <c r="BX281" i="6"/>
  <c r="BY281" i="6"/>
  <c r="BZ281" i="6"/>
  <c r="CA281" i="6"/>
  <c r="CB281" i="6"/>
  <c r="CC281" i="6"/>
  <c r="CD281" i="6"/>
  <c r="CE281" i="6"/>
  <c r="CF281" i="6"/>
  <c r="CG281" i="6"/>
  <c r="CH281" i="6"/>
  <c r="CI281" i="6"/>
  <c r="CJ281" i="6"/>
  <c r="CK281" i="6"/>
  <c r="C282" i="6"/>
  <c r="D282" i="6"/>
  <c r="E282" i="6"/>
  <c r="F282" i="6"/>
  <c r="G282" i="6"/>
  <c r="H282" i="6"/>
  <c r="I282" i="6"/>
  <c r="J282" i="6"/>
  <c r="K282" i="6"/>
  <c r="L282" i="6"/>
  <c r="M282" i="6"/>
  <c r="N282" i="6"/>
  <c r="O282" i="6"/>
  <c r="P282" i="6"/>
  <c r="Q282" i="6"/>
  <c r="R282" i="6"/>
  <c r="S282" i="6"/>
  <c r="T282" i="6"/>
  <c r="U282" i="6"/>
  <c r="V282" i="6"/>
  <c r="W282" i="6"/>
  <c r="X282" i="6"/>
  <c r="Y282" i="6"/>
  <c r="Z282" i="6"/>
  <c r="AA282" i="6"/>
  <c r="AB282" i="6"/>
  <c r="AC282" i="6"/>
  <c r="AD282" i="6"/>
  <c r="AE282" i="6"/>
  <c r="AF282" i="6"/>
  <c r="AG282" i="6"/>
  <c r="AH282" i="6"/>
  <c r="AI282" i="6"/>
  <c r="AJ282" i="6"/>
  <c r="AK282" i="6"/>
  <c r="AL282" i="6"/>
  <c r="AM282" i="6"/>
  <c r="AN282" i="6"/>
  <c r="AO282" i="6"/>
  <c r="AP282" i="6"/>
  <c r="AQ282" i="6"/>
  <c r="AR282" i="6"/>
  <c r="AS282" i="6"/>
  <c r="AT282" i="6"/>
  <c r="AU282" i="6"/>
  <c r="AV282" i="6"/>
  <c r="AW282" i="6"/>
  <c r="AX282" i="6"/>
  <c r="AY282" i="6"/>
  <c r="AZ282" i="6"/>
  <c r="BA282" i="6"/>
  <c r="BB282" i="6"/>
  <c r="BC282" i="6"/>
  <c r="BD282" i="6"/>
  <c r="BE282" i="6"/>
  <c r="BF282" i="6"/>
  <c r="BG282" i="6"/>
  <c r="BH282" i="6"/>
  <c r="BI282" i="6"/>
  <c r="BJ282" i="6"/>
  <c r="BK282" i="6"/>
  <c r="BL282" i="6"/>
  <c r="BM282" i="6"/>
  <c r="BN282" i="6"/>
  <c r="BO282" i="6"/>
  <c r="BP282" i="6"/>
  <c r="BQ282" i="6"/>
  <c r="BR282" i="6"/>
  <c r="BS282" i="6"/>
  <c r="BT282" i="6"/>
  <c r="BU282" i="6"/>
  <c r="BV282" i="6"/>
  <c r="BW282" i="6"/>
  <c r="BX282" i="6"/>
  <c r="BY282" i="6"/>
  <c r="BZ282" i="6"/>
  <c r="CA282" i="6"/>
  <c r="CB282" i="6"/>
  <c r="CC282" i="6"/>
  <c r="CD282" i="6"/>
  <c r="CE282" i="6"/>
  <c r="CF282" i="6"/>
  <c r="CG282" i="6"/>
  <c r="CH282" i="6"/>
  <c r="CI282" i="6"/>
  <c r="CJ282" i="6"/>
  <c r="CK282" i="6"/>
  <c r="C283" i="6"/>
  <c r="D283" i="6"/>
  <c r="E283" i="6"/>
  <c r="F283" i="6"/>
  <c r="G283" i="6"/>
  <c r="H283" i="6"/>
  <c r="I283" i="6"/>
  <c r="J283" i="6"/>
  <c r="K283" i="6"/>
  <c r="L283" i="6"/>
  <c r="M283" i="6"/>
  <c r="N283" i="6"/>
  <c r="O283" i="6"/>
  <c r="P283" i="6"/>
  <c r="Q283" i="6"/>
  <c r="R283" i="6"/>
  <c r="S283" i="6"/>
  <c r="T283" i="6"/>
  <c r="U283" i="6"/>
  <c r="V283" i="6"/>
  <c r="W283" i="6"/>
  <c r="X283" i="6"/>
  <c r="Y283" i="6"/>
  <c r="Z283" i="6"/>
  <c r="AA283" i="6"/>
  <c r="AB283" i="6"/>
  <c r="AC283" i="6"/>
  <c r="AD283" i="6"/>
  <c r="AE283" i="6"/>
  <c r="AF283" i="6"/>
  <c r="AG283" i="6"/>
  <c r="AH283" i="6"/>
  <c r="AI283" i="6"/>
  <c r="AJ283" i="6"/>
  <c r="AK283" i="6"/>
  <c r="AL283" i="6"/>
  <c r="AM283" i="6"/>
  <c r="AN283" i="6"/>
  <c r="AO283" i="6"/>
  <c r="AP283" i="6"/>
  <c r="AQ283" i="6"/>
  <c r="AR283" i="6"/>
  <c r="AS283" i="6"/>
  <c r="AT283" i="6"/>
  <c r="AU283" i="6"/>
  <c r="AV283" i="6"/>
  <c r="AW283" i="6"/>
  <c r="AX283" i="6"/>
  <c r="AY283" i="6"/>
  <c r="AZ283" i="6"/>
  <c r="BA283" i="6"/>
  <c r="BB283" i="6"/>
  <c r="BC283" i="6"/>
  <c r="BD283" i="6"/>
  <c r="BE283" i="6"/>
  <c r="BF283" i="6"/>
  <c r="BG283" i="6"/>
  <c r="BH283" i="6"/>
  <c r="BI283" i="6"/>
  <c r="BJ283" i="6"/>
  <c r="BK283" i="6"/>
  <c r="BL283" i="6"/>
  <c r="BM283" i="6"/>
  <c r="BN283" i="6"/>
  <c r="BO283" i="6"/>
  <c r="BP283" i="6"/>
  <c r="BQ283" i="6"/>
  <c r="BR283" i="6"/>
  <c r="BS283" i="6"/>
  <c r="BT283" i="6"/>
  <c r="BU283" i="6"/>
  <c r="BV283" i="6"/>
  <c r="BW283" i="6"/>
  <c r="BX283" i="6"/>
  <c r="BY283" i="6"/>
  <c r="BZ283" i="6"/>
  <c r="CA283" i="6"/>
  <c r="CB283" i="6"/>
  <c r="CC283" i="6"/>
  <c r="CD283" i="6"/>
  <c r="CE283" i="6"/>
  <c r="CF283" i="6"/>
  <c r="CG283" i="6"/>
  <c r="CH283" i="6"/>
  <c r="CI283" i="6"/>
  <c r="CJ283" i="6"/>
  <c r="CK283" i="6"/>
  <c r="C284" i="6"/>
  <c r="D284" i="6"/>
  <c r="E284" i="6"/>
  <c r="F284" i="6"/>
  <c r="G284" i="6"/>
  <c r="H284" i="6"/>
  <c r="I284" i="6"/>
  <c r="J284" i="6"/>
  <c r="K284" i="6"/>
  <c r="L284" i="6"/>
  <c r="M284" i="6"/>
  <c r="N284" i="6"/>
  <c r="O284" i="6"/>
  <c r="P284" i="6"/>
  <c r="Q284" i="6"/>
  <c r="R284" i="6"/>
  <c r="S284" i="6"/>
  <c r="T284" i="6"/>
  <c r="U284" i="6"/>
  <c r="V284" i="6"/>
  <c r="W284" i="6"/>
  <c r="X284" i="6"/>
  <c r="Y284" i="6"/>
  <c r="Z284" i="6"/>
  <c r="AA284" i="6"/>
  <c r="AB284" i="6"/>
  <c r="AC284" i="6"/>
  <c r="AD284" i="6"/>
  <c r="AE284" i="6"/>
  <c r="AF284" i="6"/>
  <c r="AG284" i="6"/>
  <c r="AH284" i="6"/>
  <c r="AI284" i="6"/>
  <c r="AJ284" i="6"/>
  <c r="AK284" i="6"/>
  <c r="AL284" i="6"/>
  <c r="AM284" i="6"/>
  <c r="AN284" i="6"/>
  <c r="AO284" i="6"/>
  <c r="AP284" i="6"/>
  <c r="AQ284" i="6"/>
  <c r="AR284" i="6"/>
  <c r="AS284" i="6"/>
  <c r="AT284" i="6"/>
  <c r="AU284" i="6"/>
  <c r="AV284" i="6"/>
  <c r="AW284" i="6"/>
  <c r="AX284" i="6"/>
  <c r="AY284" i="6"/>
  <c r="AZ284" i="6"/>
  <c r="BA284" i="6"/>
  <c r="BB284" i="6"/>
  <c r="BC284" i="6"/>
  <c r="BD284" i="6"/>
  <c r="BE284" i="6"/>
  <c r="BF284" i="6"/>
  <c r="BG284" i="6"/>
  <c r="BH284" i="6"/>
  <c r="BI284" i="6"/>
  <c r="BJ284" i="6"/>
  <c r="BK284" i="6"/>
  <c r="BL284" i="6"/>
  <c r="BM284" i="6"/>
  <c r="BN284" i="6"/>
  <c r="BO284" i="6"/>
  <c r="BP284" i="6"/>
  <c r="BQ284" i="6"/>
  <c r="BR284" i="6"/>
  <c r="BS284" i="6"/>
  <c r="BT284" i="6"/>
  <c r="BU284" i="6"/>
  <c r="BV284" i="6"/>
  <c r="BW284" i="6"/>
  <c r="BX284" i="6"/>
  <c r="BY284" i="6"/>
  <c r="BZ284" i="6"/>
  <c r="CA284" i="6"/>
  <c r="CB284" i="6"/>
  <c r="CC284" i="6"/>
  <c r="CD284" i="6"/>
  <c r="CE284" i="6"/>
  <c r="CF284" i="6"/>
  <c r="CG284" i="6"/>
  <c r="CH284" i="6"/>
  <c r="CI284" i="6"/>
  <c r="CJ284" i="6"/>
  <c r="CK284" i="6"/>
  <c r="C285" i="6"/>
  <c r="D285" i="6"/>
  <c r="E285" i="6"/>
  <c r="F285" i="6"/>
  <c r="G285" i="6"/>
  <c r="H285" i="6"/>
  <c r="I285" i="6"/>
  <c r="J285" i="6"/>
  <c r="K285" i="6"/>
  <c r="L285" i="6"/>
  <c r="M285" i="6"/>
  <c r="N285" i="6"/>
  <c r="O285" i="6"/>
  <c r="P285" i="6"/>
  <c r="Q285" i="6"/>
  <c r="R285" i="6"/>
  <c r="S285" i="6"/>
  <c r="T285" i="6"/>
  <c r="U285" i="6"/>
  <c r="V285" i="6"/>
  <c r="W285" i="6"/>
  <c r="X285" i="6"/>
  <c r="Y285" i="6"/>
  <c r="Z285" i="6"/>
  <c r="AA285" i="6"/>
  <c r="AB285" i="6"/>
  <c r="AC285" i="6"/>
  <c r="AD285" i="6"/>
  <c r="AE285" i="6"/>
  <c r="AF285" i="6"/>
  <c r="AG285" i="6"/>
  <c r="AH285" i="6"/>
  <c r="AI285" i="6"/>
  <c r="AJ285" i="6"/>
  <c r="AK285" i="6"/>
  <c r="AL285" i="6"/>
  <c r="AM285" i="6"/>
  <c r="AN285" i="6"/>
  <c r="AO285" i="6"/>
  <c r="AP285" i="6"/>
  <c r="AQ285" i="6"/>
  <c r="AR285" i="6"/>
  <c r="AS285" i="6"/>
  <c r="AT285" i="6"/>
  <c r="AU285" i="6"/>
  <c r="AV285" i="6"/>
  <c r="AW285" i="6"/>
  <c r="AX285" i="6"/>
  <c r="AY285" i="6"/>
  <c r="AZ285" i="6"/>
  <c r="BA285" i="6"/>
  <c r="BB285" i="6"/>
  <c r="BC285" i="6"/>
  <c r="BD285" i="6"/>
  <c r="BE285" i="6"/>
  <c r="BF285" i="6"/>
  <c r="BG285" i="6"/>
  <c r="BH285" i="6"/>
  <c r="BI285" i="6"/>
  <c r="BJ285" i="6"/>
  <c r="BK285" i="6"/>
  <c r="BL285" i="6"/>
  <c r="BM285" i="6"/>
  <c r="BN285" i="6"/>
  <c r="BO285" i="6"/>
  <c r="BP285" i="6"/>
  <c r="BQ285" i="6"/>
  <c r="BR285" i="6"/>
  <c r="BS285" i="6"/>
  <c r="BT285" i="6"/>
  <c r="BU285" i="6"/>
  <c r="BV285" i="6"/>
  <c r="BW285" i="6"/>
  <c r="BX285" i="6"/>
  <c r="BY285" i="6"/>
  <c r="BZ285" i="6"/>
  <c r="CA285" i="6"/>
  <c r="CB285" i="6"/>
  <c r="CC285" i="6"/>
  <c r="CD285" i="6"/>
  <c r="CE285" i="6"/>
  <c r="CF285" i="6"/>
  <c r="CG285" i="6"/>
  <c r="CH285" i="6"/>
  <c r="CI285" i="6"/>
  <c r="CJ285" i="6"/>
  <c r="CK285" i="6"/>
  <c r="C286" i="6"/>
  <c r="D286" i="6"/>
  <c r="E286" i="6"/>
  <c r="F286" i="6"/>
  <c r="G286" i="6"/>
  <c r="H286" i="6"/>
  <c r="I286" i="6"/>
  <c r="J286" i="6"/>
  <c r="K286" i="6"/>
  <c r="L286" i="6"/>
  <c r="M286" i="6"/>
  <c r="N286" i="6"/>
  <c r="O286" i="6"/>
  <c r="P286" i="6"/>
  <c r="Q286" i="6"/>
  <c r="R286" i="6"/>
  <c r="S286" i="6"/>
  <c r="T286" i="6"/>
  <c r="U286" i="6"/>
  <c r="V286" i="6"/>
  <c r="W286" i="6"/>
  <c r="X286" i="6"/>
  <c r="Y286" i="6"/>
  <c r="Z286" i="6"/>
  <c r="AA286" i="6"/>
  <c r="AB286" i="6"/>
  <c r="AC286" i="6"/>
  <c r="AD286" i="6"/>
  <c r="AE286" i="6"/>
  <c r="AF286" i="6"/>
  <c r="AG286" i="6"/>
  <c r="AH286" i="6"/>
  <c r="AI286" i="6"/>
  <c r="AJ286" i="6"/>
  <c r="AK286" i="6"/>
  <c r="AL286" i="6"/>
  <c r="AM286" i="6"/>
  <c r="AN286" i="6"/>
  <c r="AO286" i="6"/>
  <c r="AP286" i="6"/>
  <c r="AQ286" i="6"/>
  <c r="AR286" i="6"/>
  <c r="AS286" i="6"/>
  <c r="AT286" i="6"/>
  <c r="AU286" i="6"/>
  <c r="AV286" i="6"/>
  <c r="AW286" i="6"/>
  <c r="AX286" i="6"/>
  <c r="AY286" i="6"/>
  <c r="AZ286" i="6"/>
  <c r="BA286" i="6"/>
  <c r="BB286" i="6"/>
  <c r="BC286" i="6"/>
  <c r="BD286" i="6"/>
  <c r="BE286" i="6"/>
  <c r="BF286" i="6"/>
  <c r="BG286" i="6"/>
  <c r="BH286" i="6"/>
  <c r="BI286" i="6"/>
  <c r="BJ286" i="6"/>
  <c r="BK286" i="6"/>
  <c r="BL286" i="6"/>
  <c r="BM286" i="6"/>
  <c r="BN286" i="6"/>
  <c r="BO286" i="6"/>
  <c r="BP286" i="6"/>
  <c r="BQ286" i="6"/>
  <c r="BR286" i="6"/>
  <c r="BS286" i="6"/>
  <c r="BT286" i="6"/>
  <c r="BU286" i="6"/>
  <c r="BV286" i="6"/>
  <c r="BW286" i="6"/>
  <c r="BX286" i="6"/>
  <c r="BY286" i="6"/>
  <c r="BZ286" i="6"/>
  <c r="CA286" i="6"/>
  <c r="CB286" i="6"/>
  <c r="CC286" i="6"/>
  <c r="CD286" i="6"/>
  <c r="CE286" i="6"/>
  <c r="CF286" i="6"/>
  <c r="CG286" i="6"/>
  <c r="CH286" i="6"/>
  <c r="CI286" i="6"/>
  <c r="CJ286" i="6"/>
  <c r="CK286" i="6"/>
  <c r="C287" i="6"/>
  <c r="D287" i="6"/>
  <c r="E287" i="6"/>
  <c r="F287" i="6"/>
  <c r="G287" i="6"/>
  <c r="H287" i="6"/>
  <c r="I287" i="6"/>
  <c r="J287" i="6"/>
  <c r="K287" i="6"/>
  <c r="L287" i="6"/>
  <c r="M287" i="6"/>
  <c r="N287" i="6"/>
  <c r="O287" i="6"/>
  <c r="P287" i="6"/>
  <c r="Q287" i="6"/>
  <c r="R287" i="6"/>
  <c r="S287" i="6"/>
  <c r="T287" i="6"/>
  <c r="U287" i="6"/>
  <c r="V287" i="6"/>
  <c r="W287" i="6"/>
  <c r="X287" i="6"/>
  <c r="Y287" i="6"/>
  <c r="Z287" i="6"/>
  <c r="AA287" i="6"/>
  <c r="AB287" i="6"/>
  <c r="AC287" i="6"/>
  <c r="AD287" i="6"/>
  <c r="AE287" i="6"/>
  <c r="AF287" i="6"/>
  <c r="AG287" i="6"/>
  <c r="AH287" i="6"/>
  <c r="AI287" i="6"/>
  <c r="AJ287" i="6"/>
  <c r="AK287" i="6"/>
  <c r="AL287" i="6"/>
  <c r="AM287" i="6"/>
  <c r="AN287" i="6"/>
  <c r="AO287" i="6"/>
  <c r="AP287" i="6"/>
  <c r="AQ287" i="6"/>
  <c r="AR287" i="6"/>
  <c r="AS287" i="6"/>
  <c r="AT287" i="6"/>
  <c r="AU287" i="6"/>
  <c r="AV287" i="6"/>
  <c r="AW287" i="6"/>
  <c r="AX287" i="6"/>
  <c r="AY287" i="6"/>
  <c r="AZ287" i="6"/>
  <c r="BA287" i="6"/>
  <c r="BB287" i="6"/>
  <c r="BC287" i="6"/>
  <c r="BD287" i="6"/>
  <c r="BE287" i="6"/>
  <c r="BF287" i="6"/>
  <c r="BG287" i="6"/>
  <c r="BH287" i="6"/>
  <c r="BI287" i="6"/>
  <c r="BJ287" i="6"/>
  <c r="BK287" i="6"/>
  <c r="BL287" i="6"/>
  <c r="BM287" i="6"/>
  <c r="BN287" i="6"/>
  <c r="BO287" i="6"/>
  <c r="BP287" i="6"/>
  <c r="BQ287" i="6"/>
  <c r="BR287" i="6"/>
  <c r="BS287" i="6"/>
  <c r="BT287" i="6"/>
  <c r="BU287" i="6"/>
  <c r="BV287" i="6"/>
  <c r="BW287" i="6"/>
  <c r="BX287" i="6"/>
  <c r="BY287" i="6"/>
  <c r="BZ287" i="6"/>
  <c r="CA287" i="6"/>
  <c r="CB287" i="6"/>
  <c r="CC287" i="6"/>
  <c r="CD287" i="6"/>
  <c r="CE287" i="6"/>
  <c r="CF287" i="6"/>
  <c r="CG287" i="6"/>
  <c r="CH287" i="6"/>
  <c r="CI287" i="6"/>
  <c r="CJ287" i="6"/>
  <c r="CK287" i="6"/>
  <c r="C288" i="6"/>
  <c r="D288" i="6"/>
  <c r="E288" i="6"/>
  <c r="F288" i="6"/>
  <c r="G288" i="6"/>
  <c r="H288" i="6"/>
  <c r="I288" i="6"/>
  <c r="J288" i="6"/>
  <c r="K288" i="6"/>
  <c r="L288" i="6"/>
  <c r="M288" i="6"/>
  <c r="N288" i="6"/>
  <c r="O288" i="6"/>
  <c r="P288" i="6"/>
  <c r="Q288" i="6"/>
  <c r="R288" i="6"/>
  <c r="S288" i="6"/>
  <c r="T288" i="6"/>
  <c r="U288" i="6"/>
  <c r="V288" i="6"/>
  <c r="W288" i="6"/>
  <c r="X288" i="6"/>
  <c r="Y288" i="6"/>
  <c r="Z288" i="6"/>
  <c r="AA288" i="6"/>
  <c r="AB288" i="6"/>
  <c r="AC288" i="6"/>
  <c r="AD288" i="6"/>
  <c r="AE288" i="6"/>
  <c r="AF288" i="6"/>
  <c r="AG288" i="6"/>
  <c r="AH288" i="6"/>
  <c r="AI288" i="6"/>
  <c r="AJ288" i="6"/>
  <c r="AK288" i="6"/>
  <c r="AL288" i="6"/>
  <c r="AM288" i="6"/>
  <c r="AN288" i="6"/>
  <c r="AO288" i="6"/>
  <c r="AP288" i="6"/>
  <c r="AQ288" i="6"/>
  <c r="AR288" i="6"/>
  <c r="AS288" i="6"/>
  <c r="AT288" i="6"/>
  <c r="AU288" i="6"/>
  <c r="AV288" i="6"/>
  <c r="AW288" i="6"/>
  <c r="AX288" i="6"/>
  <c r="AY288" i="6"/>
  <c r="AZ288" i="6"/>
  <c r="BA288" i="6"/>
  <c r="BB288" i="6"/>
  <c r="BC288" i="6"/>
  <c r="BD288" i="6"/>
  <c r="BE288" i="6"/>
  <c r="BF288" i="6"/>
  <c r="BG288" i="6"/>
  <c r="BH288" i="6"/>
  <c r="BI288" i="6"/>
  <c r="BJ288" i="6"/>
  <c r="BK288" i="6"/>
  <c r="BL288" i="6"/>
  <c r="BM288" i="6"/>
  <c r="BN288" i="6"/>
  <c r="BO288" i="6"/>
  <c r="BP288" i="6"/>
  <c r="BQ288" i="6"/>
  <c r="BR288" i="6"/>
  <c r="BS288" i="6"/>
  <c r="BT288" i="6"/>
  <c r="BU288" i="6"/>
  <c r="BV288" i="6"/>
  <c r="BW288" i="6"/>
  <c r="BX288" i="6"/>
  <c r="BY288" i="6"/>
  <c r="BZ288" i="6"/>
  <c r="CA288" i="6"/>
  <c r="CB288" i="6"/>
  <c r="CC288" i="6"/>
  <c r="CD288" i="6"/>
  <c r="CE288" i="6"/>
  <c r="CF288" i="6"/>
  <c r="CG288" i="6"/>
  <c r="CH288" i="6"/>
  <c r="CI288" i="6"/>
  <c r="CJ288" i="6"/>
  <c r="CK288" i="6"/>
  <c r="C289" i="6"/>
  <c r="D289" i="6"/>
  <c r="E289" i="6"/>
  <c r="F289" i="6"/>
  <c r="G289" i="6"/>
  <c r="H289" i="6"/>
  <c r="I289" i="6"/>
  <c r="J289" i="6"/>
  <c r="K289" i="6"/>
  <c r="L289" i="6"/>
  <c r="M289" i="6"/>
  <c r="N289" i="6"/>
  <c r="O289" i="6"/>
  <c r="P289" i="6"/>
  <c r="Q289" i="6"/>
  <c r="R289" i="6"/>
  <c r="S289" i="6"/>
  <c r="T289" i="6"/>
  <c r="U289" i="6"/>
  <c r="V289" i="6"/>
  <c r="W289" i="6"/>
  <c r="X289" i="6"/>
  <c r="Y289" i="6"/>
  <c r="Z289" i="6"/>
  <c r="AA289" i="6"/>
  <c r="AB289" i="6"/>
  <c r="AC289" i="6"/>
  <c r="AD289" i="6"/>
  <c r="AE289" i="6"/>
  <c r="AF289" i="6"/>
  <c r="AG289" i="6"/>
  <c r="AH289" i="6"/>
  <c r="AI289" i="6"/>
  <c r="AJ289" i="6"/>
  <c r="AK289" i="6"/>
  <c r="AL289" i="6"/>
  <c r="AM289" i="6"/>
  <c r="AN289" i="6"/>
  <c r="AO289" i="6"/>
  <c r="AP289" i="6"/>
  <c r="AQ289" i="6"/>
  <c r="AR289" i="6"/>
  <c r="AS289" i="6"/>
  <c r="AT289" i="6"/>
  <c r="AU289" i="6"/>
  <c r="AV289" i="6"/>
  <c r="AW289" i="6"/>
  <c r="AX289" i="6"/>
  <c r="AY289" i="6"/>
  <c r="AZ289" i="6"/>
  <c r="BA289" i="6"/>
  <c r="BB289" i="6"/>
  <c r="BC289" i="6"/>
  <c r="BD289" i="6"/>
  <c r="BE289" i="6"/>
  <c r="BF289" i="6"/>
  <c r="BG289" i="6"/>
  <c r="BH289" i="6"/>
  <c r="BI289" i="6"/>
  <c r="BJ289" i="6"/>
  <c r="BK289" i="6"/>
  <c r="BL289" i="6"/>
  <c r="BM289" i="6"/>
  <c r="BN289" i="6"/>
  <c r="BO289" i="6"/>
  <c r="BP289" i="6"/>
  <c r="BQ289" i="6"/>
  <c r="BR289" i="6"/>
  <c r="BS289" i="6"/>
  <c r="BT289" i="6"/>
  <c r="BU289" i="6"/>
  <c r="BV289" i="6"/>
  <c r="BW289" i="6"/>
  <c r="BX289" i="6"/>
  <c r="BY289" i="6"/>
  <c r="BZ289" i="6"/>
  <c r="CA289" i="6"/>
  <c r="CB289" i="6"/>
  <c r="CC289" i="6"/>
  <c r="CD289" i="6"/>
  <c r="CE289" i="6"/>
  <c r="CF289" i="6"/>
  <c r="CG289" i="6"/>
  <c r="CH289" i="6"/>
  <c r="CI289" i="6"/>
  <c r="CJ289" i="6"/>
  <c r="CK289" i="6"/>
  <c r="C290" i="6"/>
  <c r="D290" i="6"/>
  <c r="E290" i="6"/>
  <c r="F290" i="6"/>
  <c r="G290" i="6"/>
  <c r="H290" i="6"/>
  <c r="I290" i="6"/>
  <c r="J290" i="6"/>
  <c r="K290" i="6"/>
  <c r="L290" i="6"/>
  <c r="M290" i="6"/>
  <c r="N290" i="6"/>
  <c r="O290" i="6"/>
  <c r="P290" i="6"/>
  <c r="Q290" i="6"/>
  <c r="R290" i="6"/>
  <c r="S290" i="6"/>
  <c r="T290" i="6"/>
  <c r="U290" i="6"/>
  <c r="V290" i="6"/>
  <c r="W290" i="6"/>
  <c r="X290" i="6"/>
  <c r="Y290" i="6"/>
  <c r="Z290" i="6"/>
  <c r="AA290" i="6"/>
  <c r="AB290" i="6"/>
  <c r="AC290" i="6"/>
  <c r="AD290" i="6"/>
  <c r="AE290" i="6"/>
  <c r="AF290" i="6"/>
  <c r="AG290" i="6"/>
  <c r="AH290" i="6"/>
  <c r="AI290" i="6"/>
  <c r="AJ290" i="6"/>
  <c r="AK290" i="6"/>
  <c r="AL290" i="6"/>
  <c r="AM290" i="6"/>
  <c r="AN290" i="6"/>
  <c r="AO290" i="6"/>
  <c r="AP290" i="6"/>
  <c r="AQ290" i="6"/>
  <c r="AR290" i="6"/>
  <c r="AS290" i="6"/>
  <c r="AT290" i="6"/>
  <c r="AU290" i="6"/>
  <c r="AV290" i="6"/>
  <c r="AW290" i="6"/>
  <c r="AX290" i="6"/>
  <c r="AY290" i="6"/>
  <c r="AZ290" i="6"/>
  <c r="BA290" i="6"/>
  <c r="BB290" i="6"/>
  <c r="BC290" i="6"/>
  <c r="BD290" i="6"/>
  <c r="BE290" i="6"/>
  <c r="BF290" i="6"/>
  <c r="BG290" i="6"/>
  <c r="BH290" i="6"/>
  <c r="BI290" i="6"/>
  <c r="BJ290" i="6"/>
  <c r="BK290" i="6"/>
  <c r="BL290" i="6"/>
  <c r="BM290" i="6"/>
  <c r="BN290" i="6"/>
  <c r="BO290" i="6"/>
  <c r="BP290" i="6"/>
  <c r="BQ290" i="6"/>
  <c r="BR290" i="6"/>
  <c r="BS290" i="6"/>
  <c r="BT290" i="6"/>
  <c r="BU290" i="6"/>
  <c r="BV290" i="6"/>
  <c r="BW290" i="6"/>
  <c r="BX290" i="6"/>
  <c r="BY290" i="6"/>
  <c r="BZ290" i="6"/>
  <c r="CA290" i="6"/>
  <c r="CB290" i="6"/>
  <c r="CC290" i="6"/>
  <c r="CD290" i="6"/>
  <c r="CE290" i="6"/>
  <c r="CF290" i="6"/>
  <c r="CG290" i="6"/>
  <c r="CH290" i="6"/>
  <c r="CI290" i="6"/>
  <c r="CJ290" i="6"/>
  <c r="CK290" i="6"/>
  <c r="C291" i="6"/>
  <c r="D291" i="6"/>
  <c r="E291" i="6"/>
  <c r="F291" i="6"/>
  <c r="G291" i="6"/>
  <c r="H291" i="6"/>
  <c r="I291" i="6"/>
  <c r="J291" i="6"/>
  <c r="K291" i="6"/>
  <c r="L291" i="6"/>
  <c r="M291" i="6"/>
  <c r="N291" i="6"/>
  <c r="O291" i="6"/>
  <c r="P291" i="6"/>
  <c r="Q291" i="6"/>
  <c r="R291" i="6"/>
  <c r="S291" i="6"/>
  <c r="T291" i="6"/>
  <c r="U291" i="6"/>
  <c r="V291" i="6"/>
  <c r="W291" i="6"/>
  <c r="X291" i="6"/>
  <c r="Y291" i="6"/>
  <c r="Z291" i="6"/>
  <c r="AA291" i="6"/>
  <c r="AB291" i="6"/>
  <c r="AC291" i="6"/>
  <c r="AD291" i="6"/>
  <c r="AE291" i="6"/>
  <c r="AF291" i="6"/>
  <c r="AG291" i="6"/>
  <c r="AH291" i="6"/>
  <c r="AI291" i="6"/>
  <c r="AJ291" i="6"/>
  <c r="AK291" i="6"/>
  <c r="AL291" i="6"/>
  <c r="AM291" i="6"/>
  <c r="AN291" i="6"/>
  <c r="AO291" i="6"/>
  <c r="AP291" i="6"/>
  <c r="AQ291" i="6"/>
  <c r="AR291" i="6"/>
  <c r="AS291" i="6"/>
  <c r="AT291" i="6"/>
  <c r="AU291" i="6"/>
  <c r="AV291" i="6"/>
  <c r="AW291" i="6"/>
  <c r="AX291" i="6"/>
  <c r="AY291" i="6"/>
  <c r="AZ291" i="6"/>
  <c r="BA291" i="6"/>
  <c r="BB291" i="6"/>
  <c r="BC291" i="6"/>
  <c r="BD291" i="6"/>
  <c r="BE291" i="6"/>
  <c r="BF291" i="6"/>
  <c r="BG291" i="6"/>
  <c r="BH291" i="6"/>
  <c r="BI291" i="6"/>
  <c r="BJ291" i="6"/>
  <c r="BK291" i="6"/>
  <c r="BL291" i="6"/>
  <c r="BM291" i="6"/>
  <c r="BN291" i="6"/>
  <c r="BO291" i="6"/>
  <c r="BP291" i="6"/>
  <c r="BQ291" i="6"/>
  <c r="BR291" i="6"/>
  <c r="BS291" i="6"/>
  <c r="BT291" i="6"/>
  <c r="BU291" i="6"/>
  <c r="BV291" i="6"/>
  <c r="BW291" i="6"/>
  <c r="BX291" i="6"/>
  <c r="BY291" i="6"/>
  <c r="BZ291" i="6"/>
  <c r="CA291" i="6"/>
  <c r="CB291" i="6"/>
  <c r="CC291" i="6"/>
  <c r="CD291" i="6"/>
  <c r="CE291" i="6"/>
  <c r="CF291" i="6"/>
  <c r="CG291" i="6"/>
  <c r="CH291" i="6"/>
  <c r="CI291" i="6"/>
  <c r="CJ291" i="6"/>
  <c r="CK291" i="6"/>
  <c r="C292" i="6"/>
  <c r="D292" i="6"/>
  <c r="E292" i="6"/>
  <c r="F292" i="6"/>
  <c r="G292" i="6"/>
  <c r="H292" i="6"/>
  <c r="I292" i="6"/>
  <c r="J292" i="6"/>
  <c r="K292" i="6"/>
  <c r="L292" i="6"/>
  <c r="M292" i="6"/>
  <c r="N292" i="6"/>
  <c r="O292" i="6"/>
  <c r="P292" i="6"/>
  <c r="Q292" i="6"/>
  <c r="R292" i="6"/>
  <c r="S292" i="6"/>
  <c r="T292" i="6"/>
  <c r="U292" i="6"/>
  <c r="V292" i="6"/>
  <c r="W292" i="6"/>
  <c r="X292" i="6"/>
  <c r="Y292" i="6"/>
  <c r="Z292" i="6"/>
  <c r="AA292" i="6"/>
  <c r="AB292" i="6"/>
  <c r="AC292" i="6"/>
  <c r="AD292" i="6"/>
  <c r="AE292" i="6"/>
  <c r="AF292" i="6"/>
  <c r="AG292" i="6"/>
  <c r="AH292" i="6"/>
  <c r="AI292" i="6"/>
  <c r="AJ292" i="6"/>
  <c r="AK292" i="6"/>
  <c r="AL292" i="6"/>
  <c r="AM292" i="6"/>
  <c r="AN292" i="6"/>
  <c r="AO292" i="6"/>
  <c r="AP292" i="6"/>
  <c r="AQ292" i="6"/>
  <c r="AR292" i="6"/>
  <c r="AS292" i="6"/>
  <c r="AT292" i="6"/>
  <c r="AU292" i="6"/>
  <c r="AV292" i="6"/>
  <c r="AW292" i="6"/>
  <c r="AX292" i="6"/>
  <c r="AY292" i="6"/>
  <c r="AZ292" i="6"/>
  <c r="BA292" i="6"/>
  <c r="BB292" i="6"/>
  <c r="BC292" i="6"/>
  <c r="BD292" i="6"/>
  <c r="BE292" i="6"/>
  <c r="BF292" i="6"/>
  <c r="BG292" i="6"/>
  <c r="BH292" i="6"/>
  <c r="BI292" i="6"/>
  <c r="BJ292" i="6"/>
  <c r="BK292" i="6"/>
  <c r="BL292" i="6"/>
  <c r="BM292" i="6"/>
  <c r="BN292" i="6"/>
  <c r="BO292" i="6"/>
  <c r="BP292" i="6"/>
  <c r="BQ292" i="6"/>
  <c r="BR292" i="6"/>
  <c r="BS292" i="6"/>
  <c r="BT292" i="6"/>
  <c r="BU292" i="6"/>
  <c r="BV292" i="6"/>
  <c r="BW292" i="6"/>
  <c r="BX292" i="6"/>
  <c r="BY292" i="6"/>
  <c r="BZ292" i="6"/>
  <c r="CA292" i="6"/>
  <c r="CB292" i="6"/>
  <c r="CC292" i="6"/>
  <c r="CD292" i="6"/>
  <c r="CE292" i="6"/>
  <c r="CF292" i="6"/>
  <c r="CG292" i="6"/>
  <c r="CH292" i="6"/>
  <c r="CI292" i="6"/>
  <c r="CJ292" i="6"/>
  <c r="CK292" i="6"/>
  <c r="C293" i="6"/>
  <c r="D293" i="6"/>
  <c r="E293" i="6"/>
  <c r="F293" i="6"/>
  <c r="G293" i="6"/>
  <c r="H293" i="6"/>
  <c r="I293" i="6"/>
  <c r="J293" i="6"/>
  <c r="K293" i="6"/>
  <c r="L293" i="6"/>
  <c r="M293" i="6"/>
  <c r="N293" i="6"/>
  <c r="O293" i="6"/>
  <c r="P293" i="6"/>
  <c r="Q293" i="6"/>
  <c r="R293" i="6"/>
  <c r="S293" i="6"/>
  <c r="T293" i="6"/>
  <c r="U293" i="6"/>
  <c r="V293" i="6"/>
  <c r="W293" i="6"/>
  <c r="X293" i="6"/>
  <c r="Y293" i="6"/>
  <c r="Z293" i="6"/>
  <c r="AA293" i="6"/>
  <c r="AB293" i="6"/>
  <c r="AC293" i="6"/>
  <c r="AD293" i="6"/>
  <c r="AE293" i="6"/>
  <c r="AF293" i="6"/>
  <c r="AG293" i="6"/>
  <c r="AH293" i="6"/>
  <c r="AI293" i="6"/>
  <c r="AJ293" i="6"/>
  <c r="AK293" i="6"/>
  <c r="AL293" i="6"/>
  <c r="AM293" i="6"/>
  <c r="AN293" i="6"/>
  <c r="AO293" i="6"/>
  <c r="AP293" i="6"/>
  <c r="AQ293" i="6"/>
  <c r="AR293" i="6"/>
  <c r="AS293" i="6"/>
  <c r="AT293" i="6"/>
  <c r="AU293" i="6"/>
  <c r="AV293" i="6"/>
  <c r="AW293" i="6"/>
  <c r="AX293" i="6"/>
  <c r="AY293" i="6"/>
  <c r="AZ293" i="6"/>
  <c r="BA293" i="6"/>
  <c r="BB293" i="6"/>
  <c r="BC293" i="6"/>
  <c r="BD293" i="6"/>
  <c r="BE293" i="6"/>
  <c r="BF293" i="6"/>
  <c r="BG293" i="6"/>
  <c r="BH293" i="6"/>
  <c r="BI293" i="6"/>
  <c r="BJ293" i="6"/>
  <c r="BK293" i="6"/>
  <c r="BL293" i="6"/>
  <c r="BM293" i="6"/>
  <c r="BN293" i="6"/>
  <c r="BO293" i="6"/>
  <c r="BP293" i="6"/>
  <c r="BQ293" i="6"/>
  <c r="BR293" i="6"/>
  <c r="BS293" i="6"/>
  <c r="BT293" i="6"/>
  <c r="BU293" i="6"/>
  <c r="BV293" i="6"/>
  <c r="BW293" i="6"/>
  <c r="BX293" i="6"/>
  <c r="BY293" i="6"/>
  <c r="BZ293" i="6"/>
  <c r="CA293" i="6"/>
  <c r="CB293" i="6"/>
  <c r="CC293" i="6"/>
  <c r="CD293" i="6"/>
  <c r="CE293" i="6"/>
  <c r="CF293" i="6"/>
  <c r="CG293" i="6"/>
  <c r="CH293" i="6"/>
  <c r="CI293" i="6"/>
  <c r="CJ293" i="6"/>
  <c r="CK293" i="6"/>
  <c r="C294" i="6"/>
  <c r="D294" i="6"/>
  <c r="E294" i="6"/>
  <c r="F294" i="6"/>
  <c r="G294" i="6"/>
  <c r="H294" i="6"/>
  <c r="I294" i="6"/>
  <c r="J294" i="6"/>
  <c r="K294" i="6"/>
  <c r="L294" i="6"/>
  <c r="M294" i="6"/>
  <c r="N294" i="6"/>
  <c r="O294" i="6"/>
  <c r="P294" i="6"/>
  <c r="Q294" i="6"/>
  <c r="R294" i="6"/>
  <c r="S294" i="6"/>
  <c r="T294" i="6"/>
  <c r="U294" i="6"/>
  <c r="V294" i="6"/>
  <c r="W294" i="6"/>
  <c r="X294" i="6"/>
  <c r="Y294" i="6"/>
  <c r="Z294" i="6"/>
  <c r="AA294" i="6"/>
  <c r="AB294" i="6"/>
  <c r="AC294" i="6"/>
  <c r="AD294" i="6"/>
  <c r="AE294" i="6"/>
  <c r="AF294" i="6"/>
  <c r="AG294" i="6"/>
  <c r="AH294" i="6"/>
  <c r="AI294" i="6"/>
  <c r="AJ294" i="6"/>
  <c r="AK294" i="6"/>
  <c r="AL294" i="6"/>
  <c r="AM294" i="6"/>
  <c r="AN294" i="6"/>
  <c r="AO294" i="6"/>
  <c r="AP294" i="6"/>
  <c r="AQ294" i="6"/>
  <c r="AR294" i="6"/>
  <c r="AS294" i="6"/>
  <c r="AT294" i="6"/>
  <c r="AU294" i="6"/>
  <c r="AV294" i="6"/>
  <c r="AW294" i="6"/>
  <c r="AX294" i="6"/>
  <c r="AY294" i="6"/>
  <c r="AZ294" i="6"/>
  <c r="BA294" i="6"/>
  <c r="BB294" i="6"/>
  <c r="BC294" i="6"/>
  <c r="BD294" i="6"/>
  <c r="BE294" i="6"/>
  <c r="BF294" i="6"/>
  <c r="BG294" i="6"/>
  <c r="BH294" i="6"/>
  <c r="BI294" i="6"/>
  <c r="BJ294" i="6"/>
  <c r="BK294" i="6"/>
  <c r="BL294" i="6"/>
  <c r="BM294" i="6"/>
  <c r="BN294" i="6"/>
  <c r="BO294" i="6"/>
  <c r="BP294" i="6"/>
  <c r="BQ294" i="6"/>
  <c r="BR294" i="6"/>
  <c r="BS294" i="6"/>
  <c r="BT294" i="6"/>
  <c r="BU294" i="6"/>
  <c r="BV294" i="6"/>
  <c r="BW294" i="6"/>
  <c r="BX294" i="6"/>
  <c r="BY294" i="6"/>
  <c r="BZ294" i="6"/>
  <c r="CA294" i="6"/>
  <c r="CB294" i="6"/>
  <c r="CC294" i="6"/>
  <c r="CD294" i="6"/>
  <c r="CE294" i="6"/>
  <c r="CF294" i="6"/>
  <c r="CG294" i="6"/>
  <c r="CH294" i="6"/>
  <c r="CI294" i="6"/>
  <c r="CJ294" i="6"/>
  <c r="CK294" i="6"/>
  <c r="C295" i="6"/>
  <c r="D295" i="6"/>
  <c r="E295" i="6"/>
  <c r="F295" i="6"/>
  <c r="G295" i="6"/>
  <c r="H295" i="6"/>
  <c r="I295" i="6"/>
  <c r="J295" i="6"/>
  <c r="K295" i="6"/>
  <c r="L295" i="6"/>
  <c r="M295" i="6"/>
  <c r="N295" i="6"/>
  <c r="O295" i="6"/>
  <c r="P295" i="6"/>
  <c r="Q295" i="6"/>
  <c r="R295" i="6"/>
  <c r="S295" i="6"/>
  <c r="T295" i="6"/>
  <c r="U295" i="6"/>
  <c r="V295" i="6"/>
  <c r="W295" i="6"/>
  <c r="X295" i="6"/>
  <c r="Y295" i="6"/>
  <c r="Z295" i="6"/>
  <c r="AA295" i="6"/>
  <c r="AB295" i="6"/>
  <c r="AC295" i="6"/>
  <c r="AD295" i="6"/>
  <c r="AE295" i="6"/>
  <c r="AF295" i="6"/>
  <c r="AG295" i="6"/>
  <c r="AH295" i="6"/>
  <c r="AI295" i="6"/>
  <c r="AJ295" i="6"/>
  <c r="AK295" i="6"/>
  <c r="AL295" i="6"/>
  <c r="AM295" i="6"/>
  <c r="AN295" i="6"/>
  <c r="AO295" i="6"/>
  <c r="AP295" i="6"/>
  <c r="AQ295" i="6"/>
  <c r="AR295" i="6"/>
  <c r="AS295" i="6"/>
  <c r="AT295" i="6"/>
  <c r="AU295" i="6"/>
  <c r="AV295" i="6"/>
  <c r="AW295" i="6"/>
  <c r="AX295" i="6"/>
  <c r="AY295" i="6"/>
  <c r="AZ295" i="6"/>
  <c r="BA295" i="6"/>
  <c r="BB295" i="6"/>
  <c r="BC295" i="6"/>
  <c r="BD295" i="6"/>
  <c r="BE295" i="6"/>
  <c r="BF295" i="6"/>
  <c r="BG295" i="6"/>
  <c r="BH295" i="6"/>
  <c r="BI295" i="6"/>
  <c r="BJ295" i="6"/>
  <c r="BK295" i="6"/>
  <c r="BL295" i="6"/>
  <c r="BM295" i="6"/>
  <c r="BN295" i="6"/>
  <c r="BO295" i="6"/>
  <c r="BP295" i="6"/>
  <c r="BQ295" i="6"/>
  <c r="BR295" i="6"/>
  <c r="BS295" i="6"/>
  <c r="BT295" i="6"/>
  <c r="BU295" i="6"/>
  <c r="BV295" i="6"/>
  <c r="BW295" i="6"/>
  <c r="BX295" i="6"/>
  <c r="BY295" i="6"/>
  <c r="BZ295" i="6"/>
  <c r="CA295" i="6"/>
  <c r="CB295" i="6"/>
  <c r="CC295" i="6"/>
  <c r="CD295" i="6"/>
  <c r="CE295" i="6"/>
  <c r="CF295" i="6"/>
  <c r="CG295" i="6"/>
  <c r="CH295" i="6"/>
  <c r="CI295" i="6"/>
  <c r="CJ295" i="6"/>
  <c r="CK295" i="6"/>
  <c r="C296" i="6"/>
  <c r="D296" i="6"/>
  <c r="E296" i="6"/>
  <c r="F296" i="6"/>
  <c r="G296" i="6"/>
  <c r="H296" i="6"/>
  <c r="I296" i="6"/>
  <c r="J296" i="6"/>
  <c r="K296" i="6"/>
  <c r="L296" i="6"/>
  <c r="M296" i="6"/>
  <c r="N296" i="6"/>
  <c r="O296" i="6"/>
  <c r="P296" i="6"/>
  <c r="Q296" i="6"/>
  <c r="R296" i="6"/>
  <c r="S296" i="6"/>
  <c r="T296" i="6"/>
  <c r="U296" i="6"/>
  <c r="V296" i="6"/>
  <c r="W296" i="6"/>
  <c r="X296" i="6"/>
  <c r="Y296" i="6"/>
  <c r="Z296" i="6"/>
  <c r="AA296" i="6"/>
  <c r="AB296" i="6"/>
  <c r="AC296" i="6"/>
  <c r="AD296" i="6"/>
  <c r="AE296" i="6"/>
  <c r="AF296" i="6"/>
  <c r="AG296" i="6"/>
  <c r="AH296" i="6"/>
  <c r="AI296" i="6"/>
  <c r="AJ296" i="6"/>
  <c r="AK296" i="6"/>
  <c r="AL296" i="6"/>
  <c r="AM296" i="6"/>
  <c r="AN296" i="6"/>
  <c r="AO296" i="6"/>
  <c r="AP296" i="6"/>
  <c r="AQ296" i="6"/>
  <c r="AR296" i="6"/>
  <c r="AS296" i="6"/>
  <c r="AT296" i="6"/>
  <c r="AU296" i="6"/>
  <c r="AV296" i="6"/>
  <c r="AW296" i="6"/>
  <c r="AX296" i="6"/>
  <c r="AY296" i="6"/>
  <c r="AZ296" i="6"/>
  <c r="BA296" i="6"/>
  <c r="BB296" i="6"/>
  <c r="BC296" i="6"/>
  <c r="BD296" i="6"/>
  <c r="BE296" i="6"/>
  <c r="BF296" i="6"/>
  <c r="BG296" i="6"/>
  <c r="BH296" i="6"/>
  <c r="BI296" i="6"/>
  <c r="BJ296" i="6"/>
  <c r="BK296" i="6"/>
  <c r="BL296" i="6"/>
  <c r="BM296" i="6"/>
  <c r="BN296" i="6"/>
  <c r="BO296" i="6"/>
  <c r="BP296" i="6"/>
  <c r="BQ296" i="6"/>
  <c r="BR296" i="6"/>
  <c r="BS296" i="6"/>
  <c r="BT296" i="6"/>
  <c r="BU296" i="6"/>
  <c r="BV296" i="6"/>
  <c r="BW296" i="6"/>
  <c r="BX296" i="6"/>
  <c r="BY296" i="6"/>
  <c r="BZ296" i="6"/>
  <c r="CA296" i="6"/>
  <c r="CB296" i="6"/>
  <c r="CC296" i="6"/>
  <c r="CD296" i="6"/>
  <c r="CE296" i="6"/>
  <c r="CF296" i="6"/>
  <c r="CG296" i="6"/>
  <c r="CH296" i="6"/>
  <c r="CI296" i="6"/>
  <c r="CJ296" i="6"/>
  <c r="CK296" i="6"/>
  <c r="C297" i="6"/>
  <c r="D297" i="6"/>
  <c r="E297" i="6"/>
  <c r="F297" i="6"/>
  <c r="G297" i="6"/>
  <c r="H297" i="6"/>
  <c r="I297" i="6"/>
  <c r="J297" i="6"/>
  <c r="K297" i="6"/>
  <c r="L297" i="6"/>
  <c r="M297" i="6"/>
  <c r="N297" i="6"/>
  <c r="O297" i="6"/>
  <c r="P297" i="6"/>
  <c r="Q297" i="6"/>
  <c r="R297" i="6"/>
  <c r="S297" i="6"/>
  <c r="T297" i="6"/>
  <c r="U297" i="6"/>
  <c r="V297" i="6"/>
  <c r="W297" i="6"/>
  <c r="X297" i="6"/>
  <c r="Y297" i="6"/>
  <c r="Z297" i="6"/>
  <c r="AA297" i="6"/>
  <c r="AB297" i="6"/>
  <c r="AC297" i="6"/>
  <c r="AD297" i="6"/>
  <c r="AE297" i="6"/>
  <c r="AF297" i="6"/>
  <c r="AG297" i="6"/>
  <c r="AH297" i="6"/>
  <c r="AI297" i="6"/>
  <c r="AJ297" i="6"/>
  <c r="AK297" i="6"/>
  <c r="AL297" i="6"/>
  <c r="AM297" i="6"/>
  <c r="AN297" i="6"/>
  <c r="AO297" i="6"/>
  <c r="AP297" i="6"/>
  <c r="AQ297" i="6"/>
  <c r="AR297" i="6"/>
  <c r="AS297" i="6"/>
  <c r="AT297" i="6"/>
  <c r="AU297" i="6"/>
  <c r="AV297" i="6"/>
  <c r="AW297" i="6"/>
  <c r="AX297" i="6"/>
  <c r="AY297" i="6"/>
  <c r="AZ297" i="6"/>
  <c r="BA297" i="6"/>
  <c r="BB297" i="6"/>
  <c r="BC297" i="6"/>
  <c r="BD297" i="6"/>
  <c r="BE297" i="6"/>
  <c r="BF297" i="6"/>
  <c r="BG297" i="6"/>
  <c r="BH297" i="6"/>
  <c r="BI297" i="6"/>
  <c r="BJ297" i="6"/>
  <c r="BK297" i="6"/>
  <c r="BL297" i="6"/>
  <c r="BM297" i="6"/>
  <c r="BN297" i="6"/>
  <c r="BO297" i="6"/>
  <c r="BP297" i="6"/>
  <c r="BQ297" i="6"/>
  <c r="BR297" i="6"/>
  <c r="BS297" i="6"/>
  <c r="BT297" i="6"/>
  <c r="BU297" i="6"/>
  <c r="BV297" i="6"/>
  <c r="BW297" i="6"/>
  <c r="BX297" i="6"/>
  <c r="BY297" i="6"/>
  <c r="BZ297" i="6"/>
  <c r="CA297" i="6"/>
  <c r="CB297" i="6"/>
  <c r="CC297" i="6"/>
  <c r="CD297" i="6"/>
  <c r="CE297" i="6"/>
  <c r="CF297" i="6"/>
  <c r="CG297" i="6"/>
  <c r="CH297" i="6"/>
  <c r="CI297" i="6"/>
  <c r="CJ297" i="6"/>
  <c r="CK297" i="6"/>
  <c r="C301" i="6"/>
  <c r="D301" i="6"/>
  <c r="E301" i="6"/>
  <c r="F301" i="6"/>
  <c r="G301" i="6"/>
  <c r="H301" i="6"/>
  <c r="I301" i="6"/>
  <c r="J301" i="6"/>
  <c r="K301" i="6"/>
  <c r="L301" i="6"/>
  <c r="M301" i="6"/>
  <c r="N301" i="6"/>
  <c r="O301" i="6"/>
  <c r="P301" i="6"/>
  <c r="Q301" i="6"/>
  <c r="R301" i="6"/>
  <c r="S301" i="6"/>
  <c r="T301" i="6"/>
  <c r="U301" i="6"/>
  <c r="V301" i="6"/>
  <c r="W301" i="6"/>
  <c r="X301" i="6"/>
  <c r="Y301" i="6"/>
  <c r="Z301" i="6"/>
  <c r="AA301" i="6"/>
  <c r="AB301" i="6"/>
  <c r="AC301" i="6"/>
  <c r="AD301" i="6"/>
  <c r="AE301" i="6"/>
  <c r="AF301" i="6"/>
  <c r="AG301" i="6"/>
  <c r="AH301" i="6"/>
  <c r="AI301" i="6"/>
  <c r="AJ301" i="6"/>
  <c r="AK301" i="6"/>
  <c r="AL301" i="6"/>
  <c r="AM301" i="6"/>
  <c r="AN301" i="6"/>
  <c r="AO301" i="6"/>
  <c r="AP301" i="6"/>
  <c r="AQ301" i="6"/>
  <c r="AR301" i="6"/>
  <c r="AS301" i="6"/>
  <c r="AT301" i="6"/>
  <c r="AU301" i="6"/>
  <c r="AV301" i="6"/>
  <c r="AW301" i="6"/>
  <c r="AX301" i="6"/>
  <c r="AY301" i="6"/>
  <c r="AZ301" i="6"/>
  <c r="BA301" i="6"/>
  <c r="BB301" i="6"/>
  <c r="BC301" i="6"/>
  <c r="BD301" i="6"/>
  <c r="BE301" i="6"/>
  <c r="BF301" i="6"/>
  <c r="BG301" i="6"/>
  <c r="BH301" i="6"/>
  <c r="BI301" i="6"/>
  <c r="BJ301" i="6"/>
  <c r="BK301" i="6"/>
  <c r="BL301" i="6"/>
  <c r="BM301" i="6"/>
  <c r="BN301" i="6"/>
  <c r="BO301" i="6"/>
  <c r="BP301" i="6"/>
  <c r="BQ301" i="6"/>
  <c r="BR301" i="6"/>
  <c r="BS301" i="6"/>
  <c r="BT301" i="6"/>
  <c r="BU301" i="6"/>
  <c r="BV301" i="6"/>
  <c r="BW301" i="6"/>
  <c r="BX301" i="6"/>
  <c r="BY301" i="6"/>
  <c r="BZ301" i="6"/>
  <c r="CA301" i="6"/>
  <c r="CB301" i="6"/>
  <c r="CC301" i="6"/>
  <c r="CD301" i="6"/>
  <c r="CE301" i="6"/>
  <c r="CF301" i="6"/>
  <c r="CG301" i="6"/>
  <c r="CH301" i="6"/>
  <c r="CI301" i="6"/>
  <c r="CJ301" i="6"/>
  <c r="CK301" i="6"/>
  <c r="C302" i="6"/>
  <c r="D302" i="6"/>
  <c r="E302" i="6"/>
  <c r="F302" i="6"/>
  <c r="G302" i="6"/>
  <c r="H302" i="6"/>
  <c r="I302" i="6"/>
  <c r="J302" i="6"/>
  <c r="K302" i="6"/>
  <c r="L302" i="6"/>
  <c r="M302" i="6"/>
  <c r="N302" i="6"/>
  <c r="O302" i="6"/>
  <c r="P302" i="6"/>
  <c r="Q302" i="6"/>
  <c r="R302" i="6"/>
  <c r="S302" i="6"/>
  <c r="T302" i="6"/>
  <c r="U302" i="6"/>
  <c r="V302" i="6"/>
  <c r="W302" i="6"/>
  <c r="X302" i="6"/>
  <c r="Y302" i="6"/>
  <c r="Z302" i="6"/>
  <c r="AA302" i="6"/>
  <c r="AB302" i="6"/>
  <c r="AC302" i="6"/>
  <c r="AD302" i="6"/>
  <c r="AE302" i="6"/>
  <c r="AF302" i="6"/>
  <c r="AG302" i="6"/>
  <c r="AH302" i="6"/>
  <c r="AI302" i="6"/>
  <c r="AJ302" i="6"/>
  <c r="AK302" i="6"/>
  <c r="AL302" i="6"/>
  <c r="AM302" i="6"/>
  <c r="AN302" i="6"/>
  <c r="AO302" i="6"/>
  <c r="AP302" i="6"/>
  <c r="AQ302" i="6"/>
  <c r="AR302" i="6"/>
  <c r="AS302" i="6"/>
  <c r="AT302" i="6"/>
  <c r="AU302" i="6"/>
  <c r="AV302" i="6"/>
  <c r="AW302" i="6"/>
  <c r="AX302" i="6"/>
  <c r="AY302" i="6"/>
  <c r="AZ302" i="6"/>
  <c r="BA302" i="6"/>
  <c r="BB302" i="6"/>
  <c r="BC302" i="6"/>
  <c r="BD302" i="6"/>
  <c r="BE302" i="6"/>
  <c r="BF302" i="6"/>
  <c r="BG302" i="6"/>
  <c r="BH302" i="6"/>
  <c r="BI302" i="6"/>
  <c r="BJ302" i="6"/>
  <c r="BK302" i="6"/>
  <c r="BL302" i="6"/>
  <c r="BM302" i="6"/>
  <c r="BN302" i="6"/>
  <c r="BO302" i="6"/>
  <c r="BP302" i="6"/>
  <c r="BQ302" i="6"/>
  <c r="BR302" i="6"/>
  <c r="BS302" i="6"/>
  <c r="BT302" i="6"/>
  <c r="BU302" i="6"/>
  <c r="BV302" i="6"/>
  <c r="BW302" i="6"/>
  <c r="BX302" i="6"/>
  <c r="BY302" i="6"/>
  <c r="BZ302" i="6"/>
  <c r="CA302" i="6"/>
  <c r="CB302" i="6"/>
  <c r="CC302" i="6"/>
  <c r="CD302" i="6"/>
  <c r="CE302" i="6"/>
  <c r="CF302" i="6"/>
  <c r="CG302" i="6"/>
  <c r="CH302" i="6"/>
  <c r="CI302" i="6"/>
  <c r="CJ302" i="6"/>
  <c r="CK302" i="6"/>
  <c r="C303" i="6"/>
  <c r="D303" i="6"/>
  <c r="E303" i="6"/>
  <c r="F303" i="6"/>
  <c r="G303" i="6"/>
  <c r="H303" i="6"/>
  <c r="I303" i="6"/>
  <c r="I305" i="6" s="1"/>
  <c r="J303" i="6"/>
  <c r="J305" i="6" s="1"/>
  <c r="K303" i="6"/>
  <c r="K305" i="6" s="1"/>
  <c r="L303" i="6"/>
  <c r="L305" i="6" s="1"/>
  <c r="M303" i="6"/>
  <c r="M305" i="6" s="1"/>
  <c r="N303" i="6"/>
  <c r="N305" i="6" s="1"/>
  <c r="O303" i="6"/>
  <c r="O305" i="6" s="1"/>
  <c r="P303" i="6"/>
  <c r="P305" i="6" s="1"/>
  <c r="Q303" i="6"/>
  <c r="Q305" i="6" s="1"/>
  <c r="R303" i="6"/>
  <c r="R305" i="6" s="1"/>
  <c r="S303" i="6"/>
  <c r="S305" i="6" s="1"/>
  <c r="T303" i="6"/>
  <c r="T305" i="6" s="1"/>
  <c r="U303" i="6"/>
  <c r="U305" i="6" s="1"/>
  <c r="V303" i="6"/>
  <c r="V305" i="6" s="1"/>
  <c r="W303" i="6"/>
  <c r="W305" i="6" s="1"/>
  <c r="X303" i="6"/>
  <c r="X305" i="6" s="1"/>
  <c r="Y303" i="6"/>
  <c r="Y305" i="6" s="1"/>
  <c r="Z303" i="6"/>
  <c r="Z305" i="6" s="1"/>
  <c r="AA303" i="6"/>
  <c r="AA305" i="6" s="1"/>
  <c r="AB303" i="6"/>
  <c r="AB305" i="6" s="1"/>
  <c r="AC303" i="6"/>
  <c r="AC305" i="6" s="1"/>
  <c r="AD303" i="6"/>
  <c r="AD305" i="6" s="1"/>
  <c r="AE303" i="6"/>
  <c r="AE305" i="6" s="1"/>
  <c r="AF303" i="6"/>
  <c r="AF305" i="6" s="1"/>
  <c r="AG303" i="6"/>
  <c r="AG305" i="6" s="1"/>
  <c r="AH303" i="6"/>
  <c r="AH305" i="6" s="1"/>
  <c r="AI303" i="6"/>
  <c r="AI305" i="6" s="1"/>
  <c r="AJ303" i="6"/>
  <c r="AJ305" i="6" s="1"/>
  <c r="AK303" i="6"/>
  <c r="AK305" i="6" s="1"/>
  <c r="AL303" i="6"/>
  <c r="AL305" i="6" s="1"/>
  <c r="AM303" i="6"/>
  <c r="AM305" i="6" s="1"/>
  <c r="AN303" i="6"/>
  <c r="AN305" i="6" s="1"/>
  <c r="AO303" i="6"/>
  <c r="AO305" i="6" s="1"/>
  <c r="AP303" i="6"/>
  <c r="AP305" i="6" s="1"/>
  <c r="AQ303" i="6"/>
  <c r="AQ305" i="6" s="1"/>
  <c r="AR303" i="6"/>
  <c r="AS303" i="6"/>
  <c r="AS305" i="6" s="1"/>
  <c r="AT303" i="6"/>
  <c r="AT305" i="6" s="1"/>
  <c r="AU303" i="6"/>
  <c r="AU305" i="6" s="1"/>
  <c r="AV303" i="6"/>
  <c r="AV305" i="6" s="1"/>
  <c r="AW303" i="6"/>
  <c r="AW305" i="6" s="1"/>
  <c r="AX303" i="6"/>
  <c r="AX305" i="6" s="1"/>
  <c r="AY303" i="6"/>
  <c r="AY305" i="6" s="1"/>
  <c r="AZ303" i="6"/>
  <c r="AZ305" i="6" s="1"/>
  <c r="BA303" i="6"/>
  <c r="BA305" i="6" s="1"/>
  <c r="BB303" i="6"/>
  <c r="BB305" i="6" s="1"/>
  <c r="BC303" i="6"/>
  <c r="BC305" i="6" s="1"/>
  <c r="BD303" i="6"/>
  <c r="BD305" i="6" s="1"/>
  <c r="BE303" i="6"/>
  <c r="BE305" i="6" s="1"/>
  <c r="BF303" i="6"/>
  <c r="BF305" i="6" s="1"/>
  <c r="BG303" i="6"/>
  <c r="BG305" i="6" s="1"/>
  <c r="BH303" i="6"/>
  <c r="BH305" i="6" s="1"/>
  <c r="BI303" i="6"/>
  <c r="BI305" i="6" s="1"/>
  <c r="BJ303" i="6"/>
  <c r="BJ305" i="6" s="1"/>
  <c r="BK303" i="6"/>
  <c r="BK305" i="6" s="1"/>
  <c r="BL303" i="6"/>
  <c r="BL305" i="6" s="1"/>
  <c r="BM303" i="6"/>
  <c r="BM305" i="6" s="1"/>
  <c r="BN303" i="6"/>
  <c r="BN305" i="6" s="1"/>
  <c r="BO303" i="6"/>
  <c r="BO305" i="6" s="1"/>
  <c r="BP303" i="6"/>
  <c r="BP305" i="6" s="1"/>
  <c r="BQ303" i="6"/>
  <c r="BQ305" i="6" s="1"/>
  <c r="BR303" i="6"/>
  <c r="BR305" i="6" s="1"/>
  <c r="BS303" i="6"/>
  <c r="BS305" i="6" s="1"/>
  <c r="BT303" i="6"/>
  <c r="BT305" i="6" s="1"/>
  <c r="BU303" i="6"/>
  <c r="BU305" i="6" s="1"/>
  <c r="BV303" i="6"/>
  <c r="BV305" i="6" s="1"/>
  <c r="BW303" i="6"/>
  <c r="BW305" i="6" s="1"/>
  <c r="BX303" i="6"/>
  <c r="BX305" i="6" s="1"/>
  <c r="BY303" i="6"/>
  <c r="BY305" i="6" s="1"/>
  <c r="BZ303" i="6"/>
  <c r="BZ305" i="6" s="1"/>
  <c r="CA303" i="6"/>
  <c r="CA305" i="6" s="1"/>
  <c r="CB303" i="6"/>
  <c r="CB305" i="6" s="1"/>
  <c r="CC303" i="6"/>
  <c r="CC305" i="6" s="1"/>
  <c r="CD303" i="6"/>
  <c r="CD305" i="6" s="1"/>
  <c r="CE303" i="6"/>
  <c r="CE305" i="6" s="1"/>
  <c r="CF303" i="6"/>
  <c r="CF305" i="6" s="1"/>
  <c r="CG303" i="6"/>
  <c r="CG305" i="6" s="1"/>
  <c r="CH303" i="6"/>
  <c r="CH305" i="6" s="1"/>
  <c r="CI303" i="6"/>
  <c r="CI305" i="6" s="1"/>
  <c r="CJ303" i="6"/>
  <c r="CJ305" i="6" s="1"/>
  <c r="CK303" i="6"/>
  <c r="CK305" i="6" s="1"/>
  <c r="C304" i="6"/>
  <c r="D304" i="6"/>
  <c r="E304" i="6"/>
  <c r="F304" i="6"/>
  <c r="G304" i="6"/>
  <c r="H304" i="6"/>
  <c r="I304" i="6"/>
  <c r="J304" i="6"/>
  <c r="K304" i="6"/>
  <c r="L304" i="6"/>
  <c r="M304" i="6"/>
  <c r="N304" i="6"/>
  <c r="O304" i="6"/>
  <c r="P304" i="6"/>
  <c r="Q304" i="6"/>
  <c r="R304" i="6"/>
  <c r="S304" i="6"/>
  <c r="T304" i="6"/>
  <c r="U304" i="6"/>
  <c r="V304" i="6"/>
  <c r="W304" i="6"/>
  <c r="X304" i="6"/>
  <c r="Y304" i="6"/>
  <c r="Z304" i="6"/>
  <c r="AA304" i="6"/>
  <c r="AB304" i="6"/>
  <c r="AC304" i="6"/>
  <c r="AD304" i="6"/>
  <c r="AE304" i="6"/>
  <c r="AF304" i="6"/>
  <c r="AG304" i="6"/>
  <c r="AH304" i="6"/>
  <c r="AI304" i="6"/>
  <c r="AJ304" i="6"/>
  <c r="AK304" i="6"/>
  <c r="AL304" i="6"/>
  <c r="AM304" i="6"/>
  <c r="AN304" i="6"/>
  <c r="AO304" i="6"/>
  <c r="AP304" i="6"/>
  <c r="AQ304" i="6"/>
  <c r="AR304" i="6"/>
  <c r="AS304" i="6"/>
  <c r="AT304" i="6"/>
  <c r="AU304" i="6"/>
  <c r="AV304" i="6"/>
  <c r="AW304" i="6"/>
  <c r="AX304" i="6"/>
  <c r="AY304" i="6"/>
  <c r="AZ304" i="6"/>
  <c r="BA304" i="6"/>
  <c r="BB304" i="6"/>
  <c r="BC304" i="6"/>
  <c r="BD304" i="6"/>
  <c r="BE304" i="6"/>
  <c r="BF304" i="6"/>
  <c r="BG304" i="6"/>
  <c r="BH304" i="6"/>
  <c r="BI304" i="6"/>
  <c r="BJ304" i="6"/>
  <c r="BK304" i="6"/>
  <c r="BL304" i="6"/>
  <c r="BM304" i="6"/>
  <c r="BN304" i="6"/>
  <c r="BO304" i="6"/>
  <c r="BP304" i="6"/>
  <c r="BQ304" i="6"/>
  <c r="BR304" i="6"/>
  <c r="BS304" i="6"/>
  <c r="BT304" i="6"/>
  <c r="BU304" i="6"/>
  <c r="BV304" i="6"/>
  <c r="BW304" i="6"/>
  <c r="BX304" i="6"/>
  <c r="BY304" i="6"/>
  <c r="BZ304" i="6"/>
  <c r="CA304" i="6"/>
  <c r="CB304" i="6"/>
  <c r="CC304" i="6"/>
  <c r="CD304" i="6"/>
  <c r="CE304" i="6"/>
  <c r="CF304" i="6"/>
  <c r="CG304" i="6"/>
  <c r="CH304" i="6"/>
  <c r="CI304" i="6"/>
  <c r="CJ304" i="6"/>
  <c r="CK304" i="6"/>
  <c r="C308" i="6"/>
  <c r="C298" i="6" s="1"/>
  <c r="D308" i="6"/>
  <c r="D298" i="6" s="1"/>
  <c r="E308" i="6"/>
  <c r="E298" i="6" s="1"/>
  <c r="F308" i="6"/>
  <c r="F298" i="6" s="1"/>
  <c r="G308" i="6"/>
  <c r="G298" i="6" s="1"/>
  <c r="H308" i="6"/>
  <c r="H298" i="6" s="1"/>
  <c r="I308" i="6"/>
  <c r="I298" i="6" s="1"/>
  <c r="J308" i="6"/>
  <c r="J298" i="6" s="1"/>
  <c r="K308" i="6"/>
  <c r="K298" i="6" s="1"/>
  <c r="L308" i="6"/>
  <c r="L298" i="6" s="1"/>
  <c r="M308" i="6"/>
  <c r="M298" i="6" s="1"/>
  <c r="N308" i="6"/>
  <c r="N298" i="6" s="1"/>
  <c r="O308" i="6"/>
  <c r="O298" i="6" s="1"/>
  <c r="P308" i="6"/>
  <c r="P298" i="6" s="1"/>
  <c r="Q308" i="6"/>
  <c r="Q298" i="6" s="1"/>
  <c r="R308" i="6"/>
  <c r="R298" i="6" s="1"/>
  <c r="S308" i="6"/>
  <c r="S298" i="6" s="1"/>
  <c r="T308" i="6"/>
  <c r="T298" i="6" s="1"/>
  <c r="U308" i="6"/>
  <c r="U298" i="6" s="1"/>
  <c r="V308" i="6"/>
  <c r="V298" i="6" s="1"/>
  <c r="W308" i="6"/>
  <c r="W298" i="6" s="1"/>
  <c r="X308" i="6"/>
  <c r="X298" i="6" s="1"/>
  <c r="Y308" i="6"/>
  <c r="Y298" i="6" s="1"/>
  <c r="Z308" i="6"/>
  <c r="Z298" i="6" s="1"/>
  <c r="AA308" i="6"/>
  <c r="AA298" i="6" s="1"/>
  <c r="AB308" i="6"/>
  <c r="AB298" i="6" s="1"/>
  <c r="AC308" i="6"/>
  <c r="AC298" i="6" s="1"/>
  <c r="AD308" i="6"/>
  <c r="AD298" i="6" s="1"/>
  <c r="AE308" i="6"/>
  <c r="AE298" i="6" s="1"/>
  <c r="AF308" i="6"/>
  <c r="AF298" i="6" s="1"/>
  <c r="AG308" i="6"/>
  <c r="AG298" i="6" s="1"/>
  <c r="AH308" i="6"/>
  <c r="AH298" i="6" s="1"/>
  <c r="AI308" i="6"/>
  <c r="AI298" i="6" s="1"/>
  <c r="AJ308" i="6"/>
  <c r="AJ298" i="6" s="1"/>
  <c r="AK308" i="6"/>
  <c r="AK298" i="6" s="1"/>
  <c r="AL308" i="6"/>
  <c r="AL298" i="6" s="1"/>
  <c r="AM308" i="6"/>
  <c r="AM298" i="6" s="1"/>
  <c r="AN308" i="6"/>
  <c r="AN298" i="6" s="1"/>
  <c r="AO308" i="6"/>
  <c r="AO298" i="6" s="1"/>
  <c r="AP308" i="6"/>
  <c r="AP298" i="6" s="1"/>
  <c r="AQ308" i="6"/>
  <c r="AQ298" i="6" s="1"/>
  <c r="AR308" i="6"/>
  <c r="AR298" i="6" s="1"/>
  <c r="AS308" i="6"/>
  <c r="AS298" i="6" s="1"/>
  <c r="AT308" i="6"/>
  <c r="AT298" i="6" s="1"/>
  <c r="AU308" i="6"/>
  <c r="AU298" i="6" s="1"/>
  <c r="AV308" i="6"/>
  <c r="AV298" i="6" s="1"/>
  <c r="AW308" i="6"/>
  <c r="AW298" i="6" s="1"/>
  <c r="AX308" i="6"/>
  <c r="AX298" i="6" s="1"/>
  <c r="AY308" i="6"/>
  <c r="AY298" i="6" s="1"/>
  <c r="AZ308" i="6"/>
  <c r="AZ298" i="6" s="1"/>
  <c r="BA308" i="6"/>
  <c r="BA298" i="6" s="1"/>
  <c r="BB308" i="6"/>
  <c r="BB298" i="6" s="1"/>
  <c r="BC308" i="6"/>
  <c r="BC298" i="6" s="1"/>
  <c r="BD308" i="6"/>
  <c r="BD298" i="6" s="1"/>
  <c r="BE308" i="6"/>
  <c r="BE298" i="6" s="1"/>
  <c r="BF308" i="6"/>
  <c r="BF298" i="6" s="1"/>
  <c r="BG308" i="6"/>
  <c r="BG298" i="6" s="1"/>
  <c r="BH308" i="6"/>
  <c r="BH298" i="6" s="1"/>
  <c r="BI308" i="6"/>
  <c r="BI298" i="6" s="1"/>
  <c r="BJ308" i="6"/>
  <c r="BJ298" i="6" s="1"/>
  <c r="BK308" i="6"/>
  <c r="BK298" i="6" s="1"/>
  <c r="BL308" i="6"/>
  <c r="BL298" i="6" s="1"/>
  <c r="BM308" i="6"/>
  <c r="BM298" i="6" s="1"/>
  <c r="BN308" i="6"/>
  <c r="BN298" i="6" s="1"/>
  <c r="BO308" i="6"/>
  <c r="BO298" i="6" s="1"/>
  <c r="BP308" i="6"/>
  <c r="BP298" i="6" s="1"/>
  <c r="BQ308" i="6"/>
  <c r="BQ298" i="6" s="1"/>
  <c r="BR308" i="6"/>
  <c r="BR298" i="6" s="1"/>
  <c r="BS308" i="6"/>
  <c r="BS298" i="6" s="1"/>
  <c r="BT308" i="6"/>
  <c r="BT298" i="6" s="1"/>
  <c r="BU308" i="6"/>
  <c r="BU298" i="6" s="1"/>
  <c r="BV308" i="6"/>
  <c r="BV298" i="6" s="1"/>
  <c r="BW308" i="6"/>
  <c r="BW298" i="6" s="1"/>
  <c r="BX308" i="6"/>
  <c r="BX298" i="6" s="1"/>
  <c r="BY308" i="6"/>
  <c r="BY298" i="6" s="1"/>
  <c r="BZ308" i="6"/>
  <c r="BZ298" i="6" s="1"/>
  <c r="CA308" i="6"/>
  <c r="CA298" i="6" s="1"/>
  <c r="CB308" i="6"/>
  <c r="CB298" i="6" s="1"/>
  <c r="CC308" i="6"/>
  <c r="CC298" i="6" s="1"/>
  <c r="CD308" i="6"/>
  <c r="CD298" i="6" s="1"/>
  <c r="CE308" i="6"/>
  <c r="CE298" i="6" s="1"/>
  <c r="CF308" i="6"/>
  <c r="CF298" i="6" s="1"/>
  <c r="CG308" i="6"/>
  <c r="CG298" i="6" s="1"/>
  <c r="CH308" i="6"/>
  <c r="CH298" i="6" s="1"/>
  <c r="CI308" i="6"/>
  <c r="CI298" i="6" s="1"/>
  <c r="CJ308" i="6"/>
  <c r="CJ298" i="6" s="1"/>
  <c r="CK308" i="6"/>
  <c r="CK298" i="6" s="1"/>
  <c r="C309" i="6"/>
  <c r="C299" i="6" s="1"/>
  <c r="D309" i="6"/>
  <c r="D299" i="6" s="1"/>
  <c r="E309" i="6"/>
  <c r="E299" i="6" s="1"/>
  <c r="F309" i="6"/>
  <c r="F299" i="6" s="1"/>
  <c r="G309" i="6"/>
  <c r="G299" i="6" s="1"/>
  <c r="H309" i="6"/>
  <c r="H299" i="6" s="1"/>
  <c r="I309" i="6"/>
  <c r="I299" i="6" s="1"/>
  <c r="J309" i="6"/>
  <c r="J299" i="6" s="1"/>
  <c r="K309" i="6"/>
  <c r="K299" i="6" s="1"/>
  <c r="L309" i="6"/>
  <c r="L299" i="6" s="1"/>
  <c r="M309" i="6"/>
  <c r="M299" i="6" s="1"/>
  <c r="N309" i="6"/>
  <c r="N299" i="6" s="1"/>
  <c r="O309" i="6"/>
  <c r="O299" i="6" s="1"/>
  <c r="P309" i="6"/>
  <c r="P299" i="6" s="1"/>
  <c r="Q309" i="6"/>
  <c r="Q299" i="6" s="1"/>
  <c r="R309" i="6"/>
  <c r="R299" i="6" s="1"/>
  <c r="S309" i="6"/>
  <c r="S299" i="6" s="1"/>
  <c r="T309" i="6"/>
  <c r="T299" i="6" s="1"/>
  <c r="U309" i="6"/>
  <c r="U299" i="6" s="1"/>
  <c r="V309" i="6"/>
  <c r="V299" i="6" s="1"/>
  <c r="W309" i="6"/>
  <c r="W299" i="6" s="1"/>
  <c r="X309" i="6"/>
  <c r="X299" i="6" s="1"/>
  <c r="Y309" i="6"/>
  <c r="Y299" i="6" s="1"/>
  <c r="Z309" i="6"/>
  <c r="Z299" i="6" s="1"/>
  <c r="AA309" i="6"/>
  <c r="AA299" i="6" s="1"/>
  <c r="AB309" i="6"/>
  <c r="AB299" i="6" s="1"/>
  <c r="AC309" i="6"/>
  <c r="AC299" i="6" s="1"/>
  <c r="AD309" i="6"/>
  <c r="AD299" i="6" s="1"/>
  <c r="AE309" i="6"/>
  <c r="AE299" i="6" s="1"/>
  <c r="AF309" i="6"/>
  <c r="AF299" i="6" s="1"/>
  <c r="AG309" i="6"/>
  <c r="AG299" i="6" s="1"/>
  <c r="AH309" i="6"/>
  <c r="AH299" i="6" s="1"/>
  <c r="AI309" i="6"/>
  <c r="AI299" i="6" s="1"/>
  <c r="AJ309" i="6"/>
  <c r="AJ299" i="6" s="1"/>
  <c r="AK309" i="6"/>
  <c r="AK299" i="6" s="1"/>
  <c r="AL309" i="6"/>
  <c r="AL299" i="6" s="1"/>
  <c r="AM309" i="6"/>
  <c r="AM299" i="6" s="1"/>
  <c r="AN309" i="6"/>
  <c r="AN299" i="6" s="1"/>
  <c r="AO309" i="6"/>
  <c r="AO299" i="6" s="1"/>
  <c r="AP309" i="6"/>
  <c r="AP299" i="6" s="1"/>
  <c r="AQ309" i="6"/>
  <c r="AQ299" i="6" s="1"/>
  <c r="AR309" i="6"/>
  <c r="AR299" i="6" s="1"/>
  <c r="AS309" i="6"/>
  <c r="AS299" i="6" s="1"/>
  <c r="AT309" i="6"/>
  <c r="AT299" i="6" s="1"/>
  <c r="AU309" i="6"/>
  <c r="AU299" i="6" s="1"/>
  <c r="AV309" i="6"/>
  <c r="AV299" i="6" s="1"/>
  <c r="AW309" i="6"/>
  <c r="AW299" i="6" s="1"/>
  <c r="AX309" i="6"/>
  <c r="AX299" i="6" s="1"/>
  <c r="AY309" i="6"/>
  <c r="AY299" i="6" s="1"/>
  <c r="AZ309" i="6"/>
  <c r="AZ299" i="6" s="1"/>
  <c r="BA309" i="6"/>
  <c r="BA299" i="6" s="1"/>
  <c r="BB309" i="6"/>
  <c r="BB299" i="6" s="1"/>
  <c r="BC309" i="6"/>
  <c r="BC299" i="6" s="1"/>
  <c r="BD309" i="6"/>
  <c r="BD299" i="6" s="1"/>
  <c r="BE309" i="6"/>
  <c r="BE299" i="6" s="1"/>
  <c r="BF309" i="6"/>
  <c r="BF299" i="6" s="1"/>
  <c r="BG309" i="6"/>
  <c r="BG299" i="6" s="1"/>
  <c r="BH309" i="6"/>
  <c r="BH299" i="6" s="1"/>
  <c r="BI309" i="6"/>
  <c r="BI299" i="6" s="1"/>
  <c r="BJ309" i="6"/>
  <c r="BJ299" i="6" s="1"/>
  <c r="BK309" i="6"/>
  <c r="BK299" i="6" s="1"/>
  <c r="BL309" i="6"/>
  <c r="BL299" i="6" s="1"/>
  <c r="BM309" i="6"/>
  <c r="BM299" i="6" s="1"/>
  <c r="BN309" i="6"/>
  <c r="BN299" i="6" s="1"/>
  <c r="BO309" i="6"/>
  <c r="BO299" i="6" s="1"/>
  <c r="BP309" i="6"/>
  <c r="BP299" i="6" s="1"/>
  <c r="BQ309" i="6"/>
  <c r="BQ299" i="6" s="1"/>
  <c r="BR309" i="6"/>
  <c r="BR299" i="6" s="1"/>
  <c r="BS309" i="6"/>
  <c r="BS299" i="6" s="1"/>
  <c r="BT309" i="6"/>
  <c r="BT299" i="6" s="1"/>
  <c r="BU309" i="6"/>
  <c r="BU299" i="6" s="1"/>
  <c r="BV309" i="6"/>
  <c r="BV299" i="6" s="1"/>
  <c r="BW309" i="6"/>
  <c r="BW299" i="6" s="1"/>
  <c r="BX309" i="6"/>
  <c r="BX299" i="6" s="1"/>
  <c r="BY309" i="6"/>
  <c r="BY299" i="6" s="1"/>
  <c r="BZ309" i="6"/>
  <c r="BZ299" i="6" s="1"/>
  <c r="CA309" i="6"/>
  <c r="CA299" i="6" s="1"/>
  <c r="CB309" i="6"/>
  <c r="CB299" i="6" s="1"/>
  <c r="CC309" i="6"/>
  <c r="CC299" i="6" s="1"/>
  <c r="CD309" i="6"/>
  <c r="CD299" i="6" s="1"/>
  <c r="CE309" i="6"/>
  <c r="CE299" i="6" s="1"/>
  <c r="CF309" i="6"/>
  <c r="CF299" i="6" s="1"/>
  <c r="CG309" i="6"/>
  <c r="CG299" i="6" s="1"/>
  <c r="CH309" i="6"/>
  <c r="CH299" i="6" s="1"/>
  <c r="CI309" i="6"/>
  <c r="CI299" i="6" s="1"/>
  <c r="CJ309" i="6"/>
  <c r="CJ299" i="6" s="1"/>
  <c r="CK309" i="6"/>
  <c r="CK299" i="6" s="1"/>
  <c r="C310" i="6"/>
  <c r="C300" i="6" s="1"/>
  <c r="D310" i="6"/>
  <c r="D300" i="6" s="1"/>
  <c r="E310" i="6"/>
  <c r="E300" i="6" s="1"/>
  <c r="F310" i="6"/>
  <c r="F300" i="6" s="1"/>
  <c r="G310" i="6"/>
  <c r="G300" i="6" s="1"/>
  <c r="H310" i="6"/>
  <c r="H300" i="6" s="1"/>
  <c r="I310" i="6"/>
  <c r="I300" i="6" s="1"/>
  <c r="J310" i="6"/>
  <c r="J300" i="6" s="1"/>
  <c r="K310" i="6"/>
  <c r="K300" i="6" s="1"/>
  <c r="L310" i="6"/>
  <c r="L300" i="6" s="1"/>
  <c r="M310" i="6"/>
  <c r="M300" i="6" s="1"/>
  <c r="N310" i="6"/>
  <c r="N300" i="6" s="1"/>
  <c r="O310" i="6"/>
  <c r="O300" i="6" s="1"/>
  <c r="P310" i="6"/>
  <c r="P300" i="6" s="1"/>
  <c r="Q310" i="6"/>
  <c r="Q300" i="6" s="1"/>
  <c r="R310" i="6"/>
  <c r="R300" i="6" s="1"/>
  <c r="S310" i="6"/>
  <c r="S300" i="6" s="1"/>
  <c r="T310" i="6"/>
  <c r="T300" i="6" s="1"/>
  <c r="U310" i="6"/>
  <c r="U300" i="6" s="1"/>
  <c r="V310" i="6"/>
  <c r="V300" i="6" s="1"/>
  <c r="W310" i="6"/>
  <c r="W300" i="6" s="1"/>
  <c r="X310" i="6"/>
  <c r="X300" i="6" s="1"/>
  <c r="Y310" i="6"/>
  <c r="Y300" i="6" s="1"/>
  <c r="Z310" i="6"/>
  <c r="Z300" i="6" s="1"/>
  <c r="AA310" i="6"/>
  <c r="AA300" i="6" s="1"/>
  <c r="AB310" i="6"/>
  <c r="AB300" i="6" s="1"/>
  <c r="AC310" i="6"/>
  <c r="AC300" i="6" s="1"/>
  <c r="AD310" i="6"/>
  <c r="AD300" i="6" s="1"/>
  <c r="AE310" i="6"/>
  <c r="AE300" i="6" s="1"/>
  <c r="AF310" i="6"/>
  <c r="AF300" i="6" s="1"/>
  <c r="AG310" i="6"/>
  <c r="AG300" i="6" s="1"/>
  <c r="AH310" i="6"/>
  <c r="AH300" i="6" s="1"/>
  <c r="AI310" i="6"/>
  <c r="AI300" i="6" s="1"/>
  <c r="AJ310" i="6"/>
  <c r="AJ300" i="6" s="1"/>
  <c r="AK310" i="6"/>
  <c r="AK300" i="6" s="1"/>
  <c r="AL310" i="6"/>
  <c r="AL300" i="6" s="1"/>
  <c r="AM310" i="6"/>
  <c r="AM300" i="6" s="1"/>
  <c r="AN310" i="6"/>
  <c r="AN300" i="6" s="1"/>
  <c r="AO310" i="6"/>
  <c r="AO300" i="6" s="1"/>
  <c r="AP310" i="6"/>
  <c r="AP300" i="6" s="1"/>
  <c r="AQ310" i="6"/>
  <c r="AQ300" i="6" s="1"/>
  <c r="AR310" i="6"/>
  <c r="AR300" i="6" s="1"/>
  <c r="AS310" i="6"/>
  <c r="AS300" i="6" s="1"/>
  <c r="AT310" i="6"/>
  <c r="AT300" i="6" s="1"/>
  <c r="AU310" i="6"/>
  <c r="AU300" i="6" s="1"/>
  <c r="AV310" i="6"/>
  <c r="AV300" i="6" s="1"/>
  <c r="AW310" i="6"/>
  <c r="AW300" i="6" s="1"/>
  <c r="AX310" i="6"/>
  <c r="AX300" i="6" s="1"/>
  <c r="AY310" i="6"/>
  <c r="AY300" i="6" s="1"/>
  <c r="AZ310" i="6"/>
  <c r="AZ300" i="6" s="1"/>
  <c r="BA310" i="6"/>
  <c r="BA300" i="6" s="1"/>
  <c r="BB310" i="6"/>
  <c r="BB300" i="6" s="1"/>
  <c r="BC310" i="6"/>
  <c r="BC300" i="6" s="1"/>
  <c r="BD310" i="6"/>
  <c r="BD300" i="6" s="1"/>
  <c r="BE310" i="6"/>
  <c r="BE300" i="6" s="1"/>
  <c r="BF310" i="6"/>
  <c r="BF300" i="6" s="1"/>
  <c r="BG310" i="6"/>
  <c r="BG300" i="6" s="1"/>
  <c r="BH310" i="6"/>
  <c r="BH300" i="6" s="1"/>
  <c r="BI310" i="6"/>
  <c r="BI300" i="6" s="1"/>
  <c r="BJ310" i="6"/>
  <c r="BJ300" i="6" s="1"/>
  <c r="BK310" i="6"/>
  <c r="BK300" i="6" s="1"/>
  <c r="BL310" i="6"/>
  <c r="BL300" i="6" s="1"/>
  <c r="BM310" i="6"/>
  <c r="BM300" i="6" s="1"/>
  <c r="BN310" i="6"/>
  <c r="BN300" i="6" s="1"/>
  <c r="BO310" i="6"/>
  <c r="BO300" i="6" s="1"/>
  <c r="BP310" i="6"/>
  <c r="BP300" i="6" s="1"/>
  <c r="BQ310" i="6"/>
  <c r="BQ300" i="6" s="1"/>
  <c r="BR310" i="6"/>
  <c r="BR300" i="6" s="1"/>
  <c r="BS310" i="6"/>
  <c r="BS300" i="6" s="1"/>
  <c r="BT310" i="6"/>
  <c r="BT300" i="6" s="1"/>
  <c r="BU310" i="6"/>
  <c r="BU300" i="6" s="1"/>
  <c r="BV310" i="6"/>
  <c r="BV300" i="6" s="1"/>
  <c r="BW310" i="6"/>
  <c r="BW300" i="6" s="1"/>
  <c r="BX310" i="6"/>
  <c r="BX300" i="6" s="1"/>
  <c r="BY310" i="6"/>
  <c r="BY300" i="6" s="1"/>
  <c r="BZ310" i="6"/>
  <c r="BZ300" i="6" s="1"/>
  <c r="CA310" i="6"/>
  <c r="CA300" i="6" s="1"/>
  <c r="CB310" i="6"/>
  <c r="CB300" i="6" s="1"/>
  <c r="CC310" i="6"/>
  <c r="CC300" i="6" s="1"/>
  <c r="CD310" i="6"/>
  <c r="CD300" i="6" s="1"/>
  <c r="CE310" i="6"/>
  <c r="CE300" i="6" s="1"/>
  <c r="CF310" i="6"/>
  <c r="CF300" i="6" s="1"/>
  <c r="CG310" i="6"/>
  <c r="CG300" i="6" s="1"/>
  <c r="CH310" i="6"/>
  <c r="CH300" i="6" s="1"/>
  <c r="CI310" i="6"/>
  <c r="CI300" i="6" s="1"/>
  <c r="CJ310" i="6"/>
  <c r="CJ300" i="6" s="1"/>
  <c r="CK310" i="6"/>
  <c r="CK300" i="6" s="1"/>
  <c r="B304" i="6"/>
  <c r="B303" i="6"/>
  <c r="B302" i="6"/>
  <c r="B301" i="6"/>
  <c r="B300" i="6"/>
  <c r="B299" i="6"/>
  <c r="B298" i="6"/>
  <c r="B297" i="6"/>
  <c r="B296" i="6"/>
  <c r="B295" i="6"/>
  <c r="B294" i="6"/>
  <c r="B293" i="6"/>
  <c r="B292" i="6"/>
  <c r="B291" i="6"/>
  <c r="B290" i="6"/>
  <c r="B289" i="6"/>
  <c r="B288" i="6"/>
  <c r="B287" i="6"/>
  <c r="B286" i="6"/>
  <c r="B285" i="6"/>
  <c r="B284" i="6"/>
  <c r="B283" i="6"/>
  <c r="B282" i="6"/>
  <c r="B281" i="6"/>
  <c r="B279" i="6"/>
  <c r="B278" i="6"/>
  <c r="B277" i="6"/>
  <c r="B276" i="6"/>
  <c r="B275" i="6"/>
  <c r="B274" i="6"/>
  <c r="B273" i="6"/>
  <c r="B272" i="6"/>
  <c r="B271" i="6"/>
  <c r="B270" i="6"/>
  <c r="B310" i="6"/>
  <c r="B309" i="6"/>
  <c r="B308" i="6"/>
  <c r="CK278" i="6" l="1"/>
  <c r="CK233" i="4"/>
  <c r="CI278" i="6"/>
  <c r="CI233" i="4"/>
  <c r="CJ278" i="6"/>
  <c r="CJ233" i="4"/>
  <c r="CH233" i="4"/>
  <c r="CG278" i="6"/>
  <c r="CG233" i="4"/>
  <c r="CD278" i="6"/>
  <c r="CC278" i="6"/>
  <c r="CC233" i="4"/>
  <c r="CB278" i="6"/>
  <c r="CB233" i="4"/>
  <c r="CA278" i="6"/>
  <c r="CA233" i="4"/>
  <c r="BZ278" i="6"/>
  <c r="BZ233" i="4"/>
  <c r="BY278" i="6"/>
  <c r="BY233" i="4"/>
  <c r="BX278" i="6"/>
  <c r="BW278" i="6"/>
  <c r="BV278" i="6"/>
  <c r="BU278" i="6"/>
  <c r="BU233" i="4"/>
  <c r="BT278" i="6"/>
  <c r="BT233" i="4"/>
  <c r="BS278" i="6"/>
  <c r="BS233" i="4"/>
  <c r="BR278" i="6"/>
  <c r="BQ278" i="6"/>
  <c r="BQ233" i="4"/>
  <c r="BP278" i="6"/>
  <c r="BO278" i="6"/>
  <c r="BM278" i="6"/>
  <c r="BM233" i="4"/>
  <c r="BL278" i="6"/>
  <c r="BL233" i="4"/>
  <c r="BK278" i="6"/>
  <c r="BK233" i="4"/>
  <c r="BJ278" i="6"/>
  <c r="BI233" i="4"/>
  <c r="BH278" i="6"/>
  <c r="BG278" i="6"/>
  <c r="BF278" i="6"/>
  <c r="BE233" i="4"/>
  <c r="BD278" i="6"/>
  <c r="BD233" i="4"/>
  <c r="BC233" i="4"/>
  <c r="BB278" i="6"/>
  <c r="BA278" i="6"/>
  <c r="BA233" i="4"/>
  <c r="AZ278" i="6"/>
  <c r="AY278" i="6"/>
  <c r="AX278" i="6"/>
  <c r="AV233" i="4"/>
  <c r="AU278" i="6"/>
  <c r="AU233" i="4"/>
  <c r="AP278" i="6"/>
  <c r="AO278" i="6"/>
  <c r="AO233" i="4"/>
  <c r="AN278" i="6"/>
  <c r="AN233" i="4"/>
  <c r="AM278" i="6"/>
  <c r="AM233" i="4"/>
  <c r="AL233" i="4"/>
  <c r="AK278" i="6"/>
  <c r="AK233" i="4"/>
  <c r="AJ278" i="6"/>
  <c r="AI278" i="6"/>
  <c r="AH278" i="6"/>
  <c r="AG278" i="6"/>
  <c r="AG233" i="4"/>
  <c r="AF278" i="6"/>
  <c r="AF233" i="4"/>
  <c r="AE278" i="6"/>
  <c r="AE233" i="4"/>
  <c r="AD278" i="6"/>
  <c r="AD233" i="4"/>
  <c r="AC278" i="6"/>
  <c r="AC233" i="4"/>
  <c r="AB278" i="6"/>
  <c r="Y278" i="6"/>
  <c r="Y233" i="4"/>
  <c r="X278" i="6"/>
  <c r="X233" i="4"/>
  <c r="W278" i="6"/>
  <c r="W233" i="4"/>
  <c r="AT233" i="4"/>
  <c r="U278" i="6"/>
  <c r="U233" i="4"/>
  <c r="S278" i="6"/>
  <c r="Q233" i="4"/>
  <c r="P278" i="6"/>
  <c r="P233" i="4"/>
  <c r="AS278" i="6"/>
  <c r="AS233" i="4"/>
  <c r="O278" i="6"/>
  <c r="O233" i="4"/>
  <c r="N278" i="6"/>
  <c r="N233" i="4"/>
  <c r="M233" i="4"/>
  <c r="K278" i="6"/>
  <c r="J278" i="6"/>
  <c r="I233" i="4"/>
  <c r="H278" i="6"/>
  <c r="G233" i="4"/>
  <c r="G278" i="6"/>
  <c r="F278" i="6"/>
  <c r="F233" i="4"/>
  <c r="CF233" i="4"/>
  <c r="BX233" i="4"/>
  <c r="BP233" i="4"/>
  <c r="BH233" i="4"/>
  <c r="AZ233" i="4"/>
  <c r="AR233" i="4"/>
  <c r="AJ233" i="4"/>
  <c r="AB233" i="4"/>
  <c r="T233" i="4"/>
  <c r="L233" i="4"/>
  <c r="CE233" i="4"/>
  <c r="BW233" i="4"/>
  <c r="BO233" i="4"/>
  <c r="BG233" i="4"/>
  <c r="AY233" i="4"/>
  <c r="AQ233" i="4"/>
  <c r="AI233" i="4"/>
  <c r="AA233" i="4"/>
  <c r="S233" i="4"/>
  <c r="K233" i="4"/>
  <c r="CD233" i="4"/>
  <c r="BV233" i="4"/>
  <c r="BN233" i="4"/>
  <c r="BF233" i="4"/>
  <c r="AX233" i="4"/>
  <c r="AP233" i="4"/>
  <c r="AH233" i="4"/>
  <c r="Z233" i="4"/>
  <c r="R233" i="4"/>
  <c r="J233" i="4"/>
  <c r="E278" i="6"/>
  <c r="E233" i="4"/>
  <c r="D278" i="6"/>
  <c r="D233" i="4"/>
  <c r="C278" i="6"/>
  <c r="C233" i="4"/>
  <c r="CK227" i="4" l="1"/>
  <c r="CK226" i="4"/>
  <c r="CJ227" i="4"/>
  <c r="CG227" i="4"/>
  <c r="CF226" i="4"/>
  <c r="BZ227" i="4"/>
  <c r="BY227" i="4"/>
  <c r="BY226" i="4"/>
  <c r="BX227" i="4"/>
  <c r="BU227" i="4"/>
  <c r="BT226" i="4"/>
  <c r="BR227" i="4"/>
  <c r="BQ227" i="4"/>
  <c r="BI227" i="4"/>
  <c r="BI226" i="4"/>
  <c r="BG226" i="4"/>
  <c r="BD227" i="4"/>
  <c r="AW227" i="4"/>
  <c r="AV226" i="4"/>
  <c r="AP227" i="4"/>
  <c r="AO226" i="4"/>
  <c r="AN227" i="4"/>
  <c r="AN226" i="4"/>
  <c r="AM226" i="4"/>
  <c r="AL227" i="4"/>
  <c r="AL226" i="4"/>
  <c r="AJ227" i="4"/>
  <c r="AI226" i="4"/>
  <c r="AH227" i="4"/>
  <c r="AG226" i="4"/>
  <c r="AF227" i="4"/>
  <c r="AF226" i="4"/>
  <c r="AD227" i="4"/>
  <c r="AD226" i="4"/>
  <c r="AC227" i="4"/>
  <c r="AC226" i="4"/>
  <c r="AA227" i="4"/>
  <c r="AA226" i="4"/>
  <c r="Z227" i="4"/>
  <c r="Z226" i="4"/>
  <c r="Y227" i="4"/>
  <c r="AT226" i="4"/>
  <c r="U227" i="4"/>
  <c r="U226" i="4"/>
  <c r="T227" i="4"/>
  <c r="T226" i="4"/>
  <c r="R226" i="4"/>
  <c r="Q227" i="4"/>
  <c r="P226" i="4"/>
  <c r="AS226" i="4"/>
  <c r="CK221" i="4"/>
  <c r="CJ221" i="4"/>
  <c r="CI221" i="4"/>
  <c r="CH221" i="4"/>
  <c r="CG221" i="4"/>
  <c r="CF221" i="4"/>
  <c r="CE221" i="4"/>
  <c r="CD221" i="4"/>
  <c r="CC221" i="4"/>
  <c r="CB221" i="4"/>
  <c r="CA221" i="4"/>
  <c r="BZ221" i="4"/>
  <c r="BY221" i="4"/>
  <c r="BX221" i="4"/>
  <c r="BW221" i="4"/>
  <c r="BV221" i="4"/>
  <c r="BU221" i="4"/>
  <c r="BT221" i="4"/>
  <c r="BS221" i="4"/>
  <c r="BR221" i="4"/>
  <c r="BQ221" i="4"/>
  <c r="BP221" i="4"/>
  <c r="BO221" i="4"/>
  <c r="BN221" i="4"/>
  <c r="BM221" i="4"/>
  <c r="BL221" i="4"/>
  <c r="BK221" i="4"/>
  <c r="BJ221" i="4"/>
  <c r="BI221" i="4"/>
  <c r="BH221" i="4"/>
  <c r="BG221" i="4"/>
  <c r="BF221" i="4"/>
  <c r="BE221" i="4"/>
  <c r="BD221" i="4"/>
  <c r="BC221" i="4"/>
  <c r="BB221" i="4"/>
  <c r="BA221" i="4"/>
  <c r="AZ221" i="4"/>
  <c r="AY221" i="4"/>
  <c r="AX221" i="4"/>
  <c r="AW221" i="4"/>
  <c r="AV221" i="4"/>
  <c r="AU221" i="4"/>
  <c r="AT221" i="4"/>
  <c r="AS221" i="4"/>
  <c r="CK220" i="4"/>
  <c r="CJ220" i="4"/>
  <c r="CI220" i="4"/>
  <c r="CH220" i="4"/>
  <c r="CG220" i="4"/>
  <c r="CF220" i="4"/>
  <c r="CE220" i="4"/>
  <c r="CD220" i="4"/>
  <c r="CC220" i="4"/>
  <c r="CB220" i="4"/>
  <c r="CA220" i="4"/>
  <c r="BZ220" i="4"/>
  <c r="BY220" i="4"/>
  <c r="BX220" i="4"/>
  <c r="BW220" i="4"/>
  <c r="BV220" i="4"/>
  <c r="BU220" i="4"/>
  <c r="BT220" i="4"/>
  <c r="BS220" i="4"/>
  <c r="BR220" i="4"/>
  <c r="BQ220" i="4"/>
  <c r="BP220" i="4"/>
  <c r="BO220" i="4"/>
  <c r="BN220" i="4"/>
  <c r="BM220" i="4"/>
  <c r="BL220" i="4"/>
  <c r="BK220" i="4"/>
  <c r="BJ220" i="4"/>
  <c r="BI220" i="4"/>
  <c r="BH220" i="4"/>
  <c r="BG220" i="4"/>
  <c r="BF220" i="4"/>
  <c r="BE220" i="4"/>
  <c r="BD220" i="4"/>
  <c r="BC220" i="4"/>
  <c r="BB220" i="4"/>
  <c r="BA220" i="4"/>
  <c r="AZ220" i="4"/>
  <c r="AY220" i="4"/>
  <c r="AX220" i="4"/>
  <c r="AW220" i="4"/>
  <c r="AV220" i="4"/>
  <c r="AU220" i="4"/>
  <c r="AT220" i="4"/>
  <c r="AS220" i="4"/>
  <c r="CK219" i="4"/>
  <c r="CJ219" i="4"/>
  <c r="CI219" i="4"/>
  <c r="CH219" i="4"/>
  <c r="CG219" i="4"/>
  <c r="CF219" i="4"/>
  <c r="CE219" i="4"/>
  <c r="CD219" i="4"/>
  <c r="CC219" i="4"/>
  <c r="CB219" i="4"/>
  <c r="CA219" i="4"/>
  <c r="BZ219" i="4"/>
  <c r="BY219" i="4"/>
  <c r="BX219" i="4"/>
  <c r="BW219" i="4"/>
  <c r="BV219" i="4"/>
  <c r="BU219" i="4"/>
  <c r="BT219" i="4"/>
  <c r="BS219" i="4"/>
  <c r="BR219" i="4"/>
  <c r="BQ219" i="4"/>
  <c r="BP219" i="4"/>
  <c r="BO219" i="4"/>
  <c r="BN219" i="4"/>
  <c r="BM219" i="4"/>
  <c r="BL219" i="4"/>
  <c r="BK219" i="4"/>
  <c r="BJ219" i="4"/>
  <c r="BI219" i="4"/>
  <c r="BH219" i="4"/>
  <c r="BG219" i="4"/>
  <c r="BF219" i="4"/>
  <c r="BE219" i="4"/>
  <c r="BD219" i="4"/>
  <c r="BC219" i="4"/>
  <c r="BB219" i="4"/>
  <c r="BA219" i="4"/>
  <c r="AZ219" i="4"/>
  <c r="AY219" i="4"/>
  <c r="AX219" i="4"/>
  <c r="AW219" i="4"/>
  <c r="AV219" i="4"/>
  <c r="AU219" i="4"/>
  <c r="AT219" i="4"/>
  <c r="AS219" i="4"/>
  <c r="CK218" i="4"/>
  <c r="CJ218" i="4"/>
  <c r="CI218" i="4"/>
  <c r="CH218" i="4"/>
  <c r="CG218" i="4"/>
  <c r="CF218" i="4"/>
  <c r="CE218" i="4"/>
  <c r="CD218" i="4"/>
  <c r="CC218" i="4"/>
  <c r="CB218" i="4"/>
  <c r="CA218" i="4"/>
  <c r="BZ218" i="4"/>
  <c r="BY218" i="4"/>
  <c r="BX218" i="4"/>
  <c r="BW218" i="4"/>
  <c r="BV218" i="4"/>
  <c r="BU218" i="4"/>
  <c r="BT218" i="4"/>
  <c r="BS218" i="4"/>
  <c r="BR218" i="4"/>
  <c r="BQ218" i="4"/>
  <c r="BP218" i="4"/>
  <c r="BO218" i="4"/>
  <c r="BN218" i="4"/>
  <c r="BM218" i="4"/>
  <c r="BL218" i="4"/>
  <c r="BK218" i="4"/>
  <c r="BJ218" i="4"/>
  <c r="BI218" i="4"/>
  <c r="BH218" i="4"/>
  <c r="BG218" i="4"/>
  <c r="BF218" i="4"/>
  <c r="BE218" i="4"/>
  <c r="BD218" i="4"/>
  <c r="BC218" i="4"/>
  <c r="BB218" i="4"/>
  <c r="BA218" i="4"/>
  <c r="AZ218" i="4"/>
  <c r="AY218" i="4"/>
  <c r="AX218" i="4"/>
  <c r="AW218" i="4"/>
  <c r="AV218" i="4"/>
  <c r="AU218" i="4"/>
  <c r="AT218" i="4"/>
  <c r="AS218" i="4"/>
  <c r="CK217" i="4"/>
  <c r="CJ217" i="4"/>
  <c r="CI217" i="4"/>
  <c r="CH217" i="4"/>
  <c r="CG217" i="4"/>
  <c r="CF217" i="4"/>
  <c r="CE217" i="4"/>
  <c r="CD217" i="4"/>
  <c r="CC217" i="4"/>
  <c r="CB217" i="4"/>
  <c r="CA217" i="4"/>
  <c r="BZ217" i="4"/>
  <c r="BY217" i="4"/>
  <c r="BX217" i="4"/>
  <c r="BW217" i="4"/>
  <c r="BV217" i="4"/>
  <c r="BU217" i="4"/>
  <c r="BT217" i="4"/>
  <c r="BS217" i="4"/>
  <c r="BR217" i="4"/>
  <c r="BQ217" i="4"/>
  <c r="BP217" i="4"/>
  <c r="BO217" i="4"/>
  <c r="BN217" i="4"/>
  <c r="BM217" i="4"/>
  <c r="BL217" i="4"/>
  <c r="BK217" i="4"/>
  <c r="BJ217" i="4"/>
  <c r="BI217" i="4"/>
  <c r="BH217" i="4"/>
  <c r="BG217" i="4"/>
  <c r="BF217" i="4"/>
  <c r="BE217" i="4"/>
  <c r="BD217" i="4"/>
  <c r="BC217" i="4"/>
  <c r="BB217" i="4"/>
  <c r="BA217" i="4"/>
  <c r="AZ217" i="4"/>
  <c r="AY217" i="4"/>
  <c r="AX217" i="4"/>
  <c r="AW217" i="4"/>
  <c r="AV217" i="4"/>
  <c r="AU217" i="4"/>
  <c r="AT217" i="4"/>
  <c r="AS217" i="4"/>
  <c r="CK216" i="4"/>
  <c r="CJ216" i="4"/>
  <c r="CI216" i="4"/>
  <c r="CH216" i="4"/>
  <c r="CG216" i="4"/>
  <c r="CF216" i="4"/>
  <c r="CE216" i="4"/>
  <c r="CD216" i="4"/>
  <c r="CC216" i="4"/>
  <c r="CB216" i="4"/>
  <c r="CA216" i="4"/>
  <c r="BZ216" i="4"/>
  <c r="BY216" i="4"/>
  <c r="BX216" i="4"/>
  <c r="BW216" i="4"/>
  <c r="BV216" i="4"/>
  <c r="BU216" i="4"/>
  <c r="BT216" i="4"/>
  <c r="BS216" i="4"/>
  <c r="BR216" i="4"/>
  <c r="BQ216" i="4"/>
  <c r="BP216" i="4"/>
  <c r="BO216" i="4"/>
  <c r="BN216" i="4"/>
  <c r="BM216" i="4"/>
  <c r="BL216" i="4"/>
  <c r="BK216" i="4"/>
  <c r="BJ216" i="4"/>
  <c r="BI216" i="4"/>
  <c r="BH216" i="4"/>
  <c r="BG216" i="4"/>
  <c r="BF216" i="4"/>
  <c r="BE216" i="4"/>
  <c r="BD216" i="4"/>
  <c r="BC216" i="4"/>
  <c r="BB216" i="4"/>
  <c r="BA216" i="4"/>
  <c r="AZ216" i="4"/>
  <c r="AY216" i="4"/>
  <c r="AX216" i="4"/>
  <c r="AW216" i="4"/>
  <c r="AV216" i="4"/>
  <c r="AU216" i="4"/>
  <c r="AT216" i="4"/>
  <c r="AS216" i="4"/>
  <c r="CK213" i="4"/>
  <c r="CJ213" i="4"/>
  <c r="CI213" i="4"/>
  <c r="CH213" i="4"/>
  <c r="CG213" i="4"/>
  <c r="CF213" i="4"/>
  <c r="CE213" i="4"/>
  <c r="CD213" i="4"/>
  <c r="CC213" i="4"/>
  <c r="CB213" i="4"/>
  <c r="CA213" i="4"/>
  <c r="BZ213" i="4"/>
  <c r="BY213" i="4"/>
  <c r="BX213" i="4"/>
  <c r="BW213" i="4"/>
  <c r="BV213" i="4"/>
  <c r="BU213" i="4"/>
  <c r="BT213" i="4"/>
  <c r="BS213" i="4"/>
  <c r="BR213" i="4"/>
  <c r="BQ213" i="4"/>
  <c r="BP213" i="4"/>
  <c r="BO213" i="4"/>
  <c r="BN213" i="4"/>
  <c r="BM213" i="4"/>
  <c r="BL213" i="4"/>
  <c r="BK213" i="4"/>
  <c r="BJ213" i="4"/>
  <c r="BI213" i="4"/>
  <c r="BH213" i="4"/>
  <c r="BG213" i="4"/>
  <c r="BF213" i="4"/>
  <c r="BE213" i="4"/>
  <c r="BD213" i="4"/>
  <c r="BC213" i="4"/>
  <c r="BB213" i="4"/>
  <c r="BA213" i="4"/>
  <c r="AZ213" i="4"/>
  <c r="AY213" i="4"/>
  <c r="AX213" i="4"/>
  <c r="AW213" i="4"/>
  <c r="AV213" i="4"/>
  <c r="AU213" i="4"/>
  <c r="AT213" i="4"/>
  <c r="AS213" i="4"/>
  <c r="CK212" i="4"/>
  <c r="CJ212" i="4"/>
  <c r="CI212" i="4"/>
  <c r="CH212" i="4"/>
  <c r="CG212" i="4"/>
  <c r="CF212" i="4"/>
  <c r="CE212" i="4"/>
  <c r="CD212" i="4"/>
  <c r="CC212" i="4"/>
  <c r="CB212" i="4"/>
  <c r="CA212" i="4"/>
  <c r="BZ212" i="4"/>
  <c r="BY212" i="4"/>
  <c r="BX212" i="4"/>
  <c r="BW212" i="4"/>
  <c r="BV212" i="4"/>
  <c r="BU212" i="4"/>
  <c r="BT212" i="4"/>
  <c r="BS212" i="4"/>
  <c r="BR212" i="4"/>
  <c r="BQ212" i="4"/>
  <c r="BP212" i="4"/>
  <c r="BO212" i="4"/>
  <c r="BN212" i="4"/>
  <c r="BM212" i="4"/>
  <c r="BL212" i="4"/>
  <c r="BK212" i="4"/>
  <c r="BJ212" i="4"/>
  <c r="BI212" i="4"/>
  <c r="BH212" i="4"/>
  <c r="BG212" i="4"/>
  <c r="BF212" i="4"/>
  <c r="BE212" i="4"/>
  <c r="BD212" i="4"/>
  <c r="BC212" i="4"/>
  <c r="BB212" i="4"/>
  <c r="BA212" i="4"/>
  <c r="AZ212" i="4"/>
  <c r="AY212" i="4"/>
  <c r="AX212" i="4"/>
  <c r="AW212" i="4"/>
  <c r="AV212" i="4"/>
  <c r="AU212" i="4"/>
  <c r="AT212" i="4"/>
  <c r="AS212" i="4"/>
  <c r="CK211" i="4"/>
  <c r="CJ211" i="4"/>
  <c r="CI211" i="4"/>
  <c r="CH211" i="4"/>
  <c r="CG211" i="4"/>
  <c r="CF211" i="4"/>
  <c r="CE211" i="4"/>
  <c r="CD211" i="4"/>
  <c r="CC211" i="4"/>
  <c r="CB211" i="4"/>
  <c r="CA211" i="4"/>
  <c r="BZ211" i="4"/>
  <c r="BY211" i="4"/>
  <c r="BX211" i="4"/>
  <c r="BW211" i="4"/>
  <c r="BV211" i="4"/>
  <c r="BU211" i="4"/>
  <c r="BT211" i="4"/>
  <c r="BS211" i="4"/>
  <c r="BR211" i="4"/>
  <c r="BQ211" i="4"/>
  <c r="BP211" i="4"/>
  <c r="BO211" i="4"/>
  <c r="BN211" i="4"/>
  <c r="BM211" i="4"/>
  <c r="BL211" i="4"/>
  <c r="BK211" i="4"/>
  <c r="BJ211" i="4"/>
  <c r="BI211" i="4"/>
  <c r="BH211" i="4"/>
  <c r="BG211" i="4"/>
  <c r="BF211" i="4"/>
  <c r="BE211" i="4"/>
  <c r="BD211" i="4"/>
  <c r="BC211" i="4"/>
  <c r="BB211" i="4"/>
  <c r="BA211" i="4"/>
  <c r="AZ211" i="4"/>
  <c r="AY211" i="4"/>
  <c r="AX211" i="4"/>
  <c r="AW211" i="4"/>
  <c r="AV211" i="4"/>
  <c r="AU211" i="4"/>
  <c r="AT211" i="4"/>
  <c r="AS211" i="4"/>
  <c r="CK210" i="4"/>
  <c r="CK207" i="4" s="1"/>
  <c r="CJ210" i="4"/>
  <c r="CJ207" i="4" s="1"/>
  <c r="CI210" i="4"/>
  <c r="CH210" i="4"/>
  <c r="CH207" i="4" s="1"/>
  <c r="CG210" i="4"/>
  <c r="CG207" i="4" s="1"/>
  <c r="CF210" i="4"/>
  <c r="CF207" i="4" s="1"/>
  <c r="CE210" i="4"/>
  <c r="CE207" i="4" s="1"/>
  <c r="CD210" i="4"/>
  <c r="CC210" i="4"/>
  <c r="CC207" i="4" s="1"/>
  <c r="CB210" i="4"/>
  <c r="CA210" i="4"/>
  <c r="BZ210" i="4"/>
  <c r="BZ207" i="4" s="1"/>
  <c r="BY210" i="4"/>
  <c r="BY207" i="4" s="1"/>
  <c r="BX210" i="4"/>
  <c r="BX207" i="4" s="1"/>
  <c r="BW210" i="4"/>
  <c r="BV210" i="4"/>
  <c r="BV207" i="4" s="1"/>
  <c r="BU210" i="4"/>
  <c r="BU207" i="4" s="1"/>
  <c r="BT210" i="4"/>
  <c r="BT207" i="4" s="1"/>
  <c r="BS210" i="4"/>
  <c r="BS207" i="4" s="1"/>
  <c r="BR210" i="4"/>
  <c r="BR207" i="4" s="1"/>
  <c r="BQ210" i="4"/>
  <c r="BQ207" i="4" s="1"/>
  <c r="BP210" i="4"/>
  <c r="BP207" i="4" s="1"/>
  <c r="BO210" i="4"/>
  <c r="BN210" i="4"/>
  <c r="BM210" i="4"/>
  <c r="BM207" i="4" s="1"/>
  <c r="BL210" i="4"/>
  <c r="BK210" i="4"/>
  <c r="BJ210" i="4"/>
  <c r="BJ207" i="4" s="1"/>
  <c r="BI210" i="4"/>
  <c r="BI207" i="4" s="1"/>
  <c r="BH210" i="4"/>
  <c r="BH207" i="4" s="1"/>
  <c r="BG210" i="4"/>
  <c r="BG207" i="4" s="1"/>
  <c r="BF210" i="4"/>
  <c r="BF207" i="4" s="1"/>
  <c r="BE210" i="4"/>
  <c r="BE207" i="4" s="1"/>
  <c r="BD210" i="4"/>
  <c r="BC210" i="4"/>
  <c r="BB210" i="4"/>
  <c r="BB207" i="4" s="1"/>
  <c r="BA210" i="4"/>
  <c r="AZ210" i="4"/>
  <c r="AZ207" i="4" s="1"/>
  <c r="AY210" i="4"/>
  <c r="AX210" i="4"/>
  <c r="AW210" i="4"/>
  <c r="AW207" i="4" s="1"/>
  <c r="AV210" i="4"/>
  <c r="AU210" i="4"/>
  <c r="AU207" i="4" s="1"/>
  <c r="AT210" i="4"/>
  <c r="AT207" i="4" s="1"/>
  <c r="AS210" i="4"/>
  <c r="AS207" i="4" s="1"/>
  <c r="BC207" i="4"/>
  <c r="BA207" i="4"/>
  <c r="CG197" i="4"/>
  <c r="CE197" i="4"/>
  <c r="CD197" i="4"/>
  <c r="CB197" i="4"/>
  <c r="BW197" i="4"/>
  <c r="BS197" i="4"/>
  <c r="BL197" i="4"/>
  <c r="BJ197" i="4"/>
  <c r="BH197" i="4"/>
  <c r="BE197" i="4"/>
  <c r="BC197" i="4"/>
  <c r="BA197" i="4"/>
  <c r="AY197" i="4"/>
  <c r="CK196" i="4"/>
  <c r="CJ196" i="4"/>
  <c r="CI196" i="4"/>
  <c r="CH196" i="4"/>
  <c r="CG196" i="4"/>
  <c r="CF196" i="4"/>
  <c r="CE196" i="4"/>
  <c r="CD196" i="4"/>
  <c r="CC196" i="4"/>
  <c r="CB196" i="4"/>
  <c r="CA196" i="4"/>
  <c r="BZ196" i="4"/>
  <c r="BY196" i="4"/>
  <c r="BX196" i="4"/>
  <c r="BW196" i="4"/>
  <c r="BV196" i="4"/>
  <c r="BU196" i="4"/>
  <c r="BT196" i="4"/>
  <c r="BS196" i="4"/>
  <c r="BR196" i="4"/>
  <c r="BQ196" i="4"/>
  <c r="BP196" i="4"/>
  <c r="BO196" i="4"/>
  <c r="BN196" i="4"/>
  <c r="BM196" i="4"/>
  <c r="BL196" i="4"/>
  <c r="BK196" i="4"/>
  <c r="BJ196" i="4"/>
  <c r="BI196" i="4"/>
  <c r="BH196" i="4"/>
  <c r="BG196" i="4"/>
  <c r="BF196" i="4"/>
  <c r="BE196" i="4"/>
  <c r="BD196" i="4"/>
  <c r="BC196" i="4"/>
  <c r="BB196" i="4"/>
  <c r="BA196" i="4"/>
  <c r="AZ196" i="4"/>
  <c r="AY196" i="4"/>
  <c r="AX196" i="4"/>
  <c r="AW196" i="4"/>
  <c r="AV196" i="4"/>
  <c r="AU196" i="4"/>
  <c r="AT196" i="4"/>
  <c r="AS196" i="4"/>
  <c r="CK195" i="4"/>
  <c r="CJ195" i="4"/>
  <c r="CI195" i="4"/>
  <c r="CH195" i="4"/>
  <c r="CG195" i="4"/>
  <c r="CF195" i="4"/>
  <c r="CE195" i="4"/>
  <c r="CD195" i="4"/>
  <c r="CC195" i="4"/>
  <c r="CB195" i="4"/>
  <c r="CA195" i="4"/>
  <c r="BZ195" i="4"/>
  <c r="BY195" i="4"/>
  <c r="BX195" i="4"/>
  <c r="BW195" i="4"/>
  <c r="BV195" i="4"/>
  <c r="BU195" i="4"/>
  <c r="BT195" i="4"/>
  <c r="BS195" i="4"/>
  <c r="BR195" i="4"/>
  <c r="BQ195" i="4"/>
  <c r="BP195" i="4"/>
  <c r="BO195" i="4"/>
  <c r="BN195" i="4"/>
  <c r="BM195" i="4"/>
  <c r="BL195" i="4"/>
  <c r="BK195" i="4"/>
  <c r="BJ195" i="4"/>
  <c r="BI195" i="4"/>
  <c r="BH195" i="4"/>
  <c r="BG195" i="4"/>
  <c r="BF195" i="4"/>
  <c r="BE195" i="4"/>
  <c r="BD195" i="4"/>
  <c r="BC195" i="4"/>
  <c r="BB195" i="4"/>
  <c r="BA195" i="4"/>
  <c r="AZ195" i="4"/>
  <c r="AY195" i="4"/>
  <c r="AX195" i="4"/>
  <c r="AW195" i="4"/>
  <c r="AV195" i="4"/>
  <c r="AU195" i="4"/>
  <c r="AT195" i="4"/>
  <c r="AS195" i="4"/>
  <c r="AQ221" i="4"/>
  <c r="AP221" i="4"/>
  <c r="AO221" i="4"/>
  <c r="AN221" i="4"/>
  <c r="AM221" i="4"/>
  <c r="AL221" i="4"/>
  <c r="AK221" i="4"/>
  <c r="AJ221" i="4"/>
  <c r="AI221" i="4"/>
  <c r="AH221" i="4"/>
  <c r="AG221" i="4"/>
  <c r="AF221" i="4"/>
  <c r="AE221" i="4"/>
  <c r="AD221" i="4"/>
  <c r="AC221" i="4"/>
  <c r="AB221" i="4"/>
  <c r="AA221" i="4"/>
  <c r="Z221" i="4"/>
  <c r="Y221" i="4"/>
  <c r="X221" i="4"/>
  <c r="W221" i="4"/>
  <c r="V221" i="4"/>
  <c r="U221" i="4"/>
  <c r="T221" i="4"/>
  <c r="S221" i="4"/>
  <c r="R221" i="4"/>
  <c r="Q221" i="4"/>
  <c r="P221" i="4"/>
  <c r="O221" i="4"/>
  <c r="AQ220" i="4"/>
  <c r="AP220" i="4"/>
  <c r="AO220" i="4"/>
  <c r="AN220" i="4"/>
  <c r="AM220" i="4"/>
  <c r="AL220" i="4"/>
  <c r="AK220" i="4"/>
  <c r="AJ220" i="4"/>
  <c r="AI220" i="4"/>
  <c r="AH220" i="4"/>
  <c r="AG220" i="4"/>
  <c r="AF220" i="4"/>
  <c r="AE220" i="4"/>
  <c r="AD220" i="4"/>
  <c r="AC220" i="4"/>
  <c r="AB220" i="4"/>
  <c r="AA220" i="4"/>
  <c r="Z220" i="4"/>
  <c r="Y220" i="4"/>
  <c r="X220" i="4"/>
  <c r="W220" i="4"/>
  <c r="V220" i="4"/>
  <c r="U220" i="4"/>
  <c r="T220" i="4"/>
  <c r="S220" i="4"/>
  <c r="R220" i="4"/>
  <c r="Q220" i="4"/>
  <c r="P220" i="4"/>
  <c r="O220" i="4"/>
  <c r="AQ219" i="4"/>
  <c r="AP219" i="4"/>
  <c r="AO219" i="4"/>
  <c r="AN219" i="4"/>
  <c r="AM219" i="4"/>
  <c r="AL219" i="4"/>
  <c r="AK219" i="4"/>
  <c r="AJ219" i="4"/>
  <c r="AI219" i="4"/>
  <c r="AH219" i="4"/>
  <c r="AG219" i="4"/>
  <c r="AF219" i="4"/>
  <c r="AE219" i="4"/>
  <c r="AD219" i="4"/>
  <c r="AC219" i="4"/>
  <c r="AB219" i="4"/>
  <c r="AA219" i="4"/>
  <c r="Z219" i="4"/>
  <c r="Y219" i="4"/>
  <c r="X219" i="4"/>
  <c r="W219" i="4"/>
  <c r="V219" i="4"/>
  <c r="U219" i="4"/>
  <c r="T219" i="4"/>
  <c r="S219" i="4"/>
  <c r="R219" i="4"/>
  <c r="Q219" i="4"/>
  <c r="P219" i="4"/>
  <c r="O219" i="4"/>
  <c r="AQ218" i="4"/>
  <c r="AP218" i="4"/>
  <c r="AO218" i="4"/>
  <c r="AN218" i="4"/>
  <c r="AM218" i="4"/>
  <c r="AL218" i="4"/>
  <c r="AK218" i="4"/>
  <c r="AJ218" i="4"/>
  <c r="AI218" i="4"/>
  <c r="AH218" i="4"/>
  <c r="AG218" i="4"/>
  <c r="AF218" i="4"/>
  <c r="AE218" i="4"/>
  <c r="AD218" i="4"/>
  <c r="AC218" i="4"/>
  <c r="AB218" i="4"/>
  <c r="AA218" i="4"/>
  <c r="Z218" i="4"/>
  <c r="Y218" i="4"/>
  <c r="X218" i="4"/>
  <c r="W218" i="4"/>
  <c r="V218" i="4"/>
  <c r="U218" i="4"/>
  <c r="T218" i="4"/>
  <c r="S218" i="4"/>
  <c r="R218" i="4"/>
  <c r="Q218" i="4"/>
  <c r="P218" i="4"/>
  <c r="O218" i="4"/>
  <c r="AQ217" i="4"/>
  <c r="AP217" i="4"/>
  <c r="AO217" i="4"/>
  <c r="AN217" i="4"/>
  <c r="AM217" i="4"/>
  <c r="AL217" i="4"/>
  <c r="AK217" i="4"/>
  <c r="AJ217" i="4"/>
  <c r="AI217" i="4"/>
  <c r="AH217" i="4"/>
  <c r="AG217" i="4"/>
  <c r="AF217" i="4"/>
  <c r="AE217" i="4"/>
  <c r="AD217" i="4"/>
  <c r="AC217" i="4"/>
  <c r="AB217" i="4"/>
  <c r="AA217" i="4"/>
  <c r="Z217" i="4"/>
  <c r="Y217" i="4"/>
  <c r="X217" i="4"/>
  <c r="W217" i="4"/>
  <c r="V217" i="4"/>
  <c r="U217" i="4"/>
  <c r="T217" i="4"/>
  <c r="S217" i="4"/>
  <c r="R217" i="4"/>
  <c r="Q217" i="4"/>
  <c r="P217" i="4"/>
  <c r="O217" i="4"/>
  <c r="AQ216" i="4"/>
  <c r="AP216" i="4"/>
  <c r="AO216" i="4"/>
  <c r="AN216" i="4"/>
  <c r="AM216" i="4"/>
  <c r="AL216" i="4"/>
  <c r="AK216" i="4"/>
  <c r="AJ216" i="4"/>
  <c r="AI216" i="4"/>
  <c r="AH216" i="4"/>
  <c r="AG216" i="4"/>
  <c r="AF216" i="4"/>
  <c r="AE216" i="4"/>
  <c r="AD216" i="4"/>
  <c r="AC216" i="4"/>
  <c r="AB216" i="4"/>
  <c r="AA216" i="4"/>
  <c r="Z216" i="4"/>
  <c r="Y216" i="4"/>
  <c r="X216" i="4"/>
  <c r="W216" i="4"/>
  <c r="V216" i="4"/>
  <c r="U216" i="4"/>
  <c r="T216" i="4"/>
  <c r="S216" i="4"/>
  <c r="R216" i="4"/>
  <c r="Q216" i="4"/>
  <c r="P216" i="4"/>
  <c r="O216" i="4"/>
  <c r="AQ213" i="4"/>
  <c r="AP213" i="4"/>
  <c r="AO213" i="4"/>
  <c r="AN213" i="4"/>
  <c r="AM213" i="4"/>
  <c r="AL213" i="4"/>
  <c r="AK213" i="4"/>
  <c r="AJ213" i="4"/>
  <c r="AI213" i="4"/>
  <c r="AH213" i="4"/>
  <c r="AG213" i="4"/>
  <c r="AF213" i="4"/>
  <c r="AE213" i="4"/>
  <c r="AD213" i="4"/>
  <c r="AC213" i="4"/>
  <c r="AB213" i="4"/>
  <c r="AA213" i="4"/>
  <c r="Z213" i="4"/>
  <c r="Y213" i="4"/>
  <c r="X213" i="4"/>
  <c r="W213" i="4"/>
  <c r="V213" i="4"/>
  <c r="U213" i="4"/>
  <c r="T213" i="4"/>
  <c r="S213" i="4"/>
  <c r="R213" i="4"/>
  <c r="Q213" i="4"/>
  <c r="P213" i="4"/>
  <c r="O213" i="4"/>
  <c r="AQ212" i="4"/>
  <c r="AP212" i="4"/>
  <c r="AO212" i="4"/>
  <c r="AN212" i="4"/>
  <c r="AM212" i="4"/>
  <c r="AL212" i="4"/>
  <c r="AK212" i="4"/>
  <c r="AJ212" i="4"/>
  <c r="AI212" i="4"/>
  <c r="AH212" i="4"/>
  <c r="AG212" i="4"/>
  <c r="AF212" i="4"/>
  <c r="AE212" i="4"/>
  <c r="AD212" i="4"/>
  <c r="AC212" i="4"/>
  <c r="AB212" i="4"/>
  <c r="AA212" i="4"/>
  <c r="Z212" i="4"/>
  <c r="Y212" i="4"/>
  <c r="X212" i="4"/>
  <c r="W212" i="4"/>
  <c r="V212" i="4"/>
  <c r="U212" i="4"/>
  <c r="T212" i="4"/>
  <c r="S212" i="4"/>
  <c r="R212" i="4"/>
  <c r="Q212" i="4"/>
  <c r="P212" i="4"/>
  <c r="O212" i="4"/>
  <c r="AQ211" i="4"/>
  <c r="AP211" i="4"/>
  <c r="AO211" i="4"/>
  <c r="AN211" i="4"/>
  <c r="AM211" i="4"/>
  <c r="AL211" i="4"/>
  <c r="AK211" i="4"/>
  <c r="AJ211" i="4"/>
  <c r="AI211" i="4"/>
  <c r="AH211" i="4"/>
  <c r="AG211" i="4"/>
  <c r="AF211" i="4"/>
  <c r="AE211" i="4"/>
  <c r="AD211" i="4"/>
  <c r="AC211" i="4"/>
  <c r="AB211" i="4"/>
  <c r="AA211" i="4"/>
  <c r="Z211" i="4"/>
  <c r="Y211" i="4"/>
  <c r="X211" i="4"/>
  <c r="W211" i="4"/>
  <c r="V211" i="4"/>
  <c r="U211" i="4"/>
  <c r="T211" i="4"/>
  <c r="S211" i="4"/>
  <c r="R211" i="4"/>
  <c r="Q211" i="4"/>
  <c r="P211" i="4"/>
  <c r="O211" i="4"/>
  <c r="AQ210" i="4"/>
  <c r="AQ207" i="4" s="1"/>
  <c r="AP210" i="4"/>
  <c r="AP207" i="4" s="1"/>
  <c r="AO210" i="4"/>
  <c r="AO207" i="4" s="1"/>
  <c r="AN210" i="4"/>
  <c r="AM210" i="4"/>
  <c r="AM207" i="4" s="1"/>
  <c r="AL210" i="4"/>
  <c r="AK210" i="4"/>
  <c r="AK207" i="4" s="1"/>
  <c r="AJ210" i="4"/>
  <c r="AJ207" i="4" s="1"/>
  <c r="AI210" i="4"/>
  <c r="AH210" i="4"/>
  <c r="AH207" i="4" s="1"/>
  <c r="AG210" i="4"/>
  <c r="AG207" i="4" s="1"/>
  <c r="AF210" i="4"/>
  <c r="AE210" i="4"/>
  <c r="AD210" i="4"/>
  <c r="AD207" i="4" s="1"/>
  <c r="AC210" i="4"/>
  <c r="AB210" i="4"/>
  <c r="AB207" i="4" s="1"/>
  <c r="AA210" i="4"/>
  <c r="AA207" i="4" s="1"/>
  <c r="Z210" i="4"/>
  <c r="Y210" i="4"/>
  <c r="X210" i="4"/>
  <c r="W210" i="4"/>
  <c r="W207" i="4" s="1"/>
  <c r="V210" i="4"/>
  <c r="U210" i="4"/>
  <c r="U207" i="4" s="1"/>
  <c r="T210" i="4"/>
  <c r="T207" i="4" s="1"/>
  <c r="S210" i="4"/>
  <c r="R210" i="4"/>
  <c r="Q210" i="4"/>
  <c r="Q207" i="4" s="1"/>
  <c r="P210" i="4"/>
  <c r="O210" i="4"/>
  <c r="O207" i="4" s="1"/>
  <c r="AQ197" i="4"/>
  <c r="AE197" i="4"/>
  <c r="X197" i="4"/>
  <c r="V197" i="4"/>
  <c r="O197" i="4"/>
  <c r="AQ196" i="4"/>
  <c r="AP196" i="4"/>
  <c r="AO196" i="4"/>
  <c r="AN196" i="4"/>
  <c r="AM196" i="4"/>
  <c r="AL196" i="4"/>
  <c r="AK196" i="4"/>
  <c r="AJ196" i="4"/>
  <c r="AI196" i="4"/>
  <c r="AH196" i="4"/>
  <c r="AG196" i="4"/>
  <c r="AF196" i="4"/>
  <c r="AE196" i="4"/>
  <c r="AD196" i="4"/>
  <c r="AC196" i="4"/>
  <c r="AB196" i="4"/>
  <c r="AA196" i="4"/>
  <c r="Z196" i="4"/>
  <c r="Y196" i="4"/>
  <c r="X196" i="4"/>
  <c r="W196" i="4"/>
  <c r="V196" i="4"/>
  <c r="U196" i="4"/>
  <c r="T196" i="4"/>
  <c r="S196" i="4"/>
  <c r="R196" i="4"/>
  <c r="Q196" i="4"/>
  <c r="P196" i="4"/>
  <c r="O196" i="4"/>
  <c r="AQ195" i="4"/>
  <c r="AP195" i="4"/>
  <c r="AO195" i="4"/>
  <c r="AN195" i="4"/>
  <c r="AM195" i="4"/>
  <c r="AL195" i="4"/>
  <c r="AK195" i="4"/>
  <c r="AJ195" i="4"/>
  <c r="AI195" i="4"/>
  <c r="AH195" i="4"/>
  <c r="AG195" i="4"/>
  <c r="AF195" i="4"/>
  <c r="AE195" i="4"/>
  <c r="AD195" i="4"/>
  <c r="AC195" i="4"/>
  <c r="AB195" i="4"/>
  <c r="AA195" i="4"/>
  <c r="Z195" i="4"/>
  <c r="Y195" i="4"/>
  <c r="X195" i="4"/>
  <c r="W195" i="4"/>
  <c r="V195" i="4"/>
  <c r="U195" i="4"/>
  <c r="T195" i="4"/>
  <c r="S195" i="4"/>
  <c r="R195" i="4"/>
  <c r="Q195" i="4"/>
  <c r="P195" i="4"/>
  <c r="O195" i="4"/>
  <c r="N221" i="4"/>
  <c r="N220" i="4"/>
  <c r="N219" i="4"/>
  <c r="N218" i="4"/>
  <c r="N217" i="4"/>
  <c r="N216" i="4"/>
  <c r="N213" i="4"/>
  <c r="N212" i="4"/>
  <c r="N211" i="4"/>
  <c r="N210" i="4"/>
  <c r="N197" i="4"/>
  <c r="N196" i="4"/>
  <c r="N195" i="4"/>
  <c r="M211" i="4"/>
  <c r="M212" i="4"/>
  <c r="M213" i="4"/>
  <c r="M210" i="4"/>
  <c r="M217" i="4"/>
  <c r="M218" i="4"/>
  <c r="M219" i="4"/>
  <c r="M220" i="4"/>
  <c r="M221" i="4"/>
  <c r="M216" i="4"/>
  <c r="M196" i="4"/>
  <c r="M195" i="4"/>
  <c r="L217" i="4"/>
  <c r="L218" i="4"/>
  <c r="L219" i="4"/>
  <c r="L220" i="4"/>
  <c r="L221" i="4"/>
  <c r="L216" i="4"/>
  <c r="L211" i="4"/>
  <c r="L212" i="4"/>
  <c r="L213" i="4"/>
  <c r="L210" i="4"/>
  <c r="L196" i="4"/>
  <c r="L195" i="4"/>
  <c r="K217" i="4"/>
  <c r="K218" i="4"/>
  <c r="K219" i="4"/>
  <c r="K220" i="4"/>
  <c r="K221" i="4"/>
  <c r="K216" i="4"/>
  <c r="K211" i="4"/>
  <c r="K212" i="4"/>
  <c r="K213" i="4"/>
  <c r="K210" i="4"/>
  <c r="K196" i="4"/>
  <c r="K195" i="4"/>
  <c r="K227" i="4"/>
  <c r="J217" i="4"/>
  <c r="J218" i="4"/>
  <c r="J219" i="4"/>
  <c r="J220" i="4"/>
  <c r="J221" i="4"/>
  <c r="J216" i="4"/>
  <c r="J211" i="4"/>
  <c r="J212" i="4"/>
  <c r="J213" i="4"/>
  <c r="J210" i="4"/>
  <c r="J196" i="4"/>
  <c r="J195" i="4"/>
  <c r="I217" i="4"/>
  <c r="I218" i="4"/>
  <c r="I219" i="4"/>
  <c r="I220" i="4"/>
  <c r="I221" i="4"/>
  <c r="I216" i="4"/>
  <c r="I211" i="4"/>
  <c r="I212" i="4"/>
  <c r="I213" i="4"/>
  <c r="I210" i="4"/>
  <c r="I196" i="4"/>
  <c r="I195" i="4"/>
  <c r="AR217" i="4"/>
  <c r="AR218" i="4"/>
  <c r="AR219" i="4"/>
  <c r="AR220" i="4"/>
  <c r="AR221" i="4"/>
  <c r="AR216" i="4"/>
  <c r="AR211" i="4"/>
  <c r="AR212" i="4"/>
  <c r="AR213" i="4"/>
  <c r="AR210" i="4"/>
  <c r="AR196" i="4"/>
  <c r="AR195" i="4"/>
  <c r="H217" i="4"/>
  <c r="H218" i="4"/>
  <c r="H219" i="4"/>
  <c r="H220" i="4"/>
  <c r="H221" i="4"/>
  <c r="H216" i="4"/>
  <c r="H222" i="4" s="1"/>
  <c r="H203" i="4" s="1"/>
  <c r="H211" i="4"/>
  <c r="H214" i="4" s="1"/>
  <c r="H212" i="4"/>
  <c r="H213" i="4"/>
  <c r="H210" i="4"/>
  <c r="H196" i="4"/>
  <c r="H195" i="4"/>
  <c r="G217" i="4"/>
  <c r="G218" i="4"/>
  <c r="G219" i="4"/>
  <c r="G220" i="4"/>
  <c r="G221" i="4"/>
  <c r="G216" i="4"/>
  <c r="G222" i="4" s="1"/>
  <c r="G203" i="4" s="1"/>
  <c r="G211" i="4"/>
  <c r="G212" i="4"/>
  <c r="G213" i="4"/>
  <c r="G210" i="4"/>
  <c r="G196" i="4"/>
  <c r="G195" i="4"/>
  <c r="F211" i="4"/>
  <c r="F212" i="4"/>
  <c r="F213" i="4"/>
  <c r="F210" i="4"/>
  <c r="F207" i="4" s="1"/>
  <c r="F217" i="4"/>
  <c r="F218" i="4"/>
  <c r="F219" i="4"/>
  <c r="F220" i="4"/>
  <c r="F221" i="4"/>
  <c r="F216" i="4"/>
  <c r="F222" i="4" s="1"/>
  <c r="F196" i="4"/>
  <c r="F195" i="4"/>
  <c r="E207" i="4"/>
  <c r="E211" i="4"/>
  <c r="E212" i="4"/>
  <c r="E213" i="4"/>
  <c r="E210" i="4"/>
  <c r="E208" i="4" s="1"/>
  <c r="E217" i="4"/>
  <c r="E218" i="4"/>
  <c r="E219" i="4"/>
  <c r="E220" i="4"/>
  <c r="E221" i="4"/>
  <c r="E216" i="4"/>
  <c r="E196" i="4"/>
  <c r="E195" i="4"/>
  <c r="E227" i="4"/>
  <c r="D207" i="4"/>
  <c r="D211" i="4"/>
  <c r="D214" i="4" s="1"/>
  <c r="D212" i="4"/>
  <c r="D213" i="4"/>
  <c r="D210" i="4"/>
  <c r="C210" i="4"/>
  <c r="D217" i="4"/>
  <c r="D218" i="4"/>
  <c r="D219" i="4"/>
  <c r="D220" i="4"/>
  <c r="D221" i="4"/>
  <c r="D216" i="4"/>
  <c r="D196" i="4"/>
  <c r="D195" i="4"/>
  <c r="D227" i="4"/>
  <c r="D226" i="4"/>
  <c r="C208" i="4"/>
  <c r="C207" i="4"/>
  <c r="C203" i="4"/>
  <c r="C202" i="4"/>
  <c r="C200" i="4"/>
  <c r="C199" i="4"/>
  <c r="C196" i="4"/>
  <c r="C195" i="4"/>
  <c r="C211" i="4"/>
  <c r="C212" i="4"/>
  <c r="C213" i="4"/>
  <c r="B208" i="4"/>
  <c r="B211" i="4"/>
  <c r="B212" i="4"/>
  <c r="B213" i="4"/>
  <c r="B210" i="4"/>
  <c r="B203" i="4"/>
  <c r="B202" i="4"/>
  <c r="B200" i="4"/>
  <c r="B199" i="4"/>
  <c r="B198" i="4"/>
  <c r="B196" i="4"/>
  <c r="B195" i="4"/>
  <c r="CA228" i="4" l="1"/>
  <c r="CA225" i="4"/>
  <c r="C226" i="4"/>
  <c r="D208" i="4"/>
  <c r="G204" i="4"/>
  <c r="S225" i="4"/>
  <c r="S228" i="4"/>
  <c r="T225" i="4"/>
  <c r="T228" i="4"/>
  <c r="BO226" i="4"/>
  <c r="BZ226" i="4"/>
  <c r="CG226" i="4"/>
  <c r="CG228" i="4"/>
  <c r="AR225" i="4"/>
  <c r="AR228" i="4"/>
  <c r="AA225" i="4"/>
  <c r="AA228" i="4"/>
  <c r="AD228" i="4"/>
  <c r="AD225" i="4"/>
  <c r="AM228" i="4"/>
  <c r="AM225" i="4"/>
  <c r="E222" i="4"/>
  <c r="F228" i="4"/>
  <c r="F225" i="4"/>
  <c r="F227" i="4"/>
  <c r="G228" i="4"/>
  <c r="G225" i="4"/>
  <c r="H204" i="4"/>
  <c r="AR226" i="4"/>
  <c r="I226" i="4"/>
  <c r="J226" i="4"/>
  <c r="L226" i="4"/>
  <c r="M226" i="4"/>
  <c r="Q228" i="4"/>
  <c r="Q225" i="4"/>
  <c r="W228" i="4"/>
  <c r="W226" i="4"/>
  <c r="Z225" i="4"/>
  <c r="Z228" i="4"/>
  <c r="AP228" i="4"/>
  <c r="AP225" i="4"/>
  <c r="AU226" i="4"/>
  <c r="AV228" i="4"/>
  <c r="AV225" i="4"/>
  <c r="AZ226" i="4"/>
  <c r="BB228" i="4"/>
  <c r="BB227" i="4"/>
  <c r="BN228" i="4"/>
  <c r="BN225" i="4"/>
  <c r="BQ228" i="4"/>
  <c r="BQ225" i="4"/>
  <c r="BU228" i="4"/>
  <c r="BU225" i="4"/>
  <c r="CJ228" i="4"/>
  <c r="CJ225" i="4"/>
  <c r="G202" i="4"/>
  <c r="G205" i="4" s="1"/>
  <c r="H226" i="4"/>
  <c r="AT228" i="4"/>
  <c r="AT225" i="4"/>
  <c r="Y228" i="4"/>
  <c r="Y225" i="4"/>
  <c r="AB197" i="4"/>
  <c r="AB227" i="4"/>
  <c r="AB228" i="4"/>
  <c r="AH225" i="4"/>
  <c r="AH228" i="4"/>
  <c r="BF226" i="4"/>
  <c r="BG225" i="4"/>
  <c r="BG228" i="4"/>
  <c r="BN226" i="4"/>
  <c r="BV197" i="4"/>
  <c r="BV228" i="4"/>
  <c r="BV226" i="4"/>
  <c r="CC226" i="4"/>
  <c r="CE228" i="4"/>
  <c r="CE227" i="4"/>
  <c r="CH228" i="4"/>
  <c r="CH225" i="4"/>
  <c r="CH227" i="4"/>
  <c r="H202" i="4"/>
  <c r="H205" i="4" s="1"/>
  <c r="S226" i="4"/>
  <c r="AC228" i="4"/>
  <c r="AC225" i="4"/>
  <c r="AK225" i="4"/>
  <c r="AK228" i="4"/>
  <c r="AM227" i="4"/>
  <c r="AW226" i="4"/>
  <c r="AX228" i="4"/>
  <c r="AX226" i="4"/>
  <c r="BD226" i="4"/>
  <c r="BD228" i="4"/>
  <c r="BK228" i="4"/>
  <c r="BK225" i="4"/>
  <c r="BO227" i="4"/>
  <c r="BR228" i="4"/>
  <c r="BR226" i="4"/>
  <c r="BX226" i="4"/>
  <c r="BX228" i="4"/>
  <c r="CA226" i="4"/>
  <c r="CF225" i="4"/>
  <c r="CF228" i="4"/>
  <c r="CK228" i="4"/>
  <c r="CK225" i="4"/>
  <c r="AW228" i="4"/>
  <c r="AW225" i="4"/>
  <c r="C227" i="4"/>
  <c r="M227" i="4"/>
  <c r="R227" i="4"/>
  <c r="Y226" i="4"/>
  <c r="AE225" i="4"/>
  <c r="AE228" i="4"/>
  <c r="AJ225" i="4"/>
  <c r="AJ228" i="4"/>
  <c r="AL228" i="4"/>
  <c r="AL225" i="4"/>
  <c r="AY225" i="4"/>
  <c r="AY228" i="4"/>
  <c r="BI225" i="4"/>
  <c r="BI228" i="4"/>
  <c r="BL228" i="4"/>
  <c r="BL227" i="4"/>
  <c r="BO225" i="4"/>
  <c r="BO228" i="4"/>
  <c r="BU226" i="4"/>
  <c r="C225" i="4"/>
  <c r="C228" i="4"/>
  <c r="C206" i="4"/>
  <c r="E226" i="4"/>
  <c r="E228" i="4"/>
  <c r="F226" i="4"/>
  <c r="G226" i="4"/>
  <c r="AR227" i="4"/>
  <c r="I228" i="4"/>
  <c r="I225" i="4"/>
  <c r="I227" i="4"/>
  <c r="J228" i="4"/>
  <c r="J225" i="4"/>
  <c r="J227" i="4"/>
  <c r="K225" i="4"/>
  <c r="K228" i="4"/>
  <c r="L225" i="4"/>
  <c r="L228" i="4"/>
  <c r="L227" i="4"/>
  <c r="M228" i="4"/>
  <c r="M225" i="4"/>
  <c r="P228" i="4"/>
  <c r="P225" i="4"/>
  <c r="P227" i="4"/>
  <c r="Q226" i="4"/>
  <c r="R228" i="4"/>
  <c r="R225" i="4"/>
  <c r="S227" i="4"/>
  <c r="AT227" i="4"/>
  <c r="AF228" i="4"/>
  <c r="AF225" i="4"/>
  <c r="AO228" i="4"/>
  <c r="AO225" i="4"/>
  <c r="AO227" i="4"/>
  <c r="AP226" i="4"/>
  <c r="AU228" i="4"/>
  <c r="AU225" i="4"/>
  <c r="AU227" i="4"/>
  <c r="AZ225" i="4"/>
  <c r="AZ228" i="4"/>
  <c r="AZ227" i="4"/>
  <c r="BM228" i="4"/>
  <c r="BM225" i="4"/>
  <c r="BT228" i="4"/>
  <c r="BT225" i="4"/>
  <c r="BT227" i="4"/>
  <c r="BZ228" i="4"/>
  <c r="BZ225" i="4"/>
  <c r="CJ226" i="4"/>
  <c r="U228" i="4"/>
  <c r="U225" i="4"/>
  <c r="BP226" i="4"/>
  <c r="BP228" i="4"/>
  <c r="D225" i="4"/>
  <c r="D228" i="4"/>
  <c r="C201" i="4"/>
  <c r="G214" i="4"/>
  <c r="H228" i="4"/>
  <c r="H225" i="4"/>
  <c r="H227" i="4"/>
  <c r="AS225" i="4"/>
  <c r="AS228" i="4"/>
  <c r="AG228" i="4"/>
  <c r="AG225" i="4"/>
  <c r="AG227" i="4"/>
  <c r="AH226" i="4"/>
  <c r="AI225" i="4"/>
  <c r="AI228" i="4"/>
  <c r="AJ226" i="4"/>
  <c r="AN228" i="4"/>
  <c r="AN225" i="4"/>
  <c r="BF228" i="4"/>
  <c r="BF225" i="4"/>
  <c r="BF227" i="4"/>
  <c r="BM226" i="4"/>
  <c r="BY225" i="4"/>
  <c r="BY228" i="4"/>
  <c r="CC228" i="4"/>
  <c r="CC225" i="4"/>
  <c r="CC227" i="4"/>
  <c r="CF227" i="4"/>
  <c r="CH226" i="4"/>
  <c r="CI228" i="4"/>
  <c r="CI227" i="4"/>
  <c r="BR197" i="4"/>
  <c r="F203" i="4"/>
  <c r="F202" i="4"/>
  <c r="E202" i="4"/>
  <c r="F204" i="4"/>
  <c r="E203" i="4"/>
  <c r="E198" i="4"/>
  <c r="E199" i="4"/>
  <c r="F200" i="4"/>
  <c r="F199" i="4"/>
  <c r="E204" i="4"/>
  <c r="C205" i="4"/>
  <c r="E200" i="4"/>
  <c r="G199" i="4"/>
  <c r="G206" i="4" s="1"/>
  <c r="H199" i="4"/>
  <c r="B206" i="4"/>
  <c r="E214" i="4"/>
  <c r="F214" i="4"/>
  <c r="G198" i="4"/>
  <c r="C214" i="4"/>
  <c r="H198" i="4"/>
  <c r="D222" i="4"/>
  <c r="D202" i="4" s="1"/>
  <c r="G200" i="4"/>
  <c r="H200" i="4"/>
  <c r="F198" i="4"/>
  <c r="B205" i="4"/>
  <c r="AR222" i="4"/>
  <c r="P197" i="4"/>
  <c r="AA197" i="4"/>
  <c r="AM197" i="4"/>
  <c r="BP197" i="4"/>
  <c r="CH197" i="4"/>
  <c r="AD197" i="4"/>
  <c r="M197" i="4"/>
  <c r="H197" i="4"/>
  <c r="AR197" i="4"/>
  <c r="Q197" i="4"/>
  <c r="U197" i="4"/>
  <c r="W197" i="4"/>
  <c r="BB197" i="4"/>
  <c r="BQ197" i="4"/>
  <c r="J197" i="4"/>
  <c r="AK197" i="4"/>
  <c r="AX197" i="4"/>
  <c r="BG197" i="4"/>
  <c r="BK197" i="4"/>
  <c r="BN197" i="4"/>
  <c r="CA197" i="4"/>
  <c r="CK197" i="4"/>
  <c r="L197" i="4"/>
  <c r="F197" i="4"/>
  <c r="D197" i="4"/>
  <c r="E197" i="4"/>
  <c r="G197" i="4"/>
  <c r="I197" i="4"/>
  <c r="K197" i="4"/>
  <c r="AJ197" i="4"/>
  <c r="BM197" i="4"/>
  <c r="BT197" i="4"/>
  <c r="CC197" i="4"/>
  <c r="CI197" i="4"/>
  <c r="AF197" i="4"/>
  <c r="BX197" i="4"/>
  <c r="AV197" i="4"/>
  <c r="BZ197" i="4"/>
  <c r="CK222" i="4"/>
  <c r="CK203" i="4" s="1"/>
  <c r="CJ214" i="4"/>
  <c r="CJ222" i="4"/>
  <c r="CJ199" i="4" s="1"/>
  <c r="CJ197" i="4"/>
  <c r="CI214" i="4"/>
  <c r="CI208" i="4"/>
  <c r="CI207" i="4"/>
  <c r="CI222" i="4"/>
  <c r="CI204" i="4" s="1"/>
  <c r="CH208" i="4"/>
  <c r="CH222" i="4"/>
  <c r="CH204" i="4" s="1"/>
  <c r="CG214" i="4"/>
  <c r="CG208" i="4"/>
  <c r="CG222" i="4"/>
  <c r="CG203" i="4" s="1"/>
  <c r="CF208" i="4"/>
  <c r="CF214" i="4"/>
  <c r="CF222" i="4"/>
  <c r="CF203" i="4" s="1"/>
  <c r="CF197" i="4"/>
  <c r="CE208" i="4"/>
  <c r="CE214" i="4"/>
  <c r="CE222" i="4"/>
  <c r="CE203" i="4" s="1"/>
  <c r="CD214" i="4"/>
  <c r="CD207" i="4"/>
  <c r="CD208" i="4"/>
  <c r="CD222" i="4"/>
  <c r="CD199" i="4" s="1"/>
  <c r="CC222" i="4"/>
  <c r="CC202" i="4" s="1"/>
  <c r="CB214" i="4"/>
  <c r="CB207" i="4"/>
  <c r="CB222" i="4"/>
  <c r="CB199" i="4" s="1"/>
  <c r="CA214" i="4"/>
  <c r="CA208" i="4"/>
  <c r="CA207" i="4"/>
  <c r="CA222" i="4"/>
  <c r="CA204" i="4" s="1"/>
  <c r="BZ208" i="4"/>
  <c r="BZ222" i="4"/>
  <c r="BZ202" i="4" s="1"/>
  <c r="BY214" i="4"/>
  <c r="BY208" i="4"/>
  <c r="BY222" i="4"/>
  <c r="BY202" i="4" s="1"/>
  <c r="BY197" i="4"/>
  <c r="BX208" i="4"/>
  <c r="BX214" i="4"/>
  <c r="BX222" i="4"/>
  <c r="BX203" i="4" s="1"/>
  <c r="BW208" i="4"/>
  <c r="BW214" i="4"/>
  <c r="BW207" i="4"/>
  <c r="BW222" i="4"/>
  <c r="BW202" i="4" s="1"/>
  <c r="BV208" i="4"/>
  <c r="BV214" i="4"/>
  <c r="BV222" i="4"/>
  <c r="BV199" i="4" s="1"/>
  <c r="BU222" i="4"/>
  <c r="BU200" i="4" s="1"/>
  <c r="BU197" i="4"/>
  <c r="BT214" i="4"/>
  <c r="BT222" i="4"/>
  <c r="BT204" i="4" s="1"/>
  <c r="BS208" i="4"/>
  <c r="BS214" i="4"/>
  <c r="BS222" i="4"/>
  <c r="BS204" i="4" s="1"/>
  <c r="BR208" i="4"/>
  <c r="BR222" i="4"/>
  <c r="BR203" i="4" s="1"/>
  <c r="BQ208" i="4"/>
  <c r="BQ214" i="4"/>
  <c r="BQ222" i="4"/>
  <c r="BQ204" i="4" s="1"/>
  <c r="BP208" i="4"/>
  <c r="BP214" i="4"/>
  <c r="BP222" i="4"/>
  <c r="BP203" i="4" s="1"/>
  <c r="BO214" i="4"/>
  <c r="BO208" i="4"/>
  <c r="BO207" i="4"/>
  <c r="BO222" i="4"/>
  <c r="BO202" i="4" s="1"/>
  <c r="BO197" i="4"/>
  <c r="BN208" i="4"/>
  <c r="BN214" i="4"/>
  <c r="BN207" i="4"/>
  <c r="BN222" i="4"/>
  <c r="BN199" i="4" s="1"/>
  <c r="BM222" i="4"/>
  <c r="BM202" i="4" s="1"/>
  <c r="BL214" i="4"/>
  <c r="BL207" i="4"/>
  <c r="BL222" i="4"/>
  <c r="BL202" i="4" s="1"/>
  <c r="BK214" i="4"/>
  <c r="BK208" i="4"/>
  <c r="BK207" i="4"/>
  <c r="BK222" i="4"/>
  <c r="BK204" i="4" s="1"/>
  <c r="BJ208" i="4"/>
  <c r="BJ222" i="4"/>
  <c r="BJ202" i="4" s="1"/>
  <c r="BI208" i="4"/>
  <c r="BI214" i="4"/>
  <c r="BI222" i="4"/>
  <c r="BI200" i="4" s="1"/>
  <c r="BI197" i="4"/>
  <c r="BH208" i="4"/>
  <c r="BH214" i="4"/>
  <c r="BH222" i="4"/>
  <c r="BH200" i="4" s="1"/>
  <c r="BG214" i="4"/>
  <c r="BG208" i="4"/>
  <c r="BG222" i="4"/>
  <c r="BG199" i="4" s="1"/>
  <c r="BF208" i="4"/>
  <c r="BF214" i="4"/>
  <c r="BF222" i="4"/>
  <c r="BF204" i="4" s="1"/>
  <c r="BF197" i="4"/>
  <c r="BE222" i="4"/>
  <c r="BE204" i="4" s="1"/>
  <c r="BD214" i="4"/>
  <c r="BD207" i="4"/>
  <c r="BD222" i="4"/>
  <c r="BD204" i="4" s="1"/>
  <c r="BD197" i="4"/>
  <c r="BC214" i="4"/>
  <c r="BC208" i="4"/>
  <c r="BC222" i="4"/>
  <c r="BC204" i="4" s="1"/>
  <c r="BB208" i="4"/>
  <c r="BB222" i="4"/>
  <c r="BB200" i="4" s="1"/>
  <c r="BA208" i="4"/>
  <c r="BA214" i="4"/>
  <c r="BA222" i="4"/>
  <c r="BA200" i="4" s="1"/>
  <c r="AZ208" i="4"/>
  <c r="AZ214" i="4"/>
  <c r="AZ222" i="4"/>
  <c r="AZ203" i="4" s="1"/>
  <c r="AZ197" i="4"/>
  <c r="AY214" i="4"/>
  <c r="AY208" i="4"/>
  <c r="AY207" i="4"/>
  <c r="AY222" i="4"/>
  <c r="AY202" i="4" s="1"/>
  <c r="AX208" i="4"/>
  <c r="AX214" i="4"/>
  <c r="AX207" i="4"/>
  <c r="AX222" i="4"/>
  <c r="AX199" i="4" s="1"/>
  <c r="AW222" i="4"/>
  <c r="AW202" i="4" s="1"/>
  <c r="AW197" i="4"/>
  <c r="AV214" i="4"/>
  <c r="AV207" i="4"/>
  <c r="AV222" i="4"/>
  <c r="AV204" i="4" s="1"/>
  <c r="AU214" i="4"/>
  <c r="AU208" i="4"/>
  <c r="AU222" i="4"/>
  <c r="AU198" i="4" s="1"/>
  <c r="AU197" i="4"/>
  <c r="AQ208" i="4"/>
  <c r="AQ214" i="4"/>
  <c r="AQ222" i="4"/>
  <c r="AQ204" i="4" s="1"/>
  <c r="AP214" i="4"/>
  <c r="AP208" i="4"/>
  <c r="AP222" i="4"/>
  <c r="AP198" i="4" s="1"/>
  <c r="AP197" i="4"/>
  <c r="AO208" i="4"/>
  <c r="AO214" i="4"/>
  <c r="AO222" i="4"/>
  <c r="AO198" i="4" s="1"/>
  <c r="AO197" i="4"/>
  <c r="AN214" i="4"/>
  <c r="AN208" i="4"/>
  <c r="AN207" i="4"/>
  <c r="AN222" i="4"/>
  <c r="AN202" i="4" s="1"/>
  <c r="AN197" i="4"/>
  <c r="AM208" i="4"/>
  <c r="AM214" i="4"/>
  <c r="AM222" i="4"/>
  <c r="AM199" i="4" s="1"/>
  <c r="AL214" i="4"/>
  <c r="AL208" i="4"/>
  <c r="AL207" i="4"/>
  <c r="AL222" i="4"/>
  <c r="AL203" i="4" s="1"/>
  <c r="AL197" i="4"/>
  <c r="AK208" i="4"/>
  <c r="AK214" i="4"/>
  <c r="AK222" i="4"/>
  <c r="AK202" i="4" s="1"/>
  <c r="AJ222" i="4"/>
  <c r="AJ200" i="4" s="1"/>
  <c r="AI208" i="4"/>
  <c r="AI207" i="4"/>
  <c r="AI214" i="4"/>
  <c r="AI222" i="4"/>
  <c r="AI202" i="4" s="1"/>
  <c r="AI197" i="4"/>
  <c r="AH214" i="4"/>
  <c r="AH208" i="4"/>
  <c r="AH222" i="4"/>
  <c r="AH200" i="4" s="1"/>
  <c r="AH197" i="4"/>
  <c r="AG214" i="4"/>
  <c r="AG208" i="4"/>
  <c r="AG222" i="4"/>
  <c r="AG198" i="4" s="1"/>
  <c r="AG197" i="4"/>
  <c r="AF208" i="4"/>
  <c r="AF214" i="4"/>
  <c r="AF207" i="4"/>
  <c r="AF222" i="4"/>
  <c r="AF204" i="4" s="1"/>
  <c r="AE214" i="4"/>
  <c r="AE208" i="4"/>
  <c r="AE207" i="4"/>
  <c r="AE222" i="4"/>
  <c r="AE200" i="4" s="1"/>
  <c r="AD214" i="4"/>
  <c r="AD208" i="4"/>
  <c r="AD222" i="4"/>
  <c r="AD200" i="4" s="1"/>
  <c r="AC208" i="4"/>
  <c r="AC214" i="4"/>
  <c r="AC207" i="4"/>
  <c r="AC222" i="4"/>
  <c r="AC202" i="4" s="1"/>
  <c r="AC197" i="4"/>
  <c r="AB222" i="4"/>
  <c r="AB204" i="4" s="1"/>
  <c r="AA214" i="4"/>
  <c r="AA208" i="4"/>
  <c r="AA222" i="4"/>
  <c r="AA204" i="4" s="1"/>
  <c r="Z208" i="4"/>
  <c r="Z214" i="4"/>
  <c r="Z207" i="4"/>
  <c r="Z222" i="4"/>
  <c r="Z203" i="4" s="1"/>
  <c r="Z197" i="4"/>
  <c r="Y214" i="4"/>
  <c r="Y207" i="4"/>
  <c r="Y208" i="4"/>
  <c r="Y222" i="4"/>
  <c r="Y198" i="4" s="1"/>
  <c r="Y197" i="4"/>
  <c r="X208" i="4"/>
  <c r="X207" i="4"/>
  <c r="X214" i="4"/>
  <c r="X222" i="4"/>
  <c r="X203" i="4" s="1"/>
  <c r="W208" i="4"/>
  <c r="W214" i="4"/>
  <c r="W222" i="4"/>
  <c r="W200" i="4" s="1"/>
  <c r="AT208" i="4"/>
  <c r="AT222" i="4"/>
  <c r="AT203" i="4" s="1"/>
  <c r="AT197" i="4"/>
  <c r="V208" i="4"/>
  <c r="V214" i="4"/>
  <c r="V207" i="4"/>
  <c r="V222" i="4"/>
  <c r="V199" i="4" s="1"/>
  <c r="U208" i="4"/>
  <c r="U214" i="4"/>
  <c r="U222" i="4"/>
  <c r="U202" i="4" s="1"/>
  <c r="T222" i="4"/>
  <c r="T203" i="4" s="1"/>
  <c r="T197" i="4"/>
  <c r="S208" i="4"/>
  <c r="S214" i="4"/>
  <c r="S207" i="4"/>
  <c r="S222" i="4"/>
  <c r="S199" i="4" s="1"/>
  <c r="S197" i="4"/>
  <c r="R208" i="4"/>
  <c r="R214" i="4"/>
  <c r="R207" i="4"/>
  <c r="R222" i="4"/>
  <c r="R199" i="4" s="1"/>
  <c r="R197" i="4"/>
  <c r="Q208" i="4"/>
  <c r="Q214" i="4"/>
  <c r="Q222" i="4"/>
  <c r="Q203" i="4" s="1"/>
  <c r="P214" i="4"/>
  <c r="P208" i="4"/>
  <c r="P207" i="4"/>
  <c r="P222" i="4"/>
  <c r="P202" i="4" s="1"/>
  <c r="AS208" i="4"/>
  <c r="AS214" i="4"/>
  <c r="AS222" i="4"/>
  <c r="AS200" i="4" s="1"/>
  <c r="AS197" i="4"/>
  <c r="O208" i="4"/>
  <c r="O214" i="4"/>
  <c r="O222" i="4"/>
  <c r="O202" i="4" s="1"/>
  <c r="N208" i="4"/>
  <c r="N222" i="4"/>
  <c r="N198" i="4" s="1"/>
  <c r="BB203" i="4"/>
  <c r="AT214" i="4"/>
  <c r="BB214" i="4"/>
  <c r="BJ214" i="4"/>
  <c r="BR214" i="4"/>
  <c r="BZ214" i="4"/>
  <c r="CH214" i="4"/>
  <c r="AV208" i="4"/>
  <c r="BD208" i="4"/>
  <c r="BL208" i="4"/>
  <c r="BT208" i="4"/>
  <c r="CB208" i="4"/>
  <c r="CJ208" i="4"/>
  <c r="AW208" i="4"/>
  <c r="BE208" i="4"/>
  <c r="BM208" i="4"/>
  <c r="BU208" i="4"/>
  <c r="CC208" i="4"/>
  <c r="CK208" i="4"/>
  <c r="AW214" i="4"/>
  <c r="BE214" i="4"/>
  <c r="BM214" i="4"/>
  <c r="BU214" i="4"/>
  <c r="CC214" i="4"/>
  <c r="CK214" i="4"/>
  <c r="AJ202" i="4"/>
  <c r="T208" i="4"/>
  <c r="AB208" i="4"/>
  <c r="AJ208" i="4"/>
  <c r="T214" i="4"/>
  <c r="AB214" i="4"/>
  <c r="AJ214" i="4"/>
  <c r="N214" i="4"/>
  <c r="N207" i="4"/>
  <c r="M222" i="4"/>
  <c r="M204" i="4" s="1"/>
  <c r="M208" i="4"/>
  <c r="M214" i="4"/>
  <c r="M207" i="4"/>
  <c r="L222" i="4"/>
  <c r="L208" i="4"/>
  <c r="L207" i="4"/>
  <c r="L214" i="4"/>
  <c r="K222" i="4"/>
  <c r="K198" i="4" s="1"/>
  <c r="K208" i="4"/>
  <c r="K214" i="4"/>
  <c r="K207" i="4"/>
  <c r="J222" i="4"/>
  <c r="J214" i="4"/>
  <c r="J207" i="4"/>
  <c r="J208" i="4"/>
  <c r="I222" i="4"/>
  <c r="I200" i="4" s="1"/>
  <c r="I208" i="4"/>
  <c r="I214" i="4"/>
  <c r="I207" i="4"/>
  <c r="AR208" i="4"/>
  <c r="AR214" i="4"/>
  <c r="AR207" i="4"/>
  <c r="H208" i="4"/>
  <c r="H201" i="4"/>
  <c r="H207" i="4"/>
  <c r="G201" i="4"/>
  <c r="G208" i="4"/>
  <c r="G207" i="4"/>
  <c r="F208" i="4"/>
  <c r="F205" i="4"/>
  <c r="C197" i="4"/>
  <c r="B214" i="4"/>
  <c r="B201" i="4"/>
  <c r="F90" i="3"/>
  <c r="F89" i="3"/>
  <c r="F88" i="3"/>
  <c r="F87" i="3"/>
  <c r="F86" i="3"/>
  <c r="F85" i="3"/>
  <c r="F84" i="3"/>
  <c r="F83" i="3"/>
  <c r="F82" i="3"/>
  <c r="F81" i="3"/>
  <c r="F80" i="3"/>
  <c r="F79" i="3"/>
  <c r="F78" i="3"/>
  <c r="F77" i="3"/>
  <c r="F76" i="3"/>
  <c r="F75" i="3"/>
  <c r="F74" i="3"/>
  <c r="F73" i="3"/>
  <c r="F72" i="3"/>
  <c r="F71" i="3"/>
  <c r="F70" i="3"/>
  <c r="F69" i="3"/>
  <c r="F68" i="3"/>
  <c r="F67" i="3"/>
  <c r="F66" i="3"/>
  <c r="F65" i="3"/>
  <c r="F64" i="3"/>
  <c r="F63" i="3"/>
  <c r="F62" i="3"/>
  <c r="F61" i="3"/>
  <c r="F60" i="3"/>
  <c r="F59" i="3"/>
  <c r="F58" i="3"/>
  <c r="F57" i="3"/>
  <c r="F56" i="3"/>
  <c r="F55" i="3"/>
  <c r="F54" i="3"/>
  <c r="F53" i="3"/>
  <c r="F52" i="3"/>
  <c r="F51" i="3"/>
  <c r="F50" i="3"/>
  <c r="F49" i="3"/>
  <c r="F48" i="3"/>
  <c r="F47" i="3"/>
  <c r="F46" i="3"/>
  <c r="F45" i="3"/>
  <c r="F44" i="3"/>
  <c r="F43" i="3"/>
  <c r="F42" i="3"/>
  <c r="F41" i="3"/>
  <c r="F40" i="3"/>
  <c r="F39" i="3"/>
  <c r="F38" i="3"/>
  <c r="F37" i="3"/>
  <c r="F36" i="3"/>
  <c r="F35" i="3"/>
  <c r="F34" i="3"/>
  <c r="F33" i="3"/>
  <c r="F32" i="3"/>
  <c r="F31" i="3"/>
  <c r="F30" i="3"/>
  <c r="F29" i="3"/>
  <c r="F28" i="3"/>
  <c r="F27" i="3"/>
  <c r="F26" i="3"/>
  <c r="F25" i="3"/>
  <c r="F24" i="3"/>
  <c r="F23" i="3"/>
  <c r="F22" i="3"/>
  <c r="F21" i="3"/>
  <c r="F20" i="3"/>
  <c r="F19" i="3"/>
  <c r="F18" i="3"/>
  <c r="F17" i="3"/>
  <c r="F16" i="3"/>
  <c r="F15" i="3"/>
  <c r="F14" i="3"/>
  <c r="F13" i="3"/>
  <c r="F12" i="3"/>
  <c r="F11" i="3"/>
  <c r="F10" i="3"/>
  <c r="F9" i="3"/>
  <c r="F8" i="3"/>
  <c r="F7" i="3"/>
  <c r="F6" i="3"/>
  <c r="F5" i="3"/>
  <c r="F4" i="3"/>
  <c r="F3" i="3"/>
  <c r="AL200" i="4" l="1"/>
  <c r="D199" i="4"/>
  <c r="D201" i="4" s="1"/>
  <c r="D198" i="4"/>
  <c r="BS200" i="4"/>
  <c r="D200" i="4"/>
  <c r="F206" i="4"/>
  <c r="H206" i="4"/>
  <c r="AR199" i="4"/>
  <c r="AR198" i="4"/>
  <c r="AR202" i="4"/>
  <c r="K204" i="4"/>
  <c r="AB202" i="4"/>
  <c r="M198" i="4"/>
  <c r="AR204" i="4"/>
  <c r="J200" i="4"/>
  <c r="J201" i="4" s="1"/>
  <c r="J204" i="4"/>
  <c r="J198" i="4"/>
  <c r="I198" i="4"/>
  <c r="I204" i="4"/>
  <c r="AR200" i="4"/>
  <c r="J202" i="4"/>
  <c r="J205" i="4" s="1"/>
  <c r="I202" i="4"/>
  <c r="E205" i="4"/>
  <c r="CG200" i="4"/>
  <c r="M203" i="4"/>
  <c r="AR203" i="4"/>
  <c r="K203" i="4"/>
  <c r="E201" i="4"/>
  <c r="E206" i="4"/>
  <c r="F201" i="4"/>
  <c r="CE202" i="4"/>
  <c r="J199" i="4"/>
  <c r="J203" i="4"/>
  <c r="K200" i="4"/>
  <c r="K201" i="4" s="1"/>
  <c r="K199" i="4"/>
  <c r="K202" i="4"/>
  <c r="K205" i="4" s="1"/>
  <c r="M200" i="4"/>
  <c r="M202" i="4"/>
  <c r="M199" i="4"/>
  <c r="D204" i="4"/>
  <c r="D203" i="4"/>
  <c r="D205" i="4" s="1"/>
  <c r="I199" i="4"/>
  <c r="I203" i="4"/>
  <c r="CK199" i="4"/>
  <c r="CK200" i="4"/>
  <c r="CK202" i="4"/>
  <c r="CK204" i="4"/>
  <c r="CK198" i="4"/>
  <c r="CJ202" i="4"/>
  <c r="CJ203" i="4"/>
  <c r="CJ200" i="4"/>
  <c r="CJ198" i="4"/>
  <c r="CJ204" i="4"/>
  <c r="CI199" i="4"/>
  <c r="CI198" i="4"/>
  <c r="CI200" i="4"/>
  <c r="CI202" i="4"/>
  <c r="CI203" i="4"/>
  <c r="CH202" i="4"/>
  <c r="CH200" i="4"/>
  <c r="CH199" i="4"/>
  <c r="CH198" i="4"/>
  <c r="CH203" i="4"/>
  <c r="CG202" i="4"/>
  <c r="CG199" i="4"/>
  <c r="CG204" i="4"/>
  <c r="CG198" i="4"/>
  <c r="CF202" i="4"/>
  <c r="CF200" i="4"/>
  <c r="CF198" i="4"/>
  <c r="CF199" i="4"/>
  <c r="CF204" i="4"/>
  <c r="CE200" i="4"/>
  <c r="CE204" i="4"/>
  <c r="CE199" i="4"/>
  <c r="CE198" i="4"/>
  <c r="CD198" i="4"/>
  <c r="CD200" i="4"/>
  <c r="CD202" i="4"/>
  <c r="CD203" i="4"/>
  <c r="CD204" i="4"/>
  <c r="CC199" i="4"/>
  <c r="CC204" i="4"/>
  <c r="CC198" i="4"/>
  <c r="CC203" i="4"/>
  <c r="CC200" i="4"/>
  <c r="CB203" i="4"/>
  <c r="CB202" i="4"/>
  <c r="CB200" i="4"/>
  <c r="CB204" i="4"/>
  <c r="CB198" i="4"/>
  <c r="CA198" i="4"/>
  <c r="CA199" i="4"/>
  <c r="CA203" i="4"/>
  <c r="CA200" i="4"/>
  <c r="CA202" i="4"/>
  <c r="BZ199" i="4"/>
  <c r="BZ198" i="4"/>
  <c r="BZ204" i="4"/>
  <c r="BZ203" i="4"/>
  <c r="BZ200" i="4"/>
  <c r="BY199" i="4"/>
  <c r="BY204" i="4"/>
  <c r="BY200" i="4"/>
  <c r="BY198" i="4"/>
  <c r="BY203" i="4"/>
  <c r="BX202" i="4"/>
  <c r="BX204" i="4"/>
  <c r="BX200" i="4"/>
  <c r="BX198" i="4"/>
  <c r="BX199" i="4"/>
  <c r="BW198" i="4"/>
  <c r="BW203" i="4"/>
  <c r="BW204" i="4"/>
  <c r="BW200" i="4"/>
  <c r="BW199" i="4"/>
  <c r="BV200" i="4"/>
  <c r="BV198" i="4"/>
  <c r="BV202" i="4"/>
  <c r="BV203" i="4"/>
  <c r="BV204" i="4"/>
  <c r="BU204" i="4"/>
  <c r="BU198" i="4"/>
  <c r="BU199" i="4"/>
  <c r="BU203" i="4"/>
  <c r="BU202" i="4"/>
  <c r="BT200" i="4"/>
  <c r="BT198" i="4"/>
  <c r="BT199" i="4"/>
  <c r="BT203" i="4"/>
  <c r="BT202" i="4"/>
  <c r="BS202" i="4"/>
  <c r="BS203" i="4"/>
  <c r="BS199" i="4"/>
  <c r="BS198" i="4"/>
  <c r="BS201" i="4" s="1"/>
  <c r="BR199" i="4"/>
  <c r="BR202" i="4"/>
  <c r="BR200" i="4"/>
  <c r="BR204" i="4"/>
  <c r="BR198" i="4"/>
  <c r="BQ198" i="4"/>
  <c r="BQ203" i="4"/>
  <c r="BQ200" i="4"/>
  <c r="BQ202" i="4"/>
  <c r="BQ199" i="4"/>
  <c r="BP199" i="4"/>
  <c r="BP204" i="4"/>
  <c r="BP202" i="4"/>
  <c r="BP198" i="4"/>
  <c r="BP200" i="4"/>
  <c r="BO199" i="4"/>
  <c r="BO204" i="4"/>
  <c r="BO198" i="4"/>
  <c r="BO203" i="4"/>
  <c r="BO200" i="4"/>
  <c r="BN200" i="4"/>
  <c r="BN203" i="4"/>
  <c r="BN202" i="4"/>
  <c r="BN198" i="4"/>
  <c r="BN204" i="4"/>
  <c r="BM198" i="4"/>
  <c r="BM203" i="4"/>
  <c r="BM199" i="4"/>
  <c r="BM200" i="4"/>
  <c r="BM204" i="4"/>
  <c r="BL198" i="4"/>
  <c r="BL204" i="4"/>
  <c r="BL199" i="4"/>
  <c r="BL203" i="4"/>
  <c r="BL200" i="4"/>
  <c r="BK199" i="4"/>
  <c r="BK200" i="4"/>
  <c r="BK202" i="4"/>
  <c r="BK203" i="4"/>
  <c r="BK198" i="4"/>
  <c r="BJ204" i="4"/>
  <c r="BJ199" i="4"/>
  <c r="BJ203" i="4"/>
  <c r="BJ200" i="4"/>
  <c r="BJ198" i="4"/>
  <c r="BI202" i="4"/>
  <c r="BI204" i="4"/>
  <c r="BI198" i="4"/>
  <c r="BI199" i="4"/>
  <c r="BI203" i="4"/>
  <c r="BH204" i="4"/>
  <c r="BH198" i="4"/>
  <c r="BH202" i="4"/>
  <c r="BH203" i="4"/>
  <c r="BH199" i="4"/>
  <c r="BG198" i="4"/>
  <c r="BG203" i="4"/>
  <c r="BG202" i="4"/>
  <c r="BG200" i="4"/>
  <c r="BG204" i="4"/>
  <c r="BF199" i="4"/>
  <c r="BF200" i="4"/>
  <c r="BF198" i="4"/>
  <c r="BF203" i="4"/>
  <c r="BF202" i="4"/>
  <c r="BE199" i="4"/>
  <c r="BE198" i="4"/>
  <c r="BE203" i="4"/>
  <c r="BE202" i="4"/>
  <c r="BE200" i="4"/>
  <c r="BD198" i="4"/>
  <c r="BD200" i="4"/>
  <c r="BD203" i="4"/>
  <c r="BD202" i="4"/>
  <c r="BD199" i="4"/>
  <c r="BC200" i="4"/>
  <c r="BC203" i="4"/>
  <c r="BC202" i="4"/>
  <c r="BC198" i="4"/>
  <c r="BC199" i="4"/>
  <c r="BB204" i="4"/>
  <c r="BB202" i="4"/>
  <c r="BB199" i="4"/>
  <c r="BB198" i="4"/>
  <c r="BA202" i="4"/>
  <c r="BA199" i="4"/>
  <c r="BA204" i="4"/>
  <c r="BA198" i="4"/>
  <c r="BA203" i="4"/>
  <c r="AZ204" i="4"/>
  <c r="AZ202" i="4"/>
  <c r="AZ198" i="4"/>
  <c r="AZ199" i="4"/>
  <c r="AZ200" i="4"/>
  <c r="AY204" i="4"/>
  <c r="AY199" i="4"/>
  <c r="AY198" i="4"/>
  <c r="AY203" i="4"/>
  <c r="AY200" i="4"/>
  <c r="AX200" i="4"/>
  <c r="AX203" i="4"/>
  <c r="AX202" i="4"/>
  <c r="AX204" i="4"/>
  <c r="AX198" i="4"/>
  <c r="AW198" i="4"/>
  <c r="AW203" i="4"/>
  <c r="AW200" i="4"/>
  <c r="AW199" i="4"/>
  <c r="AW204" i="4"/>
  <c r="AV198" i="4"/>
  <c r="AV203" i="4"/>
  <c r="AV202" i="4"/>
  <c r="AV199" i="4"/>
  <c r="AV200" i="4"/>
  <c r="AU200" i="4"/>
  <c r="AU199" i="4"/>
  <c r="AU203" i="4"/>
  <c r="AU204" i="4"/>
  <c r="AU202" i="4"/>
  <c r="AQ198" i="4"/>
  <c r="AQ203" i="4"/>
  <c r="AQ200" i="4"/>
  <c r="AQ202" i="4"/>
  <c r="AQ199" i="4"/>
  <c r="AP200" i="4"/>
  <c r="AP203" i="4"/>
  <c r="AP199" i="4"/>
  <c r="AP204" i="4"/>
  <c r="AP202" i="4"/>
  <c r="AO200" i="4"/>
  <c r="AO202" i="4"/>
  <c r="AO203" i="4"/>
  <c r="AO199" i="4"/>
  <c r="AO204" i="4"/>
  <c r="AN199" i="4"/>
  <c r="AN198" i="4"/>
  <c r="AN204" i="4"/>
  <c r="AN203" i="4"/>
  <c r="AN200" i="4"/>
  <c r="AM202" i="4"/>
  <c r="AM198" i="4"/>
  <c r="AM200" i="4"/>
  <c r="AM204" i="4"/>
  <c r="AM203" i="4"/>
  <c r="AL202" i="4"/>
  <c r="AL204" i="4"/>
  <c r="AL199" i="4"/>
  <c r="AL198" i="4"/>
  <c r="AK200" i="4"/>
  <c r="AK203" i="4"/>
  <c r="AK198" i="4"/>
  <c r="AK204" i="4"/>
  <c r="AK199" i="4"/>
  <c r="AJ204" i="4"/>
  <c r="AJ203" i="4"/>
  <c r="AJ199" i="4"/>
  <c r="AJ198" i="4"/>
  <c r="AI203" i="4"/>
  <c r="AI200" i="4"/>
  <c r="AI199" i="4"/>
  <c r="AI204" i="4"/>
  <c r="AI198" i="4"/>
  <c r="AH198" i="4"/>
  <c r="AH204" i="4"/>
  <c r="AH199" i="4"/>
  <c r="AH202" i="4"/>
  <c r="AH203" i="4"/>
  <c r="AG200" i="4"/>
  <c r="AG202" i="4"/>
  <c r="AG203" i="4"/>
  <c r="AG199" i="4"/>
  <c r="AG204" i="4"/>
  <c r="AF198" i="4"/>
  <c r="AF203" i="4"/>
  <c r="AF202" i="4"/>
  <c r="AF200" i="4"/>
  <c r="AF199" i="4"/>
  <c r="AE199" i="4"/>
  <c r="AE204" i="4"/>
  <c r="AE198" i="4"/>
  <c r="AE202" i="4"/>
  <c r="AE203" i="4"/>
  <c r="AD202" i="4"/>
  <c r="AD204" i="4"/>
  <c r="AD199" i="4"/>
  <c r="AD198" i="4"/>
  <c r="AD203" i="4"/>
  <c r="AC200" i="4"/>
  <c r="AC198" i="4"/>
  <c r="AC203" i="4"/>
  <c r="AC204" i="4"/>
  <c r="AC199" i="4"/>
  <c r="AB199" i="4"/>
  <c r="AB198" i="4"/>
  <c r="AB203" i="4"/>
  <c r="AB200" i="4"/>
  <c r="AA203" i="4"/>
  <c r="AA198" i="4"/>
  <c r="AA200" i="4"/>
  <c r="AA202" i="4"/>
  <c r="AA199" i="4"/>
  <c r="Z198" i="4"/>
  <c r="Z204" i="4"/>
  <c r="Z202" i="4"/>
  <c r="Z200" i="4"/>
  <c r="Z199" i="4"/>
  <c r="Y202" i="4"/>
  <c r="Y203" i="4"/>
  <c r="Y199" i="4"/>
  <c r="Y200" i="4"/>
  <c r="Y204" i="4"/>
  <c r="X200" i="4"/>
  <c r="X202" i="4"/>
  <c r="X204" i="4"/>
  <c r="X199" i="4"/>
  <c r="X198" i="4"/>
  <c r="W198" i="4"/>
  <c r="W204" i="4"/>
  <c r="W202" i="4"/>
  <c r="W203" i="4"/>
  <c r="W199" i="4"/>
  <c r="AT202" i="4"/>
  <c r="AT198" i="4"/>
  <c r="AT199" i="4"/>
  <c r="AT204" i="4"/>
  <c r="AT200" i="4"/>
  <c r="V203" i="4"/>
  <c r="V204" i="4"/>
  <c r="V200" i="4"/>
  <c r="V202" i="4"/>
  <c r="V198" i="4"/>
  <c r="U199" i="4"/>
  <c r="U198" i="4"/>
  <c r="U200" i="4"/>
  <c r="U203" i="4"/>
  <c r="U204" i="4"/>
  <c r="T199" i="4"/>
  <c r="T200" i="4"/>
  <c r="T202" i="4"/>
  <c r="T204" i="4"/>
  <c r="T198" i="4"/>
  <c r="S198" i="4"/>
  <c r="S204" i="4"/>
  <c r="S203" i="4"/>
  <c r="S200" i="4"/>
  <c r="S202" i="4"/>
  <c r="R198" i="4"/>
  <c r="R200" i="4"/>
  <c r="R203" i="4"/>
  <c r="R202" i="4"/>
  <c r="R204" i="4"/>
  <c r="Q199" i="4"/>
  <c r="Q204" i="4"/>
  <c r="Q202" i="4"/>
  <c r="Q198" i="4"/>
  <c r="Q200" i="4"/>
  <c r="P199" i="4"/>
  <c r="P204" i="4"/>
  <c r="P198" i="4"/>
  <c r="P203" i="4"/>
  <c r="P200" i="4"/>
  <c r="AS198" i="4"/>
  <c r="AS202" i="4"/>
  <c r="AS199" i="4"/>
  <c r="AS203" i="4"/>
  <c r="AS204" i="4"/>
  <c r="O204" i="4"/>
  <c r="O200" i="4"/>
  <c r="O198" i="4"/>
  <c r="O203" i="4"/>
  <c r="O199" i="4"/>
  <c r="N199" i="4"/>
  <c r="N202" i="4"/>
  <c r="N203" i="4"/>
  <c r="N200" i="4"/>
  <c r="N204" i="4"/>
  <c r="L199" i="4"/>
  <c r="L202" i="4"/>
  <c r="L204" i="4"/>
  <c r="L203" i="4"/>
  <c r="L200" i="4"/>
  <c r="L198" i="4"/>
  <c r="I206" i="4"/>
  <c r="I201" i="4"/>
  <c r="AR201" i="4"/>
  <c r="K206" i="4" l="1"/>
  <c r="AB205" i="4"/>
  <c r="CE205" i="4"/>
  <c r="AR206" i="4"/>
  <c r="D206" i="4"/>
  <c r="Y201" i="4"/>
  <c r="J206" i="4"/>
  <c r="AR205" i="4"/>
  <c r="I205" i="4"/>
  <c r="CK205" i="4"/>
  <c r="CK201" i="4"/>
  <c r="CK206" i="4"/>
  <c r="CJ201" i="4"/>
  <c r="CJ205" i="4"/>
  <c r="CJ206" i="4"/>
  <c r="CI205" i="4"/>
  <c r="CI201" i="4"/>
  <c r="CI206" i="4"/>
  <c r="CH205" i="4"/>
  <c r="CH206" i="4"/>
  <c r="CH201" i="4"/>
  <c r="CG201" i="4"/>
  <c r="CG205" i="4"/>
  <c r="CG206" i="4"/>
  <c r="CF205" i="4"/>
  <c r="CF206" i="4"/>
  <c r="CF201" i="4"/>
  <c r="CE206" i="4"/>
  <c r="CE201" i="4"/>
  <c r="CD201" i="4"/>
  <c r="CD205" i="4"/>
  <c r="CD206" i="4"/>
  <c r="CC205" i="4"/>
  <c r="CC201" i="4"/>
  <c r="CC206" i="4"/>
  <c r="CB201" i="4"/>
  <c r="CB205" i="4"/>
  <c r="CB206" i="4"/>
  <c r="CA201" i="4"/>
  <c r="CA206" i="4"/>
  <c r="CA205" i="4"/>
  <c r="BZ205" i="4"/>
  <c r="BZ206" i="4"/>
  <c r="BZ201" i="4"/>
  <c r="BY205" i="4"/>
  <c r="BY206" i="4"/>
  <c r="BY201" i="4"/>
  <c r="BX201" i="4"/>
  <c r="BX205" i="4"/>
  <c r="BX206" i="4"/>
  <c r="BW201" i="4"/>
  <c r="BW205" i="4"/>
  <c r="BW206" i="4"/>
  <c r="BV201" i="4"/>
  <c r="BV206" i="4"/>
  <c r="BV205" i="4"/>
  <c r="BU201" i="4"/>
  <c r="BU206" i="4"/>
  <c r="BU205" i="4"/>
  <c r="BT201" i="4"/>
  <c r="BT206" i="4"/>
  <c r="BT205" i="4"/>
  <c r="BS206" i="4"/>
  <c r="BS205" i="4"/>
  <c r="BR205" i="4"/>
  <c r="BR206" i="4"/>
  <c r="BR201" i="4"/>
  <c r="BQ201" i="4"/>
  <c r="BQ205" i="4"/>
  <c r="BQ206" i="4"/>
  <c r="BP201" i="4"/>
  <c r="BP206" i="4"/>
  <c r="BP205" i="4"/>
  <c r="BO205" i="4"/>
  <c r="BO201" i="4"/>
  <c r="BO206" i="4"/>
  <c r="BN201" i="4"/>
  <c r="BN205" i="4"/>
  <c r="BN206" i="4"/>
  <c r="BM205" i="4"/>
  <c r="BM201" i="4"/>
  <c r="BM206" i="4"/>
  <c r="BL201" i="4"/>
  <c r="BL205" i="4"/>
  <c r="BL206" i="4"/>
  <c r="BK201" i="4"/>
  <c r="BK205" i="4"/>
  <c r="BK206" i="4"/>
  <c r="BJ205" i="4"/>
  <c r="BJ201" i="4"/>
  <c r="BJ206" i="4"/>
  <c r="BI206" i="4"/>
  <c r="BI205" i="4"/>
  <c r="BI201" i="4"/>
  <c r="BH205" i="4"/>
  <c r="BH201" i="4"/>
  <c r="BH206" i="4"/>
  <c r="BG201" i="4"/>
  <c r="BG205" i="4"/>
  <c r="BG206" i="4"/>
  <c r="BF201" i="4"/>
  <c r="BF206" i="4"/>
  <c r="BF205" i="4"/>
  <c r="BE205" i="4"/>
  <c r="BE201" i="4"/>
  <c r="BE206" i="4"/>
  <c r="BD206" i="4"/>
  <c r="BD205" i="4"/>
  <c r="BD201" i="4"/>
  <c r="BC205" i="4"/>
  <c r="BC201" i="4"/>
  <c r="BC206" i="4"/>
  <c r="BB205" i="4"/>
  <c r="BB206" i="4"/>
  <c r="BB201" i="4"/>
  <c r="BA201" i="4"/>
  <c r="BA205" i="4"/>
  <c r="BA206" i="4"/>
  <c r="AZ205" i="4"/>
  <c r="AZ201" i="4"/>
  <c r="AZ206" i="4"/>
  <c r="AY205" i="4"/>
  <c r="AY201" i="4"/>
  <c r="AY206" i="4"/>
  <c r="AX205" i="4"/>
  <c r="AX206" i="4"/>
  <c r="AX201" i="4"/>
  <c r="AW201" i="4"/>
  <c r="AW206" i="4"/>
  <c r="AW205" i="4"/>
  <c r="AV206" i="4"/>
  <c r="AV201" i="4"/>
  <c r="AV205" i="4"/>
  <c r="AU201" i="4"/>
  <c r="AU206" i="4"/>
  <c r="AU205" i="4"/>
  <c r="AQ201" i="4"/>
  <c r="AQ206" i="4"/>
  <c r="AQ205" i="4"/>
  <c r="AP201" i="4"/>
  <c r="AP205" i="4"/>
  <c r="AP206" i="4"/>
  <c r="AO205" i="4"/>
  <c r="AO206" i="4"/>
  <c r="AO201" i="4"/>
  <c r="AN201" i="4"/>
  <c r="AN205" i="4"/>
  <c r="AN206" i="4"/>
  <c r="AM201" i="4"/>
  <c r="AM206" i="4"/>
  <c r="AM205" i="4"/>
  <c r="AL201" i="4"/>
  <c r="AL206" i="4"/>
  <c r="AL205" i="4"/>
  <c r="AK206" i="4"/>
  <c r="AK201" i="4"/>
  <c r="AK205" i="4"/>
  <c r="AJ201" i="4"/>
  <c r="AJ205" i="4"/>
  <c r="AJ206" i="4"/>
  <c r="AI205" i="4"/>
  <c r="AI206" i="4"/>
  <c r="AI201" i="4"/>
  <c r="AH201" i="4"/>
  <c r="AH206" i="4"/>
  <c r="AH205" i="4"/>
  <c r="AG205" i="4"/>
  <c r="AG206" i="4"/>
  <c r="AG201" i="4"/>
  <c r="AF201" i="4"/>
  <c r="AF206" i="4"/>
  <c r="AF205" i="4"/>
  <c r="AE205" i="4"/>
  <c r="AE206" i="4"/>
  <c r="AE201" i="4"/>
  <c r="AD201" i="4"/>
  <c r="AD205" i="4"/>
  <c r="AD206" i="4"/>
  <c r="AC201" i="4"/>
  <c r="AC206" i="4"/>
  <c r="AC205" i="4"/>
  <c r="AB201" i="4"/>
  <c r="AB206" i="4"/>
  <c r="AA201" i="4"/>
  <c r="AA205" i="4"/>
  <c r="AA206" i="4"/>
  <c r="Z205" i="4"/>
  <c r="Z201" i="4"/>
  <c r="Z206" i="4"/>
  <c r="Y205" i="4"/>
  <c r="Y206" i="4"/>
  <c r="X206" i="4"/>
  <c r="X201" i="4"/>
  <c r="X205" i="4"/>
  <c r="W201" i="4"/>
  <c r="W206" i="4"/>
  <c r="W205" i="4"/>
  <c r="AT206" i="4"/>
  <c r="AT205" i="4"/>
  <c r="AT201" i="4"/>
  <c r="V205" i="4"/>
  <c r="V206" i="4"/>
  <c r="V201" i="4"/>
  <c r="U205" i="4"/>
  <c r="U206" i="4"/>
  <c r="U201" i="4"/>
  <c r="T201" i="4"/>
  <c r="T206" i="4"/>
  <c r="T205" i="4"/>
  <c r="S201" i="4"/>
  <c r="S206" i="4"/>
  <c r="S205" i="4"/>
  <c r="R201" i="4"/>
  <c r="R205" i="4"/>
  <c r="R206" i="4"/>
  <c r="Q201" i="4"/>
  <c r="Q205" i="4"/>
  <c r="Q206" i="4"/>
  <c r="P205" i="4"/>
  <c r="P206" i="4"/>
  <c r="P201" i="4"/>
  <c r="AS205" i="4"/>
  <c r="AS201" i="4"/>
  <c r="AS206" i="4"/>
  <c r="O205" i="4"/>
  <c r="O206" i="4"/>
  <c r="O201" i="4"/>
  <c r="N206" i="4"/>
  <c r="N201" i="4"/>
  <c r="N205" i="4"/>
  <c r="M205" i="4"/>
  <c r="M206" i="4"/>
  <c r="M201" i="4"/>
  <c r="L205" i="4"/>
  <c r="L201" i="4"/>
  <c r="L206" i="4"/>
</calcChain>
</file>

<file path=xl/sharedStrings.xml><?xml version="1.0" encoding="utf-8"?>
<sst xmlns="http://schemas.openxmlformats.org/spreadsheetml/2006/main" count="6711" uniqueCount="724">
  <si>
    <t>UID</t>
  </si>
  <si>
    <t>Watershed (HUC 8)</t>
  </si>
  <si>
    <t>Site #</t>
  </si>
  <si>
    <t>Upper Iowa River</t>
  </si>
  <si>
    <t>14b</t>
  </si>
  <si>
    <t>32b</t>
  </si>
  <si>
    <t>57b</t>
  </si>
  <si>
    <t>201_NCT</t>
  </si>
  <si>
    <t>202_CWT</t>
  </si>
  <si>
    <t>Yellow River</t>
  </si>
  <si>
    <t>Little Maquoketa</t>
  </si>
  <si>
    <t>28b</t>
  </si>
  <si>
    <t>Macrohabitat</t>
  </si>
  <si>
    <t>T1: BKT</t>
  </si>
  <si>
    <t>T2: BKT</t>
  </si>
  <si>
    <t>T3: BKT</t>
  </si>
  <si>
    <t>HUC8</t>
  </si>
  <si>
    <t>ph</t>
  </si>
  <si>
    <t>Year</t>
  </si>
  <si>
    <t>Date</t>
  </si>
  <si>
    <t>JD</t>
  </si>
  <si>
    <t>Bank</t>
  </si>
  <si>
    <t>bnkahz%</t>
  </si>
  <si>
    <t>bnkamd%</t>
  </si>
  <si>
    <t>bnkavr%</t>
  </si>
  <si>
    <t>bnkbare%</t>
  </si>
  <si>
    <t>Canopy/Shade</t>
  </si>
  <si>
    <t>chshdav%</t>
  </si>
  <si>
    <t>chshdsd%</t>
  </si>
  <si>
    <t>Dimension</t>
  </si>
  <si>
    <t>dpthv</t>
  </si>
  <si>
    <t>dpthcv</t>
  </si>
  <si>
    <t>maxdep</t>
  </si>
  <si>
    <t>strwdtav</t>
  </si>
  <si>
    <t>strwdtsd</t>
  </si>
  <si>
    <t>thwgdpav</t>
  </si>
  <si>
    <t>thwgwdr</t>
  </si>
  <si>
    <t>Instream Cover</t>
  </si>
  <si>
    <t>cvrdpl%</t>
  </si>
  <si>
    <t>cvrovhg%</t>
  </si>
  <si>
    <t>cvrwdbrs%</t>
  </si>
  <si>
    <t>rchmxhb%</t>
  </si>
  <si>
    <t>rchpool%</t>
  </si>
  <si>
    <t>Substrate</t>
  </si>
  <si>
    <t>embdrtg</t>
  </si>
  <si>
    <t>subclay%</t>
  </si>
  <si>
    <t>subfines%</t>
  </si>
  <si>
    <t>subrock%</t>
  </si>
  <si>
    <t>subsilt%</t>
  </si>
  <si>
    <t>substrmx</t>
  </si>
  <si>
    <t>sdwid</t>
  </si>
  <si>
    <t>avwid</t>
  </si>
  <si>
    <t>t3_avwid</t>
  </si>
  <si>
    <t>t2_avwid</t>
  </si>
  <si>
    <t>t1_avwid</t>
  </si>
  <si>
    <t>effsec</t>
  </si>
  <si>
    <t>t3_eff</t>
  </si>
  <si>
    <t>t2_eff</t>
  </si>
  <si>
    <t>t1_eff</t>
  </si>
  <si>
    <t>do</t>
  </si>
  <si>
    <t>temp</t>
  </si>
  <si>
    <t>t1_avdep</t>
  </si>
  <si>
    <t>t2_avdep</t>
  </si>
  <si>
    <t>t3_avdep</t>
  </si>
  <si>
    <t>avdep</t>
  </si>
  <si>
    <t>t1_maxdep</t>
  </si>
  <si>
    <t>t2_maxdep</t>
  </si>
  <si>
    <t>t3_maxdep</t>
  </si>
  <si>
    <t>pctclay</t>
  </si>
  <si>
    <t>pctsilt</t>
  </si>
  <si>
    <t>pctfines</t>
  </si>
  <si>
    <t>pctrock</t>
  </si>
  <si>
    <t>subprop</t>
  </si>
  <si>
    <t>t1_flow</t>
  </si>
  <si>
    <t>t2_flow</t>
  </si>
  <si>
    <t>t3_flow</t>
  </si>
  <si>
    <t>t1_maxflow</t>
  </si>
  <si>
    <t>t2_maxflow</t>
  </si>
  <si>
    <t>t3_maxflow</t>
  </si>
  <si>
    <t>pctrun</t>
  </si>
  <si>
    <t>t1_pctslow</t>
  </si>
  <si>
    <t>t2_pctslow</t>
  </si>
  <si>
    <t>t3_pctslow</t>
  </si>
  <si>
    <t>pctslow</t>
  </si>
  <si>
    <t>machabprop</t>
  </si>
  <si>
    <t>t1_under</t>
  </si>
  <si>
    <t>t2_under</t>
  </si>
  <si>
    <t>t3_under</t>
  </si>
  <si>
    <t>under</t>
  </si>
  <si>
    <t>t1_boulder</t>
  </si>
  <si>
    <t>t2_boulder</t>
  </si>
  <si>
    <t>t3_boulder</t>
  </si>
  <si>
    <t>boulder</t>
  </si>
  <si>
    <t>t1_depool</t>
  </si>
  <si>
    <t>t2_depool</t>
  </si>
  <si>
    <t>t3_depool</t>
  </si>
  <si>
    <t>depool</t>
  </si>
  <si>
    <t>wid1</t>
  </si>
  <si>
    <t>wid2</t>
  </si>
  <si>
    <t>wid3</t>
  </si>
  <si>
    <t>wid4</t>
  </si>
  <si>
    <t>wid5</t>
  </si>
  <si>
    <t>wid6</t>
  </si>
  <si>
    <t>wid7</t>
  </si>
  <si>
    <t>wid8</t>
  </si>
  <si>
    <t>wid9</t>
  </si>
  <si>
    <t>wid10</t>
  </si>
  <si>
    <t>wid11</t>
  </si>
  <si>
    <t>wid12</t>
  </si>
  <si>
    <t>wid13</t>
  </si>
  <si>
    <t>wid14</t>
  </si>
  <si>
    <t>wid15</t>
  </si>
  <si>
    <t>wid16</t>
  </si>
  <si>
    <t>wid17</t>
  </si>
  <si>
    <t>wid18</t>
  </si>
  <si>
    <t>wid19</t>
  </si>
  <si>
    <t>wid20</t>
  </si>
  <si>
    <t>wid21</t>
  </si>
  <si>
    <t>wid22</t>
  </si>
  <si>
    <t>wid23</t>
  </si>
  <si>
    <t>wid24</t>
  </si>
  <si>
    <t>dep1</t>
  </si>
  <si>
    <t>dep2</t>
  </si>
  <si>
    <t>dep3</t>
  </si>
  <si>
    <t>dep4</t>
  </si>
  <si>
    <t>dep5</t>
  </si>
  <si>
    <t>dep6</t>
  </si>
  <si>
    <t>dep7</t>
  </si>
  <si>
    <t>dep8</t>
  </si>
  <si>
    <t>dep9</t>
  </si>
  <si>
    <t>dep10</t>
  </si>
  <si>
    <t>dep11</t>
  </si>
  <si>
    <t>dep12</t>
  </si>
  <si>
    <t>dep13</t>
  </si>
  <si>
    <t>dep14</t>
  </si>
  <si>
    <t>dep15</t>
  </si>
  <si>
    <t>dep16</t>
  </si>
  <si>
    <t>dep17</t>
  </si>
  <si>
    <t>dep18</t>
  </si>
  <si>
    <t>dep19</t>
  </si>
  <si>
    <t>dep20</t>
  </si>
  <si>
    <t>dep21</t>
  </si>
  <si>
    <t>dep22</t>
  </si>
  <si>
    <t>dep23</t>
  </si>
  <si>
    <t>dep24</t>
  </si>
  <si>
    <t>sub1</t>
  </si>
  <si>
    <t>sub2</t>
  </si>
  <si>
    <t>sub3</t>
  </si>
  <si>
    <t>sub4</t>
  </si>
  <si>
    <t>sub5</t>
  </si>
  <si>
    <t>sub6</t>
  </si>
  <si>
    <t>sub7</t>
  </si>
  <si>
    <t>sub8</t>
  </si>
  <si>
    <t>sub9</t>
  </si>
  <si>
    <t>sub10</t>
  </si>
  <si>
    <t>sub11</t>
  </si>
  <si>
    <t>sub12</t>
  </si>
  <si>
    <t>sub13</t>
  </si>
  <si>
    <t>sub14</t>
  </si>
  <si>
    <t>sub15</t>
  </si>
  <si>
    <t>sub16</t>
  </si>
  <si>
    <t>sub17</t>
  </si>
  <si>
    <t>sub18</t>
  </si>
  <si>
    <t>sub19</t>
  </si>
  <si>
    <t>sub20</t>
  </si>
  <si>
    <t>sub21</t>
  </si>
  <si>
    <t>sub22</t>
  </si>
  <si>
    <t>sub23</t>
  </si>
  <si>
    <t>sub24</t>
  </si>
  <si>
    <t>macro1</t>
  </si>
  <si>
    <t>macro2</t>
  </si>
  <si>
    <t>macro3</t>
  </si>
  <si>
    <t>macro4</t>
  </si>
  <si>
    <t>macro5</t>
  </si>
  <si>
    <t>macro6</t>
  </si>
  <si>
    <t>macro7</t>
  </si>
  <si>
    <t>macro8</t>
  </si>
  <si>
    <t>macro9</t>
  </si>
  <si>
    <t>macro10</t>
  </si>
  <si>
    <t>macro11</t>
  </si>
  <si>
    <t>macro12</t>
  </si>
  <si>
    <t>macro13</t>
  </si>
  <si>
    <t>macro14</t>
  </si>
  <si>
    <t>macro15</t>
  </si>
  <si>
    <t>macro16</t>
  </si>
  <si>
    <t>macro17</t>
  </si>
  <si>
    <t>macro18</t>
  </si>
  <si>
    <t>macro19</t>
  </si>
  <si>
    <t>macro20</t>
  </si>
  <si>
    <t>macro21</t>
  </si>
  <si>
    <t>macro22</t>
  </si>
  <si>
    <t>macro23</t>
  </si>
  <si>
    <t>macro24</t>
  </si>
  <si>
    <t>mWid</t>
  </si>
  <si>
    <t>%clay</t>
  </si>
  <si>
    <t>%grvl</t>
  </si>
  <si>
    <t>%cbbl</t>
  </si>
  <si>
    <t>%bldr</t>
  </si>
  <si>
    <t>%riffle</t>
  </si>
  <si>
    <t>%sand</t>
  </si>
  <si>
    <t>%silt</t>
  </si>
  <si>
    <t>%rock</t>
  </si>
  <si>
    <t>%fines</t>
  </si>
  <si>
    <t>sdWid</t>
  </si>
  <si>
    <t>macProp</t>
  </si>
  <si>
    <t>subProp</t>
  </si>
  <si>
    <t>sa</t>
  </si>
  <si>
    <t>co*3</t>
  </si>
  <si>
    <t>co,co,co</t>
  </si>
  <si>
    <t>si,si,si</t>
  </si>
  <si>
    <t>co,si,si</t>
  </si>
  <si>
    <t>co,co</t>
  </si>
  <si>
    <t>sa,co</t>
  </si>
  <si>
    <t>sa,de</t>
  </si>
  <si>
    <t>Co</t>
  </si>
  <si>
    <t>Si</t>
  </si>
  <si>
    <t>Sa</t>
  </si>
  <si>
    <t>Cl</t>
  </si>
  <si>
    <t>run</t>
  </si>
  <si>
    <t>riffle</t>
  </si>
  <si>
    <t>pool</t>
  </si>
  <si>
    <t>glide</t>
  </si>
  <si>
    <t>Run</t>
  </si>
  <si>
    <t>Riffle</t>
  </si>
  <si>
    <t>Pool</t>
  </si>
  <si>
    <t>Glide</t>
  </si>
  <si>
    <t>Responses</t>
  </si>
  <si>
    <t>sa,co,co,gr</t>
  </si>
  <si>
    <t>sa,co*4</t>
  </si>
  <si>
    <t>si,co*4</t>
  </si>
  <si>
    <t>de,sa,co*3</t>
  </si>
  <si>
    <t>sa,sa,co</t>
  </si>
  <si>
    <t>sa,sa,gr</t>
  </si>
  <si>
    <t>sa,gr,si</t>
  </si>
  <si>
    <t>co,sa,co</t>
  </si>
  <si>
    <t>Gr</t>
  </si>
  <si>
    <t>Rapid</t>
  </si>
  <si>
    <t>rapid</t>
  </si>
  <si>
    <t>co</t>
  </si>
  <si>
    <t>gr</t>
  </si>
  <si>
    <t>si</t>
  </si>
  <si>
    <t>bo</t>
  </si>
  <si>
    <t>cl</t>
  </si>
  <si>
    <t>de</t>
  </si>
  <si>
    <t>Bo</t>
  </si>
  <si>
    <t>Mu</t>
  </si>
  <si>
    <t>mu</t>
  </si>
  <si>
    <t>be</t>
  </si>
  <si>
    <t>De</t>
  </si>
  <si>
    <t>Be</t>
  </si>
  <si>
    <t>wo</t>
  </si>
  <si>
    <t>Hab_Master</t>
  </si>
  <si>
    <t>pctsand</t>
  </si>
  <si>
    <t>pctgrvl</t>
  </si>
  <si>
    <t>pctcbbl</t>
  </si>
  <si>
    <t>pctbldr</t>
  </si>
  <si>
    <t>sdFlow</t>
  </si>
  <si>
    <t>mFlow</t>
  </si>
  <si>
    <t>maxflow</t>
  </si>
  <si>
    <t xml:space="preserve"> </t>
  </si>
  <si>
    <t>flow1</t>
  </si>
  <si>
    <t>flow2</t>
  </si>
  <si>
    <t>flow3</t>
  </si>
  <si>
    <t>flow4</t>
  </si>
  <si>
    <t>flow5</t>
  </si>
  <si>
    <t>flow6</t>
  </si>
  <si>
    <t>flow7</t>
  </si>
  <si>
    <t>flow8</t>
  </si>
  <si>
    <t>flow9</t>
  </si>
  <si>
    <t>flow10</t>
  </si>
  <si>
    <t>flow11</t>
  </si>
  <si>
    <t>flow12</t>
  </si>
  <si>
    <t>flow13</t>
  </si>
  <si>
    <t>flow14</t>
  </si>
  <si>
    <t>flow15</t>
  </si>
  <si>
    <t>flow16</t>
  </si>
  <si>
    <t>flow17</t>
  </si>
  <si>
    <t>flow18</t>
  </si>
  <si>
    <t>flow19</t>
  </si>
  <si>
    <t>flow20</t>
  </si>
  <si>
    <t>flow21</t>
  </si>
  <si>
    <t>flow22</t>
  </si>
  <si>
    <t>flow23</t>
  </si>
  <si>
    <t>flow24</t>
  </si>
  <si>
    <t>embed1</t>
  </si>
  <si>
    <t>embed2</t>
  </si>
  <si>
    <t>embed3</t>
  </si>
  <si>
    <t>embed4</t>
  </si>
  <si>
    <t>embed5</t>
  </si>
  <si>
    <t>embed6</t>
  </si>
  <si>
    <t>embed7</t>
  </si>
  <si>
    <t>embed8</t>
  </si>
  <si>
    <t>embed9</t>
  </si>
  <si>
    <t>embed10</t>
  </si>
  <si>
    <t>embed11</t>
  </si>
  <si>
    <t>embed12</t>
  </si>
  <si>
    <t>undercut1</t>
  </si>
  <si>
    <t>undercut2</t>
  </si>
  <si>
    <t>undercut3</t>
  </si>
  <si>
    <t>undercut4</t>
  </si>
  <si>
    <t>undercut5</t>
  </si>
  <si>
    <t>undercut6</t>
  </si>
  <si>
    <t>undercut7</t>
  </si>
  <si>
    <t>undercut8</t>
  </si>
  <si>
    <t>undercut9</t>
  </si>
  <si>
    <t>undercut10</t>
  </si>
  <si>
    <t>undercut11</t>
  </si>
  <si>
    <t>undercut12</t>
  </si>
  <si>
    <t>boulder1</t>
  </si>
  <si>
    <t>boulder2</t>
  </si>
  <si>
    <t>boulder3</t>
  </si>
  <si>
    <t>boulder4</t>
  </si>
  <si>
    <t>boulder5</t>
  </si>
  <si>
    <t>boulder6</t>
  </si>
  <si>
    <t>boulder7</t>
  </si>
  <si>
    <t>boulder8</t>
  </si>
  <si>
    <t>boulder9</t>
  </si>
  <si>
    <t>boulder10</t>
  </si>
  <si>
    <t>boulder11</t>
  </si>
  <si>
    <t>boulder12</t>
  </si>
  <si>
    <t>depPool1</t>
  </si>
  <si>
    <t>depPool2</t>
  </si>
  <si>
    <t>depPool3</t>
  </si>
  <si>
    <t>depPool4</t>
  </si>
  <si>
    <t>depPool5</t>
  </si>
  <si>
    <t>depPool6</t>
  </si>
  <si>
    <t>depPool7</t>
  </si>
  <si>
    <t>depPool8</t>
  </si>
  <si>
    <t>depPool9</t>
  </si>
  <si>
    <t>depPool10</t>
  </si>
  <si>
    <t>depPool11</t>
  </si>
  <si>
    <t>depPool12</t>
  </si>
  <si>
    <t>t1TreeL</t>
  </si>
  <si>
    <t>t1TreeR</t>
  </si>
  <si>
    <t>t5TreeL</t>
  </si>
  <si>
    <t>t5TreeR</t>
  </si>
  <si>
    <t>t10TreeL</t>
  </si>
  <si>
    <t>t10TreeR</t>
  </si>
  <si>
    <t>t1ShrubL</t>
  </si>
  <si>
    <t>t1ShrubR</t>
  </si>
  <si>
    <t>t5ShrubL</t>
  </si>
  <si>
    <t>t5ShrubR</t>
  </si>
  <si>
    <t>t10ShrubL</t>
  </si>
  <si>
    <t>t10ShrubR</t>
  </si>
  <si>
    <t>T1HerbL</t>
  </si>
  <si>
    <t>T1HerbR</t>
  </si>
  <si>
    <t>t5HerbL</t>
  </si>
  <si>
    <t>t5HerbR</t>
  </si>
  <si>
    <t>t10HerbL</t>
  </si>
  <si>
    <t>t10HerbR</t>
  </si>
  <si>
    <t>CAFOL</t>
  </si>
  <si>
    <t>CAFOR</t>
  </si>
  <si>
    <t>RowCropL</t>
  </si>
  <si>
    <t>RowCropR</t>
  </si>
  <si>
    <t>PastureL</t>
  </si>
  <si>
    <t>PastureR</t>
  </si>
  <si>
    <t>ImperviousL</t>
  </si>
  <si>
    <t>ImperviousR</t>
  </si>
  <si>
    <t>LogMineL</t>
  </si>
  <si>
    <t>LogMineR</t>
  </si>
  <si>
    <t>LWD1</t>
  </si>
  <si>
    <t>LWD2</t>
  </si>
  <si>
    <t>LWD3</t>
  </si>
  <si>
    <t>LWD4</t>
  </si>
  <si>
    <t>LWD5</t>
  </si>
  <si>
    <t>LWD6</t>
  </si>
  <si>
    <t>LWD7</t>
  </si>
  <si>
    <t>LWD8</t>
  </si>
  <si>
    <t>LWD9</t>
  </si>
  <si>
    <t>LWD10</t>
  </si>
  <si>
    <t>LWD11</t>
  </si>
  <si>
    <t>LWD12</t>
  </si>
  <si>
    <t>LWD13</t>
  </si>
  <si>
    <t>LWD14</t>
  </si>
  <si>
    <t>LWD15</t>
  </si>
  <si>
    <t>LWD16</t>
  </si>
  <si>
    <t>LWD17</t>
  </si>
  <si>
    <t>LWD18</t>
  </si>
  <si>
    <t>LWD19</t>
  </si>
  <si>
    <t>LWD20</t>
  </si>
  <si>
    <t>LWD21</t>
  </si>
  <si>
    <t>LWD22</t>
  </si>
  <si>
    <t>LWD23</t>
  </si>
  <si>
    <t>LWD24</t>
  </si>
  <si>
    <t>FWD1</t>
  </si>
  <si>
    <t>FWD2</t>
  </si>
  <si>
    <t>FWD3</t>
  </si>
  <si>
    <t>FWD4</t>
  </si>
  <si>
    <t>FWD5</t>
  </si>
  <si>
    <t>FWD6</t>
  </si>
  <si>
    <t>FWD7</t>
  </si>
  <si>
    <t>FWD8</t>
  </si>
  <si>
    <t>FWD9</t>
  </si>
  <si>
    <t>FWD10</t>
  </si>
  <si>
    <t>FWD11</t>
  </si>
  <si>
    <t>FWD12</t>
  </si>
  <si>
    <t>FWD13</t>
  </si>
  <si>
    <t>FWD14</t>
  </si>
  <si>
    <t>FWD15</t>
  </si>
  <si>
    <t>FWD16</t>
  </si>
  <si>
    <t>FWD17</t>
  </si>
  <si>
    <t>FWD18</t>
  </si>
  <si>
    <t>FWD19</t>
  </si>
  <si>
    <t>FWD20</t>
  </si>
  <si>
    <t>FWD21</t>
  </si>
  <si>
    <t>FWD22</t>
  </si>
  <si>
    <t>FWD23</t>
  </si>
  <si>
    <t>FWD24</t>
  </si>
  <si>
    <t>BnAnL1</t>
  </si>
  <si>
    <t>BnAnL2</t>
  </si>
  <si>
    <t>BnAnL3</t>
  </si>
  <si>
    <t>BnAnL4</t>
  </si>
  <si>
    <t>BnAnL5</t>
  </si>
  <si>
    <t>BnAnL6</t>
  </si>
  <si>
    <t>BnAnL7</t>
  </si>
  <si>
    <t>BnAnL8</t>
  </si>
  <si>
    <t>BnAnL9</t>
  </si>
  <si>
    <t>BnAnL10</t>
  </si>
  <si>
    <t>BnAnL11</t>
  </si>
  <si>
    <t>BnAnL12</t>
  </si>
  <si>
    <t>BnAnR1</t>
  </si>
  <si>
    <t>BnAnR2</t>
  </si>
  <si>
    <t>BnAnR3</t>
  </si>
  <si>
    <t>BnAnR4</t>
  </si>
  <si>
    <t>BnAnR5</t>
  </si>
  <si>
    <t>BnAnR6</t>
  </si>
  <si>
    <t>BnAnR7</t>
  </si>
  <si>
    <t>BnAnR8</t>
  </si>
  <si>
    <t>BnAnR9</t>
  </si>
  <si>
    <t>BnAnR10</t>
  </si>
  <si>
    <t>BnAnR11</t>
  </si>
  <si>
    <t>BnAnR12</t>
  </si>
  <si>
    <t>BareBnL1</t>
  </si>
  <si>
    <t>BareBnL2</t>
  </si>
  <si>
    <t>BareBnL3</t>
  </si>
  <si>
    <t>BareBnL4</t>
  </si>
  <si>
    <t>BareBnL5</t>
  </si>
  <si>
    <t>BareBnL6</t>
  </si>
  <si>
    <t>BareBnL7</t>
  </si>
  <si>
    <t>BareBnL8</t>
  </si>
  <si>
    <t>BareBnL9</t>
  </si>
  <si>
    <t>BareBnL10</t>
  </si>
  <si>
    <t>BareBnL11</t>
  </si>
  <si>
    <t>BareBnL12</t>
  </si>
  <si>
    <t>BareBnR1</t>
  </si>
  <si>
    <t>BareBnR2</t>
  </si>
  <si>
    <t>BareBnR3</t>
  </si>
  <si>
    <t>BareBnR4</t>
  </si>
  <si>
    <t>BareBnR5</t>
  </si>
  <si>
    <t>BareBnR6</t>
  </si>
  <si>
    <t>BareBnR7</t>
  </si>
  <si>
    <t>BareBnR8</t>
  </si>
  <si>
    <t>BareBnR9</t>
  </si>
  <si>
    <t>BareBnR10</t>
  </si>
  <si>
    <t>BareBnR11</t>
  </si>
  <si>
    <t>BareBnR12</t>
  </si>
  <si>
    <t>CanopyL1</t>
  </si>
  <si>
    <t>CanopyL2</t>
  </si>
  <si>
    <t>CanopyL3</t>
  </si>
  <si>
    <t>CanopyL4</t>
  </si>
  <si>
    <t>CanopyL5</t>
  </si>
  <si>
    <t>CanopyL6</t>
  </si>
  <si>
    <t>CanopyL7</t>
  </si>
  <si>
    <t>CanopyL8</t>
  </si>
  <si>
    <t>CanopyL9</t>
  </si>
  <si>
    <t>CanopyL10</t>
  </si>
  <si>
    <t>CanopyL11</t>
  </si>
  <si>
    <t>CanopyL12</t>
  </si>
  <si>
    <t>CanopyR1</t>
  </si>
  <si>
    <t>CanopyM1</t>
  </si>
  <si>
    <t>CanopyM2</t>
  </si>
  <si>
    <t>CanopyM3</t>
  </si>
  <si>
    <t>CanopyM4</t>
  </si>
  <si>
    <t>CanopyM5</t>
  </si>
  <si>
    <t>CanopyM6</t>
  </si>
  <si>
    <t>CanopyM7</t>
  </si>
  <si>
    <t>CanopyM8</t>
  </si>
  <si>
    <t>CanopyM9</t>
  </si>
  <si>
    <t>CanopyM10</t>
  </si>
  <si>
    <t>CanopyM11</t>
  </si>
  <si>
    <t>CanopyM12</t>
  </si>
  <si>
    <t>CanopyR2</t>
  </si>
  <si>
    <t>CanopyR3</t>
  </si>
  <si>
    <t>CanopyR4</t>
  </si>
  <si>
    <t>CanopyR5</t>
  </si>
  <si>
    <t>CanopyR6</t>
  </si>
  <si>
    <t>CanopyR7</t>
  </si>
  <si>
    <t>CanopyR8</t>
  </si>
  <si>
    <t>CanopyR9</t>
  </si>
  <si>
    <t>CanopyR10</t>
  </si>
  <si>
    <t>CanopyR11</t>
  </si>
  <si>
    <t>CanopyR12</t>
  </si>
  <si>
    <t>AVEmbed</t>
  </si>
  <si>
    <t>t1_LWD</t>
  </si>
  <si>
    <t>t2_LWD</t>
  </si>
  <si>
    <t>t3_LWD</t>
  </si>
  <si>
    <t>LWD</t>
  </si>
  <si>
    <t>FWD</t>
  </si>
  <si>
    <t>Avbnka</t>
  </si>
  <si>
    <t>#Horizontal</t>
  </si>
  <si>
    <t>#Moderate</t>
  </si>
  <si>
    <t>#Vertical</t>
  </si>
  <si>
    <t>AvChnlOpen%</t>
  </si>
  <si>
    <t>sdDep</t>
  </si>
  <si>
    <t>#Embed&gt;1</t>
  </si>
  <si>
    <t>%Embed&gt;1</t>
  </si>
  <si>
    <t>AvChnlShd%</t>
  </si>
  <si>
    <t>pctRiffle</t>
  </si>
  <si>
    <t>pctRun</t>
  </si>
  <si>
    <t>pctSlow</t>
  </si>
  <si>
    <t>#Slow</t>
  </si>
  <si>
    <t>T1#Slow</t>
  </si>
  <si>
    <t>T2#Slow</t>
  </si>
  <si>
    <t>T3#Slow</t>
  </si>
  <si>
    <t>t1pctSlow</t>
  </si>
  <si>
    <t>t2pctSlow</t>
  </si>
  <si>
    <t>t3pctSlow</t>
  </si>
  <si>
    <t>AVembed</t>
  </si>
  <si>
    <t>pctEmb1</t>
  </si>
  <si>
    <t>chshdSD%</t>
  </si>
  <si>
    <t xml:space="preserve">W/D </t>
  </si>
  <si>
    <t>W/D</t>
  </si>
  <si>
    <t>extra1</t>
  </si>
  <si>
    <t>extra2</t>
  </si>
  <si>
    <t>extra3</t>
  </si>
  <si>
    <t>extra4</t>
  </si>
  <si>
    <t>extra5</t>
  </si>
  <si>
    <t>BRTcpue(fish/min)</t>
  </si>
  <si>
    <t>Encounter History</t>
  </si>
  <si>
    <t>BRTcpue.fish.min.</t>
  </si>
  <si>
    <t>W.D</t>
  </si>
  <si>
    <t>bnkahz.</t>
  </si>
  <si>
    <t>bnkamd.</t>
  </si>
  <si>
    <t>bnkavr.</t>
  </si>
  <si>
    <t>bnkbare.</t>
  </si>
  <si>
    <t>AvChnlOpen.</t>
  </si>
  <si>
    <t>chshdSD.</t>
  </si>
  <si>
    <t>AvChnlShd.</t>
  </si>
  <si>
    <t>/*8*/ 000  1 2.63188884013665 2.26176309847379 2.53686638871871 7.6657534318617 7.30518821539304 7.50163445788341 8.59987855803485 0 2.07166135436087 2.08106522279593 2.05412373369555 2.0690123461893 0.40212620684265 0.370183293963525 0.25619140536041 0.267734434642085 0.308219723669329 0.134530892957606 0.53062825106217 0.378436435720245 0.431782416425538 0.53062825106217 3.0049397543049 0 2.08168901422032 3.2410677523747 3.48366790902574 2.27952115339549 4.07575619741075 0 4.21459861646992 4.07575619741075 0.223943231484774 0.286681572118197 0.308954207727321 0.264669298142708 0.184818436992542 0.60431596685333 0.559615787935423 0.559615787935423 0.60431596685333 3.08342258668098 0.528272537369711 3.25809653802148 0 0 2.23355650658361 4.21459861646992 0.511025603768657 2.87169849263054 0.559615787935423 0 0.22314355131421 0.287432041196572 0.628608659422374 1.01160091167848 0 0.22314355131421 0.511025603768657 0 0 0.22314355131421 7.97349680188535E-02 1.17865499634165 0.22314355131421 0.810930216216329 0.810930216216329 1.64229224930505 4.08316564363067 3.53610699077653 3.93182563272433 1.01160091167848 4.3761217350185 2.52164029839965 3.1122255889898 0 0 0 0 0;</t>
  </si>
  <si>
    <t>/*11*/ 000  1 2.45100509811232 2.24601474150565 2.50470927708418 6.20859002609663 5.87773578177964 6.05678401322862 7.15383380157884 0 1.02532449289828 1.07772907775169 1.27759494419655 1.13269160232097 0.471876873627416 8.70947068509337E-02 0.133656384812674 8.15799869924228E-02 0.102556588325092 4.21011760186353E-02 0.122217632724249 0.215111379616945 0.139761942375159 0.215111379616945 3.02066875884402 1.39376637595859 2.31164393748239 0 2.57421400012358 0 4.48727589414297 0 4.48727589414297 4.48727589414297 0.383900930192324 0.193096629961913 0.309688152714396 0.288181947493432 0.173112617708645 0.524728528934982 0.364643113587909 0.500775287912489 0.524728528934982 4.43477324748243 0.154436353304419 0 0 0 0 4.43477324748243 0.459321780898875 2.23355650658361 0.318453731118535 0.693147180559945 0.405465108108164 0.485507815781701 0.773343722554222 0.405465108108164 0.22314355131421 0 0.22314355131421 0.22314355131421 0 0.559615787935423 0.287432041196572 0.22314355131421 0.22314355131421 0 0.154436353304419 3.75342578772099 4.08316564363067 0 3.10606540523834 0.348541960708543 2.4879021587678 2.37704300391206 4.49940959030893 0 0 0 0 0;</t>
  </si>
  <si>
    <t>/*13*/ 000  1 2.82731362192903 2.2082744135228 2.37397508908072 6.96129604591017 6.45204895443723 6.39692965521615 7.73499619402278 0 1.76215899945176 1.22023977678981 1.56087772181872 1.53858617146215 0.914288729203482 0.375005900623456 0.285178942233662 0.427878702945064 0.363948427905231 0.189793571632656 0.576613364303994 0.378436435720245 0.631271776841858 0.631271776841858 2.23280619838613 0 3.65065824129374 1.98100146886658 3.80109144472086 1.98100146886658 3.93182563272433 0 4.04742764243435 3.93182563272433 8.89262091944015E-02 0.249980205267769 0.151862349309246 0.155292884406035 0.143234168085908 0.254642218373581 0.357674444271816 0.470003629245736 0.470003629245736 3.25809653802148 0.25619140536041 4.15103990589865 2.60268968544438 4.15103990589865 3.84658808264264 3.65065824129374 0.559615787935423 2.87169849263054 0.559615787935423 0 0 0.22314355131421 0.671923544108319 0.22314355131421 0.405465108108164 0 0.22314355131421 0 0 0 0 1.25276296849537 0 1.25276296849537 0.980954245199877 0 4.43477324748243 2.87169849263054 3.81496129258501 1.31049264770361 3.65164476750371 2.81337071596002 4.15044130157397 0 0 0 0 0;</t>
  </si>
  <si>
    <t>/*16*/ 000  1 2.74727091425549 2.20386912005489 2.4466854369678 6.25190388316589 5.78074351579233 5.76205138278018 7.05531284333975 0 1.03425152950772 0.945849534115699 0.799756915618204 0.931376369292196 0.482426149244293 0.236651901339002 0.264669298142708 0.244513577050402 0.248421358498478 0.1016536537265 0.350656871613169 0.405465108108164 0.364643113587909 0.405465108108164 1.86377000520433 0 4.12892310690851 0 4.12892310690851 1.32919476907932 3.61391342162402 0 3.6861005966635 4.12892310690851 0.232697764119021 0.186479566942618 0.216722983511287 0.207014169384326 0.14583044821154 0.476234178996372 0.431782416425538 0.378436435720245 0.476234178996372 2.60268968544438 0.605953968857568 2.60268968544438 0 0 1.64229224930505 4.43477324748243 0.847154993039293 3.53610699077653 0.117783035656383 0 0 4.11419433311752E-02 4.11419433311752E-02 0.405465108108164 0.22314355131421 0.405465108108164 0.348541960708543 0 0 0 0 0.559615787935423 0.405465108108164 0 0.348541960708543 3.08342258668098 3.40674861170048 3.93182563272433 3.91949502026685 0.864997437486605 4.37664970486106 2.81869672118927 3.11035476439069 0 0 0 0 0;</t>
  </si>
  <si>
    <t>/*27*/ 000  1 2.47653840011748 2.41591377830105 2.61739583283408 7.40488757561612 7.54802896993501 7.47929963778283 8.57734711423598 0 1.5993875765806 1.58841854521003 1.66544010254939 1.61839765380557 0.571544358800696 0.306749135169007 0.271552690521897 0.394741144745189 0.3293037471426 0.136277618292548 0.482426149244293 0.392042087776024 0.542324290825362 0.542324290825362 2.43106625464259 0 3.40674861170048 1.64229224930505 3.53610699077653 1.64229224930505 4.15103990589865 0 4.21459861646992 4.15103990589865 0.348541960708543 0.453620149995211 0.195566783543975 0.341459778132252 0.281412459438185 0.765467842139571 0.900161349944271 0.336472236621213 0.900161349944271 2.87169849263054 0.538829820175588 2.60268968544438 0 2.60268968544438 2.23355650658361 4.15103990589865 0.773343722554222 3.53610699077653 0.117783035656383 0.117783035656383 0.693147180559945 0.348541960708543 0.535323095366378 0.693147180559945 0.559615787935423 0.405465108108164 0.559615787935423 0.405465108108164 0.810930216216329 0 0.459321780898875 0.559615787935423 0.22314355131421 1.25276296849537 0.773343722554222 2.60268968544438 4.01036494842683 3.53610699077653 3.72870094830061 0.829424798852493 3.5914044327301 2.69658472299293 4.18532720993397 0 0 0 0 0;</t>
  </si>
  <si>
    <t>/*29*/ 000  1 2.72129542785223 2.34468626901268 2.48240351956988 5.81413053182507 5.8111409929767 5.38449506278909 6.78558764500793 0 0.945849534115699 1.01631704594128 0.771496146970922 0.916290731874155 0.436317571590929 0.2390169004705 0.146694379150803 0.121332285167525 0.167207918983906 0.123102197133983 0.518793793415168 0.246860077931526 0.165514438477573 0.518793793415168 2.22224234031151 0 3.00721608149528 0 3.00721608149528 2.16240306239418 4.30510509275765 0 4.40389819867511 4.30510509275765 9.07543632684641E-02 9.44006754214843E-02 0.179818426575836 0.121332285167525 0.114221144090023 0.246860077931526 0.27002713721306 0.398776119957368 0.398776119957368 3.40674861170048 0.287432041196572 4.15103990589865 3.93182563272433 0 3.65065824129374 3.53610699077653 1.01160091167848 4.08316564363067 0.318453731118535 0.117783035656383 0 0.154436353304419 0.188966099512623 0 0 0 0 0.405465108108164 0 0.22314355131421 0.22314355131421 1.09861228866811 0 0 0.511025603768657 2.23355650658361 4.33073334028633 2.87169849263054 3.65065824129374 0.459321780898875 3.97080121779696 2.67263025587095 3.89126912583493 0 0 0 0 0;</t>
  </si>
  <si>
    <t>/*32*/ 000  1 2.79116510781272 2.2321626286975 2.4748563139345 5.99396142730657 5.98393628068719 6.07764224334903 7.11639414409346 0 1.05605267424931 1.03425152950772 1.11119940417358 1.06746555967127 0.424613926946925 0.260824618281898 0.266203040774657 0.237440856015034 0.254642218373581 0.107957141505092 0.405465108108164 0.444685821261446 0.322083499169113 0.444685821261446 2.02551319965428 0 2.87169849263054 0 2.87169849263054 3.08342258668098 4.15103990589865 0 4.43477324748243 4.15103990589865 0.34571510370239 0.389335726178281 0.336472236621213 0.357674444271816 0.20375683751402 0.688134638736401 0.667829372575655 0.60431596685333 0.688134638736401 3.08342258668098 0.583332314552739 0 0 0 0 4.38411195887322 0.882527101721346 3.75342578772099 0.485507815781701 0.117783035656383 0.318453731118535 0.318453731118535 0.25619140536041 0.810930216216329 0.693147180559945 1.09861228866811 0.882527101721346 0.22314355131421 0 0 7.97349680188535E-02 0 0 0.22314355131421 7.97349680188535E-02 1.64229224930505 3.84658808264264 3.93182563272433 3.9440060512812 0.25619140536041 4.08316564363067 2.8269585293053 3.75342578772099 0 0 0 0 0;</t>
  </si>
  <si>
    <t>/*36*/ 000  1 3.03013370027132 2.27418561847235 2.53844741671603 5.88887795833288 5.63835466933375 5.25227342804663 6.72262979485545 0 1.20537182523964 1.35789488659819 1.06471073699243 1.21639532432449 0.642380063506292 0.219135529916671 0.242946178610389 0.206200830583898 0.223943231484774 0.126632650933366 0.405465108108164 0.482426149244293 0.392042087776024 0.482426149244293 2.34927782098603 0 2.54670705069345 3.87242942276767 4.09140691823476 3.19985609103095 2.92568527524196 0 3.74185133888004 3.87242942276767 0.279901885132819 0.239803992207317 0.286681572118197 0.271552690521897 0.17898265552844 0.494696241836107 0.60431596685333 0.494696241836107 0.60431596685333 2.60268968544438 0.583332314552739 0 3.25809653802148 0 2.23355650658361 4.38411195887322 0.405465108108164 3.25809653802148 0 0 0 0 0.511025603768657 0.22314355131421 0.405465108108164 0.693147180559945 0.459321780898875 0.22314355131421 0 0 7.97349680188535E-02 0 0.405465108108164 0 0.154436353304419 1.64229224930505 4.08316564363067 3.65065824129374 3.86859344750081 0.650761464063507 4.5010755354515 2.42921774392741 2.47536123694447 0 0 0 0 0;</t>
  </si>
  <si>
    <t>/*41*/ 000  1 3.12236492448736 2.29455292129678 2.77570884957602 5.56452040732269 5.34233425196481 5.97126183979046 6.75693238924755 0 1.34807314829969 1.13943428318836 1.43222329300829 1.31399244936449 0.656483196188354 0.24059046491793 0.131028262406404 0.29266961396282 0.226338442210729 0.135404637006203 0.336472236621213 0.215111379616945 0.56531380905006 0.56531380905006 2.46163802284865 0 4.11087386417331 0 4.11087386417331 0 3.71357206670431 0 3.71357206670431 4.11087386417331 7.04584636485614E-02 0.188137942115395 7.51074724868055E-02 0.10345870836823 0.146694379150803 0.262364264467491 0.444685821261446 0.451075619360217 0.451075619360217 2.87169849263054 0.25619140536041 3.93182563272433 3.25809653802148 4.48300255201388 4.01036494842683 3.65065824129374 0.559615787935423 3.25809653802148 0 0 0 0 0.117783035656383 0 0 0 0 0 0 0 0 0.559615787935423 0.405465108108164 1.09861228866811 0.733809162278835 2.23355650658361 4.33073334028633 2.87169849263054 3.68782890247776 0.996210355050029 4.06916349702484 2.74932009530043 3.7725770131355 0 0 0 0 0;</t>
  </si>
  <si>
    <t>/*48*/ 000  1 2.77258872223978 2.25967759198277 2.71336936257981 6.54965074223381 6.40357419793482 6.49072353450251 7.58069975222456 0 1.62195919298777 1.50696212084486 1.33841628087543 1.49582118564713 0.717839793150317 0.165514438477573 0.231111720963387 0.198030850499135 0.198850858745165 0.124868982045869 0.364643113587909 0.431782416425538 0.506817602368452 0.506817602368452 2.81582779327564 0 2.49411413053891 0 2.49411413053891 2.03692540457676 4.42151173595047 0 4.49857557581545 4.42151173595047 0.244513577050402 0.143234168085908 0.246078522596706 0.210260925483196 0.186479566942618 0.476234178996372 0.482426149244293 0.56531380905006 0.56531380905006 3.75342578772099 0.377065633586466 0 3.25809653802148 2.60268968544438 2.60268968544438 3.84658808264264 0.980954245199877 3.93182563272433 0.485507815781701 0.559615787935423 0.117783035656383 0.405465108108164 0.154436353304419 0 0.405465108108164 0.22314355131421 0.22314355131421 0 0.22314355131421 0 7.97349680188535E-02 0.693147180559945 0.693147180559945 0.22314355131421 0.559615787935423 2.87169849263054 3.53610699077653 3.93182563272433 3.84213687796398 0.733809162278835 3.5534605670062 2.89309028158211 4.20567720915022 0 0 0 0 0;</t>
  </si>
  <si>
    <t>/*57*/ 000  1 2.72785282839839 2.18717424148272 2.2181159363676 5.24174701505964 4.78749174278205 4.58496747867057 6.00388706710654 0 0.648672690458116 0.705569700558502 0.648672690458116 0.667829372575655 0.263133199530368 0.209450224182207 0.199670195128568 0.176471143115779 0.194744076792512 8.06579030174545E-02 0.307484699747961 0.307484699747961 0.262364264467491 0.307484699747961 1.68824909285839 0 4.01036494842683 3.08342258668098 4.33073334028633 2.60268968544438 2.60268968544438 0 3.25809653802148 4.01036494842683 0.111541374732907 0.104360015324243 0.168898536461814 0.128393214768399 9.07543632684641E-02 0.22314355131421 0.22314355131421 0.314810739840034 0.314810739840034 2.23355650658361 0.459321780898875 3.65065824129374 3.25809653802148 3.65065824129374 3.53610699077653 4.08316564363067 0.348541960708543 2.23355650658361 0 0 0.318453731118535 0.117783035656383 0.377065633586466 1.09861228866811 1.01160091167848 0.916290731874155 1.01160091167848 0.22314355131421 0 0 7.97349680188535E-02 0 0.22314355131421 0.405465108108164 0.22314355131421 1.64229224930505 3.84658808264264 3.93182563272433 3.91036162610148 0.22314355131421 4.461138139682 2.42860081357691 2.7352761873558 0 0 0 0 0;</t>
  </si>
  <si>
    <t>/*75*/ 000  1 2.83907846350861 2.20055236742889 2.53844741671603 5.82600010738045 5.47227067367148 5.73979291217923 6.78671695060508 0 0.950885376638654 0.921477258561455 1.09861228866811 0.993251773010283 0.405465108108164 0.245296355955343 0.20375683751402 0.314810739840034 0.255417111864505 0.117783035656383 0.405465108108164 0.405465108108164 0.405465108108164 0.405465108108164 1.92234903893166 0 3.08342258668098 0 3.08342258668098 0 4.38411195887322 0 4.38411195887322 4.38411195887322 0.363948427905231 0.410784269585764 0.238229188732251 0.340037302785709 0.23031775506221 0.582215619852664 0.672944473242426 0.457424847038875 0.672944473242426 2.60268968544438 0.583332314552739 0 0 3.25809653802148 2.23355650658361 4.38411195887322 0.847154993039293 3.53610699077653 0 0 0.559615787935423 0.22314355131421 0.485507815781701 0.405465108108164 0.22314355131421 0.22314355131421 0.287432041196572 0 0 0 0 0.22314355131421 0.405465108108164 0.22314355131421 0.287432041196572 0 4.57298784527714 1.64229224930505 3.75342578772099 0.188966099512623 4.59484708566502 1.28037813552834 1.10757203003958 0 0 0 0 0;</t>
  </si>
  <si>
    <t>/*84*/ 000  1 2.8094026953625 2.19611284848353 2.44408465526775 4.81218435537242 4.95582705760126 5.12396397940326 6.06610809010375 0 1.06471073699243 1.17495585525544 1.16720508013372 1.1368710007852 0.304539189518204 0.219135529916671 0.136277618292548 0.1016536537265 0.151862349309246 0.093490343087339 0.392042087776024 0.231111720963387 0.182321556793955 0.392042087776024 2.63397299770589 0 4.20041482594917 2.89828481138803 4.42911296719382 0 2.89828481138803 0 2.89828481138803 4.20041482594917 0.17898265552844 0.153579087928301 0.248421358498478 0.189793571632656 0.118671529717499 0.444685821261446 0.322083499169113 0.378436435720245 0.444685821261446 2.23355650658361 0.559615787935423 3.25809653802148 3.25809653802148 0 2.87169849263054 4.33073334028633 0.22314355131421 2.23355650658361 0.693147180559945 0.405465108108164 0.628608659422374 0.583332314552739 1.04133622084838 0.693147180559945 0.405465108108164 0.22314355131421 0.459321780898875 0.405465108108164 0 0 0.154436353304419 0.693147180559945 0.22314355131421 0.22314355131421 0.405465108108164 3.08342258668098 3.93182563272433 3.40674861170048 3.6287843795626 0.583332314552739 3.59657226082875 2.68560007226462 4.18246227144492 0 0 0 0 0;</t>
  </si>
  <si>
    <t>/*96*/ 000  1 2.92316158071916 2.24812890719799 2.28340227357727 7.67182679787878 7.30114780585603 6.87729607149743 8.43315919580623 0 1.80828877117927 1.75353825640786 1.72952939269192 1.76438827243192 0.798407691217438 0.296394013053802 0.198030850499135 0.246078522596706 0.247641022914597 0.136277618292548 0.609765571620894 0.3293037471426 0.350656871613169 0.609765571620894 2.90213562481641 0 3.00315465936963 1.14039382268306 3.10355475608274 0 4.32370872534937 1.65918000432891 4.37855812634753 4.32370872534937 0.231111720963387 0.304539189518204 0.243730184922598 0.25619140536041 0.210260925483196 0.636576829071551 0.636576829071551 0.425267735404344 0.636576829071551 3.53610699077653 0.377065633586466 3.65065824129374 3.25809653802148 0 3.08342258668098 3.84658808264264 0.693147180559945 3.75342578772099 0 0 0.628608659422374 0.25619140536041 0.485507815781701 0 0 0 0 0.22314355131421 0.405465108108164 0.22314355131421 0.287432041196572 0.405465108108164 0 0.405465108108164 0.287432041196572 2.23355650658361 4.21459861646992 3.25809653802148 3.77276093809464 1.02675818490013 3.71393785345471 2.74618057646348 4.1106279322952 0 0 0 0 0;</t>
  </si>
  <si>
    <t>/*108*/ 000  1 2.92852352386054 2.1938856760707 2.58550584834412 6.98193467715639 6.60394382460047 6.23832462503951 7.75147531802146 0 1.48727027845989 1.27759494419655 1.35789488659819 1.37801014153219 0.724645847619316 0.263901543786378 0.3974329364109 0.257738196078709 0.307484699747961 0.249201085633499 0.832909122935104 0.78845736036427 0.576613364303994 0.832909122935104 2.2242991745955 0 2.20915314820149 1.30914330193148 2.46903130062971 2.20915314820149 4.40770656458411 0 4.50190746841241 4.40770656458411 0.276873873735178 0.186479566942618 0.239803992207317 0.231111720963387 0.219135529916671 0.609765571620894 0.512823626428664 0.698134722070984 0.698134722070984 3.25809653802148 0.330022912941306 2.60268968544438 3.93182563272433 3.65065824129374 3.53610699077653 3.65065824129374 0.882527101721346 3.75342578772099 0 0.22314355131421 0 7.97349680188535E-02 4.11419433311752E-02 0.810930216216329 1.01160091167848 0.22314355131421 0.733809162278835 0.22314355131421 0 0 7.97349680188535E-02 0.405465108108164 1.01160091167848 0.405465108108164 0.650761464063507 2.87169849263054 4.38411195887322 1.64229224930505 3.54217597492173 0.650761464063507 4.61512051684126 0 0 0 0 0 0 0;</t>
  </si>
  <si>
    <t>/*117*/ 111  1 2.59525470695687 2.17928687664955 2.56955412384829 6.94601399109923 6.38687931936265 6.17586727010576 7.65539064482615 1.29280751802643 1.5993875765806 1.49290409617815 1.42623596821284 1.50873320831247 0.669878553620591 0.25386672395705 0.208638865111328 0.185649346886629 0.21591750622247 0.129272335704139 0.53062825106217 0.392042087776024 0.378436435720245 0.53062825106217 2.74900018743116 0 2.57983796995529 2.37546373840662 3.13336150854203 0 4.30637323819769 1.77121656799673 4.37006791335409 4.30637323819769 0.117783035656383 0.235072122179484 0.151862349309246 0.172271220940453 0.153579087928301 0.470003629245736 0.418710334858185 0.254642218373581 0.470003629245736 3.40674861170048 0.287432041196572 4.15103990589865 3.25809653802148 3.25809653802148 3.65065824129374 3.53610699077653 0.810930216216329 3.53610699077653 0 0.117783035656383 0.117783035656383 7.97349680188535E-02 0.459321780898875 0.22314355131421 0.22314355131421 0.405465108108164 0.287432041196572 0.22314355131421 0.22314355131421 0.559615787935423 0.348541960708543 0.559615787935423 0.559615787935423 0.559615787935423 0.559615787935423 3.65065824129374 3.93182563272433 2.60268968544438 3.36442965746994 0.25619140536041 4.22433427382536 2.48740352998659 3.51663693276165 0 0 0 0 0;</t>
  </si>
  <si>
    <t>/*118*/ 000  1 3.04452243772342 2.2512917986065 2.58248697812686 7.18841273649695 7.15305163493748 7.11801620446533 8.25166392360559 0 1.88524981231539 1.85049996425066 1.85049996425066 1.86221793287662 0.603222473031958 0.330022912941306 0.276873873735178 0.294905917541101 0.300104592450338 0.116893751471499 0.482426149244293 0.444685821261446 0.46373401623214 0.482426149244293 2.80432960802384 1.15499262210422 2.47401420862158 2.27171342932696 3.12408151198165 1.15499262210422 4.34493465416069 0 4.37274620438722 4.34493465416069 0.244513577050402 0.380489122037987 0.291923066709035 0.308219723669329 0.216722983511287 0.470003629245736 0.712949807856125 0.647103242058539 0.712949807856125 2.87169849263054 0.572673027092071 0 0 2.60268968544438 1.64229224930505 4.2743439804937 0.741937344729377 2.23355650658361 0 0.485507815781701 0.251536625815428 0.276115436080316 0.361164849211584 0 0 0 0 0 0 0 0 0.916290731874155 0.405465108108164 0 0.511025603768657 0 3.84658808264264 3.93182563272433 3.94874058836331 0.773343722554222 3.67472981850949 2.75098196848572 4.13615806503551 0 0 0 0 0;</t>
  </si>
  <si>
    <t>/*128*/ 000  1 2.81540871942271 2.16102152867226 2.48823443988067 6.46458830368996 5.88887795833288 5.38449506278909 7.10578612948127 0 1.47887354241298 1.52344419926712 1.26356159573759 1.42815581521481 0.581656804526582 0.324977857195478 0.194744076792512 0.285178942233662 0.261594737688462 0.126632650933366 0.494696241836107 0.307484699747961 0.364643113587909 0.494696241836107 2.45083266945425 2.20915314820149 4.14570285449724 2.67511370085595 4.44010684575041 2.46903130062971 1.8570789353487 0 2.84583918397937 4.14570285449724 1.42142016309526 0.250758718347183 0.296394013053802 0.799307376388336 1.92832791201007 3.61091791264422 0.438254930931155 0.582215619852664 3.61091791264422 1.64229224930505 0.583332314552739 3.93182563272433 0 0 2.87169849263054 4.38411195887322 0.287432041196572 2.23355650658361 0.485507815781701 0 0 0.188966099512623 0.535323095366378 0.22314355131421 0.22314355131421 0 0.154436353304419 0 0 0 0 1.6094379124341 0.22314355131421 0.22314355131421 0.916290731874155 3.53610699077653 3.93182563272433 2.87169849263054 3.36442965746994 0.810930216216329 3.98246282957401 2.87333862533992 3.87848690420869 0 0 0 0 0;</t>
  </si>
  <si>
    <t>/*135*/ 000  1 2.7408400239252 2.17247640764703 2.42480272571829 6.54821910276237 6.4425401664682 5.59098698051086 7.37274636640433 0 0.859931998204771 0.885831524389446 0.89117803105908 0.878796527446575 0.357674444271816 0.219938420365261 0.213497174262404 0.158711691154821 0.198030850499135 0.107957141505092 0.444685821261446 0.322083499169113 0.215111379616945 0.444685821261446 2.00700524841512 0 4.35243045673387 0 4.35243045673387 1.46626014275777 3.04452243772342 0 3.19183345375632 4.35243045673387 0.238229188732251 0.143234168085908 0.173953307123438 0.180653499693258 0.154436353304419 0.641853886172395 0.215111379616945 0.350656871613169 0.641853886172395 3.08342258668098 0.348541960708543 3.65065824129374 4.15103990589865 2.60268968544438 3.65065824129374 3.75342578772099 0.459321780898875 3.25809653802148 0.318453731118535 0 0.22314355131421 0.188966099512623 0.377065633586466 0.810930216216329 0.810930216216329 0.559615787935423 0.733809162278835 0 0 0 0 0.810930216216329 0.405465108108164 0 0.459321780898875 0 4.21459861646992 3.53610699077653 3.7775311517085 0.459321780898875 4.55539153342494 1.85817123474731 1.92512418129548 0 0 0 0 0;</t>
  </si>
  <si>
    <t>/*149*/ 111  1 2.64617479738412 2.21046980408624 2.52732736567195 7.68662133494462 7.68017564043659 6.9985096422506 8.60098271714592 1.10160779764791 1.72508533596006 1.67128531576018 2.12453440305074 1.86144099242886 1.06849666476349 0.258510695151501 0.209450224182207 0.501986675098786 0.333611004340181 0.23031775506221 0.518793793415168 0.506817602368452 0.683096844706444 0.683096844706444 2.69036133823113 1.15499262210422 3.44792192183502 0 3.5147938882447 0 4.19293722755919 1.15499262210422 4.22524123702387 4.19293722755919 0.300845058978062 0.270790204781563 2.27394869694893E-02 0.20375683751402 0.245296355955343 0.703097511413113 0.615185639090233 6.76586484738149E-02 0.703097511413113 3.53610699077653 0.122217632724249 3.65065824129374 2.60268968544438 4.61512051684126 3.93182563272433 3.75342578772099 0.348541960708543 2.23355650658361 0.405465108108164 0.22314355131421 0 0.22314355131421 0.733809162278835 0.559615787935423 0 0.810930216216329 0.511025603768657 0.405465108108164 0 0.405465108108164 0.287432041196572 1.09861228866811 0 1.44691898293633 1.01160091167848 2.87169849263054 4.21459861646992 2.87169849263054 3.6560462970187 0.377065633586466 4.00285042538864 2.56471856159945 3.85536799427157 0 0 0 0 0;</t>
  </si>
  <si>
    <t>/*154*/ 111  1 2.79728133483015 2.24495598015741 2.72915916431245 7.37400185935016 7.31986492980897 7.29573507274928 8.42858053305963 0.658038003446377 1.63899671467564 1.47590651980958 1.65593974608552 1.59351176188384 1.02926221053332 0.298622012490115 0.207014169384326 0.301584977620772 0.270790204781563 0.201306856705035 0.553885113226438 0.457424847038875 0.693147180559945 0.693147180559945 2.61117212612572 0 1.30914330193148 0 1.30914330193148 0 4.56012051743437 1.30914330193148 4.58799350786747 4.56012051743437 0.144965770250186 0.271552690521897 0.222343231143441 0.207826847202317 0.232697764119021 0.678033542749897 0.553885113226438 0.587786664902119 0.678033542749897 3.75342578772099 0.188966099512623 3.93182563272433 2.60268968544438 3.93182563272433 3.65065824129374 3.75342578772099 0.559615787935423 2.23355650658361 0 0 0 0 0.188966099512623 0 0.810930216216329 1.01160091167848 0.693147180559945 0.22314355131421 0.22314355131421 0.559615787935423 0.348541960708543 1.17865499634165 0.559615787935423 0.916290731874155 0.916290731874155 2.87169849263054 4.15103990589865 3.08342258668098 3.68260984110034 0.22314355131421 4.50366888065599 2.46317215764199 2.45547783909719 0 0 0 0 0;</t>
  </si>
  <si>
    <t>/*156*/ 111  1 2.4423470353692 2.23857976301813 2.65675690671466 6.09582456243222 5.88332238848828 6.08221891037645 7.12205988162914 0.291923066709035 1.68639895357023 1.41415268924829 1.24932850604673 1.46626014275777 0.903813210363043 0.209450224182207 0.176471143115779 0.142367241286922 0.179818426575836 0.113328685307003 0.431782416425538 0.418710334858185 0.262364264467491 0.431782416425538 2.88591740754678 1.25276296849537 1.79175946922805 2.14006616349627 2.77258872223978 1.25276296849537 4.42484663185681 0 4.45434729625351 4.42484663185681 0.179818426575836 0.242161557149972 0.265436463504461 0.236651901339002 0.178146185383474 0.350656871613169 0.444685821261446 0.587786664902119 0.587786664902119 4.15103990589865 0.22314355131421 3.25809653802148 2.60268968544438 0 2.60268968544438 4.15103990589865 0.605953968857568 2.87169849263054 0.810930216216329 0 0.559615787935423 0.511025603768657 0.733809162278835 0 0.22314355131421 0 7.97349680188535E-02 0.22314355131421 0.693147180559945 0.693147180559945 0.559615787935423 0.559615787935423 0.22314355131421 0.693147180559945 0.511025603768657 3.40674861170048 3.93182563272433 3.08342258668098 3.43398720448515 0.459321780898875 1.32919476907932 1.15404699555621 4.58723022285543 0 0 0 0 0;</t>
  </si>
  <si>
    <t>/*170*/ 000  1 2.74727091425549 2.28340227357727 2.2935443483419 5.38449506278909 4.85981240436167 5.39816270151775 6.33859407820318 0 1.04731899428056 0.993251773010283 1.09460426727057 1.04591449966766 0.586674936049429 0.131028262406404 0.111541374732907 8.89262091944015E-02 0.110646520087064 6.95260626486103E-02 0.262364264467491 0.215111379616945 0.148420005118273 0.262364264467491 2.82262810580964 0 3.53610699077653 0 3.53610699077653 0 4.21459861646992 0 4.21459861646992 4.21459861646992 8.70947068509337E-02 7.23206615796261E-02 9.16671885258239E-02 0.084341148433751 0.084341148433751 0.254642218373581 0.207014169384326 0.22314355131421 0.254642218373581 0 0.377065633586466 4.33073334028633 3.93182563272433 3.65065824129374 4.01036494842683 4.01036494842683 0.605953968857568 3.53610699077653 0.405465108108164 0.485507815781701 0.405465108108164 0.433080275141138 0.405465108108164 0.22314355131421 0 0 7.97349680188535E-02 0.405465108108164 0.810930216216329 0.559615787935423 0.605953968857568 0.559615787935423 0.405465108108164 0.405465108108164 0.459321780898875 3.53610699077653 4.15103990589865 1.64229224930505 3.30505352110925 0.485507815781701 1.70565677017464 1.49222971152856 4.56949119353107 0 0 0 0 0;</t>
  </si>
  <si>
    <t>/*32b*/ 000  1 2.94968833505258 2.26488322581003 2.57718192589717 6.09356977004514 6.22257626807137 6.05208916892442 7.22256601882217 0 1.10293626014816 1.12752363216253 1.04731899428056 1.09292950553261 0.250758718347183 0.199670195128568 0.279145741429495 0.343589704390077 0.264669298142708 0.114221144090023 0.322083499169113 0.392042087776024 0.418710334858185 0.418710334858185 2.01982422486133 0 2.82072391005426 1.28978346073905 2.96635495484331 2.82072391005426 4.20153839632422 0 4.41375541091502 4.20153839632422 0.321358598811165 0.227135572583747 0.280657457514817 0.27002713721306 0.179818426575836 0.570979546585738 0.457424847038875 0.60431596685333 0.60431596685333 2.23355650658361 0.648672690458116 0 0 0 0 4.48300255201388 0.773343722554222 3.25809653802148 0 0 0 0 0.154436353304419 0.693147180559945 0.693147180559945 0.693147180559945 0.693147180559945 0.22314355131421 0 0.405465108108164 0.22314355131421 0.405465108108164 0.405465108108164 0.22314355131421 0.348541960708543 0 4.52901242213836 2.23355650658361 3.70848598375285 0.348541960708543 4.54268821536677 1.95854428687288 2.08654127879506 0 0 0 0 0;</t>
  </si>
  <si>
    <t>/*57b*/ 000  1 2.91777073208428 2.19611284848353 2.49155119250667 6.04263283368238 6.35262939631957 6.93342302573071 7.61035761831284 0 1.22023977678981 1.41415268924829 1.50961757715189 1.38829236378256 0.568717102181768 0.174793290373163 0.281412459438185 0.44404459007564 0.31042155942127 0.198030850499135 0.378436435720245 0.482426149244293 0.598836501088704 0.598836501088704 2.22516394602546 0 4.37102888046434 1.41706601978664 4.40976338964548 0 2.98315349134713 0 2.98315349134713 4.37102888046434 0.128393214768399 0.144100343973757 2.76151670329734E-02 9.89399478549036E-02 0.151002873536527 0.27763173659828 0.576613364303994 8.61776962410524E-02 0.576613364303994 2.60268968544438 0.25619140536041 2.60268968544438 4.15103990589865 4.61512051684126 4.08316564363067 3.84658808264264 0.154436353304419 2.23355650658361 0.318453731118535 0.485507815781701 0.22314355131421 0.348541960708543 0.671923544108319 0 0.22314355131421 0 7.97349680188535E-02 0 0 0 0 0.916290731874155 1.17865499634165 1.6094379124341 1.27620043832282 2.23355650658361 4.48300255201388 1.64229224930505 3.67206386118537 1.42719635244032 4.12043457198184 2.82861455050231 3.6991762595913 0 0 0 0 0;</t>
  </si>
  <si>
    <t>/*33*/ 000  1 2.64617479738412 2.18717424148272 2.57413778351594 5.52942908751142 5.73009978297357 5.18738580584075 6.60258789218934 0 1.08620226859143 1.11939482785064 1.06056422103058 1.08889859648047 0.555033878430311 0.231111720963387 0.193096629961913 0.184818436992542 0.20294084399669 0.184818436992542 0.53062825106217 0.609765571620894 0.336472236621213 0.609765571620894 2.27818993615932 0 1.6767226592397 0 1.6767226592397 0 4.57111689866321 0 4.57111689866321 4.57111689866321 0.149281702715754 0.117783035656383 0.12751332029896 0.131905070879939 8.34216081390724E-02 0.254642218373581 0.22314355131421 0.246860077931526 0.254642218373581 3.75342578772099 0.25619140536041 3.65065824129374 2.60268968544438 3.65065824129374 3.40674861170048 3.75342578772099 1.01160091167848 4.08316564363067 0.318453731118535 0.485507815781701 0.405465108108164 0.405465108108164 0.773343722554222 0.405465108108164 0 0.559615787935423 0.348541960708543 0.559615787935423 0.22314355131421 0.810930216216329 0.559615787935423 0.559615787935423 0.22314355131421 0.559615787935423 0.459321780898875 3.65065824129374 4.01036494842683 2.23355650658361 3.2740077423062 0.792087128414849 2.17566039942038 1.97227383848631 4.53466188109748 0 0 0 0 0;</t>
  </si>
  <si>
    <t>/*36*/ 000  1 3.2846635654062 2.2690283094652 2.6203112867942 5.52146091786225 5.42053499927229 5.07517381523383 6.45204895443723 0 1.11119940417358 0.960498986538475 1.07772907775169 1.05187002611598 0.468126869232875 0.123102197133983 0.204572165728774 0.138021297897375 0.158711691154821 0.16296882827814 0.215111379616945 0.62057648772511 0.350656871613169 0.62057648772511 2.47089223840242 2.09715866248499 1.51973199934961 0 2.46078470766759 1.51973199934961 4.42056201688771 1.51973199934961 4.5029824096435 4.42056201688771 0.151002873536527 0.139761942375159 0.119559235057639 0.155292884406035 0.172271220940453 0.307484699747961 0.3293037471426 0.22314355131421 0.3293037471426 3.40674861170048 0.459321780898875 0 3.25809653802148 2.60268968544438 2.60268968544438 4.08316564363067 1.04133622084838 4.33073334028633 0.117783035656383 0.22314355131421 0 0.117783035656383 0.25619140536041 0.22314355131421 0.22314355131421 0 0.154436353304419 0.405465108108164 0.693147180559945 0.22314355131421 0.459321780898875 0.22314355131421 0.693147180559945 0.405465108108164 0.459321780898875 3.65065824129374 3.75342578772099 3.08342258668098 3.46050348755956 0.559615787935423 4.02656523980081 2.81899509505394 3.82716204191394 0 0 0 0 0;</t>
  </si>
  <si>
    <t>/*39*/ 000  1 2.60268968544438 2.2512917986065 2.42480272571829 6.16961073249146 6.28785856016178 6.18414889093748 7.3125534981026 0 0.667829372575655 0.523544396173765 0.741937344729377 0.648672690458116 0.215111379616945 0.249201085633499 0.266203040774657 0.378436435720245 0.299363577225619 0.306749135169007 0.350656871613169 0.336472236621213 1.09861228866811 1.09861228866811 1.2845384521655 0 4.61512051684126 0 4.61512051684126 0 0 0 0 4.61512051684126 6.76586484738149E-02 0.124868982045869 0.122217632724249 0.105260510657493 6.10950993598108E-02 0.131028262406404 0.254642218373581 0.173953307123438 0.254642218373581 0 0.188966099512623 3.93182563272433 4.61512051684126 4.48300255201388 4.38411195887322 4.33073334028633 0 0 0 0 0 0 0.117783035656383 0 0 0 0 0 0 0 0 0.559615787935423 0 0.693147180559945 0.459321780898875 2.23355650658361 4.52901242213836 0 3.51773519791011 0.433080275141138 4.39666891141075 2.50634193050807 3.03591406318682 0 0 0 0 0;</t>
  </si>
  <si>
    <t>/*41*/ 000  1 3.00568260440716 2.2321626286975 2.72850620966959 6.60665018619822 6.31896811374643 6.32076829425058 7.52240023138712 0 1.40487074669283 1.30833281965018 1.43174562402381 1.38077918043178 0.608678023933495 0.242946178610389 0.209450224182207 0.174793290373163 0.210260925483196 0.12751332029896 0.482426149244293 0.418710334858185 0.405465108108164 0.482426149244293 2.61827136185542 1.37143449821287 1.92890930737529 0 2.28482837140479 2.75404280495268 4.34990367278304 0 4.52369979299003 4.34990367278304 0.136277618292548 0.27002713721306 0.2390169004705 0.216722983511287 0.158711691154821 0.231111720963387 0.62057648772511 0.405465108108164 0.62057648772511 3.65065824129374 0.348541960708543 2.60268968544438 3.65065824129374 2.60268968544438 3.08342258668098 3.75342578772099 1.09861228866811 4.33073334028633 0.117783035656383 0 0 4.11419433311752E-02 0 0.693147180559945 0.693147180559945 0 0.511025603768657 0 0 0 0 0.559615787935423 0.693147180559945 0.693147180559945 0.650761464063507 3.08342258668098 4.08316564363067 3.08342258668098 3.57772440474777 0.996210355050029 4.61512051684126 0 0 0 0 0 0 0;</t>
  </si>
  <si>
    <t>/*57*/ 000  1 3.04452243772342 2.26384426467762 2.39059597031676 5.45958551414416 5.45958551414416 5.45958551414416 6.55535689181067 0 0.931376369292196 0.926241062727323 0.75377180237638 0.873800680253203 0.284426779731108 0.226338442210729 0.231111720963387 0.289680075114454 0.249201085633499 8.06579030174545E-02 0.307484699747961 0.336472236621213 0.378436435720245 0.378436435720245 1.77934944915137 0 3.40674861170048 2.23355650658361 3.65065824129374 2.60268968544438 3.93182563272433 0 4.15103990589865 3.93182563272433 0.351360849114964 0.360467742177429 0.210260925483196 0.309688152714396 0.147557564357615 0.512823626428664 0.542324290825362 0.364643113587909 0.542324290825362 2.87169849263054 0.559615787935423 0 0 3.25809653802148 2.23355650658361 4.33073334028633 0.693147180559945 3.53610699077653 0 0 0 0 7.97349680188535E-02 0.693147180559945 1.09861228866811 0.693147180559945 0.847154993039293 0 0 0 0 0.22314355131421 0.22314355131421 0.405465108108164 0.287432041196572 2.87169849263054 4.43477324748243 0 3.2740077423062 0.287432041196572 4.3217988091234 2.63605282059496 3.28376428477006 0 0 0 0 0;</t>
  </si>
  <si>
    <t>/*80*/ 000  1 2.96010509591084 2.30558060197384 2.52972066557779 6.34738920965601 6.58063913728495 5.97380961186926 7.42833319419081 0 1.61700917793042 1.43817498299688 1.3415584672785 1.47201323652243 0.826803565372619 0.202124184090134 0.201306856705035 0.171429115627531 0.19062035960865 0.131028262406404 0.431782416425538 0.405465108108164 0.336472236621213 0.431782416425538 2.83144707924613 0 3.50714772333841 0 3.50714772333841 1.37143449821287 4.18519024552168 0 4.22897743133194 4.18519024552168 0.138891998866619 8.34216081390724E-02 0.12751332029896 0.113328685307003 0.109750863959119 0.385262400790645 0.2390169004705 0.231111720963387 0.385262400790645 2.87169849263054 0.25619140536041 4.15103990589865 4.15103990589865 3.65065824129374 4.01036494842683 3.84658808264264 0.459321780898875 2.87169849263054 0.485507815781701 0.559615787935423 0.117783035656383 0.405465108108164 0.671923544108319 0.405465108108164 0.22314355131421 0.22314355131421 0.287432041196572 0.916290731874155 0.693147180559945 0.693147180559945 0.773343722554222 0.916290731874155 1.09861228866811 0.405465108108164 0.847154993039293 3.65065824129374 3.75342578772099 3.08342258668098 3.50531712788385 0.511025603768657 2.37741423361469 2.21942085173328 4.51330705826744 0 0 0 0 0;</t>
  </si>
  <si>
    <t>/*101*/ 000  1 2.92852352386054 2.18154676461699 2.60933422816305 5.4510384535657 5.63121178182137 5.97635090929793 6.80682936039218 0 1.09861228866811 1.15152094432351 1.13943428318836 1.13011095572748 0.453620149995211 0.116893751471499 0.200488860749404 0.188137942115395 0.171429115627531 0.104360015324243 0.215111379616945 0.322083499169113 0.350656871613169 0.350656871613169 2.50258283480094 2.06648294051544 1.49245455694828 2.4287771182318 3.07685132483878 2.6941540959101 4.19745755408945 0 4.38589414620037 4.19745755408945 0.205386829724951 0.10345870836823 0.138021297897375 0.144965770250186 0.134530892957606 0.364643113587909 0.418710334858185 0.343589704390077 0.418710334858185 3.53610699077653 0.287432041196572 0 3.93182563272433 3.93182563272433 3.53610699077653 3.53610699077653 0.948951514113703 4.08316564363067 0 0 0 0 0.154436353304419 0 0 0.22314355131421 7.97349680188535E-02 0 0 0.22314355131421 7.97349680188535E-02 0 0.693147180559945 0.810930216216329 0.559615787935423 2.60268968544438 4.15103990589865 3.25809653802148 3.63429126382953 0.871711688476188 4.59711785279726 0.96088161520203 1.03033344791482 0 0 0 0 0;</t>
  </si>
  <si>
    <t>/*105*/ 000  1 2.61739583283408 2.22354188565359 2.58625914404829 6.46458830368996 6.04737217904628 5.36129216570943 7.15148546390474 0 1.29828248379668 1.21283343275813 1.28093384546206 1.26469153936064 0.517602608045014 0.111541374732907 0.131028262406404 9.80337402713654E-02 0.113328685307003 5.73250666192694E-02 0.231111720963387 0.262364264467491 0.198850858745165 0.262364264467491 3.10148771121985 0 0 0 0 0 4.61512051684126 0 4.61512051684126 4.61512051684126 0.308954207727321 0.24059046491793 0.242161557149972 0.264669298142708 0.17730901497041 0.53062825106217 0.559615787935423 0.418710334858185 0.559615787935423 4.21459861646992 0.287432041196572 0 0 0 0 4.21459861646992 0.773343722554222 2.87169849263054 0.117783035656383 0 0 4.11419433311752E-02 4.11419433311752E-02 0 0.22314355131421 0 7.97349680188535E-02 0 0 0.693147180559945 0.287432041196572 0 0.693147180559945 0 0.287432041196572 3.53610699077653 4.08316564363067 2.23355650658361 3.25006436632422 0 3.19875474687198 2.33311429802887 4.3502521295747 0 0 0 0 0;</t>
  </si>
  <si>
    <t>/*113*/ 000  1 3.02529107579554 2.278292400425 2.44060639089142 5.10594547390058 4.62497281328427 5.00394630594546 6.02586597382531 0 0.782987884559735 0.870456195530356 0.880870786642895 0.845438990902204 0.195566783543975 0.126632650933366 0.109750863959119 0.207826847202317 0.147557564357615 0.123985979780991 0.165514438477573 0.165514438477573 0.570979546585738 0.570979546585738 2.23751309625033 0 3.2188758248682 0 3.2188758248682 3.04452243772342 4.04305126783455 0 4.34380542185368 4.04305126783455 0.299363577225619 0.260824618281898 0.27002713721306 0.276115436080316 0.120446153075867 0.350656871613169 0.559615787935423 0.350656871613169 0.559615787935423 3.25809653802148 0.559615787935423 0 0 0 0 4.33073334028633 0.605953968857568 2.87169849263054 0.117783035656383 0.75377180237638 0.559615787935423 0.511025603768657 0.847154993039293 0 0 0 0 0 0 0 0 0 0 0.22314355131421 7.97349680188535E-02 1.64229224930505 4.08316564363067 3.65065824129374 3.83315294327036 0.980954245199877 1.03033344791482 1.19664602893948 4.59711785279726 0 0 0 0 0;</t>
  </si>
  <si>
    <t>/*119*/ 000  1 2.99573227355399 2.22245904851476 2.65112705370259 6.68461172766793 6.30809844150953 6.19644412779452 7.51643330291563 0 1.29143408009593 1.47315989414147 1.35789488659819 1.3770013142083 0.870874868343673 0.353469812989784 0.280657457514817 0.279145741429495 0.303801454331664 0.108854404912082 0.444685821261446 0.405465108108164 0.431782416425538 0.444685821261446 2.23409209654875 0 4.20405062231016 3.27835155166331 4.52708971852805 1.14039382268306 1.99918006007703 0 2.25244902350025 4.20405062231016 0.156148682489931 0.19638881400539 0.161268147596122 0.171429115627531 0.104360015324243 0.3293037471426 0.336472236621213 0.357674444271816 0.357674444271816 2.23355650658361 0.535323095366378 0 3.65065824129374 3.25809653802148 3.08342258668098 4.2743439804937 0.287432041196572 2.23355650658361 0 0 0.22314355131421 7.97349680188535E-02 7.97349680188535E-02 1.01160091167848 1.01160091167848 0.916290731874155 0.980954245199877 0.22314355131421 0 0 7.97349680188535E-02 0.559615787935423 1.01160091167848 0.916290731874155 0.847154993039293 0 4.61512051684126 0 3.58928008889118 0.605953968857568 4.61214579972452 0.381855242469031 0.262364264467491 0 0 0 0 0;</t>
  </si>
  <si>
    <t>/*129*/ 000  1 2.88480071284671 2.15059873599616 2.42036812865043 6.07993319509559 6.01126717440416 5.85507192220243 7.0833878476253 0 0.854415328156068 0.854415328156068 0.680568398353085 0.799756915618204 0.347835995271528 0.314810739840034 0.323531725345478 0.340037302785709 0.326421900767712 0.107957141505092 0.470003629245736 0.418710334858185 0.418710334858185 0.470003629245736 1.42959328551504 0 1.6094379124341 1.6094379124341 2.19722457733622 1.6094379124341 4.48863636973214 0 4.53259949315326 4.48863636973214 0.285930539412975 0.338612801120324 0.340748793388473 0.323531725345478 0.193096629961913 0.62057648772511 0.672944473242426 0.542324290825362 0.672944473242426 2.23355650658361 0.605953968857568 2.60268968544438 2.60268968544438 0 2.23355650658361 4.43477324748243 0.559615787935423 2.87169849263054 0 0 0.117783035656383 4.11419433311752E-02 0.188966099512623 1.01160091167848 1.01160091167848 1.01160091167848 1.01160091167848 0 0 0 0 0.693147180559945 0 0.22314355131421 0.348541960708543 0 3.65065824129374 4.15103990589865 4.0364505838032 4.11419433311752E-02 4.44275713323812 2.52892353520477 2.83268379210362 0 0 0 0 0;</t>
  </si>
  <si>
    <t>/*150*/ 000  1 2.89591193827178 2.13653050866396 2.43361335540045 5.67332326717149 5.3890717298165 5.08140436498446 6.50578406012823 0 1.00246842811521 1.20146967410782 0.880870786642895 1.03709143201986 0.731887008875876 0.158711691154821 0.107059072293408 0.163818085229395 0.144100343973757 0.084341148433751 0.364643113587909 0.165514438477573 0.246860077931526 0.364643113587909 2.54647200544616 0 2.56494935746154 2.19722457733622 3.04452243772342 2.83321334405622 4.17438726989564 0 4.39444915467244 4.17438726989564 0.170586300575534 0.189793571632656 0.146694379150803 0.168898536461814 0.126632650933366 0.29266961396282 0.371563556432483 0.364643113587909 0.371563556432483 3.75342578772099 0.348541960708543 0 3.25809653802148 3.25809653802148 2.87169849263054 3.75342578772099 0.948951514113703 4.08316564363067 0 0 0 0 4.11419433311752E-02 0 0 0.22314355131421 7.97349680188535E-02 0.693147180559945 0.916290731874155 0.559615787935423 0.733809162278835 0.22314355131421 0 0.810930216216329 0.405465108108164 4.08316564363067 3.53610699077653 2.23355650658361 3.12091012228222 0.459321780898875 4.15785130125554 2.88859239799609 3.63932149526559 0 0 0 0 0;</t>
  </si>
  <si>
    <t>/*202*/ 000  1 2.79116510781272 2.20276475771183 2.50225528812261 6.45990445437753 5.91079664404053 5.91620206260743 7.22766249872865 0 0.84372003903932 0.821980052402914 0.974559639998131 0.882527101721346 0.478095799143072 0.257738196078709 0.276115436080316 0.207014169384326 0.246860077931526 0.131028262406404 0.405465108108164 0.405465108108164 0.350656871613169 0.405465108108164 1.80038879592611 0 3.84658808264264 0 3.84658808264264 3.08342258668098 3.53610699077653 0 4.01036494842683 3.84658808264264 4.21011760186353E-02 5.16432331518384E-02 7.23206615796261E-02 5.54347068881005E-02 5.35407669280298E-02 0.122217632724249 0.113328685307003 0.182321556793955 0.182321556793955 2.60268968544438 0.154436353304419 4.15103990589865 4.48300255201388 4.15103990589865 4.2743439804937 4.21459861646992 0.348541960708543 2.87169849263054 0 0 0 0 4.11419433311752E-02 0.810930216216329 0.916290731874155 0.559615787935423 0.773343722554222 0 0 0 0 1.17865499634165 1.44691898293633 1.25276296849537 1.29937388908919 0 4.01036494842683 3.84658808264264 3.87726591547014 0.459321780898875 4.49439503762877 2.47418268642502 2.52460801663955 0 0 0 0 0;</t>
  </si>
  <si>
    <t>/*8*/ 000  1 2.85070650150373 2.2321626286975 2.68784749378469 5.89989735358249 6.12249280951439 6.08221891037645 7.13648320859025 0 1.32175583998232 1.25276296849537 1.48727027845989 1.35892316432376 0.572108852182889 0.147557564357615 0.157003748809665 0.116003675756306 0.140631129739746 9.07543632684641E-02 0.322083499169113 0.336472236621213 0.262364264467491 0.336472236621213 3.00602907903136 0 2.33939906611676 1.41706601978664 2.60268968544438 3.37159691188586 4.10057511197274 0 4.48300255201388 4.10057511197274 0.14583044821154 0.169742774587095 0.16296882827814 0.159564569671338 0.130150684465045 0.262364264467491 0.482426149244293 0.262364264467491 0.482426149244293 4.21459861646992 0.154436353304419 3.25809653802148 2.60268968544438 2.60268968544438 2.87169849263054 4.21459861646992 0.605953968857568 2.87169849263054 0.22314355131421 0.22314355131421 0.22314355131421 0.22314355131421 0.485507815781701 0.22314355131421 0.405465108108164 0 0.22314355131421 0.559615787935423 0.559615787935423 1.25276296849537 0.847154993039293 0.405465108108164 0.559615787935423 0.405465108108164 0.459321780898875 2.87169849263054 4.21459861646992 2.87169849263054 3.55414734091289 0.75377180237638 2.88015305770183 1.99931549720055 4.43299300062615 0 0 0 0 0;</t>
  </si>
  <si>
    <t>/*10*/ 000  1 2.58021682959233 2.16676536985151 2.6203112867942 5.60947179518496 5.7268477475872 5.8111409929767 6.81563999007433 0 1.41415268924829 1.31184017519494 1.35454566280531 1.3609765531356 0.741461040838496 0.148420005118273 0.109750863959119 0.117783035656383 0.123985979780991 5.35407669280298E-02 0.215111379616945 0.173953307123438 0.198850858745165 0.215111379616945 3.13618962624925 0 2.49411413053891 2.49411413053891 3.14510010520481 2.12906469215316 4.26787761298298 0 4.3666337700664 4.26787761298298 0.162118849476435 0.157003748809665 0.105260510657493 0.173953307123438 0.194744076792512 0.3293037471426 0.3293037471426 0.322083499169113 0.3293037471426 3.93182563272433 0.25619140536041 3.65065824129374 0 3.25809653802148 3.08342258668098 3.93182563272433 0.693147180559945 2.23355650658361 0.117783035656383 0 0.22314355131421 0.117783035656383 0.650761464063507 0.22314355131421 0.22314355131421 0.559615787935423 0.348541960708543 0.693147180559945 1.25276296849537 1.17865499634165 1.07055569088558 0 0.405465108108164 0.559615787935423 0.348541960708543 4.01036494842683 3.75342578772099 1.64229224930505 3.07190596777683 0.847154993039293 1.42383096464862 1.14771986277514 4.58340503419988 0 0 0 0 0;</t>
  </si>
  <si>
    <t>/*28b*/ 000  1 2.83321334405622 2.20497226412705 2.49897390699944 5.64897423816121 5.86929691313377 5.95324333428778 6.92853781816467 0 0.98394938034797 0.98394938034797 1.21639532432449 1.06746555967127 0.423305026236495 0.207014169384326 0.195566783543975 0.233489843368354 0.214304602647005 7.60346862759976E-02 0.262364264467491 0.262364264467491 0.322083499169113 0.322083499169113 2.19399715257715 1.37143449821287 3.93182563272433 2.28482837140479 4.13939759327017 2.75404280495268 3.19985609103095 0 3.66956920557944 3.93182563272433 6.57877405380032E-02 0.142367241286922 4.40168854167743E-02 8.25012215117438E-02 0.107059072293408 0.165514438477573 0.457424847038875 0.157003748809665 0.457424847038875 2.23355650658361 0.348541960708543 3.65065824129374 3.65065824129374 4.33073334028633 3.93182563272433 3.75342578772099 0.154436353304419 2.23355650658361 0.117783035656383 0.117783035656383 0 7.97349680188535E-02 7.97349680188535E-02 0.810930216216329 1.25276296849537 1.01160091167848 1.04133622084838 0 0 0 0 1.01160091167848 1.17865499634165 1.25276296849537 1.1527847675565 0 4.21459861646992 3.53610699077653 3.87292868428706 0.348541960708543 3.79983926442219 2.42427161125064 4.04840533028066 0 0 0 0 0;</t>
  </si>
  <si>
    <t>/*24*/ 111  1 2.76631910922619 2.1621729392773 2.41858876875035 6.76734312526539 6.25575004175337 6.19236248947487 7.53743003658651 0.63974640383283 1.4558204237685 1.54756250871601 1.49290409617815 1.49939980722516 0.638162872227186 0.246860077931526 0.140631129739746 0.257738196078709 0.219135529916671 0.138891998866619 0.470003629245736 0.336472236621213 0.431782416425538 0.470003629245736 2.72221605657511 1.25276296849537 1.79175946922805 0 2.14006616349627 1.79175946922805 4.45434729625351 1.25276296849537 4.53796143629464 4.45434729625351 0.109750863959119 0.181487876045377 0.115112807100504 0.136277618292548 0.136277618292548 0.27002713721306 0.364643113587909 0.524728528934982 0.524728528934982 3.40674861170048 0.287432041196572 3.93182563272433 0 4.15103990589865 3.65065824129374 3.53610699077653 0.810930216216329 3.75342578772099 0.117783035656383 0 0.318453731118535 0.154436353304419 0.671923544108319 0.810930216216329 0.405465108108164 0.916290731874155 0.733809162278835 0.405465108108164 0.693147180559945 0 0.405465108108164 1.01160091167848 0.22314355131421 1.32175583998232 0.948951514113703 2.23355650658361 4.15103990589865 3.40674861170048 3.6560462970187 0.605953968857568 2.18413933778756 2.19933346318357 4.53385676696932 0 0 0 0 0;</t>
  </si>
  <si>
    <t>max</t>
  </si>
  <si>
    <t>min</t>
  </si>
  <si>
    <t>T1: BRT</t>
  </si>
  <si>
    <t>T2: BRT</t>
  </si>
  <si>
    <t>T3: BRT</t>
  </si>
  <si>
    <t>/*1*/ 101  1 2.88480071284671 2.17588743994809 2.54866361559075 6.28785856016178 6.35610766069589 5.8636311755981 7.28892769452126 0.453620149995211 1.33183817532383 1.4558204237685 1.45861502269952 1.41706601978664 0.655445313375934 0.201306856705035 0.319907219746518 0.346422567474381 0.287432041196572 0.187309098304994 0.27763173659828 0.693147180559945 0.65232518603969 0.693147180559945 2.34122871658625 1.17000228475478 3.32024036724868 3.23647995881656 3.99513177715051 1.17000228475478 3.76634962488084 0 3.81648079870766 3.76634962488084 0.20375683751402 0.118671529717499 0.159564569671338 0.161268147596122 0.167207918983906 0.457424847038875 0.405465108108164 0.518793793415168 0.518793793415168 3.93182563272433 0.318453731118535 0 3.93182563272433 4.15103990589865 3.65065824129374 3.65065824129374 0.605953968857568 3.25809653802148 0 0.318453731118535 0 0.122217632724249 0.265436463504461 0.405465108108164 0.405465108108164 0.287432041196572 0.375005900623456 0.22314355131421 0.22314355131421 0 0.167207918983906 0.559615787935423 1.17865499634165 0.693147180559945 0.860355099543852 1.64229224930505 4.57298784527714 0 3.65174855577573 0.847154993039293 4.29289482934604 2.63354214892715 3.36113898441617 0 0 0 0 0;</t>
  </si>
  <si>
    <t>/*10*/ 001  1 2.64617479738412 2.34180580614733 2.67414864942653 7.1785454837637 7.27793857294566 6.97354301952014 8.24931374626064 1.58733491562902E-02 1.6020103966053 1.5993875765806 1.51798030194527 1.57381073479095 0.349247428109936 0.433728573381024 0.375005900623456 0.328584063772207 0.379805361327587 0.115112807100504 0.53062825106217 0.518793793415168 0.476234178996372 0.53062825106217 2.22764600632955 0.870874868343673 4.03523129772959 2.70062268527341 4.2743439804937 2.23355650658361 2.94738201261294 1.32919476907932 3.40674861170048 4.03523129772959 0.220740666697899 0.245296355955343 0.369492447649347 0.276873873735178 0.175632568643158 0.3293037471426 0.378436435720245 0.698134722070984 0.698134722070984 1.64229224930505 0.578297338881003 0 3.93182563272433 0 2.87169849263054 4.33073334028633 0 0 0 0 0 0 7.97349680188535E-02 1.50407739677627 1.09861228866811 1.01160091167848 1.22876297313315 0.810930216216329 0 0 0.348541960708543 1.44691898293633 1.44691898293633 1.01160091167848 1.32175583998232 1.64229224930505 4.33073334028633 3.08342258668098 3.81953483999298 1.05605267424931 4.58799350786747 1.51951320490611 1.30914330193148 0 0 0 0 0;</t>
  </si>
  <si>
    <t>/*12*/ 011  1 2.54160199346455 2.30458309565672 2.80517691183293 5.86078622346587 5.82894561761021 6.08221891037645 7.02731451403978 0.193096629961913 0.974559639998131 1.15939376092797 1.20537182523964 1.11776110750687 0.665775983763813 0.104360015324243 0.223943231484774 0.173953307123438 0.168898536461814 0.14583044821154 0.307484699747961 0.46373401623214 0.457424847038875 0.46373401623214 2.5026647047097 0 3.35550242240003 0 3.35550242240003 1.99918006007703 4.20405062231016 0 4.29510616264318 4.20405062231016 0.150142658429719 0.059211859631846 0.130150684465045 0.107957141505092 0.174793290373163 0.657520002916794 0.418710334858185 0.470003629245736 0.657520002916794 3.75342578772099 0.287432041196572 0 3.65065824129374 3.65065824129374 3.25809653802148 3.75342578772099 0.916290731874155 3.75342578772099 0 0 0 0 7.97349680188535E-02 0.693147180559945 1.09861228866811 0.405465108108164 0.773343722554222 0.22314355131421 0.22314355131421 0 0.154436353304419 0.559615787935423 1.32175583998232 1.01160091167848 1.01160091167848 3.08342258668098 3.84658808264264 3.53610699077653 3.79172932072839 0.882527101721346 4.24411423084733 2.67545813650155 3.47525297149157 0 0 0 0 0;</t>
  </si>
  <si>
    <t>/*14*/ 010  1 2.66722820658195 2.27006190128849 2.55256529826182 6.03548143252476 6.06378520868761 5.29831736654804 6.95272864462487 0.108854404912082 1.27759494419655 1.33841628087543 1.20146967410782 1.27396517614597 0.536493370514568 0.170586300575534 0.304539189518204 0.161268147596122 0.215111379616945 0.148420005118273 0.307484699747961 0.482426149244293 0.246860077931526 0.482426149244293 2.46129678414887 2.27171342932696 1.6767226592397 3.57747292028959 3.88826295786381 3.21538975558337 3.37625557135795 0 3.97356955507966 3.57747292028959 0.284426779731108 0.166361537215225 0.197210169287705 0.217527812528574 0.137149838147234 0.553885113226438 0.425267735404344 0.350656871613169 0.553885113226438 3.40674861170048 0.459321780898875 0 3.65065824129374 0 2.60268968544438 4.08316564363067 0.559615787935423 3.25809653802148 0 0 0 0 0.459321780898875 0 0.405465108108164 0.405465108108164 0.287432041196572 0.22314355131421 0 0 7.97349680188535E-02 0.22314355131421 1.17865499634165 0 0.605953968857568 2.60268968544438 4.33073334028633 2.60268968544438 3.63429126382953 0.459321780898875 4.41500192416783 2.57314643863741 2.9610373037571 0 0 0 0 0;</t>
  </si>
  <si>
    <t>/*18*/ 100  1 2.8094026953625 2.287471455184 2.72785282839839 6.66185474054531 6.60665018619822 6.27664348934164 7.62657020629066 5.73250666192694E-02 1.38328985209959 1.31855070903337 1.3800247481063 1.3609765531356 0.53062825106217 0.140631129739746 0.133656384812674 0.168898536461814 0.147557564357615 9.53101798043249E-02 0.364643113587909 0.364643113587909 0.27763173659828 0.364643113587909 2.95595140354215 0 3.89012498432693 1.12590314890401 3.93182563272433 1.64229224930505 3.80109144472086 1.12590314890401 3.93182563272433 3.89012498432693 4.78373294141601E-02 0.129272335704139 1.19285708652738E-02 6.39133257436529E-02 0.116003675756306 0.22314355131421 0.476234178996372 0.048790164169432 0.476234178996372 3.40674861170048 0.117783035656383 3.93182563272433 3.65065824129374 4.48300255201388 4.08316564363067 4.08316564363067 0.511025603768657 3.25809653802148 0.405465108108164 0.117783035656383 0 0.188966099512623 0.377065633586466 0.22314355131421 0 0 7.97349680188535E-02 0.810930216216329 0.916290731874155 0 0.650761464063507 1.25276296849537 0.916290731874155 1.6094379124341 1.29937388908919 3.08342258668098 4.2743439804937 2.23355650658361 3.42725491598144 0.965080896043587 3.53392011407579 2.73384789392335 4.21570637160687 0 0 0 0 0;</t>
  </si>
  <si>
    <t>/*22*/ 111  1 2.86789890204411 2.21920348405499 2.45358796653057 5.81413053182507 6.30627528694802 5.76205138278018 7.08924315502751 1.11612471375274 1.0691834779773 1.23837423104327 1.15939376092797 1.15782414829996 0.370183293963525 0.19062035960865 0.222343231143441 0.279901885132819 0.231111720963387 9.53101798043249E-02 0.246860077931526 0.418710334858185 0.378436435720245 0.418710334858185 2.23932575335485 0 3.16044130303103 2.36809189519617 3.50429533966572 3.28862574305631 3.75968734412445 0 4.23036036613954 3.75968734412445 0.314080546306312 0.249201085633499 0.175632568643158 0.237440856015034 0.14583044821154 0.470003629245736 0.542324290825362 0.307484699747961 0.542324290825362 3.65065824129374 0.377065633586466 0 2.60268968544438 3.65065824129374 2.87169849263054 3.84658808264264 0.605953968857568 3.25809653802148 0.318453731118535 0.117783035656383 0 0.154436353304419 0.22314355131421 0.916290731874155 0.810930216216329 0.916290731874155 0.882527101721346 0 0 0.405465108108164 0.154436353304419 0 0 0.405465108108164 0.154436353304419 0 4.57298784527714 1.64229224930505 3.71357206670431 0.583332314552739 4.57878514204338 1.38504357921824 1.52692549085964 0 0 0 0 0;</t>
  </si>
  <si>
    <t>/*26*/ 101  1 2.99071973173045 2.29051251175978 2.44927947214485 7.77317368048254 7.79811262882979 7.78572089653462 8.88405606174246 3.24671901375014E-02 1.94776556955477 1.77918068702119 1.98100146886658 1.90642654420618 1.04239460866988 0.221542269947236 0.291923066709035 0.229523158278249 0.247641022914597 0.206200830583898 0.431782416425538 0.916290731874155 0.392042087776024 0.916290731874155 3.06128590429343 0 3.08342258668098 0 3.08342258668098 0 4.35777236349787 1.12590314890401 4.38411195887322 4.35777236349787 0.289680075114454 0.380489122037987 0.285930539412975 0.319180739511152 0.288931291852213 0.542324290825362 0.85015092936961 0.78845736036427 0.85015092936961 3.40674861170048 0.300104592450338 2.60268968544438 3.25809653802148 3.65065824129374 3.25809653802148 3.40674861170048 0.605953968857568 2.87169849263054 0.117783035656383 0.22314355131421 0.117783035656383 0.154436353304419 0.433080275141138 0 0 0.405465108108164 0.154436353304419 0.693147180559945 0 0 0.287432041196572 0.559615787935423 0.810930216216329 0.693147180559945 0.693147180559945 3.93182563272433 3.75342578772099 2.23355650658361 3.12820685795336 0.650761464063507 3.7499039959517 2.7398072327154 4.08569055744177 0 0 0 0 0;</t>
  </si>
  <si>
    <t>/*34*/ 001  1 2.70136121295141 2.23964529322017 2.57184857992181 6.96129604591017 6.55393340402581 7.25276241805319 8.06054004653864 0.264669298142708 1.25647037328369 1.37371557891303 1.67241271159549 1.44997313778307 0.890767774643069 0.2390169004705 0.16805358499625 0.370183293963525 0.263133199530368 0.167207918983906 0.518793793415168 0.307484699747961 0.609765571620894 0.609765571620894 2.47274971951737 0 2.25873769321377 1.90419489855784 2.72693737682069 1.34988967922609 4.35854048151856 1.90419489855784 4.46261534710584 4.35854048151856 0.113328685307003 0.129272335704139 9.07543632684641E-02 0.110646520087064 0.124868982045869 0.425267735404344 0.451075619360217 0.246860077931526 0.451075619360217 2.87169849263054 0.287432041196572 3.93182563272433 3.93182563272433 3.93182563272433 3.93182563272433 3.53610699077653 0.733809162278835 3.25809653802148 0.22314355131421 0.318453731118535 0.117783035656383 0.22314355131421 0.433080275141138 0 0.22314355131421 0.693147180559945 0.348541960708543 0.810930216216329 0.559615787935423 0.405465108108164 0.605953968857568 0.405465108108164 0.405465108108164 1.17865499634165 0.733809162278835 2.23355650658361 4.15103990589865 3.40674861170048 3.78230148885738 0.713929719742474 3.37255782345299 2.65296023478425 4.28836135128538 0 0 0 0 0;</t>
  </si>
  <si>
    <t>/*35*/ 111  1 2.58021682959233 2.24601474150565 2.58097411853423 7.66152708135852 7.4759059693674 7.57609734062311 8.67231482828354 1.01050940711314 2.22872324439559 1.59188475318651 1.88327457806383 1.9351380520734 1.30887321415131 0.347835995271528 0.287432041196572 0.25386672395705 0.297879897428227 0.24059046491793 0.916290731874155 0.576613364303994 0.457424847038875 0.916290731874155 2.8944191118535 0 2.68348424715696 0 2.68348424715696 2.05642876737076 4.33073334028633 1.71289662080233 4.47008329849417 4.33073334028633 0.108854404912082 0.271552690521897 0.173953307123438 0.17898265552844 0.173953307123438 0.438254930931155 0.500775287912489 0.405465108108164 0.500775287912489 3.40674861170048 0.318453731118535 3.65065824129374 3.65065824129374 3.25809653802148 3.53610699077653 3.65065824129374 0.773343722554222 3.25809653802148 0 0.22314355131421 0 7.97349680188535E-02 0.405465108108164 0.559615787935423 0 0.22314355131421 0.287432041196572 0.405465108108164 0.559615787935423 0.916290731874155 0.650761464063507 0.693147180559945 0.693147180559945 0.22314355131421 0.559615787935423 3.25809653802148 4.21459861646992 1.64229224930505 3.37176857097134 0.485507815781701 4.28963718538053 2.70831683221964 3.36936265814214 0 0 0 0 0;</t>
  </si>
  <si>
    <t>/*38*/ 111  1 2.54944517092557 2.25654115449264 2.4423470353692 6.79346613258001 6.15697898558556 6.26530121273771 7.54327334670545 0.76313955237998 1.29828248379668 1.20146967410782 1.1069110914828 1.20537182523964 0.423305026236495 0.302324349188651 0.386622020306684 0.330022912941306 0.340037302785709 0.143234168085908 0.444685821261446 0.53062825106217 0.457424847038875 0.53062825106217 1.91309175439558 0 3.78969716684985 0 3.78969716684985 2.99167405009314 3.65939914879143 0 4.05624455417752 3.78969716684985 0.20294084399669 0.157003748809665 0.258510695151501 0.213497174262404 0.118671529717499 0.300104592450338 0.254642218373581 0.438254930931155 0.438254930931155 2.23355650658361 0.605953968857568 0 3.25809653802148 0 2.23355650658361 4.43477324748243 0.287432041196572 2.87169849263054 0.117783035656383 0.117783035656383 0 7.97349680188535E-02 0.348541960708543 1.25276296849537 1.32175583998232 0.693147180559945 1.12590314890401 0 0 0 0 0.559615787935423 1.09861228866811 0.559615787935423 0.773343722554222 0 4.33073334028633 3.25809653802148 3.86423933457434 0.605953968857568 4.56467105600814 1.34573274936377 1.78657940918651 0 0 0 0 0;</t>
  </si>
  <si>
    <t>/*61*/ 101  1 2.84490938381941 2.28033948404673 2.54631527791664 5.9427993751267 5.11799381241676 5.11799381241676 6.5694814204143 0.351360849114964 1.29828248379668 1.14358565431084 1.08180517035173 1.17865499634165 0.704581558185608 0.258510695151501 8.70947068509337E-02 0.153579087928301 0.176471143115779 0.19062035960865 0.587786664902119 0.148420005118273 0.470003629245736 0.587786664902119 2.54065666489249 0 2.87169849263054 0 2.87169849263054 2.23355650658361 4.33073334028633 0 4.43477324748243 4.33073334028633 7.88111804242898E-02 0.25386672395705 0.173112617708645 0.164666621555234 0.139761942375159 0.307484699747961 0.425267735404344 0.3293037471426 0.425267735404344 4.21459861646992 7.97349680188535E-02 3.93182563272433 0 3.25809653802148 3.25809653802148 4.21459861646992 0.405465108108164 3.25809653802148 0.318453731118535 0.318453731118535 0.117783035656383 0.25619140536041 0.348541960708543 0 0 0 0 0.405465108108164 0.22314355131421 0.559615787935423 0.405465108108164 1.09861228866811 0 0.22314355131421 0.559615787935423 3.53610699077653 4.15103990589865 1.64229224930505 3.28185062402959 0.287432041196572 2.41412646772695 2.10644854716636 4.5088795256698 0 0 0 0 0;</t>
  </si>
  <si>
    <t>/*85*/ 111  1 2.82731362192903 2.20937271127187 2.54788144894939 6.85646198459459 6.19644412779452 6.0591231955818 7.53208814354172 1.43864959145382 1.35144408368414 1.52060669872748 1.6568938535904 1.51072193949494 0.729479109807336 0.302324349188651 0.213497174262404 0.152721087017664 0.221542269947236 0.148420005118273 0.518793793415168 0.431782416425538 0.262364264467491 0.518793793415168 2.72366104861636 0 0 0 0 1.90419489855784 4.55688289535656 0 4.61512051684126 4.55688289535656 0.214304602647005 0.155292884406035 0.24137631957527 0.185649346886629 0.166361537215225 0.431782416425538 0.392042087776024 0.512823626428664 0.512823626428664 4.01036494842683 0.122217632724249 3.65065824129374 3.93182563272433 0 3.40674861170048 4.01036494842683 0.693147180559945 3.53610699077653 0.22314355131421 0.22314355131421 0.133656384812674 0.19638881400539 0.501986675098786 0.693147180559945 0.405465108108164 0.559615787935423 0.559615787935423 0.693147180559945 0.22314355131421 0.693147180559945 0.559615787935423 0.916290731874155 0.405465108108164 0 0.511025603768657 3.53610699077653 3.93182563272433 2.87169849263054 3.4473491476833 0.485507815781701 2.29445210976386 1.74658775058133 4.52266862447629 0 0 0 0 0;</t>
  </si>
  <si>
    <t>/*86*/ 111  1 2.8094026953625 2.23964529322017 2.53051716104005 6.10702288774225 6.16541785423142 6.30261897574491 7.29233717617388 0.452348694007015 1.3015531326648 1.42021257932335 1.3252165116113 1.35014891448354 0.609765571620894 0.201306856705035 0.22314355131421 0.180653499693258 0.202124184090134 0.115112807100504 0.431782416425538 0.444685821261446 0.364643113587909 0.444685821261446 2.6234359487123 1.46626014275777 0 2.03692540457676 2.39789527279837 0 4.51085950651685 0 4.51085950651685 4.51085950651685 0.227932068046007 0.212689093410351 0.184818436992542 0.208638865111328 0.20375683751402 0.542324290825362 0.65232518603969 0.378436435720245 0.65232518603969 3.65065824129374 0.287432041196572 3.65065824129374 3.65065824129374 2.60268968544438 3.40674861170048 3.65065824129374 1.01160091167848 4.08316564363067 0 0 0 0 0.318453731118535 0 0 0 0 0.22314355131421 0 0.693147180559945 0.348541960708543 0.559615787935423 0.405465108108164 0.559615787935423 0.511025603768657 3.53610699077653 4.01036494842683 2.60268968544438 3.40674861170048 0.980954245199877 4.1784405825752 2.8350352128567 3.6037572006971 0 0 0 0 0;</t>
  </si>
  <si>
    <t>/*93*/ 000  1 2.81540871942271 2.2554934854602 2.5360749363624 6.0913098820777 5.73979291217923 6.19236248947487 7.12286665859908 0 0.8754687373539 0.941178447381934 1.07772907775169 0.968123880514172 0.558472277233344 0.115112807100504 0.122217632724249 0.237440856015034 0.161268147596122 0.135404637006203 0.246860077931526 0.182321556793955 0.518793793415168 0.518793793415168 2.33447128185637 0 2.76095885675761 2.12906469215316 3.14510010520481 2.49411413053891 4.21459861646992 0 4.3666337700664 4.21459861646992 0.207826847202317 0.130150684465045 0.137149838147234 0.157003748809665 0.149281702715754 0.405465108108164 0.231111720963387 0.444685821261446 0.444685821261446 3.40674861170048 0.377065633586466 0 3.25809653802148 3.93182563272433 3.25809653802148 3.84658808264264 0.847154993039293 3.93182563272433 0 0.117783035656383 0 4.11419433311752E-02 0.433080275141138 0 0 0.405465108108164 0.154436353304419 0 0 0 0 0 0 0.916290731874155 0.405465108108164 3.65065824129374 4.15103990589865 0 3.18324864722505 4.40168854167743E-02 3.56837709945879 2.7124405494035 4.19781829903166 0 0 0 0 0;</t>
  </si>
  <si>
    <t>/*109*/ 100  1 2.68102152871429 2.2975725511705 2.51446545202954 6.83733281468559 5.5683445037611 5.57215403217776 7.28276117960559 0.601579987034455 1.55814461804655 1.67485105098233 1.44101926080914 1.56255592653397 0.877549903557725 0.246078522596706 0.131028262406404 0.24137631957527 0.206200830583898 0.175632568643158 0.587786664902119 0.215111379616945 0.506817602368452 0.587786664902119 2.85899574998052 0 0 0 0 1.51973199934961 4.54177234735812 1.51973199934961 4.61512051684126 4.54177234735812 0.273836665629728 0.17730901497041 0.198850858745165 0.212689093410351 0.176471143115779 0.536493370514568 0.371563556432483 0.494696241836107 0.536493370514568 3.53610699077653 0.405465108108164 2.60268968544438 2.60268968544438 3.25809653802148 2.87169849263054 3.93182563272433 0.733809162278835 3.25809653802148 0 0 0 0 0.22314355131421 0.22314355131421 0 0 7.97349680188535E-02 0.559615787935423 0.22314355131421 0 0.287432041196572 0.693147180559945 0 0.559615787935423 0.459321780898875 3.65065824129374 3.75342578772099 3.08342258668098 3.54217597492173 0.485507815781701 3.9959596603007 2.63044895507866 3.86329483933679 0 0 0 0 0;</t>
  </si>
  <si>
    <t>/*123*/ 111  1 2.72785282839839 2.41680623708407 2.36555989215543 6.99484998583307 6.8351845861473 7.15851399732932 8.10288913464087 0.28292075535007 1.69799808941358 1.65593974608552 1.73395378713167 1.6963492844234 0.901380119138401 0.300104592450338 0.168898536461814 0.319180739511152 0.266203040774657 0.172271220940453 0.587786664902119 0.29266961396282 0.56531380905006 0.587786664902119 2.74611640190867 0 1.18570699551904 1.71289662080233 2.05642876737076 1.18570699551904 4.52079895710193 0 4.54522908052112 4.52079895710193 0.166361537215225 0.301584977620772 0.167207918983906 0.21107097007994 0.19638881400539 0.412109650826833 0.806475865866949 0.29266961396282 0.806475865866949 3.40674861170048 0.420025259439494 2.60268968544438 3.25809653802148 2.60268968544438 2.87169849263054 3.93182563272433 1.01160091167848 4.21459861646992 0 0.318453731118535 0.22314355131421 0.188966099512623 0.485507815781701 0 0 0.559615787935423 0.22314355131421 0.405465108108164 0 0 0.154436353304419 0.22314355131421 0 0.559615787935423 0.287432041196572 3.40674861170048 3.93182563272433 3.08342258668098 3.5660053559634 0.733809162278835 2.5020914745421 2.10657020906809 4.49749588448 0 0 0 0 0;</t>
  </si>
  <si>
    <t>/*130*/ 111  1 2.50143595173921 2.16332302566054 2.12823170584927 6.00881318544259 6.4831073514572 6.27476202124194 7.37148929521428 0.399447035782601 1.45278410238872 1.20537182523964 1.42623596821284 1.36736635123437 0.96088161520203 0.249201085633499 0.157003748809665 0.339325305603619 0.251536625815428 0.181487876045377 0.457424847038875 0.322083499169113 0.576613364303994 0.576613364303994 2.41903390563729 0 3.8489980050067 0 3.8489980050067 0 4.00831452174607 0 4.00831452174607 4.00831452174607 3.05292050348228E-02 0.100749903100143 6.57877405380032E-02 6.48509723196163E-02 0.104360015324243 0.139761942375159 0.285178942233662 0.378436435720245 0.378436435720245 2.87169849263054 0.188966099512623 4.48300255201388 3.65065824129374 4.15103990589865 4.15103990589865 3.75342578772099 0.847154993039293 3.75342578772099 0.22314355131421 0.405465108108164 0.693147180559945 0.459321780898875 0.583332314552739 0 0 0 0 1.50407739677627 0.405465108108164 0.810930216216329 1.01160091167848 0.511025603768657 0.405465108108164 1.09861228866811 0.737642420446497 2.87169849263054 4.2743439804937 2.60268968544438 3.49901955528168 0.348541960708543 2.30348468823688 1.81319474994812 4.5216907461768 0 0 0 0 0;</t>
  </si>
  <si>
    <t>/*157*/ 111  1 2.76000994003292 2.21920348405499 2.46809953147162 7.13966033596492 7.14124512235049 6.69084227741856 8.10982627601848 1.35273757759105 2.15755932094379 1.90210752639692 1.58678322186929 1.90894973663946 1.2047724844965 0.308219723669329 0.300845058978062 0.459953293392234 0.359072068538454 0.168898536461814 0.470003629245736 0.500775287912489 0.587786664902119 0.587786664902119 2.66011966734466 0 3.84658808264264 0 3.84658808264264 0 3.93182563272433 1.64229224930505 4.01036494842683 3.93182563272433 0.216722983511287 0.178146185383474 0.093490343087339 0.163818085229395 0.183154543097847 0.741937344729377 0.322083499169113 0.157003748809665 0.741937344729377 2.23355650658361 0.420025259439494 2.60268968544438 2.60268968544438 4.48300255201388 3.65065824129374 3.93182563272433 0.511025603768657 3.25809653802148 0 0.22314355131421 0 7.97349680188535E-02 0.25619140536041 0.22314355131421 0.405465108108164 0.693147180559945 0.459321780898875 0.693147180559945 0.810930216216329 0 0.559615787935423 0.810930216216329 0.693147180559945 1.01160091167848 0.847154993039293 3.08342258668098 4.08316564363067 3.08342258668098 3.65065824129374 0.348541960708543 4.18760719268179 2.8232818365553 3.58726192473494 0 0 0 0 0;</t>
  </si>
  <si>
    <t>/*163*/ 111  1 2.83321334405622 2.2512917986065 2.42391737816157 6.42324696353352 6.31535800152233 5.99893656194668 7.35883089834235 1.22641899315577 1.62688482603782 1.71163342474877 1.68880346781484 1.67634861771673 0.90300283754722 0.261594737688462 0.116003675756306 0.287432041196572 0.221542269947236 0.185649346886629 0.631271776841858 0.231111720963387 0.598836501088704 0.631271776841858 2.92073929451256 0 2.29142302828785 0 2.29142302828785 1.17000228475478 4.49857557581545 0 4.52299437152573 4.49857557581545 8.80108773227134E-02 0.183154543097847 0.110646520087064 0.126632650933366 0.12575120530556 0.385262400790645 0.357674444271816 0.350656871613169 0.385262400790645 3.25809653802148 0.318453731118535 4.15103990589865 0 3.93182563272433 3.65065824129374 3.65065824129374 1.07055569088558 4.08316564363067 0 0.318453731118535 0 0.117783035656383 0.405465108108164 0 0 0 0 0.559615787935423 0.693147180559945 0.22314355131421 0.511025603768657 0.916290731874155 0.405465108108164 1.32175583998232 0.948951514113703 3.25809653802148 4.01036494842683 3.08342258668098 3.51773519791011 0.405465108108164 3.33864799200131 2.66514270009093 4.30161615104573 0 0 0 0 0;</t>
  </si>
  <si>
    <t>/*14b*/ 111  1 2.58021682959233 2.22678337957776 2.54944517092557 6.26909628370626 6.02586597382531 6.3750248198281 7.33106030521863 0.579978482454307 1.04731899428056 1.04731899428056 1.61203453828137 1.27284566861231 0.848440064965981 0.2390169004705 0.152721087017664 0.454889991435687 0.291923066709035 0.189793571632656 0.405465108108164 0.231111720963387 0.576613364303994 0.576613364303994 2.148850993052 0 3.80109144472086 2.98315349134713 4.15103990589865 2.33939906611676 3.37159691188586 0 3.65065824129374 3.80109144472086 0.27763173659828 0.4421184257562 0.048790164169432 0.268499253035007 0.259282597930083 0.741937344729377 0.636576829071551 8.61776962410524E-02 0.741937344729377 3.25809653802148 0.348541960708543 0 0 4.61512051684126 3.53610699077653 3.75342578772099 0.348541960708543 2.23355650658361 0 0 0.22314355131421 7.97349680188535E-02 0.117783035656383 0.22314355131421 0.810930216216329 0.22314355131421 0.459321780898875 0 0 0 0 0.559615787935423 0.22314355131421 1.55814461804655 0.948951514113703 2.23355650658361 4.21459861646992 3.08342258668098 3.65909012530318 0 4.61512051684126 0 0 0 0 0 0 0;</t>
  </si>
  <si>
    <t>/*201_NCT*/ 111  1 2.67414864942653 2.25023861262184 2.61373952163097 6.24027584517077 6.07073772800249 5.99645208861902 7.20489251020467 1.17248213723457 1.74711071755917 1.63899671467564 1.78975746655738 1.72722094809048 0.898126761246484 0.193096629961913 0.12751332029896 0.151862349309246 0.15785808461558 0.117783035656383 0.405465108108164 0.27763173659828 0.488580014818671 0.488580014818671 3.33323968847893 1.54841321059633 0 0 1.54841321059633 0 4.45649614860635 2.49411413053891 4.57775787837775 4.45649614860635 0.172271220940453 0.226338442210729 0.281412459438185 0.225540675913931 0.227135572583747 0.336472236621213 0.56531380905006 0.712949807856125 0.712949807856125 3.84658808264264 0.25619140536041 3.25809653802148 3.25809653802148 3.25809653802148 3.25809653802148 3.84658808264264 0.605953968857568 0 0 0 0 0 0.25619140536041 0 0 0 0 0.810930216216329 1.29937388908919 1.25276296849537 1.12849466314998 0.693147180559945 0.405465108108164 0 0.435023910349709 3.84658808264264 3.84658808264264 2.23355650658361 3.28185062402959 0 3.4659233852238 2.6330392572897 4.24840952408997 0 0 0 0 0;</t>
  </si>
  <si>
    <t>/*202_CWT*/ 111  1 2.75366071235426 2.25444471766611 2.48906465993666 6.50876913697168 5.9427993751267 5.9427993751267 7.26612877955645 1.07500242302898 1.50696212084486 1.33841628087543 1.17093295024774 1.34807314829969 0.658038003446377 0.245296355955343 0.144965770250186 0.150142658429719 0.183986836113016 0.105260510657493 0.392042087776024 0.246860077931526 0.198850858745165 0.392042087776024 2.71330304738366 0 2.31164393748239 1.39376637595859 2.57421400012358 0 4.48727589414297 0 4.48727589414297 4.48727589414297 0.266969030854239 0.433728573381024 0.546964670381864 0.414094434806219 0.275356422761144 0.576613364303994 0.65232518603969 0.802001585472027 0.802001585472027 4.21459861646992 0.265436463504461 0 0 0 0 4.21459861646992 1.01160091167848 3.93182563272433 0 0.22314355131421 0.405465108108164 0.22314355131421 0.25619140536041 0.22314355131421 0 0 7.97349680188535E-02 0 0 0.22314355131421 7.97349680188535E-02 0.810930216216329 0 0 0.348541960708543 3.93182563272433 3.84658808264264 1.64229224930505 3.24192806839835 0.300104592450338 3.51509138333822 2.69894218207148 4.22509500826333 0 0 0 0 0;</t>
  </si>
  <si>
    <t>/*1*/ 111  1 2.67414864942653 2.25758772706331 2.40784560365154 7.69666708152646 6.9782137426307 7.0335064842877 8.39072252736229 0.28292075535007 1.9003148757824 1.9351380520734 1.99809590222588 1.94533855715636 0.786182046527135 0.282166891763671 0.352767319107715 0.202124184090134 0.280657457514817 0.14583044821154 0.46373401623214 0.631271776841858 0.392042087776024 0.631271776841858 2.9695936159443 0 3.08342258668098 1.64229224930505 3.25809653802148 2.23355650658361 4.18331651602436 1.12590314890401 4.33073334028633 4.18331651602436 0.273075920062419 0.179818426575836 0.258510695151501 0.235072122179484 0.15785808461558 0.444685821261446 0.425267735404344 0.615185639090233 0.615185639090233 3.40674861170048 0.459321780898875 0 3.65065824129374 0 2.60268968544438 4.08316564363067 0.405465108108164 2.23355650658361 0.485507815781701 0.22314355131421 0.693147180559945 0.485507815781701 0.628608659422374 0 0 0.405465108108164 0.154436353304419 0.916290731874155 0 0.22314355131421 0.459321780898875 0.559615787935423 0.916290731874155 0.405465108108164 0.650761464063507 2.23355650658361 4.2743439804937 3.08342258668098 3.73866911861645 0.650761464063507 3.02140002030257 2.55552042911599 4.40035759135861 0 0 0 0 0;</t>
  </si>
  <si>
    <t>/*4*/ 111  1 2.66722820658195 2.24177295359729 2.46555392127219 6.78558764500793 6.44888939414686 6.01859321449623 7.56320059235807 1.20537182523964 1.44409145984611 1.15939376092797 1.0206507471984 1.22377543162212 0.696142689539744 0.129272335704139 0.201306856705035 0.126632650933366 0.153579087928301 8.89262091944015E-02 0.231111720963387 0.405465108108164 0.231111720963387 0.405465108108164 2.73650807391869 0 2.52003245176337 0 2.52003245176337 0 4.49503160687717 0 4.49503160687717 4.49503160687717 0.333611004340181 0.296394013053802 0.231905056982783 0.289680075114454 0.238229188732251 0.657520002916794 0.542324290825362 0.559615787935423 0.657520002916794 3.93182563272433 0.405465108108164 0 0 0 0 3.93182563272433 1.04133622084838 4.08316564363067 0.318453731118535 0.117783035656383 0 0.154436353304419 0.22314355131421 0 0.559615787935423 0.405465108108164 0.348541960708543 0.693147180559945 0.22314355131421 0.22314355131421 0.405465108108164 0.22314355131421 0.693147180559945 0 0.348541960708543 2.60268968544438 4.2743439804937 2.87169849263054 3.71357206670431 0.154436353304419 3.84323011394386 2.83779108548541 4.01320681076246 0 0 0 0 0;</t>
  </si>
  <si>
    <t>/*17*/ 001  1 2.89591193827178 2.287471455184 2.43009841329301 5.31811999384422 5.56452040732269 6.11146733950268 6.81783057145415 6.39133257436529E-02 1.11939482785064 1.08180517035173 1.25817685833945 1.15593735528738 0.428530381039161 0.23031775506221 0.272314595320659 0.327863862084613 0.275356422761144 0.118671529717499 0.307484699747961 0.364643113587909 0.553885113226438 0.553885113226438 2.06216821300938 0 3.36729582998647 0 3.36729582998647 0 4.29045944114839 0 4.29045944114839 4.29045944114839 0.404130885095028 0.458057558227335 0.330022912941306 0.400117501781569 0.194744076792512 0.582215619852664 0.717839793150317 0.576613364303994 0.717839793150317 1.64229224930505 0.648672690458116 0 0 2.60268968544438 1.64229224930505 4.48300255201388 0.650761464063507 2.87169849263054 0.117783035656383 0 0 4.11419433311752E-02 0.485507815781701 0.916290731874155 0.810930216216329 0.810930216216329 0.847154993039293 0 0 0 0 0 0 0.22314355131421 7.97349680188535E-02 0 4.01036494842683 3.84658808264264 3.96398907345275 0.154436353304419 4.41318609692298 2.57062552519054 2.96877209197121 0 0 0 0 0;</t>
  </si>
  <si>
    <t>/*20*/ 111  1 2.66722820658195 2.28238238567653 2.63977136034892 7.59488438721652 7.28961052145117 6.97073007814353 8.41538192526955 0.671412688413939 1.68417425854812 1.76438827243192 1.59696039092299 1.68417425854812 0.782987884559735 0.227932068046007 0.187309098304994 0.191446464570955 0.20294084399669 0.107957141505092 0.444685821261446 0.336472236621213 0.27763173659828 0.444685821261446 3.02042488614436 0 2.64212405098604 0 2.64212405098604 2.27171342932696 4.31632744021556 1.6767226592397 4.47684805869292 4.31632744021556 0.193096629961913 0.154436353304419 0.178146185383474 0.175632568643158 0.151002873536527 0.476234178996372 0.398776119957368 0.378436435720245 0.476234178996372 4.01036494842683 0.154436353304419 3.25809653802148 3.65065824129374 3.25809653802148 3.40674861170048 4.01036494842683 0.605953968857568 3.25809653802148 0.117783035656383 0.22314355131421 0.22314355131421 0.188966099512623 0.559615787935423 0 0 0 0 0.693147180559945 1.01160091167848 0.405465108108164 0.733809162278835 0.559615787935423 0.559615787935423 0.559615787935423 0.559615787935423 2.60268968544438 4.38411195887322 2.23355650658361 3.54217597492173 0.535323095366378 2.02340015079621 1.74989526512936 4.54792235638597 0 0 0 0 0;</t>
  </si>
  <si>
    <t>/*25*/ 000  1 2.81540871942271 2.21046980408624 2.53923699433305 6.07073772800249 5.68357976733868 5.39816270151775 6.85224256905188 0 0.711968934800533 0.654925967739748 0.667829372575655 0.678541028170583 0.24137631957527 0.209450224182207 0.163818085229395 0.198850858745165 0.19062035960865 9.71267107307228E-02 0.425267735404344 0.27763173659828 0.307484699747961 0.425267735404344 1.72686532931006 0 2.60268968544438 0 2.60268968544438 2.23355650658361 4.38411195887322 0 4.48300255201388 4.38411195887322 0.264669298142708 0.346422567474381 0.235072122179484 0.28292075535007 0.174793290373163 0.512823626428664 0.657520002916794 0.307484699747961 0.657520002916794 3.08342258668098 0.535323095366378 3.25809653802148 0 0 2.23355650658361 4.2743439804937 0.459321780898875 2.87169849263054 0 0 0 0 0.188966099512623 0.693147180559945 0.916290731874155 0.810930216216329 0.810930216216329 0 0 0 0 0 0.22314355131421 0 7.97349680188535E-02 0 4.2743439804937 3.40674861170048 3.88156379794344 0 4.59711785279726 1.0206507471984 1.03033344791482 0 0 0 0 0;</t>
  </si>
  <si>
    <t>/*29*/ 101  1 3.18635263316264 2.19277022698684 2.42480272571829 6.16751649088834 6.22455842927536 5.74939298590825 7.16549347506085 8.89262091944015E-02 0.945849534115699 1.54222916274065 1.30833281965018 1.2947271675944 0.798407691217438 0.198850858745165 0.260824618281898 0.155292884406035 0.208638865111328 8.25012215117438E-02 0.262364264467491 0.350656871613169 0.262364264467491 0.350656871613169 2.5197910516415 0 3.07685132483878 0 3.07685132483878 0 4.38589414620037 0 4.38589414620037 4.38589414620037 0.246860077931526 7.97349680188535E-02 0.22314355131421 0.175632568643158 0.170586300575534 0.518793793415168 0.165514438477573 0.512823626428664 0.518793793415168 3.25809653802148 0.318453731118535 3.25809653802148 4.33073334028633 2.60268968544438 3.65065824129374 3.65065824129374 0.810930216216329 3.75342578772099 0 0 0.117783035656383 4.11419433311752E-02 0.485507815781701 0.693147180559945 0.405465108108164 0.693147180559945 0.605953968857568 0 0 0.405465108108164 0.154436353304419 0.405465108108164 0.810930216216329 0.405465108108164 0.559615787935423 2.87169849263054 4.01036494842683 3.40674861170048 3.61765194482557 0.154436353304419 3.76391735089655 2.57100789050702 4.07555242420962 0 0 0 0 0;</t>
  </si>
  <si>
    <t>/*40*/ 111  1 2.79728133483015 2.21156569460688 2.47317139356958 7.06817200038804 6.51471269087253 7.3031700512368 8.11132800328673 0.935701125393978 2.14745059604405 1.81645208181843 1.9058319254879 1.96655275960122 1.02209115076037 0.265436463504461 0.237440856015034 0.15785808461558 0.221542269947236 0.121332285167525 0.405465108108164 0.392042087776024 0.482426149244293 0.482426149244293 3.25161403345597 0 1.71289662080233 0 1.71289662080233 1.18570699551904 4.54522908052112 0 4.56907657833985 4.54522908052112 0.27002713721306 0.331459694797669 0.338612801120324 0.311886761148598 0.219938420365261 0.712949807856125 0.631271776841858 0.62057648772511 0.712949807856125 3.93182563272433 0.330022912941306 0 2.60268968544438 2.60268968544438 2.23355650658361 3.93182563272433 0.773343722554222 3.75342578772099 0 0 0.22314355131421 7.97349680188535E-02 0.287432041196572 0.405465108108164 0.693147180559945 0 0.405465108108164 0.559615787935423 1.01160091167848 0.22314355131421 0.650761464063507 0.559615787935423 0.22314355131421 0 0.287432041196572 2.60268968544438 4.48300255201388 0 3.53610699077653 0.188966099512623 4.13735615781535 2.77912978278316 3.67282628879169 0 0 0 0 0;</t>
  </si>
  <si>
    <t>/*52*/ 010  1 2.72785282839839 2.26799364822443 2.39242579699384 5.37063802812766 5.62401750618734 6.78332520060396 7.22475340576797 0.043059489460447 0.880870786642895 1.08620226859143 1.19392246847243 1.06194830429652 0.438899884194402 0.182321556793955 0.197210169287705 0.235072122179484 0.204572165728774 7.60346862759976E-02 0.246860077931526 0.336472236621213 0.322083499169113 0.336472236621213 2.23387789498425 0 2.52876403285178 0 2.52876403285178 3.00721608149528 4.25178980899879 0 4.49381395411519 4.25178980899879 0.461215123212656 0.419368013277156 0.265436463504461 0.387979793767145 0.189793571632656 0.688134638736401 0.667829372575655 0.350656871613169 0.688134638736401 3.40674861170048 0.535323095366378 0 0 0 0 4.2743439804937 1.26553815998409 4.33073334028633 0.405465108108164 0.559615787935423 0.628608659422374 0.535323095366378 0.348541960708543 0.405465108108164 0 0 0.154436353304419 0.22314355131421 0.810930216216329 0.22314355131421 0.459321780898875 0 0 0.22314355131421 7.97349680188535E-02 1.64229224930505 4.33073334028633 3.08342258668098 3.69199958145018 0.605953968857568 2.13203399179901 1.8113986844804 4.53868844468726 0 0 0 0 0;</t>
  </si>
  <si>
    <t>/*56*/ 111  1 2.94443897916644 2.23323501485925 2.57794151575519 6.27664348934164 5.8805329864007 6.49978704065585 7.34794382314869 0.505008738444426 1.57132059032097 1.30508430569435 1.31855070903337 1.40585186033542 0.659073200226194 0.27002713721306 0.155292884406035 0.236651901339002 0.223943231484774 0.163818085229395 0.553885113226438 0.231111720963387 0.542324290825362 0.553885113226438 2.58693662534937 0 0 0 0 1.46626014275777 4.58156373331242 0 4.61512051684126 4.58156373331242 0.108854404912082 0.254642218373581 0.21591750622247 0.180653499693258 0.184818436992542 0.371563556432483 0.662687973075237 0.451075619360217 0.662687973075237 3.53610699077653 0.377065633586466 3.93182563272433 0 2.60268968544438 3.08342258668098 3.84658808264264 0.916290731874155 3.93182563272433 0.117783035656383 0.22314355131421 0.318453731118535 0.22314355131421 0.459321780898875 0.22314355131421 0.693147180559945 0.405465108108164 0.459321780898875 0.22314355131421 0 0.22314355131421 0.154436353304419 0.916290731874155 0 0.559615787935423 0.559615787935423 3.40674861170048 3.84658808264264 3.25809653802148 3.49271249049793 0.605953968857568 4.00285042538864 2.82855545408649 3.85536799427157 0 0 0 0 0;</t>
  </si>
  <si>
    <t>/*65*/ 111  1 2.70136121295141 2.27521389619791 2.57489968831471 6.5410299991899 6.18414889093748 6.03787091992214 7.37462901521894 0.471252848646167 1.09861228866811 0.993251773010283 0.988797422660903 1.02818982437156 0.327863862084613 0.155292884406035 0.184818436992542 0.192271887647123 0.17730901497041 6.85927914656117E-02 0.262364264467491 0.262364264467491 0.27763173659828 0.27763173659828 2.32591091829754 0 1.32919476907932 0 1.32919476907932 1.32919476907932 4.55853968805978 0 4.58723022285543 4.55853968805978 0.317726193800158 0.29266961396282 0.25619140536041 0.288931291852213 0.201306856705035 0.559615787935423 0.587786664902119 0.631271776841858 0.631271776841858 3.65065824129374 0.459321780898875 2.60268968544438 0 0 1.64229224930505 4.08316564363067 0.955511445027436 3.53610699077653 0 0 0 0 4.21011760186353E-02 0.22314355131421 0.22314355131421 0 0.167207918983906 0 0 0.287432041196572 8.70947068509337E-02 0.810930216216329 0.810930216216329 0 0.646579544743611 0 4.43477324748243 2.87169849263054 3.74851535200981 0.693147180559945 4.61512051684126 0 0 0 0 0 0 0;</t>
  </si>
  <si>
    <t>/*73*/ 101  1 2.76631910922619 2.2628042229822 2.60417007061482 6.57646956904822 6.57646956904822 6.57646956904822 7.67415292128168 5.44881852840698E-02 1.44101926080914 1.27396517614597 1.37371557891303 1.36532605468369 0.461215123212656 0.389335726178281 0.325700139639302 0.375692949774494 0.365337317017385 0.122217632724249 0.518793793415168 0.494696241836107 0.506817602368452 0.518793793415168 2.02906887601516 0 3.42197992084468 0 3.42197992084468 2.49411413053891 4.0986519388084 0 4.26787761298298 4.0986519388084 0.268499253035007 0.503801008829026 0.22872792960811 0.330741561912228 0.261594737688462 0.536493370514568 0.802001585472027 0.470003629245736 0.802001585472027 2.23355650658361 0.646579544743611 0 0 0 0 4.43477324748243 0.847154993039293 3.75342578772099 0 0.117783035656383 0 4.11419433311752E-02 0.377065633586466 0.405465108108164 0.22314355131421 0.693147180559945 0.459321780898875 0.22314355131421 0.559615787935423 0 0.287432041196572 0.693147180559945 0.559615787935423 1.01160091167848 0.773343722554222 2.60268968544438 4.33073334028633 2.60268968544438 3.63429126382953 0.348541960708543 4.53627016733304 2.23226991907902 2.15848374901979 0 0 0 0 0;</t>
  </si>
  <si>
    <t>/*77*/ 111  1 3.10009228887823 2.23108909128898 2.53449014997683 6.49828214947643 6.02344759296103 6.27287700654617 7.38087903556412 0.139761942375159 1.25647037328369 1.47017584510059 1.2947271675944 1.34495139758551 0.662172376260515 0.273075920062419 0.330022912941306 0.195566783543975 0.272314595320659 0.123102197133983 0.336472236621213 0.482426149244293 0.322083499169113 0.482426149244293 2.30985857696054 1.44125591919386 1.44125591919386 0 2.00848245273934 0 4.47843848014895 2.00848245273934 4.54910764205155 4.47843848014895 0.321358598811165 0.249201085633499 0.379121132768562 0.308954207727321 0.246078522596706 0.62057648772511 0.751416088683921 0.662687973075237 0.751416088683921 3.84658808264264 0.298622012490115 2.60268968544438 3.65065824129374 0 2.87169849263054 3.84658808264264 0.650761464063507 3.25809653802148 0.117783035656383 0 0 4.11419433311752E-02 0.188966099512623 0 0 0 0 0 0 0.559615787935423 0.22314355131421 0.559615787935423 1.01160091167848 0 0.605953968857568 2.23355650658361 4.15103990589865 3.40674861170048 3.9070104636046 0.405465108108164 4.55460294375035 2.19031185051126 1.93600410293585 0 0 0 0 0;</t>
  </si>
  <si>
    <t>/*82*/ 111  1 2.9391619220656 2.22028985026722 2.62900699376176 6.44730586254121 6.24610676548156 6.70808408385307 7.58273848891441 0.997686370078149 1.52887840457568 1.6020103966053 1.59432427462405 1.57546739286295 0.718327479090244 0.369492447649347 0.199670195128568 0.205386829724951 0.266203040774657 0.202124184090134 0.732367893713227 0.482426149244293 0.364643113587909 0.732367893713227 2.60705053348017 0 1.71289662080233 1.18570699551904 2.05642876737076 0 4.54522908052112 0 4.54522908052112 4.54522908052112 0.163818085229395 0.266969030854239 0.21107097007994 0.208638865111328 0.20375683751402 0.636576829071551 0.576613364303994 0.488580014818671 0.636576829071551 3.75342578772099 0.25619140536041 4.15103990589865 2.60268968544438 2.60268968544438 3.40674861170048 3.75342578772099 0.693147180559945 3.25809653802148 0.22314355131421 0 0 7.97349680188535E-02 0.433080275141138 0.559615787935423 0.22314355131421 0 0.287432041196572 0 0.22314355131421 0.693147180559945 0.348541960708543 1.09861228866811 0.693147180559945 0.559615787935423 0.810930216216329 4.01036494842683 3.40674861170048 2.87169849263054 3.25327725158553 0.188966099512623 3.53764950479766 2.59450815970308 4.21381506219827 0 0 0 0 0;</t>
  </si>
  <si>
    <t>/*103*/ 100  1 2.8094026953625 2.21046980408624 2.47569771070269 6.73221070646721 6.43294009273918 5.93489419561959 7.51588908521513 0.151002873536527 1.24559447901676 1.28785428830664 1.31506685183152 1.28315360220038 0.602127782172777 0.131028262406404 0.19062035960865 0.116003675756306 0.146694379150803 0.109750863959119 0.246860077931526 0.418710334858185 0.231111720963387 0.418710334858185 2.86402778255656 0 1.88038066088158 2.23355650658361 2.70062268527341 1.88038066088158 4.40128990085473 0 4.46718316750317 4.40128990085473 0.253090627682162 0.209450224182207 0.153579087928301 0.206200830583898 0.207826847202317 0.712949807856125 0.418710334858185 0.425267735404344 0.712949807856125 3.53610699077653 0.361164849211584 3.25809653802148 3.65065824129374 0 3.08342258668098 3.75342578772099 0.693147180559945 3.25809653802148 0.318453731118535 0.559615787935423 0 0.318453731118535 0.693147180559945 0.22314355131421 0.559615787935423 0 0.287432041196572 0.405465108108164 0.559615787935423 0.22314355131421 0.405465108108164 0.405465108108164 0.810930216216329 0.22314355131421 0.511025603768657 3.75342578772099 3.84658808264264 2.60268968544438 3.289632473319 0.405465108108164 3.24501129847283 2.68968254374403 4.33517084838862 0 0 0 0 0;</t>
  </si>
  <si>
    <t>/*120*/ 111  1 2.72129542785223 2.18829594659192 2.52572864430826 7.16317239084664 6.89264164117209 6.75227037614174 8.0487882835342 0.611937125134402 1.85629799036563 1.63666389868769 1.6094379124341 1.70710893960755 0.85356390196585 0.234281295724666 0.222343231143441 0.174793290373163 0.210260925483196 0.12575120530556 0.457424847038875 0.364643113587909 0.431782416425538 0.457424847038875 3.00948723878633 1.18570699551904 2.95397233930576 3.41920100610173 3.93182563272433 1.18570699551904 3.88623329124184 0 3.93182563272433 3.88623329124184 0.111541374732907 0.21107097007994 0.21591750622247 0.184818436992542 0.175632568643158 0.246860077931526 0.524728528934982 0.506817602368452 0.524728528934982 3.25809653802148 0.405465108108164 3.25809653802148 3.25809653802148 3.25809653802148 3.25809653802148 3.93182563272433 0.810930216216329 3.75342578772099 0.810930216216329 0.559615787935423 0.22314355131421 0.559615787935423 0.810930216216329 0.405465108108164 0.810930216216329 0.22314355131421 0.511025603768657 0 0.22314355131421 0.22314355131421 0.154436353304419 1.01160091167848 0.810930216216329 0.693147180559945 0.847154993039293 3.25809653802148 4.33073334028633 0 3.46050348755956 0.792087128414849 3.62599290105875 2.81768158361068 4.16570352120391 0 0 0 0 0;</t>
  </si>
  <si>
    <t>/*161*/ 011  1 2.83321334405622 2.2213750375685 2.49485698064117 6.73101810048208 7.21450441415114 6.48920493132532 7.9561263512135 0.155292884406035 1.2947271675944 1.58923520511658 1.43508452528932 1.44691898293633 0.771033719217016 0.209450224182207 0.249201085633499 0.213497174262404 0.224742272677907 0.133656384812674 0.438254930931155 0.524728528934982 0.418710334858185 0.524728528934982 2.63109715993408 0 2.46903130062971 0 2.46903130062971 2.84583918397937 4.30370016175992 0 4.50190746841241 4.30370016175992 0.24059046491793 0.186479566942618 0.191446464570955 0.206200830583898 0.157003748809665 0.431782416425538 0.371563556432483 0.470003629245736 0.470003629245736 3.25809653802148 0.377065633586466 2.60268968544438 3.25809653802148 3.93182563272433 3.40674861170048 3.84658808264264 0.559615787935423 2.87169849263054 0 0 0 0 0.377065633586466 0.405465108108164 0.22314355131421 0.22314355131421 0.287432041196572 0.22314355131421 0.559615787935423 0 0.287432041196572 0 0.810930216216329 0.405465108108164 0.459321780898875 2.87169849263054 4.38411195887322 1.64229224930505 3.36442965746994 0.650761464063507 4.54348625329996 2.30098381162707 2.07718900662654 0 0 0 0 0;</t>
  </si>
  <si>
    <t>/*178*/ 111  1 3.02529107579554 2.24812890719799 2.65885995691144 7.54644627374602 7.51479976048867 7.33236920592906 8.56712556016445 1.06298511102496 1.65593974608552 1.73165554515835 1.79175946922805 1.72793180648189 0.951271700769401 0.271552690521897 0.272314595320659 0.25231392861399 0.265436463504461 0.131028262406404 0.405465108108164 0.553885113226438 0.418710334858185 0.553885113226438 2.78704620732871 0 1.32919476907932 3.14510010520481 3.25809653802148 2.23355650658361 4.21459861646992 0 4.33073334028633 4.21459861646992 0.193096629961913 0.227135572583747 0.236651901339002 0.219135529916671 0.154436353304419 0.392042087776024 0.425267735404344 0.444685821261446 0.444685821261446 3.08342258668098 0.405465108108164 3.25809653802148 3.65065824129374 3.25809653802148 3.40674861170048 3.93182563272433 0.693147180559945 3.75342578772099 0.117783035656383 0.559615787935423 0.405465108108164 0.377065633586466 0.671923544108319 0.693147180559945 0.511025603768657 0 0.435023910349709 0 0 0.22314355131421 7.97349680188535E-02 1.09861228866811 1.01160091167848 0.405465108108164 0.882527101721346 3.40674861170048 4.01036494842683 2.87169849263054 3.49271249049793 0.405465108108164 4.02893455033565 2.6154962194916 3.82426225682064 0 0 0 0 0;</t>
  </si>
  <si>
    <t>/*193*/ 111  1 2.87356463957978 2.23108909128898 2.58625914404829 7.01301578963963 7.03966034986208 7.54274354536855 8.32772616646141 1.31184017519494 2.13025347022944 2.11178771771905 2.17475172148416 2.14006616349627 1.37573884718037 0.38458189719174 0.373630384588146 0.198030850499135 0.318453731118535 0.248421358498478 0.741937344729377 0.62057648772511 0.470003629245736 0.741937344729377 3.04423668261361 1.17000228475478 2.03692540457676 2.29142302828785 2.93268597183636 0 4.42151173595047 0 4.42151173595047 4.42151173595047 0.211880359035499 0.210260925483196 0.33718626735487 0.274596832903125 0.235862323721984 0.431782416425538 0.593326845277734 0.770108221696074 0.770108221696074 3.75342578772099 0.25619140536041 3.93182563272433 3.25809653802148 2.60268968544438 3.40674861170048 3.75342578772099 0.405465108108164 2.87169849263054 0 0.22314355131421 0 7.97349680188535E-02 0.287432041196572 0.405465108108164 0 0 0.154436353304419 0.22314355131421 0.22314355131421 0.22314355131421 0.22314355131421 1.01160091167848 0.916290731874155 0.559615787935423 0.847154993039293 3.84658808264264 2.87169849263054 3.53610699077653 3.52762443143168 0.583332314552739 4.1032217101597 2.84409509889103 3.72484969790317 0 0 0 0 0;</t>
  </si>
  <si>
    <t>/*201*/ 111  1 2.83321334405622 2.26176309847379 2.59151638484626 7.02464903045364 6.9037472575846 6.64248680136726 7.9672801789422 1.13172464011831 1.44691898293633 1.40192161700559 1.23110147171419 1.36430434322828 0.813593333635813 0.294905917541101 0.27002713721306 0.288931291852213 0.284426779731108 0.21107097007994 0.470003629245736 0.418710334858185 0.8754687373539 0.8754687373539 2.28635407988363 0 3.48366790902574 1.28978346073905 3.5613585337861 1.83465930354328 4.1194598497005 0 4.20153839632422 4.1194598497005 0.134530892957606 0.213497174262404 0.260824618281898 0.201306856705035 0.227135572583747 0.708035793053696 0.678033542749897 0.542324290825362 0.708035793053696 3.08342258668098 0.348541960708543 4.15103990589865 3.25809653802148 3.25809653802148 3.65065824129374 3.75342578772099 0.650761464063507 3.53610699077653 0.117783035656383 0 0.22314355131421 0.117783035656383 0.287432041196572 0 0.559615787935423 0.693147180559945 0.459321780898875 0 0.693147180559945 0.22314355131421 0.348541960708543 1.25276296849537 0.405465108108164 0.559615787935423 0.810930216216329 0 4.2743439804937 3.40674861170048 3.81953483999298 0.485507815781701 4.50279410137122 2.35962683336124 2.46223491052358 0 0 0 0 0;</t>
  </si>
  <si>
    <t>/*203*/ 111  1 2.52572864430826 2.14358936150359 2.47989410796446 7.31986492980897 6.67203294546107 7.26403014289953 8.22309055116153 0.467500499027617 2.05732373642622 1.97408102602201 1.98444381305756 2.00592954574316 0.986935571443487 0.350656871613169 0.324977857195478 0.362557607096888 0.346422567474381 0.184818436992542 0.553885113226438 0.518793793415168 0.693147180559945 0.693147180559945 2.80680897312547 2.25244902350025 0 1.65918000432891 2.62220178397617 2.45427560623448 4.35151587946886 0 4.47999237625986 4.35151587946886 0.249201085633499 0.294905917541101 0.335042643811619 0.299363577225619 0.192271887647123 0.482426149244293 0.536493370514568 0.625938430866495 0.625938430866495 3.84658808264264 0.405465108108164 0 2.60268968544438 0 1.64229224930505 3.93182563272433 0.916290731874155 3.93182563272433 0.810930216216329 0.318453731118535 0.22314355131421 0.485507815781701 0.693147180559945 0.405465108108164 0.916290731874155 0.559615787935423 0.650761464063507 0 0.405465108108164 0.22314355131421 0.22314355131421 0.559615787935423 0 0.810930216216329 0.511025603768657 2.23355650658361 4.33073334028633 2.87169849263054 3.72870094830061 0.899348011143843 4.12408134215219 2.74290241186942 3.69359332634016 0 0 0 0 0;</t>
  </si>
  <si>
    <t>/*204*/ 111  1 2.60268968544438 2.20717490818939 2.37861977927004 7.48211892355212 7.51261754467451 7.45066079621154 8.58035576637388 1.01450577937111 1.79175946922805 1.67952352000079 1.66297867936213 1.71307694719359 0.936485439159674 0.264669298142708 0.316998126785834 0.459321780898875 0.349952398177906 0.238229188732251 0.62057648772511 0.470003629245736 0.65232518603969 0.65232518603969 2.47190583761075 0 3.25809653802148 0 3.25809653802148 0 4.33073334028633 0 4.33073334028633 4.33073334028633 0.19062035960865 0.184818436992542 0.185649346886629 0.186479566942618 0.20294084399669 0.343589704390077 0.476234178996372 0.636576829071551 0.636576829071551 3.08342258668098 0.22314355131421 3.65065824129374 4.15103990589865 4.15103990589865 4.01036494842683 3.93182563272433 0.459321780898875 3.25809653802148 0.117783035656383 0.117783035656383 0.117783035656383 0.117783035656383 0.693147180559945 0.559615787935423 0.693147180559945 0.810930216216329 0.693147180559945 0.22314355131421 0 0 7.97349680188535E-02 1.38629436111989 1.17865499634165 1.44691898293633 1.34364778639842 1.64229224930505 4.01036494842683 3.75342578772099 3.9070104636046 0.650761464063507 3.56625974056603 2.72719901994097 4.19894478893352 0 0 0 0 0;</t>
  </si>
  <si>
    <t>/*5*/ 101  1 2.88480071284671 2.24707238306379 2.58173083442354 6.38687931936265 6.57088296233958 6.4831073514572 7.58069975222456 0.059211859631846 1.23837423104327 1.30833281965018 1.50407739677627 1.35660805074953 0.673454547214209 0.111541374732907 0.126632650933366 0.169742774587095 0.136277618292548 7.60346862759976E-02 0.262364264467491 0.29266961396282 0.307484699747961 0.307484699747961 3.03177486490092 1.88038066088158 2.70062268527341 0 3.01768944090603 1.32919476907932 4.3666337700664 0 4.40128990085473 4.3666337700664 0.199670195128568 0.118671529717499 0.10345870836823 0.139761942375159 0.162118849476435 0.524728528934982 0.412109650826833 0.343589704390077 0.524728528934982 3.08342258668098 0.188966099512623 3.65065824129374 4.33073334028633 4.15103990589865 4.08316564363067 3.53610699077653 0.693147180559945 2.87169849263054 0.405465108108164 0.485507815781701 0.559615787935423 0.485507815781701 0.733809162278835 0.22314355131421 0 0 7.97349680188535E-02 0.810930216216329 0.559615787935423 0.916290731874155 0.773343722554222 0.22314355131421 0.405465108108164 0.693147180559945 0.459321780898875 1.64229224930505 4.52901242213836 1.64229224930505 3.51154543883102 0.810930216216329 2.39653070583657 2.07493138620195 4.51102432809786 0 0 0 0 0;</t>
  </si>
  <si>
    <t>/*17*/ 011  1 2.70136121295141 2.2321626286975 2.53765721517353 6.7900972355139 6.6682282484174 6.70196036600254 7.81923445385907 6.95260626486103E-02 1.83864305512691 1.77715331683869 1.64865862558738 1.75785791755237 1.04063000612976 0.193096629961913 0.215111379616945 0.23031775506221 0.212689093410351 0.143234168085908 0.46373401623214 0.542324290825362 0.457424847038875 0.542324290825362 3.05555657519966 0 2.35365836317805 2.09715866248499 2.87169849263054 0 4.40613371001711 1.21817152372575 4.43477324748243 4.40613371001711 0.173953307123438 0.129272335704139 0.181487876045377 0.162118849476435 0.141499562273699 0.451075619360217 0.336472236621213 0.425267735404344 0.451075619360217 3.75342578772099 0.188966099512623 3.65065824129374 3.65065824129374 3.65065824129374 3.65065824129374 3.75342578772099 0.693147180559945 3.25809653802148 0.485507815781701 0.485507815781701 0.559615787935423 0.511025603768657 0.713929719742474 0.405465108108164 0.22314355131421 0.559615787935423 0.405465108108164 0.559615787935423 1.09861228866811 0.693147180559945 0.810930216216329 0.693147180559945 0.810930216216329 1.09861228866811 0.882527101721346 3.25809653802148 4.08316564363067 2.87169849263054 3.49901955528168 0.348541960708543 2.99167405009314 1.97879213352991 4.40770656458411 0 0 0 0 0;</t>
  </si>
  <si>
    <t>/*61*/ 010  1 3.14415227867226 2.26176309847379 2.61080481666337 7.53689712956617 7.2841348061952 7.34794382314869 8.49371983523059 1.19285708652738E-02 1.43817498299688 1.78758409781757 2.27469988950451 1.89281071329778 1.39599713658128 0.291175961706037 0.210260925483196 0.278389025540188 0.259282597930083 0.171429115627531 0.494696241836107 0.418710334858185 0.732367893713227 0.732367893713227 2.99703142928561 1.15499262210422 2.27171342932696 2.27171342932696 3.02359060168239 0 4.31632744021556 2.01783206004814 4.39980515602552 4.31632744021556 0.144965770250186 0.251536625815428 0.116893751471499 0.166361537215225 0.173112617708645 0.524728528934982 0.576613364303994 0.343589704390077 0.576613364303994 3.25809653802148 0.348541960708543 3.25809653802148 2.60268968544438 4.15103990589865 3.53610699077653 3.75342578772099 1.2038727993256 4.21459861646992 0.117783035656383 0.22314355131421 0 0.117783035656383 0.485507815781701 0.559615787935423 0.22314355131421 0 0.287432041196572 0.693147180559945 1.38629436111989 0.916290731874155 1.04133622084838 0.810930216216329 0.405465108108164 0.559615787935423 0.605953968857568 3.53610699077653 4.08316564363067 2.23355650658361 3.40674861170048 0.485507815781701 3.5295319608798 2.78655326259015 4.21791820729928 0 0 0 0 0;</t>
  </si>
  <si>
    <t>PctDeveloped</t>
  </si>
  <si>
    <t>PctForest</t>
  </si>
  <si>
    <t>PctGrassland</t>
  </si>
  <si>
    <t>PctPasture</t>
  </si>
  <si>
    <t>PctCrops</t>
  </si>
  <si>
    <t>/*1*/ 000  1 2.88480071284671 2.17588743994809 2.54866361559075 6.28785856016178 6.35610766069589 5.8636311755981 7.28892769452126 0.453620149995211 1.33183817532383 1.4558204237685 1.45861502269952 1.41706601978664 0.655445313375934 0.201306856705035 0.319907219746518 0.346422567474381 0.287432041196572 0.187309098304994 0.27763173659828 0.693147180559945 0.65232518603969 0.693147180559945 2.34122871658625 1.17000228475478 3.32024036724868 3.23647995881656 3.99513177715051 1.17000228475478 3.76634962488084 0 3.81648079870766 3.76634962488084 0.20375683751402 0.118671529717499 0.159564569671338 0.161268147596122 0.167207918983906 0.457424847038875 0.405465108108164 0.518793793415168 0.518793793415168 3.93182563272433 0.318453731118535 0 3.93182563272433 4.15103990589865 3.65065824129374 3.65065824129374 0.605953968857568 3.25809653802148 0 0.318453731118535 0 0.122217632724249 0.265436463504461 0.405465108108164 0.405465108108164 0.287432041196572 0.375005900623456 0.22314355131421 0.22314355131421 0 0.167207918983906 0.559615787935423 1.17865499634165 0.693147180559945 0.860355099543852 1.64229224930505 4.57298784527714 0 3.65174855577573 0.847154993039293 4.29289482934604 2.63354214892715 3.36113898441617 2.89945147335005 2.82851987695106 2.3468637927469 4.06838871432337 0;</t>
  </si>
  <si>
    <t>/*8*/ 000  1 2.63188884013665 2.26176309847379 2.53686638871871 7.6657534318617 7.30518821539304 7.50163445788341 8.59987855803485 0 2.07166135436087 2.08106522279593 2.05412373369555 2.0690123461893 0.40212620684265 0.370183293963525 0.25619140536041 0.267734434642085 0.308219723669329 0.134530892957606 0.53062825106217 0.378436435720245 0.431782416425538 0.53062825106217 3.0049397543049 0 2.08168901422032 3.2410677523747 3.48366790902574 2.27952115339549 4.07575619741075 0 4.21459861646992 4.07575619741075 0.223943231484774 0.286681572118197 0.308954207727321 0.264669298142708 0.184818436992542 0.60431596685333 0.559615787935423 0.559615787935423 0.60431596685333 3.08342258668098 0.528272537369711 3.25809653802148 0 0 2.23355650658361 4.21459861646992 0.511025603768657 2.87169849263054 0.559615787935423 0 0.22314355131421 0.287432041196572 0.628608659422374 1.01160091167848 0 0.22314355131421 0.511025603768657 0 0 0.22314355131421 7.97349680188535E-02 1.17865499634165 0.22314355131421 0.810930216216329 0.810930216216329 1.64229224930505 4.08316564363067 3.53610699077653 3.93182563272433 1.01160091167848 4.3761217350185 2.52164029839965 3.1122255889898 1.57294338756236 1.6766901394514 2.86794381637635 4.1164738270387 2.17172282468586;</t>
  </si>
  <si>
    <t>/*10*/ 000  1 2.64617479738412 2.34180580614733 2.67414864942653 7.1785454837637 7.27793857294566 6.97354301952014 8.24931374626064 1.58733491562902E-02 1.6020103966053 1.5993875765806 1.51798030194527 1.57381073479095 0.349247428109936 0.433728573381024 0.375005900623456 0.328584063772207 0.379805361327587 0.115112807100504 0.53062825106217 0.518793793415168 0.476234178996372 0.53062825106217 2.22764600632955 0.870874868343673 4.03523129772959 2.70062268527341 4.2743439804937 2.23355650658361 2.94738201261294 1.32919476907932 3.40674861170048 4.03523129772959 0.220740666697899 0.245296355955343 0.369492447649347 0.276873873735178 0.175632568643158 0.3293037471426 0.378436435720245 0.698134722070984 0.698134722070984 1.64229224930505 0.578297338881003 0 3.93182563272433 0 2.87169849263054 4.33073334028633 0 0 0 0 0 0 7.97349680188535E-02 1.50407739677627 1.09861228866811 1.01160091167848 1.22876297313315 0.810930216216329 0 0 0.348541960708543 1.44691898293633 1.44691898293633 1.01160091167848 1.32175583998232 1.64229224930505 4.33073334028633 3.08342258668098 3.81953483999298 1.05605267424931 4.58799350786747 1.51951320490611 1.30914330193148 1.7945426605554 0 3.4997454474877 3.73296034681234 3.13868817935835;</t>
  </si>
  <si>
    <t>/*11*/ 000  1 2.45100509811232 2.24601474150565 2.50470927708418 6.20859002609663 5.87773578177964 6.05678401322862 7.15383380157884 0 1.02532449289828 1.07772907775169 1.27759494419655 1.13269160232097 0.471876873627416 8.70947068509337E-02 0.133656384812674 8.15799869924228E-02 0.102556588325092 4.21011760186353E-02 0.122217632724249 0.215111379616945 0.139761942375159 0.215111379616945 3.02066875884402 1.39376637595859 2.31164393748239 0 2.57421400012358 0 4.48727589414297 0 4.48727589414297 4.48727589414297 0.383900930192324 0.193096629961913 0.309688152714396 0.288181947493432 0.173112617708645 0.524728528934982 0.364643113587909 0.500775287912489 0.524728528934982 4.43477324748243 0.154436353304419 0 0 0 0 4.43477324748243 0.459321780898875 2.23355650658361 0.318453731118535 0.693147180559945 0.405465108108164 0.485507815781701 0.773343722554222 0.405465108108164 0.22314355131421 0 0.22314355131421 0.22314355131421 0 0.559615787935423 0.287432041196572 0.22314355131421 0.22314355131421 0 0.154436353304419 3.75342578772099 4.08316564363067 0 3.10606540523834 0.348541960708543 2.4879021587678 2.37704300391206 4.49940959030893 0.893349162602212 4.06239630954626 2.54573339392144 3.25611201669947 1.74785426138261;</t>
  </si>
  <si>
    <t>/*12*/ 010  1 2.54160199346455 2.30458309565672 2.80517691183293 5.86078622346587 5.82894561761021 6.08221891037645 7.02731451403978 0.193096629961913 0.974559639998131 1.15939376092797 1.20537182523964 1.11776110750687 0.665775983763813 0.104360015324243 0.223943231484774 0.173953307123438 0.168898536461814 0.14583044821154 0.307484699747961 0.46373401623214 0.457424847038875 0.46373401623214 2.5026647047097 0 3.35550242240003 0 3.35550242240003 1.99918006007703 4.20405062231016 0 4.29510616264318 4.20405062231016 0.150142658429719 0.059211859631846 0.130150684465045 0.107957141505092 0.174793290373163 0.657520002916794 0.418710334858185 0.470003629245736 0.657520002916794 3.75342578772099 0.287432041196572 0 3.65065824129374 3.65065824129374 3.25809653802148 3.75342578772099 0.916290731874155 3.75342578772099 0 0 0 0 7.97349680188535E-02 0.693147180559945 1.09861228866811 0.405465108108164 0.773343722554222 0.22314355131421 0.22314355131421 0 0.154436353304419 0.559615787935423 1.32175583998232 1.01160091167848 1.01160091167848 3.08342258668098 3.84658808264264 3.53610699077653 3.79172932072839 0.882527101721346 4.24411423084733 2.67545813650155 3.47525297149157 1.19649475578778 3.46760325571053 2.93589760739041 2.48639208015651 3.65778721022148;</t>
  </si>
  <si>
    <t>/*13*/ 000  1 2.82731362192903 2.2082744135228 2.37397508908072 6.96129604591017 6.45204895443723 6.39692965521615 7.73499619402278 0 1.76215899945176 1.22023977678981 1.56087772181872 1.53858617146215 0.914288729203482 0.375005900623456 0.285178942233662 0.427878702945064 0.363948427905231 0.189793571632656 0.576613364303994 0.378436435720245 0.631271776841858 0.631271776841858 2.23280619838613 0 3.65065824129374 1.98100146886658 3.80109144472086 1.98100146886658 3.93182563272433 0 4.04742764243435 3.93182563272433 8.89262091944015E-02 0.249980205267769 0.151862349309246 0.155292884406035 0.143234168085908 0.254642218373581 0.357674444271816 0.470003629245736 0.470003629245736 3.25809653802148 0.25619140536041 4.15103990589865 2.60268968544438 4.15103990589865 3.84658808264264 3.65065824129374 0.559615787935423 2.87169849263054 0.559615787935423 0 0 0.22314355131421 0.671923544108319 0.22314355131421 0.405465108108164 0 0.22314355131421 0 0 0 0 1.25276296849537 0 1.25276296849537 0.980954245199877 0 4.43477324748243 2.87169849263054 3.81496129258501 1.31049264770361 3.65164476750371 2.81337071596002 4.15044130157397 2.17964170678944 2.17964170678944 3.17286610525776 3.97570331528274 2.31750590171826;</t>
  </si>
  <si>
    <t>/*14*/ 000  1 2.66722820658195 2.27006190128849 2.55256529826182 6.03548143252476 6.06378520868761 5.29831736654804 6.95272864462487 0.108854404912082 1.27759494419655 1.33841628087543 1.20146967410782 1.27396517614597 0.536493370514568 0.170586300575534 0.304539189518204 0.161268147596122 0.215111379616945 0.148420005118273 0.307484699747961 0.482426149244293 0.246860077931526 0.482426149244293 2.46129678414887 2.27171342932696 1.6767226592397 3.57747292028959 3.88826295786381 3.21538975558337 3.37625557135795 0 3.97356955507966 3.57747292028959 0.284426779731108 0.166361537215225 0.197210169287705 0.217527812528574 0.137149838147234 0.553885113226438 0.425267735404344 0.350656871613169 0.553885113226438 3.40674861170048 0.459321780898875 0 3.65065824129374 0 2.60268968544438 4.08316564363067 0.559615787935423 3.25809653802148 0 0 0 0 0.459321780898875 0 0.405465108108164 0.405465108108164 0.287432041196572 0.22314355131421 0 0 7.97349680188535E-02 0.22314355131421 1.17865499634165 0 0.605953968857568 2.60268968544438 4.33073334028633 2.60268968544438 3.63429126382953 0.459321780898875 4.41500192416783 2.57314643863741 2.9610373037571 2.37126963179136 2.22008271546123 3.2390184147627 3.90308141408416 2.30431769517166;</t>
  </si>
  <si>
    <t>/*16*/ 000  1 2.74727091425549 2.20386912005489 2.4466854369678 6.25190388316589 5.78074351579233 5.76205138278018 7.05531284333975 0 1.03425152950772 0.945849534115699 0.799756915618204 0.931376369292196 0.482426149244293 0.236651901339002 0.264669298142708 0.244513577050402 0.248421358498478 0.1016536537265 0.350656871613169 0.405465108108164 0.364643113587909 0.405465108108164 1.86377000520433 0 4.12892310690851 0 4.12892310690851 1.32919476907932 3.61391342162402 0 3.6861005966635 4.12892310690851 0.232697764119021 0.186479566942618 0.216722983511287 0.207014169384326 0.14583044821154 0.476234178996372 0.431782416425538 0.378436435720245 0.476234178996372 2.60268968544438 0.605953968857568 2.60268968544438 0 0 1.64229224930505 4.43477324748243 0.847154993039293 3.53610699077653 0.117783035656383 0 0 4.11419433311752E-02 4.11419433311752E-02 0.405465108108164 0.22314355131421 0.405465108108164 0.348541960708543 0 0 0 0 0.559615787935423 0.405465108108164 0 0.348541960708543 3.08342258668098 3.40674861170048 3.93182563272433 3.91949502026685 0.864997437486605 4.37664970486106 2.81869672118927 3.11035476439069 2.0518915899563 0.298492988588255 2.37389412071907 0 4.43236838950372;</t>
  </si>
  <si>
    <t>/*18*/ 000  1 2.8094026953625 2.287471455184 2.72785282839839 6.66185474054531 6.60665018619822 6.27664348934164 7.62657020629066 5.73250666192694E-02 1.38328985209959 1.31855070903337 1.3800247481063 1.3609765531356 0.53062825106217 0.140631129739746 0.133656384812674 0.168898536461814 0.147557564357615 9.53101798043249E-02 0.364643113587909 0.364643113587909 0.27763173659828 0.364643113587909 2.95595140354215 0 3.89012498432693 1.12590314890401 3.93182563272433 1.64229224930505 3.80109144472086 1.12590314890401 3.93182563272433 3.89012498432693 4.78373294141601E-02 0.129272335704139 1.19285708652738E-02 6.39133257436529E-02 0.116003675756306 0.22314355131421 0.476234178996372 0.048790164169432 0.476234178996372 3.40674861170048 0.117783035656383 3.93182563272433 3.65065824129374 4.48300255201388 4.08316564363067 4.08316564363067 0.511025603768657 3.25809653802148 0.405465108108164 0.117783035656383 0 0.188966099512623 0.377065633586466 0.22314355131421 0 0 7.97349680188535E-02 0.810930216216329 0.916290731874155 0 0.650761464063507 1.25276296849537 0.916290731874155 1.6094379124341 1.29937388908919 3.08342258668098 4.2743439804937 2.23355650658361 3.42725491598144 0.965080896043587 3.53392011407579 2.73384789392335 4.21570637160687 0.810930216216329 2.82953009863992 2.50552593699074 4.11087386417331 2.53071618581929;</t>
  </si>
  <si>
    <t>/*22*/ 000  1 2.86789890204411 2.21920348405499 2.45358796653057 5.81413053182507 6.30627528694802 5.76205138278018 7.08924315502751 1.11612471375274 1.0691834779773 1.23837423104327 1.15939376092797 1.15782414829996 0.370183293963525 0.19062035960865 0.222343231143441 0.279901885132819 0.231111720963387 9.53101798043249E-02 0.246860077931526 0.418710334858185 0.378436435720245 0.418710334858185 2.23932575335485 0 3.16044130303103 2.36809189519617 3.50429533966572 3.28862574305631 3.75968734412445 0 4.23036036613954 3.75968734412445 0.314080546306312 0.249201085633499 0.175632568643158 0.237440856015034 0.14583044821154 0.470003629245736 0.542324290825362 0.307484699747961 0.542324290825362 3.65065824129374 0.377065633586466 0 2.60268968544438 3.65065824129374 2.87169849263054 3.84658808264264 0.605953968857568 3.25809653802148 0.318453731118535 0.117783035656383 0 0.154436353304419 0.22314355131421 0.916290731874155 0.810930216216329 0.916290731874155 0.882527101721346 0 0 0.405465108108164 0.154436353304419 0 0 0.405465108108164 0.154436353304419 0 4.57298784527714 1.64229224930505 3.71357206670431 0.583332314552739 4.57878514204338 1.38504357921824 1.52692549085964 0.748385910819201 0 2.88628025130924 3.0033866454619 4.15585092977472;</t>
  </si>
  <si>
    <t>/*26*/ 000  1 2.99071973173045 2.29051251175978 2.44927947214485 7.77317368048254 7.79811262882979 7.78572089653462 8.88405606174246 3.24671901375014E-02 1.94776556955477 1.77918068702119 1.98100146886658 1.90642654420618 1.04239460866988 0.221542269947236 0.291923066709035 0.229523158278249 0.247641022914597 0.206200830583898 0.431782416425538 0.916290731874155 0.392042087776024 0.916290731874155 3.06128590429343 0 3.08342258668098 0 3.08342258668098 0 4.35777236349787 1.12590314890401 4.38411195887322 4.35777236349787 0.289680075114454 0.380489122037987 0.285930539412975 0.319180739511152 0.288931291852213 0.542324290825362 0.85015092936961 0.78845736036427 0.85015092936961 3.40674861170048 0.300104592450338 2.60268968544438 3.25809653802148 3.65065824129374 3.25809653802148 3.40674861170048 0.605953968857568 2.87169849263054 0.117783035656383 0.22314355131421 0.117783035656383 0.154436353304419 0.433080275141138 0 0 0.405465108108164 0.154436353304419 0.693147180559945 0 0 0.287432041196572 0.559615787935423 0.810930216216329 0.693147180559945 0.693147180559945 3.93182563272433 3.75342578772099 2.23355650658361 3.12820685795336 0.650761464063507 3.7499039959517 2.7398072327154 4.08569055744177 2.22707754051531 3.54227598005364 2.65516073737353 3.62917770172873 2.16123097470926;</t>
  </si>
  <si>
    <t>/*27*/ 000  1 2.47653840011748 2.41591377830105 2.61739583283408 7.40488757561612 7.54802896993501 7.47929963778283 8.57734711423598 0 1.5993875765806 1.58841854521003 1.66544010254939 1.61839765380557 0.571544358800696 0.306749135169007 0.271552690521897 0.394741144745189 0.3293037471426 0.136277618292548 0.482426149244293 0.392042087776024 0.542324290825362 0.542324290825362 2.43106625464259 0 3.40674861170048 1.64229224930505 3.53610699077653 1.64229224930505 4.15103990589865 0 4.21459861646992 4.15103990589865 0.348541960708543 0.453620149995211 0.195566783543975 0.341459778132252 0.281412459438185 0.765467842139571 0.900161349944271 0.336472236621213 0.900161349944271 2.87169849263054 0.538829820175588 2.60268968544438 0 2.60268968544438 2.23355650658361 4.15103990589865 0.773343722554222 3.53610699077653 0.117783035656383 0.117783035656383 0.693147180559945 0.348541960708543 0.535323095366378 0.693147180559945 0.559615787935423 0.405465108108164 0.559615787935423 0.405465108108164 0.810930216216329 0 0.459321780898875 0.559615787935423 0.22314355131421 1.25276296849537 0.773343722554222 2.60268968544438 4.01036494842683 3.53610699077653 3.72870094830061 0.829424798852493 3.5914044327301 2.69658472299293 4.18532720993397 1.78696789327451 3.25993335580758 3.20718248426372 3.83547640990957 0.453374736783471;</t>
  </si>
  <si>
    <t>/*29*/ 000  1 2.72129542785223 2.34468626901268 2.48240351956988 5.81413053182507 5.8111409929767 5.38449506278909 6.78558764500793 0 0.945849534115699 1.01631704594128 0.771496146970922 0.916290731874155 0.436317571590929 0.2390169004705 0.146694379150803 0.121332285167525 0.167207918983906 0.123102197133983 0.518793793415168 0.246860077931526 0.165514438477573 0.518793793415168 2.22224234031151 0 3.00721608149528 0 3.00721608149528 2.16240306239418 4.30510509275765 0 4.40389819867511 4.30510509275765 9.07543632684641E-02 9.44006754214843E-02 0.179818426575836 0.121332285167525 0.114221144090023 0.246860077931526 0.27002713721306 0.398776119957368 0.398776119957368 3.40674861170048 0.287432041196572 4.15103990589865 3.93182563272433 0 3.65065824129374 3.53610699077653 1.01160091167848 4.08316564363067 0.318453731118535 0.117783035656383 0 0.154436353304419 0.188966099512623 0 0 0 0 0.405465108108164 0 0.22314355131421 0.22314355131421 1.09861228866811 0 0 0.511025603768657 2.23355650658361 4.33073334028633 2.87169849263054 3.65065824129374 0.459321780898875 3.97080121779696 2.67263025587095 3.89126912583493 1.17226519822512 2.39354302449086 3.42158266238547 3.66909911957427 3.04376388485683;</t>
  </si>
  <si>
    <t>/*32*/ 000  1 2.79116510781272 2.2321626286975 2.4748563139345 5.99396142730657 5.98393628068719 6.07764224334903 7.11639414409346 0 1.05605267424931 1.03425152950772 1.11119940417358 1.06746555967127 0.424613926946925 0.260824618281898 0.266203040774657 0.237440856015034 0.254642218373581 0.107957141505092 0.405465108108164 0.444685821261446 0.322083499169113 0.444685821261446 2.02551319965428 0 2.87169849263054 0 2.87169849263054 3.08342258668098 4.15103990589865 0 4.43477324748243 4.15103990589865 0.34571510370239 0.389335726178281 0.336472236621213 0.357674444271816 0.20375683751402 0.688134638736401 0.667829372575655 0.60431596685333 0.688134638736401 3.08342258668098 0.583332314552739 0 0 0 0 4.38411195887322 0.882527101721346 3.75342578772099 0.485507815781701 0.117783035656383 0.318453731118535 0.318453731118535 0.25619140536041 0.810930216216329 0.693147180559945 1.09861228866811 0.882527101721346 0.22314355131421 0 0 7.97349680188535E-02 0 0 0.22314355131421 7.97349680188535E-02 1.64229224930505 3.84658808264264 3.93182563272433 3.9440060512812 0.25619140536041 4.08316564363067 2.8269585293053 3.75342578772099 0.822000068466327 0 2.31327456883007 0 4.50664720038594;</t>
  </si>
  <si>
    <t>/*34*/ 111  1 2.70136121295141 2.23964529322017 2.57184857992181 6.96129604591017 6.55393340402581 7.25276241805319 8.06054004653864 0.264669298142708 1.25647037328369 1.37371557891303 1.67241271159549 1.44997313778307 0.890767774643069 0.2390169004705 0.16805358499625 0.370183293963525 0.263133199530368 0.167207918983906 0.518793793415168 0.307484699747961 0.609765571620894 0.609765571620894 2.47274971951737 0 2.25873769321377 1.90419489855784 2.72693737682069 1.34988967922609 4.35854048151856 1.90419489855784 4.46261534710584 4.35854048151856 0.113328685307003 0.129272335704139 9.07543632684641E-02 0.110646520087064 0.124868982045869 0.425267735404344 0.451075619360217 0.246860077931526 0.451075619360217 2.87169849263054 0.287432041196572 3.93182563272433 3.93182563272433 3.93182563272433 3.93182563272433 3.53610699077653 0.733809162278835 3.25809653802148 0.22314355131421 0.318453731118535 0.117783035656383 0.22314355131421 0.433080275141138 0 0.22314355131421 0.693147180559945 0.348541960708543 0.810930216216329 0.559615787935423 0.405465108108164 0.605953968857568 0.405465108108164 0.405465108108164 1.17865499634165 0.733809162278835 2.23355650658361 4.15103990589865 3.40674861170048 3.78230148885738 0.713929719742474 3.37255782345299 2.65296023478425 4.28836135128538 1.11671233045971 3.81816382731153 1.75691273790734 3.78760844063292 1.86863594737525;</t>
  </si>
  <si>
    <t>/*35*/ 110  1 2.58021682959233 2.24601474150565 2.58097411853423 7.66152708135852 7.4759059693674 7.57609734062311 8.67231482828354 1.01050940711314 2.22872324439559 1.59188475318651 1.88327457806383 1.9351380520734 1.30887321415131 0.347835995271528 0.287432041196572 0.25386672395705 0.297879897428227 0.24059046491793 0.916290731874155 0.576613364303994 0.457424847038875 0.916290731874155 2.8944191118535 0 2.68348424715696 0 2.68348424715696 2.05642876737076 4.33073334028633 1.71289662080233 4.47008329849417 4.33073334028633 0.108854404912082 0.271552690521897 0.173953307123438 0.17898265552844 0.173953307123438 0.438254930931155 0.500775287912489 0.405465108108164 0.500775287912489 3.40674861170048 0.318453731118535 3.65065824129374 3.65065824129374 3.25809653802148 3.53610699077653 3.65065824129374 0.773343722554222 3.25809653802148 0 0.22314355131421 0 7.97349680188535E-02 0.405465108108164 0.559615787935423 0 0.22314355131421 0.287432041196572 0.405465108108164 0.559615787935423 0.916290731874155 0.650761464063507 0.693147180559945 0.693147180559945 0.22314355131421 0.559615787935423 3.25809653802148 4.21459861646992 1.64229224930505 3.37176857097134 0.485507815781701 4.28963718538053 2.70831683221964 3.36936265814214 0 4.04114135159637 0 3.77501557403199 0.920511419427844;</t>
  </si>
  <si>
    <t>/*36*/ 000  1 3.03013370027132 2.27418561847235 2.53844741671603 5.88887795833288 5.63835466933375 5.25227342804663 6.72262979485545 0 1.20537182523964 1.35789488659819 1.06471073699243 1.21639532432449 0.642380063506292 0.219135529916671 0.242946178610389 0.206200830583898 0.223943231484774 0.126632650933366 0.405465108108164 0.482426149244293 0.392042087776024 0.482426149244293 2.34927782098603 0 2.54670705069345 3.87242942276767 4.09140691823476 3.19985609103095 2.92568527524196 0 3.74185133888004 3.87242942276767 0.279901885132819 0.239803992207317 0.286681572118197 0.271552690521897 0.17898265552844 0.494696241836107 0.60431596685333 0.494696241836107 0.60431596685333 2.60268968544438 0.583332314552739 0 3.25809653802148 0 2.23355650658361 4.38411195887322 0.405465108108164 3.25809653802148 0 0 0 0 0.511025603768657 0.22314355131421 0.405465108108164 0.693147180559945 0.459321780898875 0.22314355131421 0 0 7.97349680188535E-02 0 0.405465108108164 0 0.154436353304419 1.64229224930505 4.08316564363067 3.65065824129374 3.86859344750081 0.650761464063507 4.5010755354515 2.42921774392741 2.47536123694447 2.15542744861508 1.21444410430261 1.65068087100855 3.56879113173103 3.92145209570657;</t>
  </si>
  <si>
    <t>/*38*/ 000  1 2.54944517092557 2.25654115449264 2.4423470353692 6.79346613258001 6.15697898558556 6.26530121273771 7.54327334670545 0.76313955237998 1.29828248379668 1.20146967410782 1.1069110914828 1.20537182523964 0.423305026236495 0.302324349188651 0.386622020306684 0.330022912941306 0.340037302785709 0.143234168085908 0.444685821261446 0.53062825106217 0.457424847038875 0.53062825106217 1.91309175439558 0 3.78969716684985 0 3.78969716684985 2.99167405009314 3.65939914879143 0 4.05624455417752 3.78969716684985 0.20294084399669 0.157003748809665 0.258510695151501 0.213497174262404 0.118671529717499 0.300104592450338 0.254642218373581 0.438254930931155 0.438254930931155 2.23355650658361 0.605953968857568 0 3.25809653802148 0 2.23355650658361 4.43477324748243 0.287432041196572 2.87169849263054 0.117783035656383 0.117783035656383 0 7.97349680188535E-02 0.348541960708543 1.25276296849537 1.32175583998232 0.693147180559945 1.12590314890401 0 0 0 0 0.559615787935423 1.09861228866811 0.559615787935423 0.773343722554222 0 4.33073334028633 3.25809653802148 3.86423933457434 0.605953968857568 4.56467105600814 1.34573274936377 1.78657940918651 2.63212088587382 0 3.46472732998611 3.71357206670431 2.84077481686979;</t>
  </si>
  <si>
    <t>/*41*/ 000  1 3.12236492448736 2.29455292129678 2.77570884957602 5.56452040732269 5.34233425196481 5.97126183979046 6.75693238924755 0 1.34807314829969 1.13943428318836 1.43222329300829 1.31399244936449 0.656483196188354 0.24059046491793 0.131028262406404 0.29266961396282 0.226338442210729 0.135404637006203 0.336472236621213 0.215111379616945 0.56531380905006 0.56531380905006 2.46163802284865 0 4.11087386417331 0 4.11087386417331 0 3.71357206670431 0 3.71357206670431 4.11087386417331 7.04584636485614E-02 0.188137942115395 7.51074724868055E-02 0.10345870836823 0.146694379150803 0.262364264467491 0.444685821261446 0.451075619360217 0.451075619360217 2.87169849263054 0.25619140536041 3.93182563272433 3.25809653802148 4.48300255201388 4.01036494842683 3.65065824129374 0.559615787935423 3.25809653802148 0 0 0 0 0.117783035656383 0 0 0 0 0 0 0 0 0.559615787935423 0.405465108108164 1.09861228866811 0.733809162278835 2.23355650658361 4.33073334028633 2.87169849263054 3.68782890247776 0.996210355050029 4.06916349702484 2.74932009530043 3.7725770131355 1.37588534529185 3.61347341645298 3.36330911358287 3.29166424531066 2.10102642943823;</t>
  </si>
  <si>
    <t>/*48*/ 000  1 2.77258872223978 2.25967759198277 2.71336936257981 6.54965074223381 6.40357419793482 6.49072353450251 7.58069975222456 0 1.62195919298777 1.50696212084486 1.33841628087543 1.49582118564713 0.717839793150317 0.165514438477573 0.231111720963387 0.198030850499135 0.198850858745165 0.124868982045869 0.364643113587909 0.431782416425538 0.506817602368452 0.506817602368452 2.81582779327564 0 2.49411413053891 0 2.49411413053891 2.03692540457676 4.42151173595047 0 4.49857557581545 4.42151173595047 0.244513577050402 0.143234168085908 0.246078522596706 0.210260925483196 0.186479566942618 0.476234178996372 0.482426149244293 0.56531380905006 0.56531380905006 3.75342578772099 0.377065633586466 0 3.25809653802148 2.60268968544438 2.60268968544438 3.84658808264264 0.980954245199877 3.93182563272433 0.485507815781701 0.559615787935423 0.117783035656383 0.405465108108164 0.154436353304419 0 0.405465108108164 0.22314355131421 0.22314355131421 0 0.22314355131421 0 7.97349680188535E-02 0.693147180559945 0.693147180559945 0.22314355131421 0.559615787935423 2.87169849263054 3.53610699077653 3.93182563272433 3.84213687796398 0.733809162278835 3.5534605670062 2.89309028158211 4.20567720915022 1.20944492691606 2.33161102299313 2.41505354590724 3.89833512759192 3.42891711780606;</t>
  </si>
  <si>
    <t>/*57*/ 000  1 2.72785282839839 2.18717424148272 2.2181159363676 5.24174701505964 4.78749174278205 4.58496747867057 6.00388706710654 0 0.648672690458116 0.705569700558502 0.648672690458116 0.667829372575655 0.263133199530368 0.209450224182207 0.199670195128568 0.176471143115779 0.194744076792512 8.06579030174545E-02 0.307484699747961 0.307484699747961 0.262364264467491 0.307484699747961 1.68824909285839 0 4.01036494842683 3.08342258668098 4.33073334028633 2.60268968544438 2.60268968544438 0 3.25809653802148 4.01036494842683 0.111541374732907 0.104360015324243 0.168898536461814 0.128393214768399 9.07543632684641E-02 0.22314355131421 0.22314355131421 0.314810739840034 0.314810739840034 2.23355650658361 0.459321780898875 3.65065824129374 3.25809653802148 3.65065824129374 3.53610699077653 4.08316564363067 0.348541960708543 2.23355650658361 0 0 0.318453731118535 0.117783035656383 0.377065633586466 1.09861228866811 1.01160091167848 0.916290731874155 1.01160091167848 0.22314355131421 0 0 7.97349680188535E-02 0 0.22314355131421 0.405465108108164 0.22314355131421 1.64229224930505 3.84658808264264 3.93182563272433 3.91036162610148 0.22314355131421 4.461138139682 2.42860081357691 2.7352761873558 1.82917698227226 0 3.32494197382828 0 4.23372753729097;</t>
  </si>
  <si>
    <t>/*61*/ 000  1 2.84490938381941 2.28033948404673 2.54631527791664 5.9427993751267 5.11799381241676 5.11799381241676 6.5694814204143 0.351360849114964 1.29828248379668 1.14358565431084 1.08180517035173 1.17865499634165 0.704581558185608 0.258510695151501 8.70947068509337E-02 0.153579087928301 0.176471143115779 0.19062035960865 0.587786664902119 0.148420005118273 0.470003629245736 0.587786664902119 2.54065666489249 0 2.87169849263054 0 2.87169849263054 2.23355650658361 4.33073334028633 0 4.43477324748243 4.33073334028633 7.88111804242898E-02 0.25386672395705 0.173112617708645 0.164666621555234 0.139761942375159 0.307484699747961 0.425267735404344 0.3293037471426 0.425267735404344 4.21459861646992 7.97349680188535E-02 3.93182563272433 0 3.25809653802148 3.25809653802148 4.21459861646992 0.405465108108164 3.25809653802148 0.318453731118535 0.318453731118535 0.117783035656383 0.25619140536041 0.348541960708543 0 0 0 0 0.405465108108164 0.22314355131421 0.559615787935423 0.405465108108164 1.09861228866811 0 0.22314355131421 0.559615787935423 3.53610699077653 4.15103990589865 1.64229224930505 3.28185062402959 0.287432041196572 2.41412646772695 2.10644854716636 4.5088795256698 2.61765733586546 4.13618232739263 0.834182918269772 1.87754860114985 2.99034318546892;</t>
  </si>
  <si>
    <t>/*75*/ 000  1 2.83907846350861 2.20055236742889 2.53844741671603 5.82600010738045 5.47227067367148 5.73979291217923 6.78671695060508 0 0.950885376638654 0.921477258561455 1.09861228866811 0.993251773010283 0.405465108108164 0.245296355955343 0.20375683751402 0.314810739840034 0.255417111864505 0.117783035656383 0.405465108108164 0.405465108108164 0.405465108108164 0.405465108108164 1.92234903893166 0 3.08342258668098 0 3.08342258668098 0 4.38411195887322 0 4.38411195887322 4.38411195887322 0.363948427905231 0.410784269585764 0.238229188732251 0.340037302785709 0.23031775506221 0.582215619852664 0.672944473242426 0.457424847038875 0.672944473242426 2.60268968544438 0.583332314552739 0 0 3.25809653802148 2.23355650658361 4.38411195887322 0.847154993039293 3.53610699077653 0 0 0.559615787935423 0.22314355131421 0.485507815781701 0.405465108108164 0.22314355131421 0.22314355131421 0.287432041196572 0 0 0 0 0.22314355131421 0.405465108108164 0.22314355131421 0.287432041196572 0 4.57298784527714 1.64229224930505 3.75342578772099 0.188966099512623 4.59484708566502 1.28037813552834 1.10757203003958 1.90934442630521 0 2.33778704654725 0 4.45310289591312;</t>
  </si>
  <si>
    <t>/*84*/ 000  1 2.8094026953625 2.19611284848353 2.44408465526775 4.81218435537242 4.95582705760126 5.12396397940326 6.06610809010375 0 1.06471073699243 1.17495585525544 1.16720508013372 1.1368710007852 0.304539189518204 0.219135529916671 0.136277618292548 0.1016536537265 0.151862349309246 0.093490343087339 0.392042087776024 0.231111720963387 0.182321556793955 0.392042087776024 2.63397299770589 0 4.20041482594917 2.89828481138803 4.42911296719382 0 2.89828481138803 0 2.89828481138803 4.20041482594917 0.17898265552844 0.153579087928301 0.248421358498478 0.189793571632656 0.118671529717499 0.444685821261446 0.322083499169113 0.378436435720245 0.444685821261446 2.23355650658361 0.559615787935423 3.25809653802148 3.25809653802148 0 2.87169849263054 4.33073334028633 0.22314355131421 2.23355650658361 0.693147180559945 0.405465108108164 0.628608659422374 0.583332314552739 1.04133622084838 0.693147180559945 0.405465108108164 0.22314355131421 0.459321780898875 0.405465108108164 0 0 0.154436353304419 0.693147180559945 0.22314355131421 0.22314355131421 0.405465108108164 3.08342258668098 3.93182563272433 3.40674861170048 3.6287843795626 0.583332314552739 3.59657226082875 2.68560007226462 4.18246227144492 1.32506527482348 1.61969817109627 2.07921131255414 3.49225723342408 4.01327564777569;</t>
  </si>
  <si>
    <t>/*85*/ 100  1 2.82731362192903 2.20937271127187 2.54788144894939 6.85646198459459 6.19644412779452 6.0591231955818 7.53208814354172 1.43864959145382 1.35144408368414 1.52060669872748 1.6568938535904 1.51072193949494 0.729479109807336 0.302324349188651 0.213497174262404 0.152721087017664 0.221542269947236 0.148420005118273 0.518793793415168 0.431782416425538 0.262364264467491 0.518793793415168 2.72366104861636 0 0 0 0 1.90419489855784 4.55688289535656 0 4.61512051684126 4.55688289535656 0.214304602647005 0.155292884406035 0.24137631957527 0.185649346886629 0.166361537215225 0.431782416425538 0.392042087776024 0.512823626428664 0.512823626428664 4.01036494842683 0.122217632724249 3.65065824129374 3.93182563272433 0 3.40674861170048 4.01036494842683 0.693147180559945 3.53610699077653 0.22314355131421 0.22314355131421 0.133656384812674 0.19638881400539 0.501986675098786 0.693147180559945 0.405465108108164 0.559615787935423 0.559615787935423 0.693147180559945 0.22314355131421 0.693147180559945 0.559615787935423 0.916290731874155 0.405465108108164 0 0.511025603768657 3.53610699077653 3.93182563272433 2.87169849263054 3.4473491476833 0.485507815781701 2.29445210976386 1.74658775058133 4.52266862447629 2.48197838995026 4.0831712615678 2.08163212310342 3.20616378942909 0;</t>
  </si>
  <si>
    <t>/*86*/ 000  1 2.8094026953625 2.23964529322017 2.53051716104005 6.10702288774225 6.16541785423142 6.30261897574491 7.29233717617388 0.452348694007015 1.3015531326648 1.42021257932335 1.3252165116113 1.35014891448354 0.609765571620894 0.201306856705035 0.22314355131421 0.180653499693258 0.202124184090134 0.115112807100504 0.431782416425538 0.444685821261446 0.364643113587909 0.444685821261446 2.6234359487123 1.46626014275777 0 2.03692540457676 2.39789527279837 0 4.51085950651685 0 4.51085950651685 4.51085950651685 0.227932068046007 0.212689093410351 0.184818436992542 0.208638865111328 0.20375683751402 0.542324290825362 0.65232518603969 0.378436435720245 0.65232518603969 3.65065824129374 0.287432041196572 3.65065824129374 3.65065824129374 2.60268968544438 3.40674861170048 3.65065824129374 1.01160091167848 4.08316564363067 0 0 0 0 0.318453731118535 0 0 0 0 0.22314355131421 0 0.693147180559945 0.348541960708543 0.559615787935423 0.405465108108164 0.559615787935423 0.511025603768657 3.53610699077653 4.01036494842683 2.60268968544438 3.40674861170048 0.980954245199877 4.1784405825752 2.8350352128567 3.6037572006971 1.87604519195304 2.84525991249333 2.98156199571611 4.07608847703294 0.968186859541206;</t>
  </si>
  <si>
    <t>/*93*/ 001  1 2.81540871942271 2.2554934854602 2.5360749363624 6.0913098820777 5.73979291217923 6.19236248947487 7.12286665859908 0 0.8754687373539 0.941178447381934 1.07772907775169 0.968123880514172 0.558472277233344 0.115112807100504 0.122217632724249 0.237440856015034 0.161268147596122 0.135404637006203 0.246860077931526 0.182321556793955 0.518793793415168 0.518793793415168 2.33447128185637 0 2.76095885675761 2.12906469215316 3.14510010520481 2.49411413053891 4.21459861646992 0 4.3666337700664 4.21459861646992 0.207826847202317 0.130150684465045 0.137149838147234 0.157003748809665 0.149281702715754 0.405465108108164 0.231111720963387 0.444685821261446 0.444685821261446 3.40674861170048 0.377065633586466 0 3.25809653802148 3.93182563272433 3.25809653802148 3.84658808264264 0.847154993039293 3.93182563272433 0 0.117783035656383 0 4.11419433311752E-02 0.433080275141138 0 0 0.405465108108164 0.154436353304419 0 0 0 0 0 0 0.916290731874155 0.405465108108164 3.65065824129374 4.15103990589865 0 3.18324864722505 4.40168854167743E-02 3.56837709945879 2.7124405494035 4.19781829903166 0.487923859718688 4.14731883286042 1.91950897979504 3.37227150283899 1.42181933227014;</t>
  </si>
  <si>
    <t>/*96*/ 000  1 2.92316158071916 2.24812890719799 2.28340227357727 7.67182679787878 7.30114780585603 6.87729607149743 8.43315919580623 0 1.80828877117927 1.75353825640786 1.72952939269192 1.76438827243192 0.798407691217438 0.296394013053802 0.198030850499135 0.246078522596706 0.247641022914597 0.136277618292548 0.609765571620894 0.3293037471426 0.350656871613169 0.609765571620894 2.90213562481641 0 3.00315465936963 1.14039382268306 3.10355475608274 0 4.32370872534937 1.65918000432891 4.37855812634753 4.32370872534937 0.231111720963387 0.304539189518204 0.243730184922598 0.25619140536041 0.210260925483196 0.636576829071551 0.636576829071551 0.425267735404344 0.636576829071551 3.53610699077653 0.377065633586466 3.65065824129374 3.25809653802148 0 3.08342258668098 3.84658808264264 0.693147180559945 3.75342578772099 0 0 0.628608659422374 0.25619140536041 0.485507815781701 0 0 0 0 0.22314355131421 0.405465108108164 0.22314355131421 0.287432041196572 0.405465108108164 0 0.405465108108164 0.287432041196572 2.23355650658361 4.21459861646992 3.25809653802148 3.77276093809464 1.02675818490013 3.71393785345471 2.74618057646348 4.1106279322952 1.37269991900128 2.58587948463738 2.56091251575373 3.58873354208046 3.65012671642306;</t>
  </si>
  <si>
    <t>/*108*/ 000  1 2.92852352386054 2.1938856760707 2.58550584834412 6.98193467715639 6.60394382460047 6.23832462503951 7.75147531802146 0 1.48727027845989 1.27759494419655 1.35789488659819 1.37801014153219 0.724645847619316 0.263901543786378 0.3974329364109 0.257738196078709 0.307484699747961 0.249201085633499 0.832909122935104 0.78845736036427 0.576613364303994 0.832909122935104 2.2242991745955 0 2.20915314820149 1.30914330193148 2.46903130062971 2.20915314820149 4.40770656458411 0 4.50190746841241 4.40770656458411 0.276873873735178 0.186479566942618 0.239803992207317 0.231111720963387 0.219135529916671 0.609765571620894 0.512823626428664 0.698134722070984 0.698134722070984 3.25809653802148 0.330022912941306 2.60268968544438 3.93182563272433 3.65065824129374 3.53610699077653 3.65065824129374 0.882527101721346 3.75342578772099 0 0.22314355131421 0 7.97349680188535E-02 4.11419433311752E-02 0.810930216216329 1.01160091167848 0.22314355131421 0.733809162278835 0.22314355131421 0 0 7.97349680188535E-02 0.405465108108164 1.01160091167848 0.405465108108164 0.650761464063507 2.87169849263054 4.38411195887322 1.64229224930505 3.54217597492173 0.650761464063507 4.61512051684126 0 0 1.03682563420318 0.293637002607919 2.01285313937072 3.96581715181687 3.70353266180856;</t>
  </si>
  <si>
    <t>/*109*/ 000  1 2.68102152871429 2.2975725511705 2.51446545202954 6.83733281468559 5.5683445037611 5.57215403217776 7.28276117960559 0.601579987034455 1.55814461804655 1.67485105098233 1.44101926080914 1.56255592653397 0.877549903557725 0.246078522596706 0.131028262406404 0.24137631957527 0.206200830583898 0.175632568643158 0.587786664902119 0.215111379616945 0.506817602368452 0.587786664902119 2.85899574998052 0 0 0 0 1.51973199934961 4.54177234735812 1.51973199934961 4.61512051684126 4.54177234735812 0.273836665629728 0.17730901497041 0.198850858745165 0.212689093410351 0.176471143115779 0.536493370514568 0.371563556432483 0.494696241836107 0.536493370514568 3.53610699077653 0.405465108108164 2.60268968544438 2.60268968544438 3.25809653802148 2.87169849263054 3.93182563272433 0.733809162278835 3.25809653802148 0 0 0 0 0.22314355131421 0.22314355131421 0 0 7.97349680188535E-02 0.559615787935423 0.22314355131421 0 0.287432041196572 0.693147180559945 0 0.559615787935423 0.459321780898875 3.65065824129374 3.75342578772099 3.08342258668098 3.54217597492173 0.485507815781701 3.9959596603007 2.63044895507866 3.86329483933679 0 3.58595262186702 1.10028173802839 4.15743309779476 0;</t>
  </si>
  <si>
    <t>/*117*/ 111  1 2.59525470695687 2.17928687664955 2.56955412384829 6.94601399109923 6.38687931936265 6.17586727010576 7.65539064482615 1.29280751802643 1.5993875765806 1.49290409617815 1.42623596821284 1.50873320831247 0.669878553620591 0.25386672395705 0.208638865111328 0.185649346886629 0.21591750622247 0.129272335704139 0.53062825106217 0.392042087776024 0.378436435720245 0.53062825106217 2.74900018743116 0 2.57983796995529 2.37546373840662 3.13336150854203 0 4.30637323819769 1.77121656799673 4.37006791335409 4.30637323819769 0.117783035656383 0.235072122179484 0.151862349309246 0.172271220940453 0.153579087928301 0.470003629245736 0.418710334858185 0.254642218373581 0.470003629245736 3.40674861170048 0.287432041196572 4.15103990589865 3.25809653802148 3.25809653802148 3.65065824129374 3.53610699077653 0.810930216216329 3.53610699077653 0 0.117783035656383 0.117783035656383 7.97349680188535E-02 0.459321780898875 0.22314355131421 0.22314355131421 0.405465108108164 0.287432041196572 0.22314355131421 0.22314355131421 0.559615787935423 0.348541960708543 0.559615787935423 0.559615787935423 0.559615787935423 0.559615787935423 3.65065824129374 3.93182563272433 2.60268968544438 3.36442965746994 0.25619140536041 4.22433427382536 2.48740352998659 3.51663693276165 0 4.58156032038309 1.4663370687165 0 0;</t>
  </si>
  <si>
    <t>/*118*/ 000  1 3.04452243772342 2.2512917986065 2.58248697812686 7.18841273649695 7.15305163493748 7.11801620446533 8.25166392360559 0 1.88524981231539 1.85049996425066 1.85049996425066 1.86221793287662 0.603222473031958 0.330022912941306 0.276873873735178 0.294905917541101 0.300104592450338 0.116893751471499 0.482426149244293 0.444685821261446 0.46373401623214 0.482426149244293 2.80432960802384 1.15499262210422 2.47401420862158 2.27171342932696 3.12408151198165 1.15499262210422 4.34493465416069 0 4.37274620438722 4.34493465416069 0.244513577050402 0.380489122037987 0.291923066709035 0.308219723669329 0.216722983511287 0.470003629245736 0.712949807856125 0.647103242058539 0.712949807856125 2.87169849263054 0.572673027092071 0 0 2.60268968544438 1.64229224930505 4.2743439804937 0.741937344729377 2.23355650658361 0 0.485507815781701 0.251536625815428 0.276115436080316 0.361164849211584 0 0 0 0 0 0 0 0 0.916290731874155 0.405465108108164 0 0.511025603768657 0 3.84658808264264 3.93182563272433 3.94874058836331 0.773343722554222 3.67472981850949 2.75098196848572 4.13615806503551 1.11642446443389 2.60861513744971 2.7975474317403 4.06699491401188 2.52998146264298;</t>
  </si>
  <si>
    <t>/*123*/ 000  1 2.72785282839839 2.41680623708407 2.36555989215543 6.99484998583307 6.8351845861473 7.15851399732932 8.10288913464087 0.28292075535007 1.69799808941358 1.65593974608552 1.73395378713167 1.6963492844234 0.901380119138401 0.300104592450338 0.168898536461814 0.319180739511152 0.266203040774657 0.172271220940453 0.587786664902119 0.29266961396282 0.56531380905006 0.587786664902119 2.74611640190867 0 1.18570699551904 1.71289662080233 2.05642876737076 1.18570699551904 4.52079895710193 0 4.54522908052112 4.52079895710193 0.166361537215225 0.301584977620772 0.167207918983906 0.21107097007994 0.19638881400539 0.412109650826833 0.806475865866949 0.29266961396282 0.806475865866949 3.40674861170048 0.420025259439494 2.60268968544438 3.25809653802148 2.60268968544438 2.87169849263054 3.93182563272433 1.01160091167848 4.21459861646992 0 0.318453731118535 0.22314355131421 0.188966099512623 0.485507815781701 0 0 0.559615787935423 0.22314355131421 0.405465108108164 0 0 0.154436353304419 0.22314355131421 0 0.559615787935423 0.287432041196572 3.40674861170048 3.93182563272433 3.08342258668098 3.5660053559634 0.733809162278835 2.5020914745421 2.10657020906809 4.49749588448 2.31397827679053 3.62322920403469 2.05037740869303 1.94442094545616 3.75341797532963;</t>
  </si>
  <si>
    <t>/*128*/ 000  1 2.81540871942271 2.16102152867226 2.48823443988067 6.46458830368996 5.88887795833288 5.38449506278909 7.10578612948127 0 1.47887354241298 1.52344419926712 1.26356159573759 1.42815581521481 0.581656804526582 0.324977857195478 0.194744076792512 0.285178942233662 0.261594737688462 0.126632650933366 0.494696241836107 0.307484699747961 0.364643113587909 0.494696241836107 2.45083266945425 2.20915314820149 4.14570285449724 2.67511370085595 4.44010684575041 2.46903130062971 1.8570789353487 0 2.84583918397937 4.14570285449724 1.42142016309526 0.250758718347183 0.296394013053802 0.799307376388336 1.92832791201007 3.61091791264422 0.438254930931155 0.582215619852664 3.61091791264422 1.64229224930505 0.583332314552739 3.93182563272433 0 0 2.87169849263054 4.38411195887322 0.287432041196572 2.23355650658361 0.485507815781701 0 0 0.188966099512623 0.535323095366378 0.22314355131421 0.22314355131421 0 0.154436353304419 0 0 0 0 1.6094379124341 0.22314355131421 0.22314355131421 0.916290731874155 3.53610699077653 3.93182563272433 2.87169849263054 3.36442965746994 0.810930216216329 3.98246282957401 2.87333862533992 3.87848690420869 0 0.68983042771136 1.74371406070927 1.82700301919885 4.5006187615943;</t>
  </si>
  <si>
    <t>/*130*/ 110  1 2.50143595173921 2.16332302566054 2.12823170584927 6.00881318544259 6.4831073514572 6.27476202124194 7.37148929521428 0.399447035782601 1.45278410238872 1.20537182523964 1.42623596821284 1.36736635123437 0.96088161520203 0.249201085633499 0.157003748809665 0.339325305603619 0.251536625815428 0.181487876045377 0.457424847038875 0.322083499169113 0.576613364303994 0.576613364303994 2.41903390563729 0 3.8489980050067 0 3.8489980050067 0 4.00831452174607 0 4.00831452174607 4.00831452174607 3.05292050348228E-02 0.100749903100143 6.57877405380032E-02 6.48509723196163E-02 0.104360015324243 0.139761942375159 0.285178942233662 0.378436435720245 0.378436435720245 2.87169849263054 0.188966099512623 4.48300255201388 3.65065824129374 4.15103990589865 4.15103990589865 3.75342578772099 0.847154993039293 3.75342578772099 0.22314355131421 0.405465108108164 0.693147180559945 0.459321780898875 0.583332314552739 0 0 0 0 1.50407739677627 0.405465108108164 0.810930216216329 1.01160091167848 0.511025603768657 0.405465108108164 1.09861228866811 0.737642420446497 2.87169849263054 4.2743439804937 2.60268968544438 3.49901955528168 0.348541960708543 2.30348468823688 1.81319474994812 4.5216907461768 3.23906284572669 4.17015509918946 2.54668400929991 0 0;</t>
  </si>
  <si>
    <t>/*135*/ 000  1 2.7408400239252 2.17247640764703 2.42480272571829 6.54821910276237 6.4425401664682 5.59098698051086 7.37274636640433 0 0.859931998204771 0.885831524389446 0.89117803105908 0.878796527446575 0.357674444271816 0.219938420365261 0.213497174262404 0.158711691154821 0.198030850499135 0.107957141505092 0.444685821261446 0.322083499169113 0.215111379616945 0.444685821261446 2.00700524841512 0 4.35243045673387 0 4.35243045673387 1.46626014275777 3.04452243772342 0 3.19183345375632 4.35243045673387 0.238229188732251 0.143234168085908 0.173953307123438 0.180653499693258 0.154436353304419 0.641853886172395 0.215111379616945 0.350656871613169 0.641853886172395 3.08342258668098 0.348541960708543 3.65065824129374 4.15103990589865 2.60268968544438 3.65065824129374 3.75342578772099 0.459321780898875 3.25809653802148 0.318453731118535 0 0.22314355131421 0.188966099512623 0.377065633586466 0.810930216216329 0.810930216216329 0.559615787935423 0.733809162278835 0 0 0 0 0.810930216216329 0.405465108108164 0 0.459321780898875 0 4.21459861646992 3.53610699077653 3.7775311517085 0.459321780898875 4.55539153342494 1.85817123474731 1.92512418129548 1.75798284733453 0.858108776417686 1.12601126274812 3.31891787460595 4.17500023691604;</t>
  </si>
  <si>
    <t>/*149*/ 111  1 2.64617479738412 2.21046980408624 2.52732736567195 7.68662133494462 7.68017564043659 6.9985096422506 8.60098271714592 1.10160779764791 1.72508533596006 1.67128531576018 2.12453440305074 1.86144099242886 1.06849666476349 0.258510695151501 0.209450224182207 0.501986675098786 0.333611004340181 0.23031775506221 0.518793793415168 0.506817602368452 0.683096844706444 0.683096844706444 2.69036133823113 1.15499262210422 3.44792192183502 0 3.5147938882447 0 4.19293722755919 1.15499262210422 4.22524123702387 4.19293722755919 0.300845058978062 0.270790204781563 2.27394869694893E-02 0.20375683751402 0.245296355955343 0.703097511413113 0.615185639090233 6.76586484738149E-02 0.703097511413113 3.53610699077653 0.122217632724249 3.65065824129374 2.60268968544438 4.61512051684126 3.93182563272433 3.75342578772099 0.348541960708543 2.23355650658361 0.405465108108164 0.22314355131421 0 0.22314355131421 0.733809162278835 0.559615787935423 0 0.810930216216329 0.511025603768657 0.405465108108164 0 0.405465108108164 0.287432041196572 1.09861228866811 0 1.44691898293633 1.01160091167848 2.87169849263054 4.21459861646992 2.87169849263054 3.6560462970187 0.377065633586466 4.00285042538864 2.56471856159945 3.85536799427157 0 4.18720795836389 3.58798921851565 0 0;</t>
  </si>
  <si>
    <t>/*154*/ 111  1 2.79728133483015 2.24495598015741 2.72915916431245 7.37400185935016 7.31986492980897 7.29573507274928 8.42858053305963 0.658038003446377 1.63899671467564 1.47590651980958 1.65593974608552 1.59351176188384 1.02926221053332 0.298622012490115 0.207014169384326 0.301584977620772 0.270790204781563 0.201306856705035 0.553885113226438 0.457424847038875 0.693147180559945 0.693147180559945 2.61117212612572 0 1.30914330193148 0 1.30914330193148 0 4.56012051743437 1.30914330193148 4.58799350786747 4.56012051743437 0.144965770250186 0.271552690521897 0.222343231143441 0.207826847202317 0.232697764119021 0.678033542749897 0.553885113226438 0.587786664902119 0.678033542749897 3.75342578772099 0.188966099512623 3.93182563272433 2.60268968544438 3.93182563272433 3.65065824129374 3.75342578772099 0.559615787935423 2.23355650658361 0 0 0 0 0.188966099512623 0 0.810930216216329 1.01160091167848 0.693147180559945 0.22314355131421 0.22314355131421 0.559615787935423 0.348541960708543 1.17865499634165 0.559615787935423 0.916290731874155 0.916290731874155 2.87169849263054 4.15103990589865 3.08342258668098 3.68260984110034 0.22314355131421 4.50366888065599 2.46317215764199 2.45547783909719 1.45066276669488 3.54812362771214 0.808334834681089 4.13902845241445 0;</t>
  </si>
  <si>
    <t>/*156*/ 111  1 2.4423470353692 2.23857976301813 2.65675690671466 6.09582456243222 5.88332238848828 6.08221891037645 7.12205988162914 0.291923066709035 1.68639895357023 1.41415268924829 1.24932850604673 1.46626014275777 0.903813210363043 0.209450224182207 0.176471143115779 0.142367241286922 0.179818426575836 0.113328685307003 0.431782416425538 0.418710334858185 0.262364264467491 0.431782416425538 2.88591740754678 1.25276296849537 1.79175946922805 2.14006616349627 2.77258872223978 1.25276296849537 4.42484663185681 0 4.45434729625351 4.42484663185681 0.179818426575836 0.242161557149972 0.265436463504461 0.236651901339002 0.178146185383474 0.350656871613169 0.444685821261446 0.587786664902119 0.587786664902119 4.15103990589865 0.22314355131421 3.25809653802148 2.60268968544438 0 2.60268968544438 4.15103990589865 0.605953968857568 2.87169849263054 0.810930216216329 0 0.559615787935423 0.511025603768657 0.733809162278835 0 0.22314355131421 0 7.97349680188535E-02 0.22314355131421 0.693147180559945 0.693147180559945 0.559615787935423 0.559615787935423 0.22314355131421 0.693147180559945 0.511025603768657 3.40674861170048 3.93182563272433 3.08342258668098 3.43398720448515 0.459321780898875 1.32919476907932 1.15404699555621 4.58723022285543 0 4.4064217610684 0 2.99695104255324 0;</t>
  </si>
  <si>
    <t>/*157*/ 010  1 2.76000994003292 2.21920348405499 2.46809953147162 7.13966033596492 7.14124512235049 6.69084227741856 8.10982627601848 1.35273757759105 2.15755932094379 1.90210752639692 1.58678322186929 1.90894973663946 1.2047724844965 0.308219723669329 0.300845058978062 0.459953293392234 0.359072068538454 0.168898536461814 0.470003629245736 0.500775287912489 0.587786664902119 0.587786664902119 2.66011966734466 0 3.84658808264264 0 3.84658808264264 0 3.93182563272433 1.64229224930505 4.01036494842683 3.93182563272433 0.216722983511287 0.178146185383474 0.093490343087339 0.163818085229395 0.183154543097847 0.741937344729377 0.322083499169113 0.157003748809665 0.741937344729377 2.23355650658361 0.420025259439494 2.60268968544438 2.60268968544438 4.48300255201388 3.65065824129374 3.93182563272433 0.511025603768657 3.25809653802148 0 0.22314355131421 0 7.97349680188535E-02 0.25619140536041 0.22314355131421 0.405465108108164 0.693147180559945 0.459321780898875 0.693147180559945 0.810930216216329 0 0.559615787935423 0.810930216216329 0.693147180559945 1.01160091167848 0.847154993039293 3.08342258668098 4.08316564363067 3.08342258668098 3.65065824129374 0.348541960708543 4.18760719268179 2.8232818365553 3.58726192473494 0 3.24689654039457 1.07517371586605 4.30890570123714 0;</t>
  </si>
  <si>
    <t>/*163*/ 000  1 2.83321334405622 2.2512917986065 2.42391737816157 6.42324696353352 6.31535800152233 5.99893656194668 7.35883089834235 1.22641899315577 1.62688482603782 1.71163342474877 1.68880346781484 1.67634861771673 0.90300283754722 0.261594737688462 0.116003675756306 0.287432041196572 0.221542269947236 0.185649346886629 0.631271776841858 0.231111720963387 0.598836501088704 0.631271776841858 2.92073929451256 0 2.29142302828785 0 2.29142302828785 1.17000228475478 4.49857557581545 0 4.52299437152573 4.49857557581545 8.80108773227134E-02 0.183154543097847 0.110646520087064 0.126632650933366 0.12575120530556 0.385262400790645 0.357674444271816 0.350656871613169 0.385262400790645 3.25809653802148 0.318453731118535 4.15103990589865 0 3.93182563272433 3.65065824129374 3.65065824129374 1.07055569088558 4.08316564363067 0 0.318453731118535 0 0.117783035656383 0.405465108108164 0 0 0 0 0.559615787935423 0.693147180559945 0.22314355131421 0.511025603768657 0.916290731874155 0.405465108108164 1.32175583998232 0.948951514113703 3.25809653802148 4.01036494842683 3.08342258668098 3.51773519791011 0.405465108108164 3.33864799200131 2.66514270009093 4.30161615104573 2.01038153588586 4.31929099869507 2.8982769372458 0 1.18038859985926;</t>
  </si>
  <si>
    <t>/*170*/ 000  1 2.74727091425549 2.28340227357727 2.2935443483419 5.38449506278909 4.85981240436167 5.39816270151775 6.33859407820318 0 1.04731899428056 0.993251773010283 1.09460426727057 1.04591449966766 0.586674936049429 0.131028262406404 0.111541374732907 8.89262091944015E-02 0.110646520087064 6.95260626486103E-02 0.262364264467491 0.215111379616945 0.148420005118273 0.262364264467491 2.82262810580964 0 3.53610699077653 0 3.53610699077653 0 4.21459861646992 0 4.21459861646992 4.21459861646992 8.70947068509337E-02 7.23206615796261E-02 9.16671885258239E-02 0.084341148433751 0.084341148433751 0.254642218373581 0.207014169384326 0.22314355131421 0.254642218373581 0 0.377065633586466 4.33073334028633 3.93182563272433 3.65065824129374 4.01036494842683 4.01036494842683 0.605953968857568 3.53610699077653 0.405465108108164 0.485507815781701 0.405465108108164 0.433080275141138 0.405465108108164 0.22314355131421 0 0 7.97349680188535E-02 0.405465108108164 0.810930216216329 0.559615787935423 0.605953968857568 0.559615787935423 0.405465108108164 0.405465108108164 0.459321780898875 3.53610699077653 4.15103990589865 1.64229224930505 3.30505352110925 0.485507815781701 1.70565677017464 1.49222971152856 4.56949119353107 0.71697016098351 4.005119950744 2.42236938613149 3.38478104799645 1.98640864110572;</t>
  </si>
  <si>
    <t>/*14b*/ 000  1 2.58021682959233 2.22678337957776 2.54944517092557 6.26909628370626 6.02586597382531 6.3750248198281 7.33106030521863 0.579978482454307 1.04731899428056 1.04731899428056 1.61203453828137 1.27284566861231 0.848440064965981 0.2390169004705 0.152721087017664 0.454889991435687 0.291923066709035 0.189793571632656 0.405465108108164 0.231111720963387 0.576613364303994 0.576613364303994 2.148850993052 0 3.80109144472086 2.98315349134713 4.15103990589865 2.33939906611676 3.37159691188586 0 3.65065824129374 3.80109144472086 0.27763173659828 0.4421184257562 0.048790164169432 0.268499253035007 0.259282597930083 0.741937344729377 0.636576829071551 8.61776962410524E-02 0.741937344729377 3.25809653802148 0.348541960708543 0 0 4.61512051684126 3.53610699077653 3.75342578772099 0.348541960708543 2.23355650658361 0 0 0.22314355131421 7.97349680188535E-02 0.117783035656383 0.22314355131421 0.810930216216329 0.22314355131421 0.459321780898875 0 0 0 0 0.559615787935423 0.22314355131421 1.55814461804655 0.948951514113703 2.23355650658361 4.21459861646992 3.08342258668098 3.65909012530318 0 4.61512051684126 0 0 0 2.89685718861944 2.24160380092834 3.8866589963766 3.32239681191024;</t>
  </si>
  <si>
    <t>/*32b*/ 000  1 2.94968833505258 2.26488322581003 2.57718192589717 6.09356977004514 6.22257626807137 6.05208916892442 7.22256601882217 0 1.10293626014816 1.12752363216253 1.04731899428056 1.09292950553261 0.250758718347183 0.199670195128568 0.279145741429495 0.343589704390077 0.264669298142708 0.114221144090023 0.322083499169113 0.392042087776024 0.418710334858185 0.418710334858185 2.01982422486133 0 2.82072391005426 1.28978346073905 2.96635495484331 2.82072391005426 4.20153839632422 0 4.41375541091502 4.20153839632422 0.321358598811165 0.227135572583747 0.280657457514817 0.27002713721306 0.179818426575836 0.570979546585738 0.457424847038875 0.60431596685333 0.60431596685333 2.23355650658361 0.648672690458116 0 0 0 0 4.48300255201388 0.773343722554222 3.25809653802148 0 0 0 0 0.154436353304419 0.693147180559945 0.693147180559945 0.693147180559945 0.693147180559945 0.22314355131421 0 0.405465108108164 0.22314355131421 0.405465108108164 0.405465108108164 0.22314355131421 0.348541960708543 0 4.52901242213836 2.23355650658361 3.70848598375285 0.348541960708543 4.54268821536677 1.95854428687288 2.08654127879506 2.17821752568579 0 2.98922849979357 1.60532162152101 4.25305114187353;</t>
  </si>
  <si>
    <t>/*57b*/ 000  1 2.91777073208428 2.19611284848353 2.49155119250667 6.04263283368238 6.35262939631957 6.93342302573071 7.61035761831284 0 1.22023977678981 1.41415268924829 1.50961757715189 1.38829236378256 0.568717102181768 0.174793290373163 0.281412459438185 0.44404459007564 0.31042155942127 0.198030850499135 0.378436435720245 0.482426149244293 0.598836501088704 0.598836501088704 2.22516394602546 0 4.37102888046434 1.41706601978664 4.40976338964548 0 2.98315349134713 0 2.98315349134713 4.37102888046434 0.128393214768399 0.144100343973757 2.76151670329734E-02 9.89399478549036E-02 0.151002873536527 0.27763173659828 0.576613364303994 8.61776962410524E-02 0.576613364303994 2.60268968544438 0.25619140536041 2.60268968544438 4.15103990589865 4.61512051684126 4.08316564363067 3.84658808264264 0.154436353304419 2.23355650658361 0.318453731118535 0.485507815781701 0.22314355131421 0.348541960708543 0.671923544108319 0 0.22314355131421 0 7.97349680188535E-02 0 0 0 0 0.916290731874155 1.17865499634165 1.6094379124341 1.27620043832282 2.23355650658361 4.48300255201388 1.64229224930505 3.67206386118537 1.42719635244032 4.12043457198184 2.82861455050231 3.6991762595913 1.52592021206112 2.95247839888796 2.34081217438952 2.90221235277924 3.89271415299309;</t>
  </si>
  <si>
    <t>/*201_NCT*/ 000  1 2.67414864942653 2.25023861262184 2.61373952163097 6.24027584517077 6.07073772800249 5.99645208861902 7.20489251020467 1.17248213723457 1.74711071755917 1.63899671467564 1.78975746655738 1.72722094809048 0.898126761246484 0.193096629961913 0.12751332029896 0.151862349309246 0.15785808461558 0.117783035656383 0.405465108108164 0.27763173659828 0.488580014818671 0.488580014818671 3.33323968847893 1.54841321059633 0 0 1.54841321059633 0 4.45649614860635 2.49411413053891 4.57775787837775 4.45649614860635 0.172271220940453 0.226338442210729 0.281412459438185 0.225540675913931 0.227135572583747 0.336472236621213 0.56531380905006 0.712949807856125 0.712949807856125 3.84658808264264 0.25619140536041 3.25809653802148 3.25809653802148 3.25809653802148 3.25809653802148 3.84658808264264 0.605953968857568 0 0 0 0 0 0.25619140536041 0 0 0 0 0.810930216216329 1.29937388908919 1.25276296849537 1.12849466314998 0.693147180559945 0.405465108108164 0 0.435023910349709 3.84658808264264 3.84658808264264 2.23355650658361 3.28185062402959 0 3.4659233852238 2.6330392572897 4.24840952408997 1.2057256532882 3.2912780823746 3.0033058604053 3.73264448197994 2.55272924588086;</t>
  </si>
  <si>
    <t>/*202_CWT*/ 000  1 2.75366071235426 2.25444471766611 2.48906465993666 6.50876913697168 5.9427993751267 5.9427993751267 7.26612877955645 1.07500242302898 1.50696212084486 1.33841628087543 1.17093295024774 1.34807314829969 0.658038003446377 0.245296355955343 0.144965770250186 0.150142658429719 0.183986836113016 0.105260510657493 0.392042087776024 0.246860077931526 0.198850858745165 0.392042087776024 2.71330304738366 0 2.31164393748239 1.39376637595859 2.57421400012358 0 4.48727589414297 0 4.48727589414297 4.48727589414297 0.266969030854239 0.433728573381024 0.546964670381864 0.414094434806219 0.275356422761144 0.576613364303994 0.65232518603969 0.802001585472027 0.802001585472027 4.21459861646992 0.265436463504461 0 0 0 0 4.21459861646992 1.01160091167848 3.93182563272433 0 0.22314355131421 0.405465108108164 0.22314355131421 0.25619140536041 0.22314355131421 0 0 7.97349680188535E-02 0 0 0.22314355131421 7.97349680188535E-02 0.810930216216329 0 0 0.348541960708543 3.93182563272433 3.84658808264264 1.64229224930505 3.24192806839835 0.300104592450338 3.51509138333822 2.69894218207148 4.22509500826333 2.23359222147138 3.1451096745329 2.58539420081561 3.49482264096665 3.26696027264982;</t>
  </si>
  <si>
    <t>/*1*/ 000  1 2.67414864942653 2.25758772706331 2.40784560365154 7.69666708152646 6.9782137426307 7.0335064842877 8.39072252736229 0.28292075535007 1.9003148757824 1.9351380520734 1.99809590222588 1.94533855715636 0.786182046527135 0.282166891763671 0.352767319107715 0.202124184090134 0.280657457514817 0.14583044821154 0.46373401623214 0.631271776841858 0.392042087776024 0.631271776841858 2.9695936159443 0 3.08342258668098 1.64229224930505 3.25809653802148 2.23355650658361 4.18331651602436 1.12590314890401 4.33073334028633 4.18331651602436 0.273075920062419 0.179818426575836 0.258510695151501 0.235072122179484 0.15785808461558 0.444685821261446 0.425267735404344 0.615185639090233 0.615185639090233 3.40674861170048 0.459321780898875 0 3.65065824129374 0 2.60268968544438 4.08316564363067 0.405465108108164 2.23355650658361 0.485507815781701 0.22314355131421 0.693147180559945 0.485507815781701 0.628608659422374 0 0 0.405465108108164 0.154436353304419 0.916290731874155 0 0.22314355131421 0.459321780898875 0.559615787935423 0.916290731874155 0.405465108108164 0.650761464063507 2.23355650658361 4.2743439804937 3.08342258668098 3.73866911861645 0.650761464063507 3.02140002030257 2.55552042911599 4.40035759135861 1.69364161318706 3.11330760319653 2.24190205822786 3.55187072742226 3.48968741553855;</t>
  </si>
  <si>
    <t>/*4*/ 000  1 2.66722820658195 2.24177295359729 2.46555392127219 6.78558764500793 6.44888939414686 6.01859321449623 7.56320059235807 1.20537182523964 1.44409145984611 1.15939376092797 1.0206507471984 1.22377543162212 0.696142689539744 0.129272335704139 0.201306856705035 0.126632650933366 0.153579087928301 8.89262091944015E-02 0.231111720963387 0.405465108108164 0.231111720963387 0.405465108108164 2.73650807391869 0 2.52003245176337 0 2.52003245176337 0 4.49503160687717 0 4.49503160687717 4.49503160687717 0.333611004340181 0.296394013053802 0.231905056982783 0.289680075114454 0.238229188732251 0.657520002916794 0.542324290825362 0.559615787935423 0.657520002916794 3.93182563272433 0.405465108108164 0 0 0 0 3.93182563272433 1.04133622084838 4.08316564363067 0.318453731118535 0.117783035656383 0 0.154436353304419 0.22314355131421 0 0.559615787935423 0.405465108108164 0.348541960708543 0.693147180559945 0.22314355131421 0.22314355131421 0.405465108108164 0.22314355131421 0.693147180559945 0 0.348541960708543 2.60268968544438 4.2743439804937 2.87169849263054 3.71357206670431 0.154436353304419 3.84323011394386 2.83779108548541 4.01320681076246 0.885904984371608 3.82631503260178 0.388698247964463 3.99280360995805 0;</t>
  </si>
  <si>
    <t>/*17*/ 000  1 2.89591193827178 2.287471455184 2.43009841329301 5.31811999384422 5.56452040732269 6.11146733950268 6.81783057145415 6.39133257436529E-02 1.11939482785064 1.08180517035173 1.25817685833945 1.15593735528738 0.428530381039161 0.23031775506221 0.272314595320659 0.327863862084613 0.275356422761144 0.118671529717499 0.307484699747961 0.364643113587909 0.553885113226438 0.553885113226438 2.06216821300938 0 3.36729582998647 0 3.36729582998647 0 4.29045944114839 0 4.29045944114839 4.29045944114839 0.404130885095028 0.458057558227335 0.330022912941306 0.400117501781569 0.194744076792512 0.582215619852664 0.717839793150317 0.576613364303994 0.717839793150317 1.64229224930505 0.648672690458116 0 0 2.60268968544438 1.64229224930505 4.48300255201388 0.650761464063507 2.87169849263054 0.117783035656383 0 0 4.11419433311752E-02 0.485507815781701 0.916290731874155 0.810930216216329 0.810930216216329 0.847154993039293 0 0 0 0 0 0 0.22314355131421 7.97349680188535E-02 0 4.01036494842683 3.84658808264264 3.96398907345275 0.154436353304419 4.41318609692298 2.57062552519054 2.96877209197121 1.38765954907661 0 3.23147373254717 3.02878647191056 3.98908523551857;</t>
  </si>
  <si>
    <t>/*20*/ 000  1 2.66722820658195 2.28238238567653 2.63977136034892 7.59488438721652 7.28961052145117 6.97073007814353 8.41538192526955 0.671412688413939 1.68417425854812 1.76438827243192 1.59696039092299 1.68417425854812 0.782987884559735 0.227932068046007 0.187309098304994 0.191446464570955 0.20294084399669 0.107957141505092 0.444685821261446 0.336472236621213 0.27763173659828 0.444685821261446 3.02042488614436 0 2.64212405098604 0 2.64212405098604 2.27171342932696 4.31632744021556 1.6767226592397 4.47684805869292 4.31632744021556 0.193096629961913 0.154436353304419 0.178146185383474 0.175632568643158 0.151002873536527 0.476234178996372 0.398776119957368 0.378436435720245 0.476234178996372 4.01036494842683 0.154436353304419 3.25809653802148 3.65065824129374 3.25809653802148 3.40674861170048 4.01036494842683 0.605953968857568 3.25809653802148 0.117783035656383 0.22314355131421 0.22314355131421 0.188966099512623 0.559615787935423 0 0 0 0 0.693147180559945 1.01160091167848 0.405465108108164 0.733809162278835 0.559615787935423 0.559615787935423 0.559615787935423 0.559615787935423 2.60268968544438 4.38411195887322 2.23355650658361 3.54217597492173 0.535323095366378 2.02340015079621 1.74989526512936 4.54792235638597 0.278020161908976 4.33494174645708 1.07263680223853 3.15426892549956 0;</t>
  </si>
  <si>
    <t>/*25*/ 111  1 2.81540871942271 2.21046980408624 2.53923699433305 6.07073772800249 5.68357976733868 5.39816270151775 6.85224256905188 0 0.711968934800533 0.654925967739748 0.667829372575655 0.678541028170583 0.24137631957527 0.209450224182207 0.163818085229395 0.198850858745165 0.19062035960865 9.71267107307228E-02 0.425267735404344 0.27763173659828 0.307484699747961 0.425267735404344 1.72686532931006 0 2.60268968544438 0 2.60268968544438 2.23355650658361 4.38411195887322 0 4.48300255201388 4.38411195887322 0.264669298142708 0.346422567474381 0.235072122179484 0.28292075535007 0.174793290373163 0.512823626428664 0.657520002916794 0.307484699747961 0.657520002916794 3.08342258668098 0.535323095366378 3.25809653802148 0 0 2.23355650658361 4.2743439804937 0.459321780898875 2.87169849263054 0 0 0 0 0.188966099512623 0.693147180559945 0.916290731874155 0.810930216216329 0.810930216216329 0 0 0 0 0 0.22314355131421 0 7.97349680188535E-02 0 4.2743439804937 3.40674861170048 3.88156379794344 0 4.59711785279726 1.0206507471984 1.03033344791482 2.47993590273593 1.19491075450233 2.93652818751743 0 4.24715076864991;</t>
  </si>
  <si>
    <t>/*29*/ 000  1 3.18635263316264 2.19277022698684 2.42480272571829 6.16751649088834 6.22455842927536 5.74939298590825 7.16549347506085 8.89262091944015E-02 0.945849534115699 1.54222916274065 1.30833281965018 1.2947271675944 0.798407691217438 0.198850858745165 0.260824618281898 0.155292884406035 0.208638865111328 8.25012215117438E-02 0.262364264467491 0.350656871613169 0.262364264467491 0.350656871613169 2.5197910516415 0 3.07685132483878 0 3.07685132483878 0 4.38589414620037 0 4.38589414620037 4.38589414620037 0.246860077931526 7.97349680188535E-02 0.22314355131421 0.175632568643158 0.170586300575534 0.518793793415168 0.165514438477573 0.512823626428664 0.518793793415168 3.25809653802148 0.318453731118535 3.25809653802148 4.33073334028633 2.60268968544438 3.65065824129374 3.65065824129374 0.810930216216329 3.75342578772099 0 0 0.117783035656383 4.11419433311752E-02 0.485507815781701 0.693147180559945 0.405465108108164 0.693147180559945 0.605953968857568 0 0 0.405465108108164 0.154436353304419 0.405465108108164 0.810930216216329 0.405465108108164 0.559615787935423 2.87169849263054 4.01036494842683 3.40674861170048 3.61765194482557 0.154436353304419 3.76391735089655 2.57100789050702 4.07555242420962 2.87568604035951 2.20663641152091 2.39142694492508 3.66392528257 3.34052843250911;</t>
  </si>
  <si>
    <t>/*33*/ 000  1 2.64617479738412 2.18717424148272 2.57413778351594 5.52942908751142 5.73009978297357 5.18738580584075 6.60258789218934 0 1.08620226859143 1.11939482785064 1.06056422103058 1.08889859648047 0.555033878430311 0.231111720963387 0.193096629961913 0.184818436992542 0.20294084399669 0.184818436992542 0.53062825106217 0.609765571620894 0.336472236621213 0.609765571620894 2.27818993615932 0 1.6767226592397 0 1.6767226592397 0 4.57111689866321 0 4.57111689866321 4.57111689866321 0.149281702715754 0.117783035656383 0.12751332029896 0.131905070879939 8.34216081390724E-02 0.254642218373581 0.22314355131421 0.246860077931526 0.254642218373581 3.75342578772099 0.25619140536041 3.65065824129374 2.60268968544438 3.65065824129374 3.40674861170048 3.75342578772099 1.01160091167848 4.08316564363067 0.318453731118535 0.485507815781701 0.405465108108164 0.405465108108164 0.773343722554222 0.405465108108164 0 0.559615787935423 0.348541960708543 0.559615787935423 0.22314355131421 0.810930216216329 0.559615787935423 0.559615787935423 0.22314355131421 0.559615787935423 0.459321780898875 3.65065824129374 4.01036494842683 2.23355650658361 3.2740077423062 0.792087128414849 2.17566039942038 1.97227383848631 4.53466188109748 3.22026962268059 3.50042455637942 3.47375935706899 2.53223297481355 0.404219002040386;</t>
  </si>
  <si>
    <t>/*36*/ 000  1 3.2846635654062 2.2690283094652 2.6203112867942 5.52146091786225 5.42053499927229 5.07517381523383 6.45204895443723 0 1.11119940417358 0.960498986538475 1.07772907775169 1.05187002611598 0.468126869232875 0.123102197133983 0.204572165728774 0.138021297897375 0.158711691154821 0.16296882827814 0.215111379616945 0.62057648772511 0.350656871613169 0.62057648772511 2.47089223840242 2.09715866248499 1.51973199934961 0 2.46078470766759 1.51973199934961 4.42056201688771 1.51973199934961 4.5029824096435 4.42056201688771 0.151002873536527 0.139761942375159 0.119559235057639 0.155292884406035 0.172271220940453 0.307484699747961 0.3293037471426 0.22314355131421 0.3293037471426 3.40674861170048 0.459321780898875 0 3.25809653802148 2.60268968544438 2.60268968544438 4.08316564363067 1.04133622084838 4.33073334028633 0.117783035656383 0.22314355131421 0 0.117783035656383 0.25619140536041 0.22314355131421 0.22314355131421 0 0.154436353304419 0.405465108108164 0.693147180559945 0.22314355131421 0.459321780898875 0.22314355131421 0.693147180559945 0.405465108108164 0.459321780898875 3.65065824129374 3.75342578772099 3.08342258668098 3.46050348755956 0.559615787935423 4.02656523980081 2.81899509505394 3.82716204191394 1.37001779966044 3.95770830171812 2.96838856353323 2.88086816368577 2.43685821934108;</t>
  </si>
  <si>
    <t>/*39*/ 000  1 2.60268968544438 2.2512917986065 2.42480272571829 6.16961073249146 6.28785856016178 6.18414889093748 7.3125534981026 0 0.667829372575655 0.523544396173765 0.741937344729377 0.648672690458116 0.215111379616945 0.249201085633499 0.266203040774657 0.378436435720245 0.299363577225619 0.306749135169007 0.350656871613169 0.336472236621213 1.09861228866811 1.09861228866811 1.2845384521655 0 4.61512051684126 0 4.61512051684126 0 0 0 0 4.61512051684126 6.76586484738149E-02 0.124868982045869 0.122217632724249 0.105260510657493 6.10950993598108E-02 0.131028262406404 0.254642218373581 0.173953307123438 0.254642218373581 0 0.188966099512623 3.93182563272433 4.61512051684126 4.48300255201388 4.38411195887322 4.33073334028633 0 0 0 0 0 0 0.117783035656383 0 0 0 0 0 0 0 0 0.559615787935423 0 0.693147180559945 0.459321780898875 2.23355650658361 4.52901242213836 0 3.51773519791011 0.433080275141138 4.39666891141075 2.50634193050807 3.03591406318682 0.937818985107379 2.88140827452658 3.33016690638413 3.61119794613389 0;</t>
  </si>
  <si>
    <t>/*40*/ 000  1 2.79728133483015 2.21156569460688 2.47317139356958 7.06817200038804 6.51471269087253 7.3031700512368 8.11132800328673 0.935701125393978 2.14745059604405 1.81645208181843 1.9058319254879 1.96655275960122 1.02209115076037 0.265436463504461 0.237440856015034 0.15785808461558 0.221542269947236 0.121332285167525 0.405465108108164 0.392042087776024 0.482426149244293 0.482426149244293 3.25161403345597 0 1.71289662080233 0 1.71289662080233 1.18570699551904 4.54522908052112 0 4.56907657833985 4.54522908052112 0.27002713721306 0.331459694797669 0.338612801120324 0.311886761148598 0.219938420365261 0.712949807856125 0.631271776841858 0.62057648772511 0.712949807856125 3.93182563272433 0.330022912941306 0 2.60268968544438 2.60268968544438 2.23355650658361 3.93182563272433 0.773343722554222 3.75342578772099 0 0 0.22314355131421 7.97349680188535E-02 0.287432041196572 0.405465108108164 0.693147180559945 0 0.405465108108164 0.559615787935423 1.01160091167848 0.22314355131421 0.650761464063507 0.559615787935423 0.22314355131421 0 0.287432041196572 2.60268968544438 4.48300255201388 0 3.53610699077653 0.188966099512623 4.13735615781535 2.77912978278316 3.67282628879169 1.11337270411082 3.61252417731554 3.05683786439216 0 3.75269164270775;</t>
  </si>
  <si>
    <t>/*41*/ 000  1 3.00568260440716 2.2321626286975 2.72850620966959 6.60665018619822 6.31896811374643 6.32076829425058 7.52240023138712 0 1.40487074669283 1.30833281965018 1.43174562402381 1.38077918043178 0.608678023933495 0.242946178610389 0.209450224182207 0.174793290373163 0.210260925483196 0.12751332029896 0.482426149244293 0.418710334858185 0.405465108108164 0.482426149244293 2.61827136185542 1.37143449821287 1.92890930737529 0 2.28482837140479 2.75404280495268 4.34990367278304 0 4.52369979299003 4.34990367278304 0.136277618292548 0.27002713721306 0.2390169004705 0.216722983511287 0.158711691154821 0.231111720963387 0.62057648772511 0.405465108108164 0.62057648772511 3.65065824129374 0.348541960708543 2.60268968544438 3.65065824129374 2.60268968544438 3.08342258668098 3.75342578772099 1.09861228866811 4.33073334028633 0.117783035656383 0 0 4.11419433311752E-02 0 0.693147180559945 0.693147180559945 0 0.511025603768657 0 0 0 0 0.559615787935423 0.693147180559945 0.693147180559945 0.650761464063507 3.08342258668098 4.08316564363067 3.08342258668098 3.57772440474777 0.996210355050029 4.61512051684126 0 0 1.32574174144561 1.8032143482089 1.19517848692666 4.42470864940354 2.12504471480783;</t>
  </si>
  <si>
    <t>/*52*/ 000  1 2.72785282839839 2.26799364822443 2.39242579699384 5.37063802812766 5.62401750618734 6.78332520060396 7.22475340576797 0.043059489460447 0.880870786642895 1.08620226859143 1.19392246847243 1.06194830429652 0.438899884194402 0.182321556793955 0.197210169287705 0.235072122179484 0.204572165728774 7.60346862759976E-02 0.246860077931526 0.336472236621213 0.322083499169113 0.336472236621213 2.23387789498425 0 2.52876403285178 0 2.52876403285178 3.00721608149528 4.25178980899879 0 4.49381395411519 4.25178980899879 0.461215123212656 0.419368013277156 0.265436463504461 0.387979793767145 0.189793571632656 0.688134638736401 0.667829372575655 0.350656871613169 0.688134638736401 3.40674861170048 0.535323095366378 0 0 0 0 4.2743439804937 1.26553815998409 4.33073334028633 0.405465108108164 0.559615787935423 0.628608659422374 0.535323095366378 0.348541960708543 0.405465108108164 0 0 0.154436353304419 0.22314355131421 0.810930216216329 0.22314355131421 0.459321780898875 0 0 0.22314355131421 7.97349680188535E-02 1.64229224930505 4.33073334028633 3.08342258668098 3.69199958145018 0.605953968857568 2.13203399179901 1.8113986844804 4.53868844468726 1.29408527422767 3.03281612880946 1.93243601438597 3.77894539394367 3.30589399056812;</t>
  </si>
  <si>
    <t>/*56*/ 000  1 2.94443897916644 2.23323501485925 2.57794151575519 6.27664348934164 5.8805329864007 6.49978704065585 7.34794382314869 0.505008738444426 1.57132059032097 1.30508430569435 1.31855070903337 1.40585186033542 0.659073200226194 0.27002713721306 0.155292884406035 0.236651901339002 0.223943231484774 0.163818085229395 0.553885113226438 0.231111720963387 0.542324290825362 0.553885113226438 2.58693662534937 0 0 0 0 1.46626014275777 4.58156373331242 0 4.61512051684126 4.58156373331242 0.108854404912082 0.254642218373581 0.21591750622247 0.180653499693258 0.184818436992542 0.371563556432483 0.662687973075237 0.451075619360217 0.662687973075237 3.53610699077653 0.377065633586466 3.93182563272433 0 2.60268968544438 3.08342258668098 3.84658808264264 0.916290731874155 3.93182563272433 0.117783035656383 0.22314355131421 0.318453731118535 0.22314355131421 0.459321780898875 0.22314355131421 0.693147180559945 0.405465108108164 0.459321780898875 0.22314355131421 0 0.22314355131421 0.154436353304419 0.916290731874155 0 0.559615787935423 0.559615787935423 3.40674861170048 3.84658808264264 3.25809653802148 3.49271249049793 0.605953968857568 4.00285042538864 2.82855545408649 3.85536799427157 1.11418470901969 3.95267958204361 1.49963218522442 3.64432416879844 1.68662638141026;</t>
  </si>
  <si>
    <t>/*57*/ 000  1 3.04452243772342 2.26384426467762 2.39059597031676 5.45958551414416 5.45958551414416 5.45958551414416 6.55535689181067 0 0.931376369292196 0.926241062727323 0.75377180237638 0.873800680253203 0.284426779731108 0.226338442210729 0.231111720963387 0.289680075114454 0.249201085633499 8.06579030174545E-02 0.307484699747961 0.336472236621213 0.378436435720245 0.378436435720245 1.77934944915137 0 3.40674861170048 2.23355650658361 3.65065824129374 2.60268968544438 3.93182563272433 0 4.15103990589865 3.93182563272433 0.351360849114964 0.360467742177429 0.210260925483196 0.309688152714396 0.147557564357615 0.512823626428664 0.542324290825362 0.364643113587909 0.542324290825362 2.87169849263054 0.559615787935423 0 0 3.25809653802148 2.23355650658361 4.33073334028633 0.693147180559945 3.53610699077653 0 0 0 0 7.97349680188535E-02 0.693147180559945 1.09861228866811 0.693147180559945 0.847154993039293 0 0 0 0 0.22314355131421 0.22314355131421 0.405465108108164 0.287432041196572 2.87169849263054 4.43477324748243 0 3.2740077423062 0.287432041196572 4.3217988091234 2.63605282059496 3.28376428477006 0 1.1712514722274 2.16395264947482 3.91147491005131 3.73995012095931;</t>
  </si>
  <si>
    <t>/*65*/ 000  1 2.70136121295141 2.27521389619791 2.57489968831471 6.5410299991899 6.18414889093748 6.03787091992214 7.37462901521894 0.471252848646167 1.09861228866811 0.993251773010283 0.988797422660903 1.02818982437156 0.327863862084613 0.155292884406035 0.184818436992542 0.192271887647123 0.17730901497041 6.85927914656117E-02 0.262364264467491 0.262364264467491 0.27763173659828 0.27763173659828 2.32591091829754 0 1.32919476907932 0 1.32919476907932 1.32919476907932 4.55853968805978 0 4.58723022285543 4.55853968805978 0.317726193800158 0.29266961396282 0.25619140536041 0.288931291852213 0.201306856705035 0.559615787935423 0.587786664902119 0.631271776841858 0.631271776841858 3.65065824129374 0.459321780898875 2.60268968544438 0 0 1.64229224930505 4.08316564363067 0.955511445027436 3.53610699077653 0 0 0 0 4.21011760186353E-02 0.22314355131421 0.22314355131421 0 0.167207918983906 0 0 0.287432041196572 8.70947068509337E-02 0.810930216216329 0.810930216216329 0 0.646579544743611 0 4.43477324748243 2.87169849263054 3.74851535200981 0.693147180559945 4.61512051684126 0 0 2.36925643124683 1.28334639181926 2.65969472534208 3.51663121417442 3.75511490410611;</t>
  </si>
  <si>
    <t>/*73*/ 000  1 2.76631910922619 2.2628042229822 2.60417007061482 6.57646956904822 6.57646956904822 6.57646956904822 7.67415292128168 5.44881852840698E-02 1.44101926080914 1.27396517614597 1.37371557891303 1.36532605468369 0.461215123212656 0.389335726178281 0.325700139639302 0.375692949774494 0.365337317017385 0.122217632724249 0.518793793415168 0.494696241836107 0.506817602368452 0.518793793415168 2.02906887601516 0 3.42197992084468 0 3.42197992084468 2.49411413053891 4.0986519388084 0 4.26787761298298 4.0986519388084 0.268499253035007 0.503801008829026 0.22872792960811 0.330741561912228 0.261594737688462 0.536493370514568 0.802001585472027 0.470003629245736 0.802001585472027 2.23355650658361 0.646579544743611 0 0 0 0 4.43477324748243 0.847154993039293 3.75342578772099 0 0.117783035656383 0 4.11419433311752E-02 0.377065633586466 0.405465108108164 0.22314355131421 0.693147180559945 0.459321780898875 0.22314355131421 0.559615787935423 0 0.287432041196572 0.693147180559945 0.559615787935423 1.01160091167848 0.773343722554222 2.60268968544438 4.33073334028633 2.60268968544438 3.63429126382953 0.348541960708543 4.53627016733304 2.23226991907902 2.15848374901979 2.33447218499428 2.89127784838328 2.81046933232708 4.02138947257721 0.96763064533502;</t>
  </si>
  <si>
    <t>/*77*/ 000  1 3.10009228887823 2.23108909128898 2.53449014997683 6.49828214947643 6.02344759296103 6.27287700654617 7.38087903556412 0.139761942375159 1.25647037328369 1.47017584510059 1.2947271675944 1.34495139758551 0.662172376260515 0.273075920062419 0.330022912941306 0.195566783543975 0.272314595320659 0.123102197133983 0.336472236621213 0.482426149244293 0.322083499169113 0.482426149244293 2.30985857696054 1.44125591919386 1.44125591919386 0 2.00848245273934 0 4.47843848014895 2.00848245273934 4.54910764205155 4.47843848014895 0.321358598811165 0.249201085633499 0.379121132768562 0.308954207727321 0.246078522596706 0.62057648772511 0.751416088683921 0.662687973075237 0.751416088683921 3.84658808264264 0.298622012490115 2.60268968544438 3.65065824129374 0 2.87169849263054 3.84658808264264 0.650761464063507 3.25809653802148 0.117783035656383 0 0 4.11419433311752E-02 0.188966099512623 0 0 0 0 0 0 0.559615787935423 0.22314355131421 0.559615787935423 1.01160091167848 0 0.605953968857568 2.23355650658361 4.15103990589865 3.40674861170048 3.9070104636046 0.405465108108164 4.55460294375035 2.19031185051126 1.93600410293585 2.48777609233057 1.49251657435969 2.86515218668193 4.15076835123574 2.01260152359546;</t>
  </si>
  <si>
    <t>/*80*/ 000  1 2.96010509591084 2.30558060197384 2.52972066557779 6.34738920965601 6.58063913728495 5.97380961186926 7.42833319419081 0 1.61700917793042 1.43817498299688 1.3415584672785 1.47201323652243 0.826803565372619 0.202124184090134 0.201306856705035 0.171429115627531 0.19062035960865 0.131028262406404 0.431782416425538 0.405465108108164 0.336472236621213 0.431782416425538 2.83144707924613 0 3.50714772333841 0 3.50714772333841 1.37143449821287 4.18519024552168 0 4.22897743133194 4.18519024552168 0.138891998866619 8.34216081390724E-02 0.12751332029896 0.113328685307003 0.109750863959119 0.385262400790645 0.2390169004705 0.231111720963387 0.385262400790645 2.87169849263054 0.25619140536041 4.15103990589865 4.15103990589865 3.65065824129374 4.01036494842683 3.84658808264264 0.459321780898875 2.87169849263054 0.485507815781701 0.559615787935423 0.117783035656383 0.405465108108164 0.671923544108319 0.405465108108164 0.22314355131421 0.22314355131421 0.287432041196572 0.916290731874155 0.693147180559945 0.693147180559945 0.773343722554222 0.916290731874155 1.09861228866811 0.405465108108164 0.847154993039293 3.65065824129374 3.75342578772099 3.08342258668098 3.50531712788385 0.511025603768657 2.37741423361469 2.21942085173328 4.51330705826744 0 4.45012538675518 0.62570589955511 2.74037240622199 0;</t>
  </si>
  <si>
    <t>/*82*/ 000  1 2.9391619220656 2.22028985026722 2.62900699376176 6.44730586254121 6.24610676548156 6.70808408385307 7.58273848891441 0.997686370078149 1.52887840457568 1.6020103966053 1.59432427462405 1.57546739286295 0.718327479090244 0.369492447649347 0.199670195128568 0.205386829724951 0.266203040774657 0.202124184090134 0.732367893713227 0.482426149244293 0.364643113587909 0.732367893713227 2.60705053348017 0 1.71289662080233 1.18570699551904 2.05642876737076 0 4.54522908052112 0 4.54522908052112 4.54522908052112 0.163818085229395 0.266969030854239 0.21107097007994 0.208638865111328 0.20375683751402 0.636576829071551 0.576613364303994 0.488580014818671 0.636576829071551 3.75342578772099 0.25619140536041 4.15103990589865 2.60268968544438 2.60268968544438 3.40674861170048 3.75342578772099 0.693147180559945 3.25809653802148 0.22314355131421 0 0 7.97349680188535E-02 0.433080275141138 0.559615787935423 0.22314355131421 0 0.287432041196572 0 0.22314355131421 0.693147180559945 0.348541960708543 1.09861228866811 0.693147180559945 0.559615787935423 0.810930216216329 4.01036494842683 3.40674861170048 2.87169849263054 3.25327725158553 0.188966099512623 3.53764950479766 2.59450815970308 4.21381506219827 0 3.95894226168317 0 3.80499963332388 1.73569995655146;</t>
  </si>
  <si>
    <t>/*101*/ 000  1 2.92852352386054 2.18154676461699 2.60933422816305 5.4510384535657 5.63121178182137 5.97635090929793 6.80682936039218 0 1.09861228866811 1.15152094432351 1.13943428318836 1.13011095572748 0.453620149995211 0.116893751471499 0.200488860749404 0.188137942115395 0.171429115627531 0.104360015324243 0.215111379616945 0.322083499169113 0.350656871613169 0.350656871613169 2.50258283480094 2.06648294051544 1.49245455694828 2.4287771182318 3.07685132483878 2.6941540959101 4.19745755408945 0 4.38589414620037 4.19745755408945 0.205386829724951 0.10345870836823 0.138021297897375 0.144965770250186 0.134530892957606 0.364643113587909 0.418710334858185 0.343589704390077 0.418710334858185 3.53610699077653 0.287432041196572 0 3.93182563272433 3.93182563272433 3.53610699077653 3.53610699077653 0.948951514113703 4.08316564363067 0 0 0 0 0.154436353304419 0 0 0.22314355131421 7.97349680188535E-02 0 0 0.22314355131421 7.97349680188535E-02 0 0.693147180559945 0.810930216216329 0.559615787935423 2.60268968544438 4.15103990589865 3.25809653802148 3.63429126382953 0.871711688476188 4.59711785279726 0.96088161520203 1.03033344791482 1.45784805353757 0 2.08355395323703 2.55475385722604 4.36694088733783;</t>
  </si>
  <si>
    <t>/*103*/ 111  1 2.8094026953625 2.21046980408624 2.47569771070269 6.73221070646721 6.43294009273918 5.93489419561959 7.51588908521513 0.151002873536527 1.24559447901676 1.28785428830664 1.31506685183152 1.28315360220038 0.602127782172777 0.131028262406404 0.19062035960865 0.116003675756306 0.146694379150803 0.109750863959119 0.246860077931526 0.418710334858185 0.231111720963387 0.418710334858185 2.86402778255656 0 1.88038066088158 2.23355650658361 2.70062268527341 1.88038066088158 4.40128990085473 0 4.46718316750317 4.40128990085473 0.253090627682162 0.209450224182207 0.153579087928301 0.206200830583898 0.207826847202317 0.712949807856125 0.418710334858185 0.425267735404344 0.712949807856125 3.53610699077653 0.361164849211584 3.25809653802148 3.65065824129374 0 3.08342258668098 3.75342578772099 0.693147180559945 3.25809653802148 0.318453731118535 0.559615787935423 0 0.318453731118535 0.693147180559945 0.22314355131421 0.559615787935423 0 0.287432041196572 0.405465108108164 0.559615787935423 0.22314355131421 0.405465108108164 0.405465108108164 0.810930216216329 0.22314355131421 0.511025603768657 3.75342578772099 3.84658808264264 2.60268968544438 3.289632473319 0.405465108108164 3.24501129847283 2.68968254374403 4.33517084838862 0 4.44087626754082 2.07927329065143 2.12852007033966 0.79358307324282;</t>
  </si>
  <si>
    <t>/*105*/ 000  1 2.61739583283408 2.22354188565359 2.58625914404829 6.46458830368996 6.04737217904628 5.36129216570943 7.15148546390474 0 1.29828248379668 1.21283343275813 1.28093384546206 1.26469153936064 0.517602608045014 0.111541374732907 0.131028262406404 9.80337402713654E-02 0.113328685307003 5.73250666192694E-02 0.231111720963387 0.262364264467491 0.198850858745165 0.262364264467491 3.10148771121985 0 0 0 0 0 4.61512051684126 0 4.61512051684126 4.61512051684126 0.308954207727321 0.24059046491793 0.242161557149972 0.264669298142708 0.17730901497041 0.53062825106217 0.559615787935423 0.418710334858185 0.559615787935423 4.21459861646992 0.287432041196572 0 0 0 0 4.21459861646992 0.773343722554222 2.87169849263054 0.117783035656383 0 0 4.11419433311752E-02 4.11419433311752E-02 0 0.22314355131421 0 7.97349680188535E-02 0 0 0.693147180559945 0.287432041196572 0 0.693147180559945 0 0.287432041196572 3.53610699077653 4.08316564363067 2.23355650658361 3.25006436632422 0 3.19875474687198 2.33311429802887 4.3502521295747 0.781968512800239 3.4352614145926 1.96381773441423 3.69704758492034 3.17078107116485;</t>
  </si>
  <si>
    <t>/*113*/ 000  1 3.02529107579554 2.278292400425 2.44060639089142 5.10594547390058 4.62497281328427 5.00394630594546 6.02586597382531 0 0.782987884559735 0.870456195530356 0.880870786642895 0.845438990902204 0.195566783543975 0.126632650933366 0.109750863959119 0.207826847202317 0.147557564357615 0.123985979780991 0.165514438477573 0.165514438477573 0.570979546585738 0.570979546585738 2.23751309625033 0 3.2188758248682 0 3.2188758248682 3.04452243772342 4.04305126783455 0 4.34380542185368 4.04305126783455 0.299363577225619 0.260824618281898 0.27002713721306 0.276115436080316 0.120446153075867 0.350656871613169 0.559615787935423 0.350656871613169 0.559615787935423 3.25809653802148 0.559615787935423 0 0 0 0 4.33073334028633 0.605953968857568 2.87169849263054 0.117783035656383 0.75377180237638 0.559615787935423 0.511025603768657 0.847154993039293 0 0 0 0 0 0 0 0 0 0 0.22314355131421 7.97349680188535E-02 1.64229224930505 4.08316564363067 3.65065824129374 3.83315294327036 0.980954245199877 1.03033344791482 1.19664602893948 4.59711785279726 0 1.2602536400902 1.99003495400742 2.97176308346795 4.29907399553478;</t>
  </si>
  <si>
    <t>/*119*/ 000  1 2.99573227355399 2.22245904851476 2.65112705370259 6.68461172766793 6.30809844150953 6.19644412779452 7.51643330291563 0 1.29143408009593 1.47315989414147 1.35789488659819 1.3770013142083 0.870874868343673 0.353469812989784 0.280657457514817 0.279145741429495 0.303801454331664 0.108854404912082 0.444685821261446 0.405465108108164 0.431782416425538 0.444685821261446 2.23409209654875 0 4.20405062231016 3.27835155166331 4.52708971852805 1.14039382268306 1.99918006007703 0 2.25244902350025 4.20405062231016 0.156148682489931 0.19638881400539 0.161268147596122 0.171429115627531 0.104360015324243 0.3293037471426 0.336472236621213 0.357674444271816 0.357674444271816 2.23355650658361 0.535323095366378 0 3.65065824129374 3.25809653802148 3.08342258668098 4.2743439804937 0.287432041196572 2.23355650658361 0 0 0.22314355131421 7.97349680188535E-02 7.97349680188535E-02 1.01160091167848 1.01160091167848 0.916290731874155 0.980954245199877 0.22314355131421 0 0 7.97349680188535E-02 0.559615787935423 1.01160091167848 0.916290731874155 0.847154993039293 0 4.61512051684126 0 3.58928008889118 0.605953968857568 4.61214579972452 0.381855242469031 0.262364264467491 1.82698565380673 3.20268284172881 2.05151276616136 3.56358375119091 3.26931608288366;</t>
  </si>
  <si>
    <t>/*120*/ 000  1 2.72129542785223 2.18829594659192 2.52572864430826 7.16317239084664 6.89264164117209 6.75227037614174 8.0487882835342 0.611937125134402 1.85629799036563 1.63666389868769 1.6094379124341 1.70710893960755 0.85356390196585 0.234281295724666 0.222343231143441 0.174793290373163 0.210260925483196 0.12575120530556 0.457424847038875 0.364643113587909 0.431782416425538 0.457424847038875 3.00948723878633 1.18570699551904 2.95397233930576 3.41920100610173 3.93182563272433 1.18570699551904 3.88623329124184 0 3.93182563272433 3.88623329124184 0.111541374732907 0.21107097007994 0.21591750622247 0.184818436992542 0.175632568643158 0.246860077931526 0.524728528934982 0.506817602368452 0.524728528934982 3.25809653802148 0.405465108108164 3.25809653802148 3.25809653802148 3.25809653802148 3.25809653802148 3.93182563272433 0.810930216216329 3.75342578772099 0.810930216216329 0.559615787935423 0.22314355131421 0.559615787935423 0.810930216216329 0.405465108108164 0.810930216216329 0.22314355131421 0.511025603768657 0 0.22314355131421 0.22314355131421 0.154436353304419 1.01160091167848 0.810930216216329 0.693147180559945 0.847154993039293 3.25809653802148 4.33073334028633 0 3.46050348755956 0.792087128414849 3.62599290105875 2.81768158361068 4.16570352120391 3.30972118710116 3.83410582146111 1.27512044534867 2.97757307837317 2.09816895265768;</t>
  </si>
  <si>
    <t>/*129*/ 000  1 2.88480071284671 2.15059873599616 2.42036812865043 6.07993319509559 6.01126717440416 5.85507192220243 7.0833878476253 0 0.854415328156068 0.854415328156068 0.680568398353085 0.799756915618204 0.347835995271528 0.314810739840034 0.323531725345478 0.340037302785709 0.326421900767712 0.107957141505092 0.470003629245736 0.418710334858185 0.418710334858185 0.470003629245736 1.42959328551504 0 1.6094379124341 1.6094379124341 2.19722457733622 1.6094379124341 4.48863636973214 0 4.53259949315326 4.48863636973214 0.285930539412975 0.338612801120324 0.340748793388473 0.323531725345478 0.193096629961913 0.62057648772511 0.672944473242426 0.542324290825362 0.672944473242426 2.23355650658361 0.605953968857568 2.60268968544438 2.60268968544438 0 2.23355650658361 4.43477324748243 0.559615787935423 2.87169849263054 0 0 0.117783035656383 4.11419433311752E-02 0.188966099512623 1.01160091167848 1.01160091167848 1.01160091167848 1.01160091167848 0 0 0 0 0.693147180559945 0 0.22314355131421 0.348541960708543 0 3.65065824129374 4.15103990589865 4.0364505838032 4.11419433311752E-02 4.44275713323812 2.52892353520477 2.83268379210362 0 0 1.70988069550249 3.70432558382618 4.0403996255118;</t>
  </si>
  <si>
    <t>/*150*/ 000  1 2.89591193827178 2.13653050866396 2.43361335540045 5.67332326717149 5.3890717298165 5.08140436498446 6.50578406012823 0 1.00246842811521 1.20146967410782 0.880870786642895 1.03709143201986 0.731887008875876 0.158711691154821 0.107059072293408 0.163818085229395 0.144100343973757 0.084341148433751 0.364643113587909 0.165514438477573 0.246860077931526 0.364643113587909 2.54647200544616 0 2.56494935746154 2.19722457733622 3.04452243772342 2.83321334405622 4.17438726989564 0 4.39444915467244 4.17438726989564 0.170586300575534 0.189793571632656 0.146694379150803 0.168898536461814 0.126632650933366 0.29266961396282 0.371563556432483 0.364643113587909 0.371563556432483 3.75342578772099 0.348541960708543 0 3.25809653802148 3.25809653802148 2.87169849263054 3.75342578772099 0.948951514113703 4.08316564363067 0 0 0 0 4.11419433311752E-02 0 0 0.22314355131421 7.97349680188535E-02 0.693147180559945 0.916290731874155 0.559615787935423 0.733809162278835 0.22314355131421 0 0.810930216216329 0.405465108108164 4.08316564363067 3.53610699077653 2.23355650658361 3.12091012228222 0.459321780898875 4.15785130125554 2.88859239799609 3.63932149526559 0 4.02064136651995 1.21444410430261 3.32654945257844 2.83630453668762;</t>
  </si>
  <si>
    <t>/*161*/ 000  1 2.83321334405622 2.2213750375685 2.49485698064117 6.73101810048208 7.21450441415114 6.48920493132532 7.9561263512135 0.155292884406035 1.2947271675944 1.58923520511658 1.43508452528932 1.44691898293633 0.771033719217016 0.209450224182207 0.249201085633499 0.213497174262404 0.224742272677907 0.133656384812674 0.438254930931155 0.524728528934982 0.418710334858185 0.524728528934982 2.63109715993408 0 2.46903130062971 0 2.46903130062971 2.84583918397937 4.30370016175992 0 4.50190746841241 4.30370016175992 0.24059046491793 0.186479566942618 0.191446464570955 0.206200830583898 0.157003748809665 0.431782416425538 0.371563556432483 0.470003629245736 0.470003629245736 3.25809653802148 0.377065633586466 2.60268968544438 3.25809653802148 3.93182563272433 3.40674861170048 3.84658808264264 0.559615787935423 2.87169849263054 0 0 0 0 0.377065633586466 0.405465108108164 0.22314355131421 0.22314355131421 0.287432041196572 0.22314355131421 0.559615787935423 0 0.287432041196572 0 0.810930216216329 0.405465108108164 0.459321780898875 2.87169849263054 4.38411195887322 1.64229224930505 3.36442965746994 0.650761464063507 4.54348625329996 2.30098381162707 2.07718900662654 2.13750534268588 1.12718566119667 2.60429869621793 3.82580183003789 3.52763848003611;</t>
  </si>
  <si>
    <t>/*178*/ 000  1 3.02529107579554 2.24812890719799 2.65885995691144 7.54644627374602 7.51479976048867 7.33236920592906 8.56712556016445 1.06298511102496 1.65593974608552 1.73165554515835 1.79175946922805 1.72793180648189 0.951271700769401 0.271552690521897 0.272314595320659 0.25231392861399 0.265436463504461 0.131028262406404 0.405465108108164 0.553885113226438 0.418710334858185 0.553885113226438 2.78704620732871 0 1.32919476907932 3.14510010520481 3.25809653802148 2.23355650658361 4.21459861646992 0 4.33073334028633 4.21459861646992 0.193096629961913 0.227135572583747 0.236651901339002 0.219135529916671 0.154436353304419 0.392042087776024 0.425267735404344 0.444685821261446 0.444685821261446 3.08342258668098 0.405465108108164 3.25809653802148 3.65065824129374 3.25809653802148 3.40674861170048 3.93182563272433 0.693147180559945 3.75342578772099 0.117783035656383 0.559615787935423 0.405465108108164 0.377065633586466 0.671923544108319 0.693147180559945 0.511025603768657 0 0.435023910349709 0 0 0.22314355131421 7.97349680188535E-02 1.09861228866811 1.01160091167848 0.405465108108164 0.882527101721346 3.40674861170048 4.01036494842683 2.87169849263054 3.49271249049793 0.405465108108164 4.02893455033565 2.6154962194916 3.82426225682064 1.80144008697924 3.52280649387712 2.80724388065339 3.19238003102323 2.40845131755956;</t>
  </si>
  <si>
    <t>/*193*/ 000  1 2.87356463957978 2.23108909128898 2.58625914404829 7.01301578963963 7.03966034986208 7.54274354536855 8.32772616646141 1.31184017519494 2.13025347022944 2.11178771771905 2.17475172148416 2.14006616349627 1.37573884718037 0.38458189719174 0.373630384588146 0.198030850499135 0.318453731118535 0.248421358498478 0.741937344729377 0.62057648772511 0.470003629245736 0.741937344729377 3.04423668261361 1.17000228475478 2.03692540457676 2.29142302828785 2.93268597183636 0 4.42151173595047 0 4.42151173595047 4.42151173595047 0.211880359035499 0.210260925483196 0.33718626735487 0.274596832903125 0.235862323721984 0.431782416425538 0.593326845277734 0.770108221696074 0.770108221696074 3.75342578772099 0.25619140536041 3.93182563272433 3.25809653802148 2.60268968544438 3.40674861170048 3.75342578772099 0.405465108108164 2.87169849263054 0 0.22314355131421 0 7.97349680188535E-02 0.287432041196572 0.405465108108164 0 0 0.154436353304419 0.22314355131421 0.22314355131421 0.22314355131421 0.22314355131421 1.01160091167848 0.916290731874155 0.559615787935423 0.847154993039293 3.84658808264264 2.87169849263054 3.53610699077653 3.52762443143168 0.583332314552739 4.1032217101597 2.84409509889103 3.72484969790317 0.742374121233393 3.73788803038209 3.73351069790314 1.52125821344021 2.24499485355437;</t>
  </si>
  <si>
    <t>/*201*/ 000  1 2.83321334405622 2.26176309847379 2.59151638484626 7.02464903045364 6.9037472575846 6.64248680136726 7.9672801789422 1.13172464011831 1.44691898293633 1.40192161700559 1.23110147171419 1.36430434322828 0.813593333635813 0.294905917541101 0.27002713721306 0.288931291852213 0.284426779731108 0.21107097007994 0.470003629245736 0.418710334858185 0.8754687373539 0.8754687373539 2.28635407988363 0 3.48366790902574 1.28978346073905 3.5613585337861 1.83465930354328 4.1194598497005 0 4.20153839632422 4.1194598497005 0.134530892957606 0.213497174262404 0.260824618281898 0.201306856705035 0.227135572583747 0.708035793053696 0.678033542749897 0.542324290825362 0.708035793053696 3.08342258668098 0.348541960708543 4.15103990589865 3.25809653802148 3.25809653802148 3.65065824129374 3.75342578772099 0.650761464063507 3.53610699077653 0.117783035656383 0 0.22314355131421 0.117783035656383 0.287432041196572 0 0.559615787935423 0.693147180559945 0.459321780898875 0 0.693147180559945 0.22314355131421 0.348541960708543 1.25276296849537 0.405465108108164 0.559615787935423 0.810930216216329 0 4.2743439804937 3.40674861170048 3.81953483999298 0.485507815781701 4.50279410137122 2.35962683336124 2.46223491052358 2.55446433351626 3.50991786370562 2.53546319188189 3.12639939838965 3.04912384925878;</t>
  </si>
  <si>
    <t>/*202*/ 000  1 2.79116510781272 2.20276475771183 2.50225528812261 6.45990445437753 5.91079664404053 5.91620206260743 7.22766249872865 0 0.84372003903932 0.821980052402914 0.974559639998131 0.882527101721346 0.478095799143072 0.257738196078709 0.276115436080316 0.207014169384326 0.246860077931526 0.131028262406404 0.405465108108164 0.405465108108164 0.350656871613169 0.405465108108164 1.80038879592611 0 3.84658808264264 0 3.84658808264264 3.08342258668098 3.53610699077653 0 4.01036494842683 3.84658808264264 4.21011760186353E-02 5.16432331518384E-02 7.23206615796261E-02 5.54347068881005E-02 5.35407669280298E-02 0.122217632724249 0.113328685307003 0.182321556793955 0.182321556793955 2.60268968544438 0.154436353304419 4.15103990589865 4.48300255201388 4.15103990589865 4.2743439804937 4.21459861646992 0.348541960708543 2.87169849263054 0 0 0 0 4.11419433311752E-02 0.810930216216329 0.916290731874155 0.559615787935423 0.773343722554222 0 0 0 0 1.17865499634165 1.44691898293633 1.25276296849537 1.29937388908919 0 4.01036494842683 3.84658808264264 3.87726591547014 0.459321780898875 4.49439503762877 2.47418268642502 2.52460801663955 1.93908418393012 1.75126810788985 2.14472383380743 4.24349409499219 2.64583701693848;</t>
  </si>
  <si>
    <t>/*203*/ 000  1 2.52572864430826 2.14358936150359 2.47989410796446 7.31986492980897 6.67203294546107 7.26403014289953 8.22309055116153 0.467500499027617 2.05732373642622 1.97408102602201 1.98444381305756 2.00592954574316 0.986935571443487 0.350656871613169 0.324977857195478 0.362557607096888 0.346422567474381 0.184818436992542 0.553885113226438 0.518793793415168 0.693147180559945 0.693147180559945 2.80680897312547 2.25244902350025 0 1.65918000432891 2.62220178397617 2.45427560623448 4.35151587946886 0 4.47999237625986 4.35151587946886 0.249201085633499 0.294905917541101 0.335042643811619 0.299363577225619 0.192271887647123 0.482426149244293 0.536493370514568 0.625938430866495 0.625938430866495 3.84658808264264 0.405465108108164 0 2.60268968544438 0 1.64229224930505 3.93182563272433 0.916290731874155 3.93182563272433 0.810930216216329 0.318453731118535 0.22314355131421 0.485507815781701 0.693147180559945 0.405465108108164 0.916290731874155 0.559615787935423 0.650761464063507 0 0.405465108108164 0.22314355131421 0.22314355131421 0.559615787935423 0 0.810930216216329 0.511025603768657 2.23355650658361 4.33073334028633 2.87169849263054 3.72870094830061 0.899348011143843 4.12408134215219 2.74290241186942 3.69359332634016 1.82839360240544 1.78760491400259 2.60728570384891 3.73280111729387 3.62281406310361;</t>
  </si>
  <si>
    <t>/*204*/ 000  1 2.60268968544438 2.20717490818939 2.37861977927004 7.48211892355212 7.51261754467451 7.45066079621154 8.58035576637388 1.01450577937111 1.79175946922805 1.67952352000079 1.66297867936213 1.71307694719359 0.936485439159674 0.264669298142708 0.316998126785834 0.459321780898875 0.349952398177906 0.238229188732251 0.62057648772511 0.470003629245736 0.65232518603969 0.65232518603969 2.47190583761075 0 3.25809653802148 0 3.25809653802148 0 4.33073334028633 0 4.33073334028633 4.33073334028633 0.19062035960865 0.184818436992542 0.185649346886629 0.186479566942618 0.20294084399669 0.343589704390077 0.476234178996372 0.636576829071551 0.636576829071551 3.08342258668098 0.22314355131421 3.65065824129374 4.15103990589865 4.15103990589865 4.01036494842683 3.93182563272433 0.459321780898875 3.25809653802148 0.117783035656383 0.117783035656383 0.117783035656383 0.117783035656383 0.693147180559945 0.559615787935423 0.693147180559945 0.810930216216329 0.693147180559945 0.22314355131421 0 0 7.97349680188535E-02 1.38629436111989 1.17865499634165 1.44691898293633 1.34364778639842 1.64229224930505 4.01036494842683 3.75342578772099 3.9070104636046 0.650761464063507 3.56625974056603 2.72719901994097 4.19894478893352 0 3.90591744778692 3.12408724792545 3.33065050833957 1.28334639181926;</t>
  </si>
  <si>
    <t>/*5*/ 000  1 2.88480071284671 2.24707238306379 2.58173083442354 6.38687931936265 6.57088296233958 6.4831073514572 7.58069975222456 0.059211859631846 1.23837423104327 1.30833281965018 1.50407739677627 1.35660805074953 0.673454547214209 0.111541374732907 0.126632650933366 0.169742774587095 0.136277618292548 7.60346862759976E-02 0.262364264467491 0.29266961396282 0.307484699747961 0.307484699747961 3.03177486490092 1.88038066088158 2.70062268527341 0 3.01768944090603 1.32919476907932 4.3666337700664 0 4.40128990085473 4.3666337700664 0.199670195128568 0.118671529717499 0.10345870836823 0.139761942375159 0.162118849476435 0.524728528934982 0.412109650826833 0.343589704390077 0.524728528934982 3.08342258668098 0.188966099512623 3.65065824129374 4.33073334028633 4.15103990589865 4.08316564363067 3.53610699077653 0.693147180559945 2.87169849263054 0.405465108108164 0.485507815781701 0.559615787935423 0.485507815781701 0.733809162278835 0.22314355131421 0 0 7.97349680188535E-02 0.810930216216329 0.559615787935423 0.916290731874155 0.773343722554222 0.22314355131421 0.405465108108164 0.693147180559945 0.459321780898875 1.64229224930505 4.52901242213836 1.64229224930505 3.51154543883102 0.810930216216329 2.39653070583657 2.07493138620195 4.51102432809786 2.66258782679289 3.88031794032937 1.10822774728621 0.971730009045095 3.59883317355073;</t>
  </si>
  <si>
    <t>/*8*/ 000  1 2.85070650150373 2.2321626286975 2.68784749378469 5.89989735358249 6.12249280951439 6.08221891037645 7.13648320859025 0 1.32175583998232 1.25276296849537 1.48727027845989 1.35892316432376 0.572108852182889 0.147557564357615 0.157003748809665 0.116003675756306 0.140631129739746 9.07543632684641E-02 0.322083499169113 0.336472236621213 0.262364264467491 0.336472236621213 3.00602907903136 0 2.33939906611676 1.41706601978664 2.60268968544438 3.37159691188586 4.10057511197274 0 4.48300255201388 4.10057511197274 0.14583044821154 0.169742774587095 0.16296882827814 0.159564569671338 0.130150684465045 0.262364264467491 0.482426149244293 0.262364264467491 0.482426149244293 4.21459861646992 0.154436353304419 3.25809653802148 2.60268968544438 2.60268968544438 2.87169849263054 4.21459861646992 0.605953968857568 2.87169849263054 0.22314355131421 0.22314355131421 0.22314355131421 0.22314355131421 0.485507815781701 0.22314355131421 0.405465108108164 0 0.22314355131421 0.559615787935423 0.559615787935423 1.25276296849537 0.847154993039293 0.405465108108164 0.559615787935423 0.405465108108164 0.459321780898875 2.87169849263054 4.21459861646992 2.87169849263054 3.55414734091289 0.75377180237638 2.88015305770183 1.99931549720055 4.43299300062615 0 4.53715086637426 2.14893933620503 0 0;</t>
  </si>
  <si>
    <t>/*10*/ 000  1 2.58021682959233 2.16676536985151 2.6203112867942 5.60947179518496 5.7268477475872 5.8111409929767 6.81563999007433 0 1.41415268924829 1.31184017519494 1.35454566280531 1.3609765531356 0.741461040838496 0.148420005118273 0.109750863959119 0.117783035656383 0.123985979780991 5.35407669280298E-02 0.215111379616945 0.173953307123438 0.198850858745165 0.215111379616945 3.13618962624925 0 2.49411413053891 2.49411413053891 3.14510010520481 2.12906469215316 4.26787761298298 0 4.3666337700664 4.26787761298298 0.162118849476435 0.157003748809665 0.105260510657493 0.173953307123438 0.194744076792512 0.3293037471426 0.3293037471426 0.322083499169113 0.3293037471426 3.93182563272433 0.25619140536041 3.65065824129374 0 3.25809653802148 3.08342258668098 3.93182563272433 0.693147180559945 2.23355650658361 0.117783035656383 0 0.22314355131421 0.117783035656383 0.650761464063507 0.22314355131421 0.22314355131421 0.559615787935423 0.348541960708543 0.693147180559945 1.25276296849537 1.17865499634165 1.07055569088558 0 0.405465108108164 0.559615787935423 0.348541960708543 4.01036494842683 3.75342578772099 1.64229224930505 3.07190596777683 0.847154993039293 1.42383096464862 1.14771986277514 4.58340503419988 1.93330740316169 3.96427302861471 1.88805763883998 0 3.50903189865336;</t>
  </si>
  <si>
    <t>/*17*/ 000  1 2.70136121295141 2.2321626286975 2.53765721517353 6.7900972355139 6.6682282484174 6.70196036600254 7.81923445385907 6.95260626486103E-02 1.83864305512691 1.77715331683869 1.64865862558738 1.75785791755237 1.04063000612976 0.193096629961913 0.215111379616945 0.23031775506221 0.212689093410351 0.143234168085908 0.46373401623214 0.542324290825362 0.457424847038875 0.542324290825362 3.05555657519966 0 2.35365836317805 2.09715866248499 2.87169849263054 0 4.40613371001711 1.21817152372575 4.43477324748243 4.40613371001711 0.173953307123438 0.129272335704139 0.181487876045377 0.162118849476435 0.141499562273699 0.451075619360217 0.336472236621213 0.425267735404344 0.451075619360217 3.75342578772099 0.188966099512623 3.65065824129374 3.65065824129374 3.65065824129374 3.65065824129374 3.75342578772099 0.693147180559945 3.25809653802148 0.485507815781701 0.485507815781701 0.559615787935423 0.511025603768657 0.713929719742474 0.405465108108164 0.22314355131421 0.559615787935423 0.405465108108164 0.559615787935423 1.09861228866811 0.693147180559945 0.810930216216329 0.693147180559945 0.810930216216329 1.09861228866811 0.882527101721346 3.25809653802148 4.08316564363067 2.87169849263054 3.49901955528168 0.348541960708543 2.99167405009314 1.97879213352991 4.40770656458411 0 4.61512051684126 0 0 0;</t>
  </si>
  <si>
    <t>/*28b*/ 000  1 2.83321334405622 2.20497226412705 2.49897390699944 5.64897423816121 5.86929691313377 5.95324333428778 6.92853781816467 0 0.98394938034797 0.98394938034797 1.21639532432449 1.06746555967127 0.423305026236495 0.207014169384326 0.195566783543975 0.233489843368354 0.214304602647005 7.60346862759976E-02 0.262364264467491 0.262364264467491 0.322083499169113 0.322083499169113 2.19399715257715 1.37143449821287 3.93182563272433 2.28482837140479 4.13939759327017 2.75404280495268 3.19985609103095 0 3.66956920557944 3.93182563272433 6.57877405380032E-02 0.142367241286922 4.40168854167743E-02 8.25012215117438E-02 0.107059072293408 0.165514438477573 0.457424847038875 0.157003748809665 0.457424847038875 2.23355650658361 0.348541960708543 3.65065824129374 3.65065824129374 4.33073334028633 3.93182563272433 3.75342578772099 0.154436353304419 2.23355650658361 0.117783035656383 0.117783035656383 0 7.97349680188535E-02 7.97349680188535E-02 0.810930216216329 1.25276296849537 1.01160091167848 1.04133622084838 0 0 0 0 1.01160091167848 1.17865499634165 1.25276296849537 1.1527847675565 0 4.21459861646992 3.53610699077653 3.87292868428706 0.348541960708543 3.79983926442219 2.42427161125064 4.04840533028066 1.33736373763651 0 3.50565861678843 2.04660490131925 4.0800101033452;</t>
  </si>
  <si>
    <t>/*24*/ 111  1 2.76631910922619 2.1621729392773 2.41858876875035 6.76734312526539 6.25575004175337 6.19236248947487 7.53743003658651 0.63974640383283 1.4558204237685 1.54756250871601 1.49290409617815 1.49939980722516 0.638162872227186 0.246860077931526 0.140631129739746 0.257738196078709 0.219135529916671 0.138891998866619 0.470003629245736 0.336472236621213 0.431782416425538 0.470003629245736 2.72221605657511 1.25276296849537 1.79175946922805 0 2.14006616349627 1.79175946922805 4.45434729625351 1.25276296849537 4.53796143629464 4.45434729625351 0.109750863959119 0.181487876045377 0.115112807100504 0.136277618292548 0.136277618292548 0.27002713721306 0.364643113587909 0.524728528934982 0.524728528934982 3.40674861170048 0.287432041196572 3.93182563272433 0 4.15103990589865 3.65065824129374 3.53610699077653 0.810930216216329 3.75342578772099 0.117783035656383 0 0.318453731118535 0.154436353304419 0.671923544108319 0.810930216216329 0.405465108108164 0.916290731874155 0.733809162278835 0.405465108108164 0.693147180559945 0 0.405465108108164 1.01160091167848 0.22314355131421 1.32175583998232 0.948951514113703 2.23355650658361 4.15103990589865 3.40674861170048 3.6560462970187 0.605953968857568 2.18413933778756 2.19933346318357 4.53385676696932 0 4.12251543911935 1.6333261276324 0 3.58808724229279;</t>
  </si>
  <si>
    <t>/*61*/ 000  1 3.14415227867226 2.26176309847379 2.61080481666337 7.53689712956617 7.2841348061952 7.34794382314869 8.49371983523059 1.19285708652738E-02 1.43817498299688 1.78758409781757 2.27469988950451 1.89281071329778 1.39599713658128 0.291175961706037 0.210260925483196 0.278389025540188 0.259282597930083 0.171429115627531 0.494696241836107 0.418710334858185 0.732367893713227 0.732367893713227 2.99703142928561 1.15499262210422 2.27171342932696 2.27171342932696 3.02359060168239 0 4.31632744021556 2.01783206004814 4.39980515602552 4.31632744021556 0.144965770250186 0.251536625815428 0.116893751471499 0.166361537215225 0.173112617708645 0.524728528934982 0.576613364303994 0.343589704390077 0.576613364303994 3.25809653802148 0.348541960708543 3.25809653802148 2.60268968544438 4.15103990589865 3.53610699077653 3.75342578772099 1.2038727993256 4.21459861646992 0.117783035656383 0.22314355131421 0 0.117783035656383 0.485507815781701 0.559615787935423 0.22314355131421 0 0.287432041196572 0.693147180559945 1.38629436111989 0.916290731874155 1.04133622084838 0.810930216216329 0.405465108108164 0.559615787935423 0.605953968857568 3.53610699077653 4.08316564363067 2.23355650658361 3.40674861170048 0.485507815781701 3.5295319608798 2.78655326259015 4.21791820729928 2.16584945476758 3.88136475731142 0 0 3.8240142903167;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</si>
</sst>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0"/>
  </numFmts>
  <fonts count="4" x14ac:knownFonts="1">
    <font>
      <sz val="11"/>
      <color theme="1"/>
      <name val="Calibri"/>
      <family val="2"/>
      <scheme val="minor"/>
    </font>
    <font>
      <b/>
      <sz val="11"/>
      <color theme="1"/>
      <name val="Calibri"/>
      <family val="2"/>
      <scheme val="minor"/>
    </font>
    <font>
      <sz val="12"/>
      <color rgb="FF2F2F2F"/>
      <name val="Calibri"/>
      <family val="2"/>
      <scheme val="minor"/>
    </font>
    <font>
      <sz val="11"/>
      <name val="Calibri"/>
      <family val="2"/>
    </font>
  </fonts>
  <fills count="14">
    <fill>
      <patternFill patternType="none"/>
    </fill>
    <fill>
      <patternFill patternType="gray125"/>
    </fill>
    <fill>
      <patternFill patternType="solid">
        <fgColor rgb="FFFFFF00"/>
        <bgColor indexed="64"/>
      </patternFill>
    </fill>
    <fill>
      <patternFill patternType="solid">
        <fgColor theme="2" tint="-9.9978637043366805E-2"/>
        <bgColor indexed="64"/>
      </patternFill>
    </fill>
    <fill>
      <patternFill patternType="solid">
        <fgColor rgb="FFFF00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rgb="FFFF9999"/>
        <bgColor indexed="64"/>
      </patternFill>
    </fill>
    <fill>
      <patternFill patternType="solid">
        <fgColor theme="5" tint="0.39997558519241921"/>
        <bgColor indexed="64"/>
      </patternFill>
    </fill>
    <fill>
      <patternFill patternType="solid">
        <fgColor rgb="FFCC66FF"/>
        <bgColor indexed="64"/>
      </patternFill>
    </fill>
    <fill>
      <patternFill patternType="solid">
        <fgColor rgb="FF92D050"/>
        <bgColor indexed="64"/>
      </patternFill>
    </fill>
    <fill>
      <patternFill patternType="solid">
        <fgColor theme="0" tint="-0.499984740745262"/>
        <bgColor indexed="64"/>
      </patternFill>
    </fill>
  </fills>
  <borders count="6">
    <border>
      <left/>
      <right/>
      <top/>
      <bottom/>
      <diagonal/>
    </border>
    <border>
      <left/>
      <right/>
      <top/>
      <bottom style="medium">
        <color auto="1"/>
      </bottom>
      <diagonal/>
    </border>
    <border>
      <left/>
      <right/>
      <top/>
      <bottom style="thin">
        <color indexed="64"/>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right style="medium">
        <color indexed="64"/>
      </right>
      <top/>
      <bottom/>
      <diagonal/>
    </border>
  </borders>
  <cellStyleXfs count="1">
    <xf numFmtId="0" fontId="0" fillId="0" borderId="0"/>
  </cellStyleXfs>
  <cellXfs count="38">
    <xf numFmtId="0" fontId="0" fillId="0" borderId="0" xfId="0"/>
    <xf numFmtId="0" fontId="1" fillId="0" borderId="1" xfId="0" applyFont="1" applyBorder="1" applyAlignment="1">
      <alignment horizontal="center"/>
    </xf>
    <xf numFmtId="0" fontId="0" fillId="0" borderId="0" xfId="0" applyAlignment="1">
      <alignment horizontal="center"/>
    </xf>
    <xf numFmtId="0" fontId="0" fillId="2" borderId="0" xfId="0" applyFill="1" applyAlignment="1">
      <alignment horizontal="center"/>
    </xf>
    <xf numFmtId="0" fontId="0" fillId="0" borderId="0" xfId="0" applyFill="1" applyAlignment="1">
      <alignment horizontal="center"/>
    </xf>
    <xf numFmtId="0" fontId="1" fillId="0" borderId="0" xfId="0" applyFont="1" applyFill="1" applyBorder="1" applyAlignment="1">
      <alignment horizontal="center"/>
    </xf>
    <xf numFmtId="0" fontId="1" fillId="3" borderId="1" xfId="0" applyFont="1" applyFill="1" applyBorder="1" applyAlignment="1">
      <alignment horizontal="center"/>
    </xf>
    <xf numFmtId="0" fontId="1" fillId="5" borderId="1" xfId="0" applyFont="1" applyFill="1" applyBorder="1" applyAlignment="1">
      <alignment horizontal="center"/>
    </xf>
    <xf numFmtId="0" fontId="1" fillId="6" borderId="1" xfId="0" applyFont="1" applyFill="1" applyBorder="1" applyAlignment="1">
      <alignment horizontal="center"/>
    </xf>
    <xf numFmtId="0" fontId="1" fillId="7" borderId="1" xfId="0" applyFont="1" applyFill="1" applyBorder="1" applyAlignment="1">
      <alignment horizontal="center"/>
    </xf>
    <xf numFmtId="0" fontId="1" fillId="8" borderId="1" xfId="0" applyFont="1" applyFill="1" applyBorder="1" applyAlignment="1">
      <alignment horizontal="center"/>
    </xf>
    <xf numFmtId="0" fontId="1" fillId="9" borderId="1" xfId="0" applyFont="1" applyFill="1" applyBorder="1" applyAlignment="1">
      <alignment horizontal="center"/>
    </xf>
    <xf numFmtId="0" fontId="0" fillId="0" borderId="0" xfId="0" applyFont="1" applyAlignment="1">
      <alignment horizontal="center"/>
    </xf>
    <xf numFmtId="14" fontId="0" fillId="0" borderId="0" xfId="0" applyNumberFormat="1" applyFont="1" applyAlignment="1">
      <alignment horizontal="center"/>
    </xf>
    <xf numFmtId="0" fontId="2" fillId="0" borderId="0" xfId="0" applyFont="1" applyAlignment="1">
      <alignment horizontal="center"/>
    </xf>
    <xf numFmtId="0" fontId="0" fillId="2" borderId="0" xfId="0" applyFont="1" applyFill="1" applyAlignment="1">
      <alignment horizontal="center"/>
    </xf>
    <xf numFmtId="2" fontId="0" fillId="0" borderId="0" xfId="0" applyNumberFormat="1"/>
    <xf numFmtId="0" fontId="1" fillId="10" borderId="2" xfId="0" applyFont="1" applyFill="1" applyBorder="1" applyAlignment="1">
      <alignment horizontal="center"/>
    </xf>
    <xf numFmtId="0" fontId="1" fillId="11" borderId="2" xfId="0" applyFont="1" applyFill="1" applyBorder="1" applyAlignment="1">
      <alignment horizontal="center"/>
    </xf>
    <xf numFmtId="0" fontId="1" fillId="12" borderId="2" xfId="0" applyFont="1" applyFill="1" applyBorder="1" applyAlignment="1">
      <alignment horizontal="center"/>
    </xf>
    <xf numFmtId="0" fontId="1" fillId="0" borderId="3" xfId="0" applyFont="1" applyBorder="1"/>
    <xf numFmtId="0" fontId="1" fillId="0" borderId="0" xfId="0" applyFont="1" applyFill="1" applyBorder="1"/>
    <xf numFmtId="0" fontId="1" fillId="0" borderId="0" xfId="0" applyFont="1"/>
    <xf numFmtId="0" fontId="1" fillId="0" borderId="5" xfId="0" applyFont="1" applyBorder="1"/>
    <xf numFmtId="164" fontId="0" fillId="0" borderId="4" xfId="0" applyNumberFormat="1" applyBorder="1" applyAlignment="1">
      <alignment horizontal="center"/>
    </xf>
    <xf numFmtId="164" fontId="0" fillId="0" borderId="0" xfId="0" applyNumberFormat="1" applyAlignment="1">
      <alignment horizontal="center"/>
    </xf>
    <xf numFmtId="164" fontId="0" fillId="0" borderId="0" xfId="0" applyNumberFormat="1"/>
    <xf numFmtId="0" fontId="1" fillId="7" borderId="0" xfId="0" applyFont="1" applyFill="1"/>
    <xf numFmtId="0" fontId="1" fillId="7" borderId="0" xfId="0" applyFont="1" applyFill="1" applyBorder="1" applyAlignment="1">
      <alignment horizontal="left"/>
    </xf>
    <xf numFmtId="0" fontId="1" fillId="0" borderId="0" xfId="0" applyFont="1" applyFill="1" applyBorder="1" applyAlignment="1">
      <alignment horizontal="left"/>
    </xf>
    <xf numFmtId="0" fontId="3" fillId="0" borderId="0" xfId="0" applyFont="1" applyAlignment="1">
      <alignment vertical="center"/>
    </xf>
    <xf numFmtId="0" fontId="0" fillId="7" borderId="0" xfId="0" applyFont="1" applyFill="1" applyBorder="1" applyAlignment="1">
      <alignment horizontal="center"/>
    </xf>
    <xf numFmtId="164" fontId="0" fillId="0" borderId="0" xfId="0" applyNumberFormat="1" applyFont="1" applyAlignment="1">
      <alignment horizontal="center"/>
    </xf>
    <xf numFmtId="164" fontId="0" fillId="4" borderId="0" xfId="0" applyNumberFormat="1" applyFont="1" applyFill="1" applyAlignment="1">
      <alignment horizontal="center"/>
    </xf>
    <xf numFmtId="164" fontId="0" fillId="4" borderId="0" xfId="0" applyNumberFormat="1" applyFill="1" applyAlignment="1">
      <alignment horizontal="center"/>
    </xf>
    <xf numFmtId="0" fontId="1" fillId="13" borderId="0" xfId="0" applyFont="1" applyFill="1" applyBorder="1" applyAlignment="1">
      <alignment horizontal="center"/>
    </xf>
    <xf numFmtId="2" fontId="0" fillId="0" borderId="0" xfId="0" applyNumberFormat="1" applyAlignment="1">
      <alignment horizontal="center"/>
    </xf>
    <xf numFmtId="0" fontId="0" fillId="0" borderId="2" xfId="0" applyBorder="1" applyAlignment="1">
      <alignment horizontal="center"/>
    </xf>
  </cellXfs>
  <cellStyles count="1">
    <cellStyle name="Normal" xfId="0" builtinId="0"/>
  </cellStyles>
  <dxfs count="0"/>
  <tableStyles count="0" defaultTableStyle="TableStyleMedium2" defaultPivotStyle="PivotStyleLight16"/>
  <colors>
    <mruColors>
      <color rgb="FFCC66FF"/>
      <color rgb="FF9933FF"/>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CH90"/>
  <sheetViews>
    <sheetView topLeftCell="BD1" zoomScale="80" zoomScaleNormal="80" workbookViewId="0">
      <selection activeCell="BF45" sqref="BF45"/>
    </sheetView>
  </sheetViews>
  <sheetFormatPr defaultRowHeight="15" x14ac:dyDescent="0.25"/>
  <cols>
    <col min="2" max="2" width="21.7109375" customWidth="1"/>
    <col min="5" max="5" width="10.42578125" customWidth="1"/>
    <col min="14" max="14" width="19" customWidth="1"/>
    <col min="15" max="15" width="10.5703125" customWidth="1"/>
    <col min="16" max="16" width="11.42578125" customWidth="1"/>
    <col min="17" max="17" width="11" customWidth="1"/>
    <col min="20" max="20" width="11.28515625" customWidth="1"/>
    <col min="21" max="21" width="10.42578125" customWidth="1"/>
    <col min="22" max="22" width="11" customWidth="1"/>
    <col min="25" max="25" width="12.28515625" customWidth="1"/>
    <col min="26" max="26" width="11.85546875" customWidth="1"/>
    <col min="27" max="27" width="12.140625" customWidth="1"/>
    <col min="43" max="43" width="10.140625" customWidth="1"/>
    <col min="44" max="45" width="13.140625" customWidth="1"/>
    <col min="46" max="47" width="12.28515625" customWidth="1"/>
    <col min="50" max="50" width="11.140625" customWidth="1"/>
    <col min="51" max="51" width="10.5703125" customWidth="1"/>
    <col min="52" max="52" width="11.140625" customWidth="1"/>
    <col min="54" max="54" width="12.85546875" customWidth="1"/>
    <col min="66" max="66" width="11.28515625" customWidth="1"/>
    <col min="67" max="67" width="12.42578125" customWidth="1"/>
    <col min="68" max="68" width="10.5703125" customWidth="1"/>
    <col min="70" max="70" width="10.5703125" customWidth="1"/>
    <col min="71" max="71" width="11.140625" customWidth="1"/>
    <col min="72" max="72" width="10.85546875" customWidth="1"/>
    <col min="74" max="74" width="10.42578125" customWidth="1"/>
    <col min="75" max="75" width="11.140625" customWidth="1"/>
    <col min="76" max="76" width="9.7109375" customWidth="1"/>
    <col min="78" max="78" width="11.7109375" customWidth="1"/>
    <col min="79" max="79" width="13.5703125" customWidth="1"/>
    <col min="80" max="81" width="11" customWidth="1"/>
  </cols>
  <sheetData>
    <row r="2" spans="1:86" ht="15.75" thickBot="1" x14ac:dyDescent="0.3">
      <c r="A2" s="6" t="s">
        <v>0</v>
      </c>
      <c r="B2" s="6" t="s">
        <v>1</v>
      </c>
      <c r="C2" s="6" t="s">
        <v>2</v>
      </c>
      <c r="D2" s="8" t="s">
        <v>18</v>
      </c>
      <c r="E2" s="8" t="s">
        <v>19</v>
      </c>
      <c r="F2" s="8" t="s">
        <v>20</v>
      </c>
      <c r="G2" s="9" t="s">
        <v>60</v>
      </c>
      <c r="H2" s="9" t="s">
        <v>17</v>
      </c>
      <c r="I2" s="9" t="s">
        <v>59</v>
      </c>
      <c r="J2" s="9" t="s">
        <v>58</v>
      </c>
      <c r="K2" s="9" t="s">
        <v>57</v>
      </c>
      <c r="L2" s="9" t="s">
        <v>56</v>
      </c>
      <c r="M2" s="9" t="s">
        <v>55</v>
      </c>
      <c r="N2" s="9" t="s">
        <v>527</v>
      </c>
      <c r="O2" s="9" t="s">
        <v>54</v>
      </c>
      <c r="P2" s="9" t="s">
        <v>53</v>
      </c>
      <c r="Q2" s="9" t="s">
        <v>52</v>
      </c>
      <c r="R2" s="9" t="s">
        <v>51</v>
      </c>
      <c r="S2" s="9" t="s">
        <v>50</v>
      </c>
      <c r="T2" s="9" t="s">
        <v>61</v>
      </c>
      <c r="U2" s="9" t="s">
        <v>62</v>
      </c>
      <c r="V2" s="9" t="s">
        <v>63</v>
      </c>
      <c r="W2" s="9" t="s">
        <v>64</v>
      </c>
      <c r="X2" s="9" t="s">
        <v>503</v>
      </c>
      <c r="Y2" s="9" t="s">
        <v>65</v>
      </c>
      <c r="Z2" s="9" t="s">
        <v>66</v>
      </c>
      <c r="AA2" s="9" t="s">
        <v>67</v>
      </c>
      <c r="AB2" s="9" t="s">
        <v>32</v>
      </c>
      <c r="AC2" s="9" t="s">
        <v>520</v>
      </c>
      <c r="AD2" s="9" t="s">
        <v>68</v>
      </c>
      <c r="AE2" s="9" t="s">
        <v>69</v>
      </c>
      <c r="AF2" s="9" t="s">
        <v>252</v>
      </c>
      <c r="AG2" s="9" t="s">
        <v>70</v>
      </c>
      <c r="AH2" s="9" t="s">
        <v>253</v>
      </c>
      <c r="AI2" s="9" t="s">
        <v>254</v>
      </c>
      <c r="AJ2" s="9" t="s">
        <v>255</v>
      </c>
      <c r="AK2" s="9" t="s">
        <v>71</v>
      </c>
      <c r="AL2" s="9" t="s">
        <v>72</v>
      </c>
      <c r="AM2" s="9" t="s">
        <v>73</v>
      </c>
      <c r="AN2" s="9" t="s">
        <v>74</v>
      </c>
      <c r="AO2" s="9" t="s">
        <v>75</v>
      </c>
      <c r="AP2" s="9" t="s">
        <v>257</v>
      </c>
      <c r="AQ2" s="9" t="s">
        <v>256</v>
      </c>
      <c r="AR2" s="9" t="s">
        <v>76</v>
      </c>
      <c r="AS2" s="9" t="s">
        <v>77</v>
      </c>
      <c r="AT2" s="9" t="s">
        <v>78</v>
      </c>
      <c r="AU2" s="9" t="s">
        <v>258</v>
      </c>
      <c r="AV2" s="9" t="s">
        <v>507</v>
      </c>
      <c r="AW2" s="9" t="s">
        <v>79</v>
      </c>
      <c r="AX2" s="9" t="s">
        <v>80</v>
      </c>
      <c r="AY2" s="9" t="s">
        <v>81</v>
      </c>
      <c r="AZ2" s="9" t="s">
        <v>82</v>
      </c>
      <c r="BA2" s="9" t="s">
        <v>83</v>
      </c>
      <c r="BB2" s="9" t="s">
        <v>84</v>
      </c>
      <c r="BC2" s="9" t="s">
        <v>517</v>
      </c>
      <c r="BD2" s="9" t="s">
        <v>518</v>
      </c>
      <c r="BE2" s="9" t="s">
        <v>493</v>
      </c>
      <c r="BF2" s="9" t="s">
        <v>494</v>
      </c>
      <c r="BG2" s="9" t="s">
        <v>495</v>
      </c>
      <c r="BH2" s="9" t="s">
        <v>496</v>
      </c>
      <c r="BI2" s="9" t="s">
        <v>497</v>
      </c>
      <c r="BJ2" s="9" t="s">
        <v>85</v>
      </c>
      <c r="BK2" s="9" t="s">
        <v>86</v>
      </c>
      <c r="BL2" s="9" t="s">
        <v>87</v>
      </c>
      <c r="BM2" s="9" t="s">
        <v>88</v>
      </c>
      <c r="BN2" s="9" t="s">
        <v>89</v>
      </c>
      <c r="BO2" s="9" t="s">
        <v>90</v>
      </c>
      <c r="BP2" s="9" t="s">
        <v>91</v>
      </c>
      <c r="BQ2" s="9" t="s">
        <v>92</v>
      </c>
      <c r="BR2" s="9" t="s">
        <v>93</v>
      </c>
      <c r="BS2" s="9" t="s">
        <v>94</v>
      </c>
      <c r="BT2" s="9" t="s">
        <v>95</v>
      </c>
      <c r="BU2" s="9" t="s">
        <v>96</v>
      </c>
      <c r="BV2" s="9" t="s">
        <v>22</v>
      </c>
      <c r="BW2" s="9" t="s">
        <v>23</v>
      </c>
      <c r="BX2" s="9" t="s">
        <v>24</v>
      </c>
      <c r="BY2" s="9" t="s">
        <v>498</v>
      </c>
      <c r="BZ2" s="9" t="s">
        <v>25</v>
      </c>
      <c r="CA2" s="9" t="s">
        <v>502</v>
      </c>
      <c r="CB2" s="9" t="s">
        <v>519</v>
      </c>
      <c r="CC2" s="9" t="s">
        <v>506</v>
      </c>
      <c r="CD2" s="35" t="s">
        <v>522</v>
      </c>
      <c r="CE2" s="35" t="s">
        <v>523</v>
      </c>
      <c r="CF2" s="35" t="s">
        <v>524</v>
      </c>
      <c r="CG2" s="35" t="s">
        <v>525</v>
      </c>
      <c r="CH2" s="35" t="s">
        <v>526</v>
      </c>
    </row>
    <row r="3" spans="1:86" ht="15.75" x14ac:dyDescent="0.25">
      <c r="A3" s="2">
        <v>1</v>
      </c>
      <c r="B3" s="2" t="s">
        <v>3</v>
      </c>
      <c r="C3" s="2">
        <v>1</v>
      </c>
      <c r="D3" s="12">
        <v>2018</v>
      </c>
      <c r="E3" s="13">
        <v>43279</v>
      </c>
      <c r="F3" s="14" t="str">
        <f>TEXT(E3,"yy")&amp;TEXT((E3-DATEVALUE("1/1/"&amp;TEXT(E3,"yy"))+1),"000")</f>
        <v>18179</v>
      </c>
      <c r="G3" s="32">
        <v>16.899999999999999</v>
      </c>
      <c r="H3" s="32">
        <v>7.81</v>
      </c>
      <c r="I3" s="32">
        <v>11.79</v>
      </c>
      <c r="J3" s="25">
        <v>537</v>
      </c>
      <c r="K3" s="25">
        <v>575</v>
      </c>
      <c r="L3" s="25">
        <v>351</v>
      </c>
      <c r="M3" s="25">
        <v>1463</v>
      </c>
      <c r="N3" s="25">
        <v>0.57416267942583732</v>
      </c>
      <c r="O3" s="25">
        <v>2.7874999999999996</v>
      </c>
      <c r="P3" s="25">
        <v>3.2875000000000001</v>
      </c>
      <c r="Q3" s="25">
        <v>3.3000000000000003</v>
      </c>
      <c r="R3" s="25">
        <v>3.125</v>
      </c>
      <c r="S3" s="25">
        <v>0.92607164714841306</v>
      </c>
      <c r="T3" s="25">
        <v>0.22249999999999998</v>
      </c>
      <c r="U3" s="25">
        <v>0.37687500000000002</v>
      </c>
      <c r="V3" s="25">
        <v>0.41384615384615392</v>
      </c>
      <c r="W3" s="25">
        <v>0.33266666666666667</v>
      </c>
      <c r="X3" s="25">
        <v>0.20597219582881934</v>
      </c>
      <c r="Y3" s="25">
        <v>0.32</v>
      </c>
      <c r="Z3" s="25">
        <v>1</v>
      </c>
      <c r="AA3" s="25">
        <v>0.92</v>
      </c>
      <c r="AB3" s="25">
        <v>1</v>
      </c>
      <c r="AC3" s="25">
        <v>9.3937875751503004</v>
      </c>
      <c r="AD3" s="25">
        <v>2.2222222222222223</v>
      </c>
      <c r="AE3" s="25">
        <v>26.666666666666668</v>
      </c>
      <c r="AF3" s="25">
        <v>24.444444444444443</v>
      </c>
      <c r="AG3" s="25">
        <v>53.333333333333329</v>
      </c>
      <c r="AH3" s="25">
        <v>2.2222222222222223</v>
      </c>
      <c r="AI3" s="25">
        <v>42.222222222222221</v>
      </c>
      <c r="AJ3" s="25">
        <v>0</v>
      </c>
      <c r="AK3" s="25">
        <v>44.444444444444443</v>
      </c>
      <c r="AL3" s="25">
        <v>42.222222222222221</v>
      </c>
      <c r="AM3" s="25">
        <v>0.22562499999999996</v>
      </c>
      <c r="AN3" s="25">
        <v>0.12625</v>
      </c>
      <c r="AO3" s="25">
        <v>0.17307692307692307</v>
      </c>
      <c r="AP3" s="25">
        <v>0.17511111111111111</v>
      </c>
      <c r="AQ3" s="25">
        <v>0.18236604326840494</v>
      </c>
      <c r="AR3" s="25">
        <v>0.57999999999999996</v>
      </c>
      <c r="AS3" s="25">
        <v>0.5</v>
      </c>
      <c r="AT3" s="25">
        <v>0.68</v>
      </c>
      <c r="AU3" s="25">
        <v>0.68</v>
      </c>
      <c r="AV3" s="25">
        <v>50</v>
      </c>
      <c r="AW3" s="25">
        <v>0.375</v>
      </c>
      <c r="AX3" s="25">
        <v>0</v>
      </c>
      <c r="AY3" s="25">
        <v>50</v>
      </c>
      <c r="AZ3" s="25">
        <v>62.5</v>
      </c>
      <c r="BA3" s="25">
        <v>37.5</v>
      </c>
      <c r="BB3" s="25">
        <v>37.5</v>
      </c>
      <c r="BC3" s="25">
        <v>0.83333333333333337</v>
      </c>
      <c r="BD3" s="25">
        <v>25</v>
      </c>
      <c r="BE3" s="25">
        <v>0</v>
      </c>
      <c r="BF3" s="25">
        <v>0.375</v>
      </c>
      <c r="BG3" s="25">
        <v>0</v>
      </c>
      <c r="BH3" s="25">
        <v>0.13043478260869565</v>
      </c>
      <c r="BI3" s="25">
        <v>0.30434782608695654</v>
      </c>
      <c r="BJ3" s="25">
        <v>0.5</v>
      </c>
      <c r="BK3" s="25">
        <v>0.5</v>
      </c>
      <c r="BL3" s="25">
        <v>0.33333333333333331</v>
      </c>
      <c r="BM3" s="25">
        <v>0.45454545454545453</v>
      </c>
      <c r="BN3" s="25">
        <v>0.25</v>
      </c>
      <c r="BO3" s="25">
        <v>0.25</v>
      </c>
      <c r="BP3" s="25">
        <v>0</v>
      </c>
      <c r="BQ3" s="25">
        <v>0.18181818181818182</v>
      </c>
      <c r="BR3" s="25">
        <v>0.75</v>
      </c>
      <c r="BS3" s="25">
        <v>2.25</v>
      </c>
      <c r="BT3" s="25">
        <v>1</v>
      </c>
      <c r="BU3" s="25">
        <v>1.3636363636363635</v>
      </c>
      <c r="BV3" s="25">
        <v>4.1666666666666661</v>
      </c>
      <c r="BW3" s="25">
        <v>95.833333333333343</v>
      </c>
      <c r="BX3" s="25">
        <v>0</v>
      </c>
      <c r="BY3" s="25">
        <v>37.541666666666664</v>
      </c>
      <c r="BZ3" s="25">
        <v>1.3333333333333333</v>
      </c>
      <c r="CA3" s="25">
        <v>72.178060413354544</v>
      </c>
      <c r="CB3" s="25">
        <v>12.922916951338593</v>
      </c>
      <c r="CC3" s="25">
        <v>27.821939586645456</v>
      </c>
      <c r="CD3" s="25">
        <v>0</v>
      </c>
      <c r="CE3" s="25">
        <v>0</v>
      </c>
      <c r="CF3" s="25">
        <v>0</v>
      </c>
      <c r="CG3" s="25">
        <v>0</v>
      </c>
      <c r="CH3" s="25">
        <v>0</v>
      </c>
    </row>
    <row r="4" spans="1:86" ht="15.75" x14ac:dyDescent="0.25">
      <c r="A4" s="2">
        <v>2</v>
      </c>
      <c r="B4" s="2" t="s">
        <v>3</v>
      </c>
      <c r="C4" s="2">
        <v>8</v>
      </c>
      <c r="D4" s="12">
        <v>2018</v>
      </c>
      <c r="E4" s="13">
        <v>43236</v>
      </c>
      <c r="F4" s="14" t="str">
        <f t="shared" ref="F4:F67" si="0">TEXT(E4,"yy")&amp;TEXT((E4-DATEVALUE("1/1/"&amp;TEXT(E4,"yy"))+1),"000")</f>
        <v>18136</v>
      </c>
      <c r="G4" s="32">
        <v>12.9</v>
      </c>
      <c r="H4" s="32">
        <v>8.6</v>
      </c>
      <c r="I4" s="32">
        <v>11.64</v>
      </c>
      <c r="J4" s="25">
        <v>2133</v>
      </c>
      <c r="K4" s="25">
        <v>1487</v>
      </c>
      <c r="L4" s="25">
        <v>1810</v>
      </c>
      <c r="M4" s="25">
        <v>5430</v>
      </c>
      <c r="N4" s="25">
        <v>0</v>
      </c>
      <c r="O4" s="25">
        <v>6.9375000000000009</v>
      </c>
      <c r="P4" s="25">
        <v>7.0125000000000002</v>
      </c>
      <c r="Q4" s="25">
        <v>6.8</v>
      </c>
      <c r="R4" s="25">
        <v>6.916666666666667</v>
      </c>
      <c r="S4" s="25">
        <v>0.49490154195747277</v>
      </c>
      <c r="T4" s="25">
        <v>0.44791666666666657</v>
      </c>
      <c r="U4" s="25">
        <v>0.29166666666666674</v>
      </c>
      <c r="V4" s="25">
        <v>0.30687500000000001</v>
      </c>
      <c r="W4" s="25">
        <v>0.36051724137931035</v>
      </c>
      <c r="X4" s="25">
        <v>0.14410549758549032</v>
      </c>
      <c r="Y4" s="25">
        <v>0.7</v>
      </c>
      <c r="Z4" s="25">
        <v>0.46</v>
      </c>
      <c r="AA4" s="25">
        <v>0.54</v>
      </c>
      <c r="AB4" s="25">
        <v>0.7</v>
      </c>
      <c r="AC4" s="25">
        <v>19.185397736330305</v>
      </c>
      <c r="AD4" s="25">
        <v>0</v>
      </c>
      <c r="AE4" s="25">
        <v>7.0175438596491224</v>
      </c>
      <c r="AF4" s="25">
        <v>24.561403508771928</v>
      </c>
      <c r="AG4" s="25">
        <v>31.578947368421051</v>
      </c>
      <c r="AH4" s="25">
        <v>8.7719298245614024</v>
      </c>
      <c r="AI4" s="25">
        <v>57.894736842105267</v>
      </c>
      <c r="AJ4" s="25">
        <v>0</v>
      </c>
      <c r="AK4" s="25">
        <v>66.666666666666671</v>
      </c>
      <c r="AL4" s="25">
        <v>57.894736842105267</v>
      </c>
      <c r="AM4" s="25">
        <v>0.25090909090909091</v>
      </c>
      <c r="AN4" s="25">
        <v>0.3322222222222222</v>
      </c>
      <c r="AO4" s="25">
        <v>0.361875</v>
      </c>
      <c r="AP4" s="25">
        <v>0.30293103448275854</v>
      </c>
      <c r="AQ4" s="25">
        <v>0.20296926239237334</v>
      </c>
      <c r="AR4" s="25">
        <v>0.83</v>
      </c>
      <c r="AS4" s="25">
        <v>0.75</v>
      </c>
      <c r="AT4" s="25">
        <v>0.75</v>
      </c>
      <c r="AU4" s="25">
        <v>0.83</v>
      </c>
      <c r="AV4" s="25">
        <v>20.833333333333336</v>
      </c>
      <c r="AW4" s="25">
        <v>0.69565217391304346</v>
      </c>
      <c r="AX4" s="25">
        <v>25</v>
      </c>
      <c r="AY4" s="25">
        <v>0</v>
      </c>
      <c r="AZ4" s="25">
        <v>0</v>
      </c>
      <c r="BA4" s="25">
        <v>8.3333333333333321</v>
      </c>
      <c r="BB4" s="25">
        <v>66.666666666666657</v>
      </c>
      <c r="BC4" s="25">
        <v>0.66666666666666663</v>
      </c>
      <c r="BD4" s="25">
        <v>16.666666666666664</v>
      </c>
      <c r="BE4" s="25">
        <v>0.75</v>
      </c>
      <c r="BF4" s="25">
        <v>0</v>
      </c>
      <c r="BG4" s="25">
        <v>0.25</v>
      </c>
      <c r="BH4" s="25">
        <v>0.33333333333333331</v>
      </c>
      <c r="BI4" s="25">
        <v>0.875</v>
      </c>
      <c r="BJ4" s="25">
        <v>1.75</v>
      </c>
      <c r="BK4" s="25">
        <v>0</v>
      </c>
      <c r="BL4" s="25">
        <v>0.25</v>
      </c>
      <c r="BM4" s="25">
        <v>0.66666666666666663</v>
      </c>
      <c r="BN4" s="25">
        <v>0</v>
      </c>
      <c r="BO4" s="25">
        <v>0</v>
      </c>
      <c r="BP4" s="25">
        <v>0.25</v>
      </c>
      <c r="BQ4" s="25">
        <v>8.3333333333333329E-2</v>
      </c>
      <c r="BR4" s="25">
        <v>2.25</v>
      </c>
      <c r="BS4" s="25">
        <v>0.25</v>
      </c>
      <c r="BT4" s="25">
        <v>1.25</v>
      </c>
      <c r="BU4" s="25">
        <v>1.25</v>
      </c>
      <c r="BV4" s="25">
        <v>4.1666666666666661</v>
      </c>
      <c r="BW4" s="25">
        <v>58.333333333333336</v>
      </c>
      <c r="BX4" s="25">
        <v>33.333333333333329</v>
      </c>
      <c r="BY4" s="25">
        <v>50</v>
      </c>
      <c r="BZ4" s="25">
        <v>1.75</v>
      </c>
      <c r="CA4" s="25">
        <v>78.528528528528525</v>
      </c>
      <c r="CB4" s="25">
        <v>11.449128337237719</v>
      </c>
      <c r="CC4" s="25">
        <v>21.471471471471475</v>
      </c>
      <c r="CD4" s="25">
        <v>0</v>
      </c>
      <c r="CE4" s="25">
        <v>0</v>
      </c>
      <c r="CF4" s="25">
        <v>0</v>
      </c>
      <c r="CG4" s="25">
        <v>0</v>
      </c>
      <c r="CH4" s="25">
        <v>0</v>
      </c>
    </row>
    <row r="5" spans="1:86" ht="15.75" x14ac:dyDescent="0.25">
      <c r="A5" s="2">
        <v>3</v>
      </c>
      <c r="B5" s="2" t="s">
        <v>3</v>
      </c>
      <c r="C5" s="2">
        <v>10</v>
      </c>
      <c r="D5" s="12">
        <v>2018</v>
      </c>
      <c r="E5" s="13">
        <v>43235</v>
      </c>
      <c r="F5" s="14" t="str">
        <f t="shared" si="0"/>
        <v>18135</v>
      </c>
      <c r="G5" s="32">
        <v>13.1</v>
      </c>
      <c r="H5" s="32">
        <v>9.4</v>
      </c>
      <c r="I5" s="32">
        <v>13.5</v>
      </c>
      <c r="J5" s="25">
        <v>1310</v>
      </c>
      <c r="K5" s="25">
        <v>1447</v>
      </c>
      <c r="L5" s="25">
        <v>1067</v>
      </c>
      <c r="M5" s="25">
        <v>3824</v>
      </c>
      <c r="N5" s="25">
        <v>1.5690376569037656E-2</v>
      </c>
      <c r="O5" s="25">
        <v>3.9624999999999995</v>
      </c>
      <c r="P5" s="25">
        <v>3.95</v>
      </c>
      <c r="Q5" s="25">
        <v>3.5625000000000004</v>
      </c>
      <c r="R5" s="25">
        <v>3.8249999999999997</v>
      </c>
      <c r="S5" s="25">
        <v>0.41833001326703662</v>
      </c>
      <c r="T5" s="25">
        <v>0.54291666666666671</v>
      </c>
      <c r="U5" s="25">
        <v>0.45458333333333351</v>
      </c>
      <c r="V5" s="25">
        <v>0.38874999999999998</v>
      </c>
      <c r="W5" s="25">
        <v>0.46208333333333318</v>
      </c>
      <c r="X5" s="25">
        <v>0.12220898171275155</v>
      </c>
      <c r="Y5" s="25">
        <v>0.7</v>
      </c>
      <c r="Z5" s="25">
        <v>0.68</v>
      </c>
      <c r="AA5" s="25">
        <v>0.61</v>
      </c>
      <c r="AB5" s="25">
        <v>0.7</v>
      </c>
      <c r="AC5" s="25">
        <v>8.2777276825969359</v>
      </c>
      <c r="AD5" s="25">
        <v>1.3888888888888888</v>
      </c>
      <c r="AE5" s="25">
        <v>55.555555555555557</v>
      </c>
      <c r="AF5" s="25">
        <v>13.888888888888889</v>
      </c>
      <c r="AG5" s="25">
        <v>70.833333333333329</v>
      </c>
      <c r="AH5" s="25">
        <v>8.3333333333333321</v>
      </c>
      <c r="AI5" s="25">
        <v>18.055555555555554</v>
      </c>
      <c r="AJ5" s="25">
        <v>2.7777777777777777</v>
      </c>
      <c r="AK5" s="25">
        <v>29.166666666666664</v>
      </c>
      <c r="AL5" s="25">
        <v>55.555555555555557</v>
      </c>
      <c r="AM5" s="25">
        <v>0.24727272727272734</v>
      </c>
      <c r="AN5" s="25">
        <v>0.2776190476190476</v>
      </c>
      <c r="AO5" s="25">
        <v>0.44681818181818184</v>
      </c>
      <c r="AP5" s="25">
        <v>0.31915492957746472</v>
      </c>
      <c r="AQ5" s="25">
        <v>0.19181647835420526</v>
      </c>
      <c r="AR5" s="25">
        <v>0.39</v>
      </c>
      <c r="AS5" s="25">
        <v>0.46</v>
      </c>
      <c r="AT5" s="25">
        <v>1.01</v>
      </c>
      <c r="AU5" s="25">
        <v>1.01</v>
      </c>
      <c r="AV5" s="25">
        <v>4.1666666666666661</v>
      </c>
      <c r="AW5" s="25">
        <v>0.78260869565217395</v>
      </c>
      <c r="AX5" s="25">
        <v>0</v>
      </c>
      <c r="AY5" s="25">
        <v>50</v>
      </c>
      <c r="AZ5" s="25">
        <v>0</v>
      </c>
      <c r="BA5" s="25">
        <v>16.666666666666664</v>
      </c>
      <c r="BB5" s="25">
        <v>75</v>
      </c>
      <c r="BC5" s="25">
        <v>0</v>
      </c>
      <c r="BD5" s="25">
        <v>0</v>
      </c>
      <c r="BE5" s="25">
        <v>0</v>
      </c>
      <c r="BF5" s="25">
        <v>0</v>
      </c>
      <c r="BG5" s="25">
        <v>0</v>
      </c>
      <c r="BH5" s="25">
        <v>0</v>
      </c>
      <c r="BI5" s="25">
        <v>8.3333333333333329E-2</v>
      </c>
      <c r="BJ5" s="25">
        <v>3.5</v>
      </c>
      <c r="BK5" s="25">
        <v>2</v>
      </c>
      <c r="BL5" s="25">
        <v>1.75</v>
      </c>
      <c r="BM5" s="25">
        <v>2.4166666666666665</v>
      </c>
      <c r="BN5" s="25">
        <v>1.25</v>
      </c>
      <c r="BO5" s="25">
        <v>0</v>
      </c>
      <c r="BP5" s="25">
        <v>0</v>
      </c>
      <c r="BQ5" s="25">
        <v>0.41666666666666669</v>
      </c>
      <c r="BR5" s="25">
        <v>3.25</v>
      </c>
      <c r="BS5" s="25">
        <v>3.25</v>
      </c>
      <c r="BT5" s="25">
        <v>1.75</v>
      </c>
      <c r="BU5" s="25">
        <v>2.75</v>
      </c>
      <c r="BV5" s="25">
        <v>4.1666666666666661</v>
      </c>
      <c r="BW5" s="25">
        <v>75</v>
      </c>
      <c r="BX5" s="25">
        <v>20.833333333333336</v>
      </c>
      <c r="BY5" s="25">
        <v>44.583333333333336</v>
      </c>
      <c r="BZ5" s="25">
        <v>1.875</v>
      </c>
      <c r="CA5" s="25">
        <v>97.297297297297305</v>
      </c>
      <c r="CB5" s="25">
        <v>3.56971387408811</v>
      </c>
      <c r="CC5" s="25">
        <v>2.7027027027026946</v>
      </c>
      <c r="CD5" s="25">
        <v>0</v>
      </c>
      <c r="CE5" s="25">
        <v>0</v>
      </c>
      <c r="CF5" s="25">
        <v>0</v>
      </c>
      <c r="CG5" s="25">
        <v>0</v>
      </c>
      <c r="CH5" s="25">
        <v>0</v>
      </c>
    </row>
    <row r="6" spans="1:86" ht="15.75" x14ac:dyDescent="0.25">
      <c r="A6" s="2">
        <v>4</v>
      </c>
      <c r="B6" s="2" t="s">
        <v>3</v>
      </c>
      <c r="C6" s="2">
        <v>11</v>
      </c>
      <c r="D6" s="12">
        <v>2018</v>
      </c>
      <c r="E6" s="13">
        <v>43237</v>
      </c>
      <c r="F6" s="14" t="str">
        <f t="shared" si="0"/>
        <v>18137</v>
      </c>
      <c r="G6" s="32">
        <v>10.6</v>
      </c>
      <c r="H6" s="32">
        <v>8.4499999999999993</v>
      </c>
      <c r="I6" s="32">
        <v>11.24</v>
      </c>
      <c r="J6" s="25">
        <v>496</v>
      </c>
      <c r="K6" s="25">
        <v>356</v>
      </c>
      <c r="L6" s="25">
        <v>426</v>
      </c>
      <c r="M6" s="25">
        <v>1278</v>
      </c>
      <c r="N6" s="25">
        <v>0</v>
      </c>
      <c r="O6" s="25">
        <v>1.7875000000000001</v>
      </c>
      <c r="P6" s="25">
        <v>1.9375</v>
      </c>
      <c r="Q6" s="25">
        <v>2.5874999999999999</v>
      </c>
      <c r="R6" s="25">
        <v>2.1041666666666665</v>
      </c>
      <c r="S6" s="25">
        <v>0.60251586063674833</v>
      </c>
      <c r="T6" s="25">
        <v>9.1249999999999998E-2</v>
      </c>
      <c r="U6" s="25">
        <v>0.14333333333333337</v>
      </c>
      <c r="V6" s="25">
        <v>8.5384615384615378E-2</v>
      </c>
      <c r="W6" s="25">
        <v>0.10787878787878791</v>
      </c>
      <c r="X6" s="25">
        <v>4.3139133608416917E-2</v>
      </c>
      <c r="Y6" s="25">
        <v>0.13</v>
      </c>
      <c r="Z6" s="25">
        <v>0.24</v>
      </c>
      <c r="AA6" s="25">
        <v>0.15</v>
      </c>
      <c r="AB6" s="25">
        <v>0.24</v>
      </c>
      <c r="AC6" s="25">
        <v>19.504915730337071</v>
      </c>
      <c r="AD6" s="25">
        <v>3.0303030303030303</v>
      </c>
      <c r="AE6" s="25">
        <v>9.0909090909090917</v>
      </c>
      <c r="AF6" s="25">
        <v>0</v>
      </c>
      <c r="AG6" s="25">
        <v>12.121212121212121</v>
      </c>
      <c r="AH6" s="25">
        <v>0</v>
      </c>
      <c r="AI6" s="25">
        <v>87.878787878787875</v>
      </c>
      <c r="AJ6" s="25">
        <v>0</v>
      </c>
      <c r="AK6" s="25">
        <v>87.878787878787875</v>
      </c>
      <c r="AL6" s="25">
        <v>87.878787878787875</v>
      </c>
      <c r="AM6" s="25">
        <v>0.46750000000000003</v>
      </c>
      <c r="AN6" s="25">
        <v>0.21333333333333335</v>
      </c>
      <c r="AO6" s="25">
        <v>0.36307692307692307</v>
      </c>
      <c r="AP6" s="25">
        <v>0.33393939393939392</v>
      </c>
      <c r="AQ6" s="25">
        <v>0.18861235699741738</v>
      </c>
      <c r="AR6" s="25">
        <v>0.69</v>
      </c>
      <c r="AS6" s="25">
        <v>0.44</v>
      </c>
      <c r="AT6" s="25">
        <v>0.65</v>
      </c>
      <c r="AU6" s="25">
        <v>0.69</v>
      </c>
      <c r="AV6" s="25">
        <v>83.333333333333343</v>
      </c>
      <c r="AW6" s="25">
        <v>0.16666666666666666</v>
      </c>
      <c r="AX6" s="25">
        <v>0</v>
      </c>
      <c r="AY6" s="25">
        <v>0</v>
      </c>
      <c r="AZ6" s="25">
        <v>0</v>
      </c>
      <c r="BA6" s="25">
        <v>0</v>
      </c>
      <c r="BB6" s="25">
        <v>83.333333333333343</v>
      </c>
      <c r="BC6" s="25">
        <v>0.58333333333333337</v>
      </c>
      <c r="BD6" s="25">
        <v>8.3333333333333321</v>
      </c>
      <c r="BE6" s="25">
        <v>0.375</v>
      </c>
      <c r="BF6" s="25">
        <v>1</v>
      </c>
      <c r="BG6" s="25">
        <v>0.5</v>
      </c>
      <c r="BH6" s="25">
        <v>0.625</v>
      </c>
      <c r="BI6" s="25">
        <v>1.1666666666666667</v>
      </c>
      <c r="BJ6" s="25">
        <v>0.5</v>
      </c>
      <c r="BK6" s="25">
        <v>0.25</v>
      </c>
      <c r="BL6" s="25">
        <v>0</v>
      </c>
      <c r="BM6" s="25">
        <v>0.25</v>
      </c>
      <c r="BN6" s="25">
        <v>0.25</v>
      </c>
      <c r="BO6" s="25">
        <v>0</v>
      </c>
      <c r="BP6" s="25">
        <v>0.75</v>
      </c>
      <c r="BQ6" s="25">
        <v>0.33333333333333331</v>
      </c>
      <c r="BR6" s="25">
        <v>0.25</v>
      </c>
      <c r="BS6" s="25">
        <v>0.25</v>
      </c>
      <c r="BT6" s="25">
        <v>0</v>
      </c>
      <c r="BU6" s="25">
        <v>0.16666666666666666</v>
      </c>
      <c r="BV6" s="25">
        <v>41.666666666666671</v>
      </c>
      <c r="BW6" s="25">
        <v>58.333333333333336</v>
      </c>
      <c r="BX6" s="25">
        <v>0</v>
      </c>
      <c r="BY6" s="25">
        <v>21.333333333333332</v>
      </c>
      <c r="BZ6" s="25">
        <v>0.41666666666666669</v>
      </c>
      <c r="CA6" s="25">
        <v>11.036036036036036</v>
      </c>
      <c r="CB6" s="25">
        <v>9.772775596377052</v>
      </c>
      <c r="CC6" s="25">
        <v>88.963963963963963</v>
      </c>
      <c r="CD6" s="25">
        <v>0</v>
      </c>
      <c r="CE6" s="25">
        <v>0</v>
      </c>
      <c r="CF6" s="25">
        <v>0</v>
      </c>
      <c r="CG6" s="25">
        <v>0</v>
      </c>
      <c r="CH6" s="25">
        <v>0</v>
      </c>
    </row>
    <row r="7" spans="1:86" ht="15.75" x14ac:dyDescent="0.25">
      <c r="A7" s="2">
        <v>5</v>
      </c>
      <c r="B7" s="2" t="s">
        <v>3</v>
      </c>
      <c r="C7" s="2">
        <v>12</v>
      </c>
      <c r="D7" s="12">
        <v>2018</v>
      </c>
      <c r="E7" s="13">
        <v>43234</v>
      </c>
      <c r="F7" s="14" t="str">
        <f t="shared" si="0"/>
        <v>18134</v>
      </c>
      <c r="G7" s="32">
        <v>11.7</v>
      </c>
      <c r="H7" s="32">
        <v>9.02</v>
      </c>
      <c r="I7" s="32">
        <v>15.53</v>
      </c>
      <c r="J7" s="25">
        <v>350</v>
      </c>
      <c r="K7" s="25">
        <v>339</v>
      </c>
      <c r="L7" s="25">
        <v>437</v>
      </c>
      <c r="M7" s="25">
        <v>1126</v>
      </c>
      <c r="N7" s="25">
        <v>0.21314387211367675</v>
      </c>
      <c r="O7" s="25">
        <v>1.65</v>
      </c>
      <c r="P7" s="25">
        <v>2.1874999999999996</v>
      </c>
      <c r="Q7" s="25">
        <v>2.3374999999999999</v>
      </c>
      <c r="R7" s="25">
        <v>2.0583333333333336</v>
      </c>
      <c r="S7" s="25">
        <v>0.94635073315601415</v>
      </c>
      <c r="T7" s="25">
        <v>0.11000000000000001</v>
      </c>
      <c r="U7" s="25">
        <v>0.25062500000000004</v>
      </c>
      <c r="V7" s="25">
        <v>0.19</v>
      </c>
      <c r="W7" s="25">
        <v>0.1835416666666666</v>
      </c>
      <c r="X7" s="25">
        <v>0.15732456738712525</v>
      </c>
      <c r="Y7" s="25">
        <v>0.36</v>
      </c>
      <c r="Z7" s="25">
        <v>0.59</v>
      </c>
      <c r="AA7" s="25">
        <v>0.57999999999999996</v>
      </c>
      <c r="AB7" s="25">
        <v>0.59</v>
      </c>
      <c r="AC7" s="25">
        <v>11.21452894438139</v>
      </c>
      <c r="AD7" s="25">
        <v>0</v>
      </c>
      <c r="AE7" s="25">
        <v>27.659574468085108</v>
      </c>
      <c r="AF7" s="25">
        <v>0</v>
      </c>
      <c r="AG7" s="25">
        <v>27.659574468085108</v>
      </c>
      <c r="AH7" s="25">
        <v>6.3829787234042552</v>
      </c>
      <c r="AI7" s="25">
        <v>65.957446808510639</v>
      </c>
      <c r="AJ7" s="25">
        <v>0</v>
      </c>
      <c r="AK7" s="25">
        <v>72.340425531914889</v>
      </c>
      <c r="AL7" s="25">
        <v>65.957446808510639</v>
      </c>
      <c r="AM7" s="25">
        <v>0.16200000000000001</v>
      </c>
      <c r="AN7" s="25">
        <v>6.1333333333333344E-2</v>
      </c>
      <c r="AO7" s="25">
        <v>0.13866666666666663</v>
      </c>
      <c r="AP7" s="25">
        <v>0.114375</v>
      </c>
      <c r="AQ7" s="25">
        <v>0.19113219497888581</v>
      </c>
      <c r="AR7" s="25">
        <v>0.93</v>
      </c>
      <c r="AS7" s="25">
        <v>0.52</v>
      </c>
      <c r="AT7" s="25">
        <v>0.6</v>
      </c>
      <c r="AU7" s="25">
        <v>0.93</v>
      </c>
      <c r="AV7" s="25">
        <v>41.666666666666671</v>
      </c>
      <c r="AW7" s="25">
        <v>0.33333333333333331</v>
      </c>
      <c r="AX7" s="25">
        <v>0</v>
      </c>
      <c r="AY7" s="25">
        <v>37.5</v>
      </c>
      <c r="AZ7" s="25">
        <v>37.5</v>
      </c>
      <c r="BA7" s="25">
        <v>25</v>
      </c>
      <c r="BB7" s="25">
        <v>41.666666666666671</v>
      </c>
      <c r="BC7" s="25">
        <v>1.5</v>
      </c>
      <c r="BD7" s="25">
        <v>41.666666666666671</v>
      </c>
      <c r="BE7" s="25">
        <v>0</v>
      </c>
      <c r="BF7" s="25">
        <v>0</v>
      </c>
      <c r="BG7" s="25">
        <v>0</v>
      </c>
      <c r="BH7" s="25">
        <v>0</v>
      </c>
      <c r="BI7" s="25">
        <v>8.3333333333333329E-2</v>
      </c>
      <c r="BJ7" s="25">
        <v>1</v>
      </c>
      <c r="BK7" s="25">
        <v>2</v>
      </c>
      <c r="BL7" s="25">
        <v>0.5</v>
      </c>
      <c r="BM7" s="25">
        <v>1.1666666666666667</v>
      </c>
      <c r="BN7" s="25">
        <v>0.25</v>
      </c>
      <c r="BO7" s="25">
        <v>0.25</v>
      </c>
      <c r="BP7" s="25">
        <v>0</v>
      </c>
      <c r="BQ7" s="25">
        <v>0.16666666666666666</v>
      </c>
      <c r="BR7" s="25">
        <v>0.75</v>
      </c>
      <c r="BS7" s="25">
        <v>2.75</v>
      </c>
      <c r="BT7" s="25">
        <v>1.75</v>
      </c>
      <c r="BU7" s="25">
        <v>1.75</v>
      </c>
      <c r="BV7" s="25">
        <v>20.833333333333336</v>
      </c>
      <c r="BW7" s="25">
        <v>45.833333333333329</v>
      </c>
      <c r="BX7" s="25">
        <v>33.333333333333329</v>
      </c>
      <c r="BY7" s="25">
        <v>43.333333333333336</v>
      </c>
      <c r="BZ7" s="25">
        <v>1.4166666666666667</v>
      </c>
      <c r="CA7" s="25">
        <v>68.693693693693689</v>
      </c>
      <c r="CB7" s="25">
        <v>13.51903420049989</v>
      </c>
      <c r="CC7" s="25">
        <v>31.306306306306311</v>
      </c>
      <c r="CD7" s="25">
        <v>0</v>
      </c>
      <c r="CE7" s="25">
        <v>0</v>
      </c>
      <c r="CF7" s="25">
        <v>0</v>
      </c>
      <c r="CG7" s="25">
        <v>0</v>
      </c>
      <c r="CH7" s="25">
        <v>0</v>
      </c>
    </row>
    <row r="8" spans="1:86" ht="15.75" x14ac:dyDescent="0.25">
      <c r="A8" s="2">
        <v>6</v>
      </c>
      <c r="B8" s="2" t="s">
        <v>3</v>
      </c>
      <c r="C8" s="2">
        <v>13</v>
      </c>
      <c r="D8" s="12">
        <v>2018</v>
      </c>
      <c r="E8" s="13">
        <v>43266</v>
      </c>
      <c r="F8" s="14" t="str">
        <f t="shared" si="0"/>
        <v>18166</v>
      </c>
      <c r="G8" s="32">
        <v>15.9</v>
      </c>
      <c r="H8" s="32">
        <v>8.1</v>
      </c>
      <c r="I8" s="32">
        <v>9.74</v>
      </c>
      <c r="J8" s="25">
        <v>1054</v>
      </c>
      <c r="K8" s="25">
        <v>633</v>
      </c>
      <c r="L8" s="25">
        <v>599</v>
      </c>
      <c r="M8" s="25">
        <v>2286</v>
      </c>
      <c r="N8" s="25">
        <v>0</v>
      </c>
      <c r="O8" s="25">
        <v>4.8250000000000002</v>
      </c>
      <c r="P8" s="25">
        <v>2.3874999999999997</v>
      </c>
      <c r="Q8" s="25">
        <v>3.7625000000000002</v>
      </c>
      <c r="R8" s="25">
        <v>3.6583333333333332</v>
      </c>
      <c r="S8" s="25">
        <v>1.4946038203183285</v>
      </c>
      <c r="T8" s="25">
        <v>0.45466666666666661</v>
      </c>
      <c r="U8" s="25">
        <v>0.32999999999999996</v>
      </c>
      <c r="V8" s="25">
        <v>0.53374999999999995</v>
      </c>
      <c r="W8" s="25">
        <v>0.43937499999999996</v>
      </c>
      <c r="X8" s="25">
        <v>0.20857330265555374</v>
      </c>
      <c r="Y8" s="25">
        <v>0.78</v>
      </c>
      <c r="Z8" s="25">
        <v>0.46</v>
      </c>
      <c r="AA8" s="25">
        <v>0.88</v>
      </c>
      <c r="AB8" s="25">
        <v>0.88</v>
      </c>
      <c r="AC8" s="25">
        <v>8.3262209577999062</v>
      </c>
      <c r="AD8" s="25">
        <v>0</v>
      </c>
      <c r="AE8" s="25">
        <v>37.5</v>
      </c>
      <c r="AF8" s="25">
        <v>6.25</v>
      </c>
      <c r="AG8" s="25">
        <v>43.75</v>
      </c>
      <c r="AH8" s="25">
        <v>6.25</v>
      </c>
      <c r="AI8" s="25">
        <v>50</v>
      </c>
      <c r="AJ8" s="25">
        <v>0</v>
      </c>
      <c r="AK8" s="25">
        <v>56.25</v>
      </c>
      <c r="AL8" s="25">
        <v>50</v>
      </c>
      <c r="AM8" s="25">
        <v>9.285714285714286E-2</v>
      </c>
      <c r="AN8" s="25">
        <v>0.28375</v>
      </c>
      <c r="AO8" s="25">
        <v>0.16375000000000001</v>
      </c>
      <c r="AP8" s="25">
        <v>0.16812499999999997</v>
      </c>
      <c r="AQ8" s="25">
        <v>0.15432344542049217</v>
      </c>
      <c r="AR8" s="25">
        <v>0.28999999999999998</v>
      </c>
      <c r="AS8" s="25">
        <v>0.43</v>
      </c>
      <c r="AT8" s="25">
        <v>0.6</v>
      </c>
      <c r="AU8" s="25">
        <v>0.6</v>
      </c>
      <c r="AV8" s="25">
        <v>25</v>
      </c>
      <c r="AW8" s="25">
        <v>0.29166666666666669</v>
      </c>
      <c r="AX8" s="25">
        <v>62.5</v>
      </c>
      <c r="AY8" s="25">
        <v>12.5</v>
      </c>
      <c r="AZ8" s="25">
        <v>62.5</v>
      </c>
      <c r="BA8" s="25">
        <v>45.833333333333329</v>
      </c>
      <c r="BB8" s="25">
        <v>37.5</v>
      </c>
      <c r="BC8" s="25">
        <v>0.75</v>
      </c>
      <c r="BD8" s="25">
        <v>16.666666666666664</v>
      </c>
      <c r="BE8" s="25">
        <v>0.75</v>
      </c>
      <c r="BF8" s="25">
        <v>0</v>
      </c>
      <c r="BG8" s="25">
        <v>0</v>
      </c>
      <c r="BH8" s="25">
        <v>0.25</v>
      </c>
      <c r="BI8" s="25">
        <v>0.95833333333333337</v>
      </c>
      <c r="BJ8" s="25">
        <v>0.25</v>
      </c>
      <c r="BK8" s="25">
        <v>0.5</v>
      </c>
      <c r="BL8" s="25">
        <v>0</v>
      </c>
      <c r="BM8" s="25">
        <v>0.25</v>
      </c>
      <c r="BN8" s="25">
        <v>0</v>
      </c>
      <c r="BO8" s="25">
        <v>0</v>
      </c>
      <c r="BP8" s="25">
        <v>0</v>
      </c>
      <c r="BQ8" s="25">
        <v>0</v>
      </c>
      <c r="BR8" s="25">
        <v>2.5</v>
      </c>
      <c r="BS8" s="25">
        <v>0</v>
      </c>
      <c r="BT8" s="25">
        <v>2.5</v>
      </c>
      <c r="BU8" s="25">
        <v>1.6666666666666667</v>
      </c>
      <c r="BV8" s="25">
        <v>0</v>
      </c>
      <c r="BW8" s="25">
        <v>83.333333333333343</v>
      </c>
      <c r="BX8" s="25">
        <v>16.666666666666664</v>
      </c>
      <c r="BY8" s="25">
        <v>44.375</v>
      </c>
      <c r="BZ8" s="25">
        <v>2.7083333333333335</v>
      </c>
      <c r="CA8" s="25">
        <v>37.537537537537538</v>
      </c>
      <c r="CB8" s="25">
        <v>15.665754786025248</v>
      </c>
      <c r="CC8" s="25">
        <v>62.462462462462462</v>
      </c>
      <c r="CD8" s="25">
        <v>0</v>
      </c>
      <c r="CE8" s="25">
        <v>0</v>
      </c>
      <c r="CF8" s="25">
        <v>0</v>
      </c>
      <c r="CG8" s="25">
        <v>0</v>
      </c>
      <c r="CH8" s="25">
        <v>0</v>
      </c>
    </row>
    <row r="9" spans="1:86" ht="15.75" x14ac:dyDescent="0.25">
      <c r="A9" s="2">
        <v>7</v>
      </c>
      <c r="B9" s="2" t="s">
        <v>3</v>
      </c>
      <c r="C9" s="2">
        <v>14</v>
      </c>
      <c r="D9" s="12">
        <v>2018</v>
      </c>
      <c r="E9" s="13">
        <v>43293</v>
      </c>
      <c r="F9" s="14" t="str">
        <f t="shared" si="0"/>
        <v>18193</v>
      </c>
      <c r="G9" s="32">
        <v>13.4</v>
      </c>
      <c r="H9" s="32">
        <v>8.68</v>
      </c>
      <c r="I9" s="32">
        <v>11.84</v>
      </c>
      <c r="J9" s="25">
        <v>417</v>
      </c>
      <c r="K9" s="25">
        <v>429</v>
      </c>
      <c r="L9" s="25">
        <v>199</v>
      </c>
      <c r="M9" s="25">
        <v>1045</v>
      </c>
      <c r="N9" s="25">
        <v>0.11483253588516745</v>
      </c>
      <c r="O9" s="25">
        <v>2.5874999999999995</v>
      </c>
      <c r="P9" s="25">
        <v>2.8124999999999996</v>
      </c>
      <c r="Q9" s="25">
        <v>2.3250000000000002</v>
      </c>
      <c r="R9" s="25">
        <v>2.5749999999999997</v>
      </c>
      <c r="S9" s="25">
        <v>0.71032754232910322</v>
      </c>
      <c r="T9" s="25">
        <v>0.18625000000000003</v>
      </c>
      <c r="U9" s="25">
        <v>0.35562500000000002</v>
      </c>
      <c r="V9" s="25">
        <v>0.17466666666666666</v>
      </c>
      <c r="W9" s="25">
        <v>0.24021276595744684</v>
      </c>
      <c r="X9" s="25">
        <v>0.15973468983860495</v>
      </c>
      <c r="Y9" s="25">
        <v>0.36</v>
      </c>
      <c r="Z9" s="25">
        <v>0.62</v>
      </c>
      <c r="AA9" s="25">
        <v>0.28000000000000003</v>
      </c>
      <c r="AB9" s="25">
        <v>0.62</v>
      </c>
      <c r="AC9" s="25">
        <v>10.719663418954825</v>
      </c>
      <c r="AD9" s="25">
        <v>8.695652173913043</v>
      </c>
      <c r="AE9" s="25">
        <v>4.3478260869565215</v>
      </c>
      <c r="AF9" s="25">
        <v>34.782608695652172</v>
      </c>
      <c r="AG9" s="25">
        <v>47.826086956521735</v>
      </c>
      <c r="AH9" s="25">
        <v>23.913043478260871</v>
      </c>
      <c r="AI9" s="25">
        <v>28.260869565217391</v>
      </c>
      <c r="AJ9" s="25">
        <v>0</v>
      </c>
      <c r="AK9" s="25">
        <v>52.173913043478265</v>
      </c>
      <c r="AL9" s="25">
        <v>34.782608695652172</v>
      </c>
      <c r="AM9" s="25">
        <v>0.32874999999999999</v>
      </c>
      <c r="AN9" s="25">
        <v>0.18125000000000002</v>
      </c>
      <c r="AO9" s="25">
        <v>0.21799999999999997</v>
      </c>
      <c r="AP9" s="25">
        <v>0.24319148936170212</v>
      </c>
      <c r="AQ9" s="25">
        <v>0.1472221979803601</v>
      </c>
      <c r="AR9" s="25">
        <v>0.74</v>
      </c>
      <c r="AS9" s="25">
        <v>0.53</v>
      </c>
      <c r="AT9" s="25">
        <v>0.42</v>
      </c>
      <c r="AU9" s="25">
        <v>0.74</v>
      </c>
      <c r="AV9" s="25">
        <v>29.166666666666668</v>
      </c>
      <c r="AW9" s="25">
        <v>0.58333333333333337</v>
      </c>
      <c r="AX9" s="25">
        <v>0</v>
      </c>
      <c r="AY9" s="25">
        <v>37.5</v>
      </c>
      <c r="AZ9" s="25">
        <v>0</v>
      </c>
      <c r="BA9" s="25">
        <v>12.5</v>
      </c>
      <c r="BB9" s="25">
        <v>58.333333333333336</v>
      </c>
      <c r="BC9" s="25">
        <v>0.75</v>
      </c>
      <c r="BD9" s="25">
        <v>25</v>
      </c>
      <c r="BE9" s="25">
        <v>0</v>
      </c>
      <c r="BF9" s="25">
        <v>0</v>
      </c>
      <c r="BG9" s="25">
        <v>0</v>
      </c>
      <c r="BH9" s="25">
        <v>0</v>
      </c>
      <c r="BI9" s="25">
        <v>0.58333333333333337</v>
      </c>
      <c r="BJ9" s="25">
        <v>0</v>
      </c>
      <c r="BK9" s="25">
        <v>0.5</v>
      </c>
      <c r="BL9" s="25">
        <v>0.5</v>
      </c>
      <c r="BM9" s="25">
        <v>0.33333333333333331</v>
      </c>
      <c r="BN9" s="25">
        <v>0.25</v>
      </c>
      <c r="BO9" s="25">
        <v>0</v>
      </c>
      <c r="BP9" s="25">
        <v>0</v>
      </c>
      <c r="BQ9" s="25">
        <v>8.3333333333333329E-2</v>
      </c>
      <c r="BR9" s="25">
        <v>0.25</v>
      </c>
      <c r="BS9" s="25">
        <v>2.25</v>
      </c>
      <c r="BT9" s="25">
        <v>0</v>
      </c>
      <c r="BU9" s="25">
        <v>0.83333333333333337</v>
      </c>
      <c r="BV9" s="25">
        <v>12.5</v>
      </c>
      <c r="BW9" s="25">
        <v>75</v>
      </c>
      <c r="BX9" s="25">
        <v>12.5</v>
      </c>
      <c r="BY9" s="25">
        <v>36.875</v>
      </c>
      <c r="BZ9" s="25">
        <v>0.58333333333333337</v>
      </c>
      <c r="CA9" s="25">
        <v>81.681681681681681</v>
      </c>
      <c r="CB9" s="25">
        <v>12.106930980962009</v>
      </c>
      <c r="CC9" s="25">
        <v>18.318318318318319</v>
      </c>
      <c r="CD9" s="25">
        <v>0</v>
      </c>
      <c r="CE9" s="25">
        <v>0</v>
      </c>
      <c r="CF9" s="25">
        <v>0</v>
      </c>
      <c r="CG9" s="25">
        <v>0</v>
      </c>
      <c r="CH9" s="25">
        <v>0</v>
      </c>
    </row>
    <row r="10" spans="1:86" ht="15.75" x14ac:dyDescent="0.25">
      <c r="A10" s="2">
        <v>8</v>
      </c>
      <c r="B10" s="2" t="s">
        <v>3</v>
      </c>
      <c r="C10" s="2">
        <v>16</v>
      </c>
      <c r="D10" s="12">
        <v>2018</v>
      </c>
      <c r="E10" s="13">
        <v>43280</v>
      </c>
      <c r="F10" s="14" t="str">
        <f t="shared" si="0"/>
        <v>18180</v>
      </c>
      <c r="G10" s="32">
        <v>14.6</v>
      </c>
      <c r="H10" s="32">
        <v>8.06</v>
      </c>
      <c r="I10" s="32">
        <v>10.55</v>
      </c>
      <c r="J10" s="25">
        <v>518</v>
      </c>
      <c r="K10" s="25">
        <v>323</v>
      </c>
      <c r="L10" s="25">
        <v>317</v>
      </c>
      <c r="M10" s="25">
        <v>1158</v>
      </c>
      <c r="N10" s="25">
        <v>0</v>
      </c>
      <c r="O10" s="25">
        <v>1.8124999999999998</v>
      </c>
      <c r="P10" s="25">
        <v>1.5750000000000002</v>
      </c>
      <c r="Q10" s="25">
        <v>1.2250000000000001</v>
      </c>
      <c r="R10" s="25">
        <v>1.5374999999999996</v>
      </c>
      <c r="S10" s="25">
        <v>0.61982641328737864</v>
      </c>
      <c r="T10" s="25">
        <v>0.26666666666666666</v>
      </c>
      <c r="U10" s="25">
        <v>0.3033333333333334</v>
      </c>
      <c r="V10" s="25">
        <v>0.27666666666666667</v>
      </c>
      <c r="W10" s="25">
        <v>0.28222222222222215</v>
      </c>
      <c r="X10" s="25">
        <v>0.10709438056782623</v>
      </c>
      <c r="Y10" s="25">
        <v>0.42</v>
      </c>
      <c r="Z10" s="25">
        <v>0.5</v>
      </c>
      <c r="AA10" s="25">
        <v>0.44</v>
      </c>
      <c r="AB10" s="25">
        <v>0.5</v>
      </c>
      <c r="AC10" s="25">
        <v>5.4478346456692917</v>
      </c>
      <c r="AD10" s="25">
        <v>0</v>
      </c>
      <c r="AE10" s="25">
        <v>61.111111111111114</v>
      </c>
      <c r="AF10" s="25">
        <v>0</v>
      </c>
      <c r="AG10" s="25">
        <v>61.111111111111114</v>
      </c>
      <c r="AH10" s="25">
        <v>2.7777777777777777</v>
      </c>
      <c r="AI10" s="25">
        <v>36.111111111111107</v>
      </c>
      <c r="AJ10" s="25">
        <v>0</v>
      </c>
      <c r="AK10" s="25">
        <v>38.888888888888886</v>
      </c>
      <c r="AL10" s="25">
        <v>61.111111111111114</v>
      </c>
      <c r="AM10" s="25">
        <v>0.26181818181818178</v>
      </c>
      <c r="AN10" s="25">
        <v>0.20454545454545456</v>
      </c>
      <c r="AO10" s="25">
        <v>0.24181818181818182</v>
      </c>
      <c r="AP10" s="25">
        <v>0.22999999999999998</v>
      </c>
      <c r="AQ10" s="25">
        <v>0.15693492736982245</v>
      </c>
      <c r="AR10" s="25">
        <v>0.61</v>
      </c>
      <c r="AS10" s="25">
        <v>0.54</v>
      </c>
      <c r="AT10" s="25">
        <v>0.46</v>
      </c>
      <c r="AU10" s="25">
        <v>0.61</v>
      </c>
      <c r="AV10" s="25">
        <v>12.5</v>
      </c>
      <c r="AW10" s="25">
        <v>0.83333333333333337</v>
      </c>
      <c r="AX10" s="25">
        <v>12.5</v>
      </c>
      <c r="AY10" s="25">
        <v>0</v>
      </c>
      <c r="AZ10" s="25">
        <v>0</v>
      </c>
      <c r="BA10" s="25">
        <v>4.1666666666666661</v>
      </c>
      <c r="BB10" s="25">
        <v>83.333333333333343</v>
      </c>
      <c r="BC10" s="25">
        <v>1.3333333333333333</v>
      </c>
      <c r="BD10" s="25">
        <v>33.333333333333329</v>
      </c>
      <c r="BE10" s="25">
        <v>0.125</v>
      </c>
      <c r="BF10" s="25">
        <v>0</v>
      </c>
      <c r="BG10" s="25">
        <v>0</v>
      </c>
      <c r="BH10" s="25">
        <v>4.1666666666666664E-2</v>
      </c>
      <c r="BI10" s="25">
        <v>4.1666666666666664E-2</v>
      </c>
      <c r="BJ10" s="25">
        <v>0.5</v>
      </c>
      <c r="BK10" s="25">
        <v>0.25</v>
      </c>
      <c r="BL10" s="25">
        <v>0.5</v>
      </c>
      <c r="BM10" s="25">
        <v>0.41666666666666669</v>
      </c>
      <c r="BN10" s="25">
        <v>0</v>
      </c>
      <c r="BO10" s="25">
        <v>0</v>
      </c>
      <c r="BP10" s="25">
        <v>0</v>
      </c>
      <c r="BQ10" s="25">
        <v>0</v>
      </c>
      <c r="BR10" s="25">
        <v>0.75</v>
      </c>
      <c r="BS10" s="25">
        <v>0.5</v>
      </c>
      <c r="BT10" s="25">
        <v>0</v>
      </c>
      <c r="BU10" s="25">
        <v>0.41666666666666669</v>
      </c>
      <c r="BV10" s="25">
        <v>20.833333333333336</v>
      </c>
      <c r="BW10" s="25">
        <v>29.166666666666668</v>
      </c>
      <c r="BX10" s="25">
        <v>50</v>
      </c>
      <c r="BY10" s="25">
        <v>49.375</v>
      </c>
      <c r="BZ10" s="25">
        <v>1.375</v>
      </c>
      <c r="CA10" s="25">
        <v>78.571428571428584</v>
      </c>
      <c r="CB10" s="25">
        <v>15.755166604173841</v>
      </c>
      <c r="CC10" s="25">
        <v>21.428571428571416</v>
      </c>
      <c r="CD10" s="25">
        <v>0</v>
      </c>
      <c r="CE10" s="25">
        <v>0</v>
      </c>
      <c r="CF10" s="25">
        <v>0</v>
      </c>
      <c r="CG10" s="25">
        <v>0</v>
      </c>
      <c r="CH10" s="25">
        <v>0</v>
      </c>
    </row>
    <row r="11" spans="1:86" ht="15.75" x14ac:dyDescent="0.25">
      <c r="A11" s="2">
        <v>9</v>
      </c>
      <c r="B11" s="2" t="s">
        <v>3</v>
      </c>
      <c r="C11" s="2">
        <v>18</v>
      </c>
      <c r="D11" s="12">
        <v>2018</v>
      </c>
      <c r="E11" s="13">
        <v>43235</v>
      </c>
      <c r="F11" s="14" t="str">
        <f t="shared" si="0"/>
        <v>18135</v>
      </c>
      <c r="G11" s="33">
        <v>15.6</v>
      </c>
      <c r="H11" s="32">
        <v>8.85</v>
      </c>
      <c r="I11" s="32">
        <v>14.3</v>
      </c>
      <c r="J11" s="25">
        <v>781</v>
      </c>
      <c r="K11" s="25">
        <v>739</v>
      </c>
      <c r="L11" s="25">
        <v>531</v>
      </c>
      <c r="M11" s="25">
        <v>2051</v>
      </c>
      <c r="N11" s="25">
        <v>5.8508044856167715E-2</v>
      </c>
      <c r="O11" s="25">
        <v>2.9874999999999998</v>
      </c>
      <c r="P11" s="25">
        <v>2.7374999999999998</v>
      </c>
      <c r="Q11" s="25">
        <v>2.9750000000000001</v>
      </c>
      <c r="R11" s="25">
        <v>2.9</v>
      </c>
      <c r="S11" s="25">
        <v>0.69968937207256943</v>
      </c>
      <c r="T11" s="25">
        <v>0.15062500000000004</v>
      </c>
      <c r="U11" s="25">
        <v>0.14250000000000002</v>
      </c>
      <c r="V11" s="25">
        <v>0.18437500000000001</v>
      </c>
      <c r="W11" s="25">
        <v>0.15916666666666668</v>
      </c>
      <c r="X11" s="25">
        <v>0.10006026552827378</v>
      </c>
      <c r="Y11" s="25">
        <v>0.44</v>
      </c>
      <c r="Z11" s="25">
        <v>0.44</v>
      </c>
      <c r="AA11" s="25">
        <v>0.32</v>
      </c>
      <c r="AB11" s="25">
        <v>0.44</v>
      </c>
      <c r="AC11" s="25">
        <v>18.219895287958114</v>
      </c>
      <c r="AD11" s="25">
        <v>0</v>
      </c>
      <c r="AE11" s="25">
        <v>47.916666666666671</v>
      </c>
      <c r="AF11" s="25">
        <v>2.083333333333333</v>
      </c>
      <c r="AG11" s="25">
        <v>50.000000000000007</v>
      </c>
      <c r="AH11" s="25">
        <v>4.1666666666666661</v>
      </c>
      <c r="AI11" s="25">
        <v>43.75</v>
      </c>
      <c r="AJ11" s="25">
        <v>2.083333333333333</v>
      </c>
      <c r="AK11" s="25">
        <v>50</v>
      </c>
      <c r="AL11" s="25">
        <v>47.916666666666671</v>
      </c>
      <c r="AM11" s="25">
        <v>4.9375000000000002E-2</v>
      </c>
      <c r="AN11" s="25">
        <v>0.138125</v>
      </c>
      <c r="AO11" s="25">
        <v>1.1875E-2</v>
      </c>
      <c r="AP11" s="25">
        <v>6.6458333333333314E-2</v>
      </c>
      <c r="AQ11" s="25">
        <v>0.12298572107627975</v>
      </c>
      <c r="AR11" s="25">
        <v>0.25</v>
      </c>
      <c r="AS11" s="25">
        <v>0.61</v>
      </c>
      <c r="AT11" s="25">
        <v>0.05</v>
      </c>
      <c r="AU11" s="25">
        <v>0.61</v>
      </c>
      <c r="AV11" s="25">
        <v>29.166666666666668</v>
      </c>
      <c r="AW11" s="25">
        <v>0.125</v>
      </c>
      <c r="AX11" s="25">
        <v>50</v>
      </c>
      <c r="AY11" s="25">
        <v>37.5</v>
      </c>
      <c r="AZ11" s="25">
        <v>87.5</v>
      </c>
      <c r="BA11" s="25">
        <v>58.333333333333336</v>
      </c>
      <c r="BB11" s="25">
        <v>58.333333333333336</v>
      </c>
      <c r="BC11" s="25">
        <v>0.66666666666666663</v>
      </c>
      <c r="BD11" s="25">
        <v>25</v>
      </c>
      <c r="BE11" s="25">
        <v>0.5</v>
      </c>
      <c r="BF11" s="25">
        <v>0.125</v>
      </c>
      <c r="BG11" s="25">
        <v>0</v>
      </c>
      <c r="BH11" s="25">
        <v>0.20833333333333334</v>
      </c>
      <c r="BI11" s="25">
        <v>0.45833333333333331</v>
      </c>
      <c r="BJ11" s="25">
        <v>0.25</v>
      </c>
      <c r="BK11" s="25">
        <v>0</v>
      </c>
      <c r="BL11" s="25">
        <v>0</v>
      </c>
      <c r="BM11" s="25">
        <v>8.3333333333333329E-2</v>
      </c>
      <c r="BN11" s="25">
        <v>1.25</v>
      </c>
      <c r="BO11" s="25">
        <v>1.5</v>
      </c>
      <c r="BP11" s="25">
        <v>0</v>
      </c>
      <c r="BQ11" s="25">
        <v>0.91666666666666663</v>
      </c>
      <c r="BR11" s="25">
        <v>2.5</v>
      </c>
      <c r="BS11" s="25">
        <v>1.5</v>
      </c>
      <c r="BT11" s="25">
        <v>4</v>
      </c>
      <c r="BU11" s="25">
        <v>2.6666666666666665</v>
      </c>
      <c r="BV11" s="25">
        <v>20.833333333333336</v>
      </c>
      <c r="BW11" s="25">
        <v>70.833333333333343</v>
      </c>
      <c r="BX11" s="25">
        <v>8.3333333333333321</v>
      </c>
      <c r="BY11" s="25">
        <v>29.791666666666668</v>
      </c>
      <c r="BZ11" s="25">
        <v>1.625</v>
      </c>
      <c r="CA11" s="25">
        <v>33.258258258258252</v>
      </c>
      <c r="CB11" s="25">
        <v>14.392099905244534</v>
      </c>
      <c r="CC11" s="25">
        <v>66.741741741741748</v>
      </c>
      <c r="CD11" s="25">
        <v>0</v>
      </c>
      <c r="CE11" s="25">
        <v>0</v>
      </c>
      <c r="CF11" s="25">
        <v>0</v>
      </c>
      <c r="CG11" s="25">
        <v>0</v>
      </c>
      <c r="CH11" s="25">
        <v>0</v>
      </c>
    </row>
    <row r="12" spans="1:86" ht="15.75" x14ac:dyDescent="0.25">
      <c r="A12" s="2">
        <v>10</v>
      </c>
      <c r="B12" s="2" t="s">
        <v>3</v>
      </c>
      <c r="C12" s="2">
        <v>22</v>
      </c>
      <c r="D12" s="12">
        <v>2018</v>
      </c>
      <c r="E12" s="13">
        <v>43255</v>
      </c>
      <c r="F12" s="14" t="str">
        <f t="shared" si="0"/>
        <v>18155</v>
      </c>
      <c r="G12" s="32">
        <v>16.600000000000001</v>
      </c>
      <c r="H12" s="32">
        <v>8.1999999999999993</v>
      </c>
      <c r="I12" s="32">
        <v>10.63</v>
      </c>
      <c r="J12" s="25">
        <v>334</v>
      </c>
      <c r="K12" s="25">
        <v>547</v>
      </c>
      <c r="L12" s="25">
        <v>317</v>
      </c>
      <c r="M12" s="25">
        <v>1198</v>
      </c>
      <c r="N12" s="25">
        <v>2.0534223706176959</v>
      </c>
      <c r="O12" s="25">
        <v>1.9125000000000001</v>
      </c>
      <c r="P12" s="25">
        <v>2.4500000000000002</v>
      </c>
      <c r="Q12" s="25">
        <v>2.1875</v>
      </c>
      <c r="R12" s="25">
        <v>2.1833333333333331</v>
      </c>
      <c r="S12" s="25">
        <v>0.4478612621615411</v>
      </c>
      <c r="T12" s="25">
        <v>0.21000000000000002</v>
      </c>
      <c r="U12" s="25">
        <v>0.24909090909090906</v>
      </c>
      <c r="V12" s="25">
        <v>0.32300000000000001</v>
      </c>
      <c r="W12" s="25">
        <v>0.26032258064516128</v>
      </c>
      <c r="X12" s="25">
        <v>9.9815959678057495E-2</v>
      </c>
      <c r="Y12" s="25">
        <v>0.28000000000000003</v>
      </c>
      <c r="Z12" s="25">
        <v>0.52</v>
      </c>
      <c r="AA12" s="25">
        <v>0.46</v>
      </c>
      <c r="AB12" s="25">
        <v>0.52</v>
      </c>
      <c r="AC12" s="25">
        <v>8.3870301528294089</v>
      </c>
      <c r="AD12" s="25">
        <v>0</v>
      </c>
      <c r="AE12" s="25">
        <v>22.58064516129032</v>
      </c>
      <c r="AF12" s="25">
        <v>9.67741935483871</v>
      </c>
      <c r="AG12" s="25">
        <v>32.258064516129032</v>
      </c>
      <c r="AH12" s="25">
        <v>25.806451612903224</v>
      </c>
      <c r="AI12" s="25">
        <v>41.935483870967744</v>
      </c>
      <c r="AJ12" s="25">
        <v>0</v>
      </c>
      <c r="AK12" s="25">
        <v>67.741935483870975</v>
      </c>
      <c r="AL12" s="25">
        <v>41.935483870967744</v>
      </c>
      <c r="AM12" s="25">
        <v>0.36888888888888888</v>
      </c>
      <c r="AN12" s="25">
        <v>0.28300000000000003</v>
      </c>
      <c r="AO12" s="25">
        <v>0.19222222222222218</v>
      </c>
      <c r="AP12" s="25">
        <v>0.26838709677419342</v>
      </c>
      <c r="AQ12" s="25">
        <v>0.15684592809917122</v>
      </c>
      <c r="AR12" s="25">
        <v>0.6</v>
      </c>
      <c r="AS12" s="25">
        <v>0.72</v>
      </c>
      <c r="AT12" s="25">
        <v>0.36</v>
      </c>
      <c r="AU12" s="25">
        <v>0.72</v>
      </c>
      <c r="AV12" s="25">
        <v>37.5</v>
      </c>
      <c r="AW12" s="25">
        <v>0.45833333333333331</v>
      </c>
      <c r="AX12" s="25">
        <v>0</v>
      </c>
      <c r="AY12" s="25">
        <v>12.5</v>
      </c>
      <c r="AZ12" s="25">
        <v>37.5</v>
      </c>
      <c r="BA12" s="25">
        <v>16.666666666666664</v>
      </c>
      <c r="BB12" s="25">
        <v>45.833333333333329</v>
      </c>
      <c r="BC12" s="25">
        <v>0.83333333333333337</v>
      </c>
      <c r="BD12" s="25">
        <v>25</v>
      </c>
      <c r="BE12" s="25">
        <v>0.375</v>
      </c>
      <c r="BF12" s="25">
        <v>0.125</v>
      </c>
      <c r="BG12" s="25">
        <v>0</v>
      </c>
      <c r="BH12" s="25">
        <v>0.16666666666666666</v>
      </c>
      <c r="BI12" s="25">
        <v>0.25</v>
      </c>
      <c r="BJ12" s="25">
        <v>1.5</v>
      </c>
      <c r="BK12" s="25">
        <v>1.25</v>
      </c>
      <c r="BL12" s="25">
        <v>1.5</v>
      </c>
      <c r="BM12" s="25">
        <v>1.4166666666666667</v>
      </c>
      <c r="BN12" s="25">
        <v>0</v>
      </c>
      <c r="BO12" s="25">
        <v>0</v>
      </c>
      <c r="BP12" s="25">
        <v>0.5</v>
      </c>
      <c r="BQ12" s="25">
        <v>0.16666666666666666</v>
      </c>
      <c r="BR12" s="25">
        <v>0</v>
      </c>
      <c r="BS12" s="25">
        <v>0</v>
      </c>
      <c r="BT12" s="25">
        <v>0.5</v>
      </c>
      <c r="BU12" s="25">
        <v>0.16666666666666666</v>
      </c>
      <c r="BV12" s="25">
        <v>0</v>
      </c>
      <c r="BW12" s="25">
        <v>95.833333333333343</v>
      </c>
      <c r="BX12" s="25">
        <v>4.1666666666666661</v>
      </c>
      <c r="BY12" s="25">
        <v>40</v>
      </c>
      <c r="BZ12" s="25">
        <v>0.79166666666666663</v>
      </c>
      <c r="CA12" s="25">
        <v>96.396396396396383</v>
      </c>
      <c r="CB12" s="25">
        <v>2.9949452365105058</v>
      </c>
      <c r="CC12" s="25">
        <v>3.6036036036036165</v>
      </c>
      <c r="CD12" s="25">
        <v>0</v>
      </c>
      <c r="CE12" s="25">
        <v>0</v>
      </c>
      <c r="CF12" s="25">
        <v>0</v>
      </c>
      <c r="CG12" s="25">
        <v>0</v>
      </c>
      <c r="CH12" s="25">
        <v>0</v>
      </c>
    </row>
    <row r="13" spans="1:86" ht="15.75" x14ac:dyDescent="0.25">
      <c r="A13" s="2">
        <v>11</v>
      </c>
      <c r="B13" s="2" t="s">
        <v>3</v>
      </c>
      <c r="C13" s="2">
        <v>26</v>
      </c>
      <c r="D13" s="12">
        <v>2018</v>
      </c>
      <c r="E13" s="13">
        <v>43237</v>
      </c>
      <c r="F13" s="14" t="str">
        <f t="shared" si="0"/>
        <v>18137</v>
      </c>
      <c r="G13" s="32">
        <v>18.899999999999999</v>
      </c>
      <c r="H13" s="32">
        <v>8.8800000000000008</v>
      </c>
      <c r="I13" s="32">
        <v>10.58</v>
      </c>
      <c r="J13" s="25">
        <v>2375</v>
      </c>
      <c r="K13" s="25">
        <v>2435</v>
      </c>
      <c r="L13" s="25">
        <v>2405</v>
      </c>
      <c r="M13" s="25">
        <v>7215</v>
      </c>
      <c r="N13" s="25">
        <v>3.3264033264033259E-2</v>
      </c>
      <c r="O13" s="25">
        <v>6.0124999999999993</v>
      </c>
      <c r="P13" s="25">
        <v>4.9249999999999998</v>
      </c>
      <c r="Q13" s="25">
        <v>6.2500000000000009</v>
      </c>
      <c r="R13" s="25">
        <v>5.7291666666666679</v>
      </c>
      <c r="S13" s="25">
        <v>1.8359878674096277</v>
      </c>
      <c r="T13" s="25">
        <v>0.24812500000000001</v>
      </c>
      <c r="U13" s="25">
        <v>0.33875000000000005</v>
      </c>
      <c r="V13" s="25">
        <v>0.25750000000000001</v>
      </c>
      <c r="W13" s="25">
        <v>0.28145833333333337</v>
      </c>
      <c r="X13" s="25">
        <v>0.22884529368050435</v>
      </c>
      <c r="Y13" s="25">
        <v>0.54</v>
      </c>
      <c r="Z13" s="25">
        <v>1.5</v>
      </c>
      <c r="AA13" s="25">
        <v>0.48</v>
      </c>
      <c r="AB13" s="25">
        <v>1.5</v>
      </c>
      <c r="AC13" s="25">
        <v>20.355292376017765</v>
      </c>
      <c r="AD13" s="25">
        <v>0</v>
      </c>
      <c r="AE13" s="25">
        <v>20.833333333333336</v>
      </c>
      <c r="AF13" s="25">
        <v>0</v>
      </c>
      <c r="AG13" s="25">
        <v>20.833333333333336</v>
      </c>
      <c r="AH13" s="25">
        <v>0</v>
      </c>
      <c r="AI13" s="25">
        <v>77.083333333333343</v>
      </c>
      <c r="AJ13" s="25">
        <v>2.083333333333333</v>
      </c>
      <c r="AK13" s="25">
        <v>79.166666666666671</v>
      </c>
      <c r="AL13" s="25">
        <v>77.083333333333343</v>
      </c>
      <c r="AM13" s="25">
        <v>0.33562500000000001</v>
      </c>
      <c r="AN13" s="25">
        <v>0.46249999999999997</v>
      </c>
      <c r="AO13" s="25">
        <v>0.330625</v>
      </c>
      <c r="AP13" s="25">
        <v>0.37625000000000003</v>
      </c>
      <c r="AQ13" s="25">
        <v>0.33540464605569292</v>
      </c>
      <c r="AR13" s="25">
        <v>0.72</v>
      </c>
      <c r="AS13" s="25">
        <v>1.34</v>
      </c>
      <c r="AT13" s="25">
        <v>1.2</v>
      </c>
      <c r="AU13" s="25">
        <v>1.34</v>
      </c>
      <c r="AV13" s="25">
        <v>29.166666666666668</v>
      </c>
      <c r="AW13" s="25">
        <v>0.35</v>
      </c>
      <c r="AX13" s="25">
        <v>12.5</v>
      </c>
      <c r="AY13" s="25">
        <v>25</v>
      </c>
      <c r="AZ13" s="25">
        <v>37.5</v>
      </c>
      <c r="BA13" s="25">
        <v>25</v>
      </c>
      <c r="BB13" s="25">
        <v>29.166666666666668</v>
      </c>
      <c r="BC13" s="25">
        <v>0.83333333333333337</v>
      </c>
      <c r="BD13" s="25">
        <v>16.666666666666664</v>
      </c>
      <c r="BE13" s="25">
        <v>0.125</v>
      </c>
      <c r="BF13" s="25">
        <v>0.25</v>
      </c>
      <c r="BG13" s="25">
        <v>0.125</v>
      </c>
      <c r="BH13" s="25">
        <v>0.16666666666666666</v>
      </c>
      <c r="BI13" s="25">
        <v>0.54166666666666663</v>
      </c>
      <c r="BJ13" s="25">
        <v>0</v>
      </c>
      <c r="BK13" s="25">
        <v>0</v>
      </c>
      <c r="BL13" s="25">
        <v>0.5</v>
      </c>
      <c r="BM13" s="25">
        <v>0.16666666666666666</v>
      </c>
      <c r="BN13" s="25">
        <v>1</v>
      </c>
      <c r="BO13" s="25">
        <v>0</v>
      </c>
      <c r="BP13" s="25">
        <v>0</v>
      </c>
      <c r="BQ13" s="25">
        <v>0.33333333333333331</v>
      </c>
      <c r="BR13" s="25">
        <v>0.75</v>
      </c>
      <c r="BS13" s="25">
        <v>1.25</v>
      </c>
      <c r="BT13" s="25">
        <v>1</v>
      </c>
      <c r="BU13" s="25">
        <v>1</v>
      </c>
      <c r="BV13" s="25">
        <v>50</v>
      </c>
      <c r="BW13" s="25">
        <v>41.666666666666671</v>
      </c>
      <c r="BX13" s="25">
        <v>8.3333333333333321</v>
      </c>
      <c r="BY13" s="25">
        <v>21.833333333333332</v>
      </c>
      <c r="BZ13" s="25">
        <v>0.91666666666666663</v>
      </c>
      <c r="CA13" s="25">
        <v>41.516516516516518</v>
      </c>
      <c r="CB13" s="25">
        <v>14.483789515529377</v>
      </c>
      <c r="CC13" s="25">
        <v>58.483483483483482</v>
      </c>
      <c r="CD13" s="25">
        <v>0</v>
      </c>
      <c r="CE13" s="25">
        <v>0</v>
      </c>
      <c r="CF13" s="25">
        <v>0</v>
      </c>
      <c r="CG13" s="25">
        <v>0</v>
      </c>
      <c r="CH13" s="25">
        <v>0</v>
      </c>
    </row>
    <row r="14" spans="1:86" ht="15.75" x14ac:dyDescent="0.25">
      <c r="A14" s="2">
        <v>12</v>
      </c>
      <c r="B14" s="2" t="s">
        <v>3</v>
      </c>
      <c r="C14" s="2">
        <v>27</v>
      </c>
      <c r="D14" s="12">
        <v>2018</v>
      </c>
      <c r="E14" s="13">
        <v>43242</v>
      </c>
      <c r="F14" s="14" t="str">
        <f t="shared" si="0"/>
        <v>18142</v>
      </c>
      <c r="G14" s="32">
        <v>10.9</v>
      </c>
      <c r="H14" s="32">
        <v>10.199999999999999</v>
      </c>
      <c r="I14" s="32">
        <v>12.7</v>
      </c>
      <c r="J14" s="25">
        <v>1643</v>
      </c>
      <c r="K14" s="25">
        <v>1896</v>
      </c>
      <c r="L14" s="25">
        <v>1770</v>
      </c>
      <c r="M14" s="25">
        <v>5309</v>
      </c>
      <c r="N14" s="25">
        <v>0</v>
      </c>
      <c r="O14" s="25">
        <v>3.9499999999999997</v>
      </c>
      <c r="P14" s="25">
        <v>3.8962499999999998</v>
      </c>
      <c r="Q14" s="25">
        <v>4.2874999999999996</v>
      </c>
      <c r="R14" s="25">
        <v>4.0445833333333336</v>
      </c>
      <c r="S14" s="25">
        <v>0.77086049697535974</v>
      </c>
      <c r="T14" s="25">
        <v>0.359375</v>
      </c>
      <c r="U14" s="25">
        <v>0.31230769230769229</v>
      </c>
      <c r="V14" s="25">
        <v>0.48375000000000001</v>
      </c>
      <c r="W14" s="25">
        <v>0.39</v>
      </c>
      <c r="X14" s="25">
        <v>0.14641162397966787</v>
      </c>
      <c r="Y14" s="25">
        <v>0.62</v>
      </c>
      <c r="Z14" s="25">
        <v>0.48</v>
      </c>
      <c r="AA14" s="25">
        <v>0.72</v>
      </c>
      <c r="AB14" s="25">
        <v>0.72</v>
      </c>
      <c r="AC14" s="25">
        <v>10.370726495726496</v>
      </c>
      <c r="AD14" s="25">
        <v>0</v>
      </c>
      <c r="AE14" s="25">
        <v>29.166666666666668</v>
      </c>
      <c r="AF14" s="25">
        <v>4.1666666666666661</v>
      </c>
      <c r="AG14" s="25">
        <v>33.333333333333336</v>
      </c>
      <c r="AH14" s="25">
        <v>4.1666666666666661</v>
      </c>
      <c r="AI14" s="25">
        <v>62.5</v>
      </c>
      <c r="AJ14" s="25">
        <v>0</v>
      </c>
      <c r="AK14" s="25">
        <v>66.666666666666671</v>
      </c>
      <c r="AL14" s="25">
        <v>62.5</v>
      </c>
      <c r="AM14" s="25">
        <v>0.41666666666666674</v>
      </c>
      <c r="AN14" s="25">
        <v>0.57399999999999995</v>
      </c>
      <c r="AO14" s="25">
        <v>0.216</v>
      </c>
      <c r="AP14" s="25">
        <v>0.40729166666666677</v>
      </c>
      <c r="AQ14" s="25">
        <v>0.32523470793909265</v>
      </c>
      <c r="AR14" s="25">
        <v>1.1499999999999999</v>
      </c>
      <c r="AS14" s="25">
        <v>1.46</v>
      </c>
      <c r="AT14" s="25">
        <v>0.4</v>
      </c>
      <c r="AU14" s="25">
        <v>1.46</v>
      </c>
      <c r="AV14" s="25">
        <v>16.666666666666664</v>
      </c>
      <c r="AW14" s="25">
        <v>0.7142857142857143</v>
      </c>
      <c r="AX14" s="25">
        <v>12.5</v>
      </c>
      <c r="AY14" s="25">
        <v>0</v>
      </c>
      <c r="AZ14" s="25">
        <v>12.5</v>
      </c>
      <c r="BA14" s="25">
        <v>8.3333333333333321</v>
      </c>
      <c r="BB14" s="25">
        <v>62.5</v>
      </c>
      <c r="BC14" s="25">
        <v>1.1666666666666667</v>
      </c>
      <c r="BD14" s="25">
        <v>33.333333333333329</v>
      </c>
      <c r="BE14" s="25">
        <v>0.125</v>
      </c>
      <c r="BF14" s="25">
        <v>0.125</v>
      </c>
      <c r="BG14" s="25">
        <v>1</v>
      </c>
      <c r="BH14" s="25">
        <v>0.41666666666666669</v>
      </c>
      <c r="BI14" s="25">
        <v>0.70833333333333337</v>
      </c>
      <c r="BJ14" s="25">
        <v>1</v>
      </c>
      <c r="BK14" s="25">
        <v>0.75</v>
      </c>
      <c r="BL14" s="25">
        <v>0.5</v>
      </c>
      <c r="BM14" s="25">
        <v>0.75</v>
      </c>
      <c r="BN14" s="25">
        <v>0.5</v>
      </c>
      <c r="BO14" s="25">
        <v>1.25</v>
      </c>
      <c r="BP14" s="25">
        <v>0</v>
      </c>
      <c r="BQ14" s="25">
        <v>0.58333333333333337</v>
      </c>
      <c r="BR14" s="25">
        <v>0.75</v>
      </c>
      <c r="BS14" s="25">
        <v>0.25</v>
      </c>
      <c r="BT14" s="25">
        <v>2.5</v>
      </c>
      <c r="BU14" s="25">
        <v>1.1666666666666667</v>
      </c>
      <c r="BV14" s="25">
        <v>12.5</v>
      </c>
      <c r="BW14" s="25">
        <v>54.166666666666664</v>
      </c>
      <c r="BX14" s="25">
        <v>33.333333333333329</v>
      </c>
      <c r="BY14" s="25">
        <v>40.625</v>
      </c>
      <c r="BZ14" s="25">
        <v>1.2916666666666667</v>
      </c>
      <c r="CA14" s="25">
        <v>35.285285285285283</v>
      </c>
      <c r="CB14" s="25">
        <v>13.829460157720122</v>
      </c>
      <c r="CC14" s="25">
        <v>64.714714714714717</v>
      </c>
      <c r="CD14" s="25">
        <v>0</v>
      </c>
      <c r="CE14" s="25">
        <v>0</v>
      </c>
      <c r="CF14" s="25">
        <v>0</v>
      </c>
      <c r="CG14" s="25">
        <v>0</v>
      </c>
      <c r="CH14" s="25">
        <v>0</v>
      </c>
    </row>
    <row r="15" spans="1:86" ht="15.75" x14ac:dyDescent="0.25">
      <c r="A15" s="3">
        <v>13</v>
      </c>
      <c r="B15" s="3" t="s">
        <v>3</v>
      </c>
      <c r="C15" s="3">
        <v>29</v>
      </c>
      <c r="D15" s="12">
        <v>2018</v>
      </c>
      <c r="E15" s="13">
        <v>43251</v>
      </c>
      <c r="F15" s="14" t="str">
        <f t="shared" si="0"/>
        <v>18151</v>
      </c>
      <c r="G15" s="32">
        <v>14.2</v>
      </c>
      <c r="H15" s="32">
        <v>9.43</v>
      </c>
      <c r="I15" s="32">
        <v>10.97</v>
      </c>
      <c r="J15" s="25">
        <v>334</v>
      </c>
      <c r="K15" s="25">
        <v>333</v>
      </c>
      <c r="L15" s="25">
        <v>217</v>
      </c>
      <c r="M15" s="25">
        <v>884</v>
      </c>
      <c r="N15" s="25">
        <v>0</v>
      </c>
      <c r="O15" s="25">
        <v>1.5750000000000002</v>
      </c>
      <c r="P15" s="25">
        <v>1.7625</v>
      </c>
      <c r="Q15" s="25">
        <v>1.1625000000000001</v>
      </c>
      <c r="R15" s="25">
        <v>1.4999999999999998</v>
      </c>
      <c r="S15" s="25">
        <v>0.54692818064404924</v>
      </c>
      <c r="T15" s="25">
        <v>0.27</v>
      </c>
      <c r="U15" s="25">
        <v>0.15777777777777777</v>
      </c>
      <c r="V15" s="25">
        <v>0.12888888888888889</v>
      </c>
      <c r="W15" s="25">
        <v>0.18230769230769231</v>
      </c>
      <c r="X15" s="25">
        <v>0.13063866785321085</v>
      </c>
      <c r="Y15" s="25">
        <v>0.68</v>
      </c>
      <c r="Z15" s="25">
        <v>0.28000000000000003</v>
      </c>
      <c r="AA15" s="25">
        <v>0.18</v>
      </c>
      <c r="AB15" s="25">
        <v>0.68</v>
      </c>
      <c r="AC15" s="25">
        <v>8.2278481012658222</v>
      </c>
      <c r="AD15" s="25">
        <v>0</v>
      </c>
      <c r="AE15" s="25">
        <v>19.230769230769234</v>
      </c>
      <c r="AF15" s="25">
        <v>0</v>
      </c>
      <c r="AG15" s="25">
        <v>19.230769230769234</v>
      </c>
      <c r="AH15" s="25">
        <v>7.6923076923076925</v>
      </c>
      <c r="AI15" s="25">
        <v>73.076923076923066</v>
      </c>
      <c r="AJ15" s="25">
        <v>0</v>
      </c>
      <c r="AK15" s="25">
        <v>80.769230769230759</v>
      </c>
      <c r="AL15" s="25">
        <v>73.076923076923066</v>
      </c>
      <c r="AM15" s="25">
        <v>9.5000000000000015E-2</v>
      </c>
      <c r="AN15" s="25">
        <v>9.8750000000000004E-2</v>
      </c>
      <c r="AO15" s="25">
        <v>0.19666666666666666</v>
      </c>
      <c r="AP15" s="25">
        <v>0.12884615384615386</v>
      </c>
      <c r="AQ15" s="25">
        <v>0.1208081759841418</v>
      </c>
      <c r="AR15" s="25">
        <v>0.28000000000000003</v>
      </c>
      <c r="AS15" s="25">
        <v>0.31</v>
      </c>
      <c r="AT15" s="25">
        <v>0.49</v>
      </c>
      <c r="AU15" s="25">
        <v>0.49</v>
      </c>
      <c r="AV15" s="25">
        <v>29.166666666666668</v>
      </c>
      <c r="AW15" s="25">
        <v>0.33333333333333331</v>
      </c>
      <c r="AX15" s="25">
        <v>62.5</v>
      </c>
      <c r="AY15" s="25">
        <v>50</v>
      </c>
      <c r="AZ15" s="25">
        <v>0</v>
      </c>
      <c r="BA15" s="25">
        <v>37.5</v>
      </c>
      <c r="BB15" s="25">
        <v>33.333333333333329</v>
      </c>
      <c r="BC15" s="25">
        <v>1.75</v>
      </c>
      <c r="BD15" s="25">
        <v>58.333333333333336</v>
      </c>
      <c r="BE15" s="25">
        <v>0.375</v>
      </c>
      <c r="BF15" s="25">
        <v>0.125</v>
      </c>
      <c r="BG15" s="25">
        <v>0</v>
      </c>
      <c r="BH15" s="25">
        <v>0.16666666666666666</v>
      </c>
      <c r="BI15" s="25">
        <v>0.20833333333333334</v>
      </c>
      <c r="BJ15" s="25">
        <v>0</v>
      </c>
      <c r="BK15" s="25">
        <v>0</v>
      </c>
      <c r="BL15" s="25">
        <v>0</v>
      </c>
      <c r="BM15" s="25">
        <v>0</v>
      </c>
      <c r="BN15" s="25">
        <v>0.5</v>
      </c>
      <c r="BO15" s="25">
        <v>0</v>
      </c>
      <c r="BP15" s="25">
        <v>0.25</v>
      </c>
      <c r="BQ15" s="25">
        <v>0.25</v>
      </c>
      <c r="BR15" s="25">
        <v>2</v>
      </c>
      <c r="BS15" s="25">
        <v>0</v>
      </c>
      <c r="BT15" s="25">
        <v>0</v>
      </c>
      <c r="BU15" s="25">
        <v>0.66666666666666663</v>
      </c>
      <c r="BV15" s="25">
        <v>8.3333333333333321</v>
      </c>
      <c r="BW15" s="25">
        <v>75</v>
      </c>
      <c r="BX15" s="25">
        <v>16.666666666666664</v>
      </c>
      <c r="BY15" s="25">
        <v>37.5</v>
      </c>
      <c r="BZ15" s="25">
        <v>0.58333333333333337</v>
      </c>
      <c r="CA15" s="25">
        <v>52.027027027027032</v>
      </c>
      <c r="CB15" s="25">
        <v>13.478096709442729</v>
      </c>
      <c r="CC15" s="25">
        <v>47.972972972972968</v>
      </c>
      <c r="CD15" s="25">
        <v>0</v>
      </c>
      <c r="CE15" s="25">
        <v>0</v>
      </c>
      <c r="CF15" s="25">
        <v>0</v>
      </c>
      <c r="CG15" s="25">
        <v>0</v>
      </c>
      <c r="CH15" s="25">
        <v>0</v>
      </c>
    </row>
    <row r="16" spans="1:86" ht="15.75" x14ac:dyDescent="0.25">
      <c r="A16" s="4">
        <v>14</v>
      </c>
      <c r="B16" s="2" t="s">
        <v>3</v>
      </c>
      <c r="C16" s="2">
        <v>32</v>
      </c>
      <c r="D16" s="12">
        <v>2018</v>
      </c>
      <c r="E16" s="13">
        <v>43242</v>
      </c>
      <c r="F16" s="14" t="str">
        <f t="shared" si="0"/>
        <v>18142</v>
      </c>
      <c r="G16" s="32">
        <v>15.3</v>
      </c>
      <c r="H16" s="32">
        <v>8.32</v>
      </c>
      <c r="I16" s="32">
        <v>10.88</v>
      </c>
      <c r="J16" s="25">
        <v>400</v>
      </c>
      <c r="K16" s="25">
        <v>396</v>
      </c>
      <c r="L16" s="25">
        <v>435</v>
      </c>
      <c r="M16" s="25">
        <v>1231</v>
      </c>
      <c r="N16" s="25">
        <v>0</v>
      </c>
      <c r="O16" s="25">
        <v>1.875</v>
      </c>
      <c r="P16" s="25">
        <v>1.8125000000000002</v>
      </c>
      <c r="Q16" s="25">
        <v>2.0375000000000001</v>
      </c>
      <c r="R16" s="25">
        <v>1.908333333333333</v>
      </c>
      <c r="S16" s="25">
        <v>0.52908178595741306</v>
      </c>
      <c r="T16" s="25">
        <v>0.29750000000000004</v>
      </c>
      <c r="U16" s="25">
        <v>0.30500000000000005</v>
      </c>
      <c r="V16" s="25">
        <v>0.26750000000000002</v>
      </c>
      <c r="W16" s="25">
        <v>0.29000000000000004</v>
      </c>
      <c r="X16" s="25">
        <v>0.11375029861403703</v>
      </c>
      <c r="Y16" s="25">
        <v>0.5</v>
      </c>
      <c r="Z16" s="25">
        <v>0.56000000000000005</v>
      </c>
      <c r="AA16" s="25">
        <v>0.38</v>
      </c>
      <c r="AB16" s="25">
        <v>0.56000000000000005</v>
      </c>
      <c r="AC16" s="25">
        <v>6.580459770114941</v>
      </c>
      <c r="AD16" s="25">
        <v>0</v>
      </c>
      <c r="AE16" s="25">
        <v>16.666666666666664</v>
      </c>
      <c r="AF16" s="25">
        <v>0</v>
      </c>
      <c r="AG16" s="25">
        <v>16.666666666666664</v>
      </c>
      <c r="AH16" s="25">
        <v>20.833333333333336</v>
      </c>
      <c r="AI16" s="25">
        <v>62.5</v>
      </c>
      <c r="AJ16" s="25">
        <v>0</v>
      </c>
      <c r="AK16" s="25">
        <v>83.333333333333343</v>
      </c>
      <c r="AL16" s="25">
        <v>62.5</v>
      </c>
      <c r="AM16" s="25">
        <v>0.41249999999999998</v>
      </c>
      <c r="AN16" s="25">
        <v>0.47625000000000001</v>
      </c>
      <c r="AO16" s="25">
        <v>0.39999999999999997</v>
      </c>
      <c r="AP16" s="25">
        <v>0.42958333333333326</v>
      </c>
      <c r="AQ16" s="25">
        <v>0.22609115450394685</v>
      </c>
      <c r="AR16" s="25">
        <v>0.99</v>
      </c>
      <c r="AS16" s="25">
        <v>0.95</v>
      </c>
      <c r="AT16" s="25">
        <v>0.83</v>
      </c>
      <c r="AU16" s="25">
        <v>0.99</v>
      </c>
      <c r="AV16" s="25">
        <v>20.833333333333336</v>
      </c>
      <c r="AW16" s="25">
        <v>0.79166666666666663</v>
      </c>
      <c r="AX16" s="25">
        <v>0</v>
      </c>
      <c r="AY16" s="25">
        <v>0</v>
      </c>
      <c r="AZ16" s="25">
        <v>0</v>
      </c>
      <c r="BA16" s="25">
        <v>0</v>
      </c>
      <c r="BB16" s="25">
        <v>79.166666666666657</v>
      </c>
      <c r="BC16" s="25">
        <v>1.4166666666666667</v>
      </c>
      <c r="BD16" s="25">
        <v>41.666666666666671</v>
      </c>
      <c r="BE16" s="25">
        <v>0.625</v>
      </c>
      <c r="BF16" s="25">
        <v>0.125</v>
      </c>
      <c r="BG16" s="25">
        <v>0.375</v>
      </c>
      <c r="BH16" s="25">
        <v>0.375</v>
      </c>
      <c r="BI16" s="25">
        <v>0.29166666666666669</v>
      </c>
      <c r="BJ16" s="25">
        <v>1.25</v>
      </c>
      <c r="BK16" s="25">
        <v>1</v>
      </c>
      <c r="BL16" s="25">
        <v>2</v>
      </c>
      <c r="BM16" s="25">
        <v>1.4166666666666667</v>
      </c>
      <c r="BN16" s="25">
        <v>0.25</v>
      </c>
      <c r="BO16" s="25">
        <v>0</v>
      </c>
      <c r="BP16" s="25">
        <v>0</v>
      </c>
      <c r="BQ16" s="25">
        <v>8.3333333333333329E-2</v>
      </c>
      <c r="BR16" s="25">
        <v>0</v>
      </c>
      <c r="BS16" s="25">
        <v>0</v>
      </c>
      <c r="BT16" s="25">
        <v>0.25</v>
      </c>
      <c r="BU16" s="25">
        <v>8.3333333333333329E-2</v>
      </c>
      <c r="BV16" s="25">
        <v>4.1666666666666661</v>
      </c>
      <c r="BW16" s="25">
        <v>45.833333333333329</v>
      </c>
      <c r="BX16" s="25">
        <v>50</v>
      </c>
      <c r="BY16" s="25">
        <v>50.625</v>
      </c>
      <c r="BZ16" s="25">
        <v>0.29166666666666669</v>
      </c>
      <c r="CA16" s="25">
        <v>58.333333333333329</v>
      </c>
      <c r="CB16" s="25">
        <v>15.894300484097686</v>
      </c>
      <c r="CC16" s="25">
        <v>41.666666666666671</v>
      </c>
      <c r="CD16" s="25">
        <v>0</v>
      </c>
      <c r="CE16" s="25">
        <v>0</v>
      </c>
      <c r="CF16" s="25">
        <v>0</v>
      </c>
      <c r="CG16" s="25">
        <v>0</v>
      </c>
      <c r="CH16" s="25">
        <v>0</v>
      </c>
    </row>
    <row r="17" spans="1:86" ht="15.75" x14ac:dyDescent="0.25">
      <c r="A17" s="2">
        <v>15</v>
      </c>
      <c r="B17" s="2" t="s">
        <v>3</v>
      </c>
      <c r="C17" s="2">
        <v>34</v>
      </c>
      <c r="D17" s="12">
        <v>2018</v>
      </c>
      <c r="E17" s="13">
        <v>43313</v>
      </c>
      <c r="F17" s="14" t="str">
        <f t="shared" si="0"/>
        <v>18213</v>
      </c>
      <c r="G17" s="32">
        <v>13.9</v>
      </c>
      <c r="H17" s="32">
        <v>8.39</v>
      </c>
      <c r="I17" s="32">
        <v>12.09</v>
      </c>
      <c r="J17" s="25">
        <v>1054</v>
      </c>
      <c r="K17" s="25">
        <v>701</v>
      </c>
      <c r="L17" s="25">
        <v>1411</v>
      </c>
      <c r="M17" s="25">
        <v>3166</v>
      </c>
      <c r="N17" s="25">
        <v>0.30322173089071386</v>
      </c>
      <c r="O17" s="25">
        <v>2.5124999999999997</v>
      </c>
      <c r="P17" s="25">
        <v>2.95</v>
      </c>
      <c r="Q17" s="25">
        <v>4.3249999999999993</v>
      </c>
      <c r="R17" s="25">
        <v>3.2624999999999993</v>
      </c>
      <c r="S17" s="25">
        <v>1.4367271079118331</v>
      </c>
      <c r="T17" s="25">
        <v>0.27000000000000007</v>
      </c>
      <c r="U17" s="25">
        <v>0.18333333333333335</v>
      </c>
      <c r="V17" s="25">
        <v>0.44833333333333325</v>
      </c>
      <c r="W17" s="25">
        <v>0.30055555555555563</v>
      </c>
      <c r="X17" s="25">
        <v>0.18228618699247054</v>
      </c>
      <c r="Y17" s="25">
        <v>0.68</v>
      </c>
      <c r="Z17" s="25">
        <v>0.36</v>
      </c>
      <c r="AA17" s="25">
        <v>0.84</v>
      </c>
      <c r="AB17" s="25">
        <v>0.84</v>
      </c>
      <c r="AC17" s="25">
        <v>10.854898336414044</v>
      </c>
      <c r="AD17" s="25">
        <v>0</v>
      </c>
      <c r="AE17" s="25">
        <v>8.5714285714285712</v>
      </c>
      <c r="AF17" s="25">
        <v>5.7142857142857144</v>
      </c>
      <c r="AG17" s="25">
        <v>14.285714285714285</v>
      </c>
      <c r="AH17" s="25">
        <v>2.8571428571428572</v>
      </c>
      <c r="AI17" s="25">
        <v>77.142857142857153</v>
      </c>
      <c r="AJ17" s="25">
        <v>5.7142857142857144</v>
      </c>
      <c r="AK17" s="25">
        <v>85.714285714285722</v>
      </c>
      <c r="AL17" s="25">
        <v>77.142857142857153</v>
      </c>
      <c r="AM17" s="25">
        <v>0.12000000000000001</v>
      </c>
      <c r="AN17" s="25">
        <v>0.13818181818181821</v>
      </c>
      <c r="AO17" s="25">
        <v>9.5454545454545459E-2</v>
      </c>
      <c r="AP17" s="25">
        <v>0.11666666666666667</v>
      </c>
      <c r="AQ17" s="25">
        <v>0.13294467162803375</v>
      </c>
      <c r="AR17" s="25">
        <v>0.53</v>
      </c>
      <c r="AS17" s="25">
        <v>0.56999999999999995</v>
      </c>
      <c r="AT17" s="25">
        <v>0.28000000000000003</v>
      </c>
      <c r="AU17" s="25">
        <v>0.56999999999999995</v>
      </c>
      <c r="AV17" s="25">
        <v>16.666666666666664</v>
      </c>
      <c r="AW17" s="25">
        <v>0.33333333333333331</v>
      </c>
      <c r="AX17" s="25">
        <v>50</v>
      </c>
      <c r="AY17" s="25">
        <v>50</v>
      </c>
      <c r="AZ17" s="25">
        <v>50</v>
      </c>
      <c r="BA17" s="25">
        <v>50</v>
      </c>
      <c r="BB17" s="25">
        <v>33.333333333333329</v>
      </c>
      <c r="BC17" s="25">
        <v>1.0833333333333333</v>
      </c>
      <c r="BD17" s="25">
        <v>25</v>
      </c>
      <c r="BE17" s="25">
        <v>0.25</v>
      </c>
      <c r="BF17" s="25">
        <v>0.375</v>
      </c>
      <c r="BG17" s="25">
        <v>0.125</v>
      </c>
      <c r="BH17" s="25">
        <v>0.25</v>
      </c>
      <c r="BI17" s="25">
        <v>0.54166666666666663</v>
      </c>
      <c r="BJ17" s="25">
        <v>0</v>
      </c>
      <c r="BK17" s="25">
        <v>0.25</v>
      </c>
      <c r="BL17" s="25">
        <v>1</v>
      </c>
      <c r="BM17" s="25">
        <v>0.41666666666666669</v>
      </c>
      <c r="BN17" s="25">
        <v>1.25</v>
      </c>
      <c r="BO17" s="25">
        <v>0.75</v>
      </c>
      <c r="BP17" s="25">
        <v>0.5</v>
      </c>
      <c r="BQ17" s="25">
        <v>0.83333333333333337</v>
      </c>
      <c r="BR17" s="25">
        <v>0.5</v>
      </c>
      <c r="BS17" s="25">
        <v>0.5</v>
      </c>
      <c r="BT17" s="25">
        <v>2.25</v>
      </c>
      <c r="BU17" s="25">
        <v>1.0833333333333333</v>
      </c>
      <c r="BV17" s="25">
        <v>8.3333333333333321</v>
      </c>
      <c r="BW17" s="25">
        <v>62.5</v>
      </c>
      <c r="BX17" s="25">
        <v>29.166666666666668</v>
      </c>
      <c r="BY17" s="25">
        <v>42.916666666666664</v>
      </c>
      <c r="BZ17" s="25">
        <v>1.0416666666666667</v>
      </c>
      <c r="CA17" s="25">
        <v>28.153153153153156</v>
      </c>
      <c r="CB17" s="25">
        <v>13.196049192304274</v>
      </c>
      <c r="CC17" s="25">
        <v>71.846846846846844</v>
      </c>
      <c r="CD17" s="25">
        <v>0</v>
      </c>
      <c r="CE17" s="25">
        <v>0</v>
      </c>
      <c r="CF17" s="25">
        <v>0</v>
      </c>
      <c r="CG17" s="25">
        <v>0</v>
      </c>
      <c r="CH17" s="25">
        <v>0</v>
      </c>
    </row>
    <row r="18" spans="1:86" ht="15.75" x14ac:dyDescent="0.25">
      <c r="A18" s="2">
        <v>16</v>
      </c>
      <c r="B18" s="2" t="s">
        <v>3</v>
      </c>
      <c r="C18" s="2">
        <v>35</v>
      </c>
      <c r="D18" s="12">
        <v>2018</v>
      </c>
      <c r="E18" s="13">
        <v>43257</v>
      </c>
      <c r="F18" s="14" t="str">
        <f t="shared" si="0"/>
        <v>18157</v>
      </c>
      <c r="G18" s="32">
        <v>12.2</v>
      </c>
      <c r="H18" s="32">
        <v>8.4499999999999993</v>
      </c>
      <c r="I18" s="32">
        <v>12.21</v>
      </c>
      <c r="J18" s="25">
        <v>2124</v>
      </c>
      <c r="K18" s="25">
        <v>1764</v>
      </c>
      <c r="L18" s="25">
        <v>1950</v>
      </c>
      <c r="M18" s="25">
        <v>5838</v>
      </c>
      <c r="N18" s="25">
        <v>1.7471736896197327</v>
      </c>
      <c r="O18" s="25">
        <v>8.2874999999999996</v>
      </c>
      <c r="P18" s="25">
        <v>3.9125000000000005</v>
      </c>
      <c r="Q18" s="25">
        <v>5.5749999999999993</v>
      </c>
      <c r="R18" s="25">
        <v>5.9250000000000007</v>
      </c>
      <c r="S18" s="25">
        <v>2.7017305243282399</v>
      </c>
      <c r="T18" s="25">
        <v>0.41562500000000002</v>
      </c>
      <c r="U18" s="25">
        <v>0.33333333333333331</v>
      </c>
      <c r="V18" s="25">
        <v>0.28875000000000001</v>
      </c>
      <c r="W18" s="25">
        <v>0.3470454545454546</v>
      </c>
      <c r="X18" s="25">
        <v>0.27190610165715884</v>
      </c>
      <c r="Y18" s="25">
        <v>1.5</v>
      </c>
      <c r="Z18" s="25">
        <v>0.78</v>
      </c>
      <c r="AA18" s="25">
        <v>0.57999999999999996</v>
      </c>
      <c r="AB18" s="25">
        <v>1.5</v>
      </c>
      <c r="AC18" s="25">
        <v>17.072691552062867</v>
      </c>
      <c r="AD18" s="25">
        <v>0</v>
      </c>
      <c r="AE18" s="25">
        <v>13.636363636363635</v>
      </c>
      <c r="AF18" s="25">
        <v>0</v>
      </c>
      <c r="AG18" s="25">
        <v>13.636363636363635</v>
      </c>
      <c r="AH18" s="25">
        <v>6.8181818181818175</v>
      </c>
      <c r="AI18" s="25">
        <v>75</v>
      </c>
      <c r="AJ18" s="25">
        <v>4.5454545454545459</v>
      </c>
      <c r="AK18" s="25">
        <v>86.36363636363636</v>
      </c>
      <c r="AL18" s="25">
        <v>75</v>
      </c>
      <c r="AM18" s="25">
        <v>0.11546666666666668</v>
      </c>
      <c r="AN18" s="25">
        <v>0.31166666666666665</v>
      </c>
      <c r="AO18" s="25">
        <v>0.19</v>
      </c>
      <c r="AP18" s="25">
        <v>0.19572727272727269</v>
      </c>
      <c r="AQ18" s="25">
        <v>0.18987760606615064</v>
      </c>
      <c r="AR18" s="25">
        <v>0.55000000000000004</v>
      </c>
      <c r="AS18" s="25">
        <v>0.65</v>
      </c>
      <c r="AT18" s="25">
        <v>0.5</v>
      </c>
      <c r="AU18" s="25">
        <v>0.65</v>
      </c>
      <c r="AV18" s="25">
        <v>29.166666666666668</v>
      </c>
      <c r="AW18" s="25">
        <v>0.375</v>
      </c>
      <c r="AX18" s="25">
        <v>37.5</v>
      </c>
      <c r="AY18" s="25">
        <v>37.5</v>
      </c>
      <c r="AZ18" s="25">
        <v>25</v>
      </c>
      <c r="BA18" s="25">
        <v>33.333333333333329</v>
      </c>
      <c r="BB18" s="25">
        <v>37.5</v>
      </c>
      <c r="BC18" s="25">
        <v>1.1666666666666667</v>
      </c>
      <c r="BD18" s="25">
        <v>25</v>
      </c>
      <c r="BE18" s="25">
        <v>0</v>
      </c>
      <c r="BF18" s="25">
        <v>0.25</v>
      </c>
      <c r="BG18" s="25">
        <v>0</v>
      </c>
      <c r="BH18" s="25">
        <v>8.3333333333333329E-2</v>
      </c>
      <c r="BI18" s="25">
        <v>0.5</v>
      </c>
      <c r="BJ18" s="25">
        <v>0.75</v>
      </c>
      <c r="BK18" s="25">
        <v>0</v>
      </c>
      <c r="BL18" s="25">
        <v>0.25</v>
      </c>
      <c r="BM18" s="25">
        <v>0.33333333333333331</v>
      </c>
      <c r="BN18" s="25">
        <v>0.5</v>
      </c>
      <c r="BO18" s="25">
        <v>0.75</v>
      </c>
      <c r="BP18" s="25">
        <v>1.5</v>
      </c>
      <c r="BQ18" s="25">
        <v>0.91666666666666663</v>
      </c>
      <c r="BR18" s="25">
        <v>1</v>
      </c>
      <c r="BS18" s="25">
        <v>1</v>
      </c>
      <c r="BT18" s="25">
        <v>0.25</v>
      </c>
      <c r="BU18" s="25">
        <v>0.75</v>
      </c>
      <c r="BV18" s="25">
        <v>25</v>
      </c>
      <c r="BW18" s="25">
        <v>66.666666666666657</v>
      </c>
      <c r="BX18" s="25">
        <v>4.1666666666666661</v>
      </c>
      <c r="BY18" s="25">
        <v>28.130434782608695</v>
      </c>
      <c r="BZ18" s="25">
        <v>0.625</v>
      </c>
      <c r="CA18" s="25">
        <v>71.939586645469006</v>
      </c>
      <c r="CB18" s="25">
        <v>14.004360156280232</v>
      </c>
      <c r="CC18" s="25">
        <v>28.060413354530994</v>
      </c>
      <c r="CD18" s="25">
        <v>0</v>
      </c>
      <c r="CE18" s="25">
        <v>0</v>
      </c>
      <c r="CF18" s="25">
        <v>0</v>
      </c>
      <c r="CG18" s="25">
        <v>0</v>
      </c>
      <c r="CH18" s="25">
        <v>0</v>
      </c>
    </row>
    <row r="19" spans="1:86" ht="15.75" x14ac:dyDescent="0.25">
      <c r="A19" s="2">
        <v>17</v>
      </c>
      <c r="B19" s="2" t="s">
        <v>3</v>
      </c>
      <c r="C19" s="2">
        <v>36</v>
      </c>
      <c r="D19" s="12">
        <v>2018</v>
      </c>
      <c r="E19" s="13">
        <v>43248</v>
      </c>
      <c r="F19" s="14" t="str">
        <f t="shared" si="0"/>
        <v>18148</v>
      </c>
      <c r="G19" s="32">
        <v>19.7</v>
      </c>
      <c r="H19" s="32">
        <v>8.7200000000000006</v>
      </c>
      <c r="I19" s="32">
        <v>11.66</v>
      </c>
      <c r="J19" s="25">
        <v>360</v>
      </c>
      <c r="K19" s="25">
        <v>280</v>
      </c>
      <c r="L19" s="25">
        <v>190</v>
      </c>
      <c r="M19" s="25">
        <v>830</v>
      </c>
      <c r="N19" s="25">
        <v>0</v>
      </c>
      <c r="O19" s="25">
        <v>2.3374999999999999</v>
      </c>
      <c r="P19" s="25">
        <v>2.8874999999999997</v>
      </c>
      <c r="Q19" s="25">
        <v>1.9000000000000001</v>
      </c>
      <c r="R19" s="25">
        <v>2.3749999999999996</v>
      </c>
      <c r="S19" s="25">
        <v>0.90132752334976918</v>
      </c>
      <c r="T19" s="25">
        <v>0.24545454545454543</v>
      </c>
      <c r="U19" s="25">
        <v>0.27499999999999997</v>
      </c>
      <c r="V19" s="25">
        <v>0.2290909090909091</v>
      </c>
      <c r="W19" s="25">
        <v>0.25058823529411767</v>
      </c>
      <c r="X19" s="25">
        <v>0.13533216546302898</v>
      </c>
      <c r="Y19" s="25">
        <v>0.5</v>
      </c>
      <c r="Z19" s="25">
        <v>0.62</v>
      </c>
      <c r="AA19" s="25">
        <v>0.48</v>
      </c>
      <c r="AB19" s="25">
        <v>0.62</v>
      </c>
      <c r="AC19" s="25">
        <v>9.4776995305164302</v>
      </c>
      <c r="AD19" s="25">
        <v>0</v>
      </c>
      <c r="AE19" s="25">
        <v>11.76470588235294</v>
      </c>
      <c r="AF19" s="25">
        <v>47.058823529411761</v>
      </c>
      <c r="AG19" s="25">
        <v>58.823529411764703</v>
      </c>
      <c r="AH19" s="25">
        <v>23.52941176470588</v>
      </c>
      <c r="AI19" s="25">
        <v>17.647058823529413</v>
      </c>
      <c r="AJ19" s="25">
        <v>0</v>
      </c>
      <c r="AK19" s="25">
        <v>41.17647058823529</v>
      </c>
      <c r="AL19" s="25">
        <v>47.058823529411761</v>
      </c>
      <c r="AM19" s="25">
        <v>0.32300000000000006</v>
      </c>
      <c r="AN19" s="25">
        <v>0.27090909090909093</v>
      </c>
      <c r="AO19" s="25">
        <v>0.33199999999999996</v>
      </c>
      <c r="AP19" s="25">
        <v>0.31176470588235289</v>
      </c>
      <c r="AQ19" s="25">
        <v>0.19618282426032957</v>
      </c>
      <c r="AR19" s="25">
        <v>0.64</v>
      </c>
      <c r="AS19" s="25">
        <v>0.83</v>
      </c>
      <c r="AT19" s="25">
        <v>0.64</v>
      </c>
      <c r="AU19" s="25">
        <v>0.83</v>
      </c>
      <c r="AV19" s="25">
        <v>12.5</v>
      </c>
      <c r="AW19" s="25">
        <v>0.79166666666666663</v>
      </c>
      <c r="AX19" s="25">
        <v>0</v>
      </c>
      <c r="AY19" s="25">
        <v>25</v>
      </c>
      <c r="AZ19" s="25">
        <v>0</v>
      </c>
      <c r="BA19" s="25">
        <v>8.3333333333333321</v>
      </c>
      <c r="BB19" s="25">
        <v>79.166666666666657</v>
      </c>
      <c r="BC19" s="25">
        <v>0.5</v>
      </c>
      <c r="BD19" s="25">
        <v>25</v>
      </c>
      <c r="BE19" s="25">
        <v>0</v>
      </c>
      <c r="BF19" s="25">
        <v>0</v>
      </c>
      <c r="BG19" s="25">
        <v>0</v>
      </c>
      <c r="BH19" s="25">
        <v>0</v>
      </c>
      <c r="BI19" s="25">
        <v>0.66666666666666663</v>
      </c>
      <c r="BJ19" s="25">
        <v>0.25</v>
      </c>
      <c r="BK19" s="25">
        <v>0.5</v>
      </c>
      <c r="BL19" s="25">
        <v>1</v>
      </c>
      <c r="BM19" s="25">
        <v>0.58333333333333337</v>
      </c>
      <c r="BN19" s="25">
        <v>0.25</v>
      </c>
      <c r="BO19" s="25">
        <v>0</v>
      </c>
      <c r="BP19" s="25">
        <v>0</v>
      </c>
      <c r="BQ19" s="25">
        <v>8.3333333333333329E-2</v>
      </c>
      <c r="BR19" s="25">
        <v>0</v>
      </c>
      <c r="BS19" s="25">
        <v>0.5</v>
      </c>
      <c r="BT19" s="25">
        <v>0</v>
      </c>
      <c r="BU19" s="25">
        <v>0.16666666666666666</v>
      </c>
      <c r="BV19" s="25">
        <v>4.1666666666666661</v>
      </c>
      <c r="BW19" s="25">
        <v>58.333333333333336</v>
      </c>
      <c r="BX19" s="25">
        <v>37.5</v>
      </c>
      <c r="BY19" s="25">
        <v>46.875</v>
      </c>
      <c r="BZ19" s="25">
        <v>0.91666666666666663</v>
      </c>
      <c r="CA19" s="25">
        <v>89.114114114114102</v>
      </c>
      <c r="CB19" s="25">
        <v>10.349564824836452</v>
      </c>
      <c r="CC19" s="25">
        <v>10.885885885885898</v>
      </c>
      <c r="CD19" s="25">
        <v>0</v>
      </c>
      <c r="CE19" s="25">
        <v>0</v>
      </c>
      <c r="CF19" s="25">
        <v>0</v>
      </c>
      <c r="CG19" s="25">
        <v>0</v>
      </c>
      <c r="CH19" s="25">
        <v>0</v>
      </c>
    </row>
    <row r="20" spans="1:86" ht="15.75" x14ac:dyDescent="0.25">
      <c r="A20" s="2">
        <v>18</v>
      </c>
      <c r="B20" s="2" t="s">
        <v>3</v>
      </c>
      <c r="C20" s="2">
        <v>38</v>
      </c>
      <c r="D20" s="12">
        <v>2018</v>
      </c>
      <c r="E20" s="13">
        <v>43255</v>
      </c>
      <c r="F20" s="14" t="str">
        <f t="shared" si="0"/>
        <v>18155</v>
      </c>
      <c r="G20" s="32">
        <v>11.8</v>
      </c>
      <c r="H20" s="32">
        <v>8.5500000000000007</v>
      </c>
      <c r="I20" s="32">
        <v>10.5</v>
      </c>
      <c r="J20" s="25">
        <v>891</v>
      </c>
      <c r="K20" s="25">
        <v>471</v>
      </c>
      <c r="L20" s="25">
        <v>525</v>
      </c>
      <c r="M20" s="25">
        <v>1887</v>
      </c>
      <c r="N20" s="25">
        <v>1.1446740858505564</v>
      </c>
      <c r="O20" s="25">
        <v>2.6625000000000005</v>
      </c>
      <c r="P20" s="25">
        <v>2.3249999999999997</v>
      </c>
      <c r="Q20" s="25">
        <v>2.0249999999999999</v>
      </c>
      <c r="R20" s="25">
        <v>2.3374999999999999</v>
      </c>
      <c r="S20" s="25">
        <v>0.52652470110106431</v>
      </c>
      <c r="T20" s="25">
        <v>0.35333333333333333</v>
      </c>
      <c r="U20" s="25">
        <v>0.47166666666666668</v>
      </c>
      <c r="V20" s="25">
        <v>0.39076923076923087</v>
      </c>
      <c r="W20" s="25">
        <v>0.40486486486486495</v>
      </c>
      <c r="X20" s="25">
        <v>0.1541395763877953</v>
      </c>
      <c r="Y20" s="25">
        <v>0.56000000000000005</v>
      </c>
      <c r="Z20" s="25">
        <v>0.7</v>
      </c>
      <c r="AA20" s="25">
        <v>0.57999999999999996</v>
      </c>
      <c r="AB20" s="25">
        <v>0.7</v>
      </c>
      <c r="AC20" s="25">
        <v>5.773531375166888</v>
      </c>
      <c r="AD20" s="25">
        <v>0</v>
      </c>
      <c r="AE20" s="25">
        <v>43.243243243243242</v>
      </c>
      <c r="AF20" s="25">
        <v>0</v>
      </c>
      <c r="AG20" s="25">
        <v>43.243243243243242</v>
      </c>
      <c r="AH20" s="25">
        <v>18.918918918918919</v>
      </c>
      <c r="AI20" s="25">
        <v>37.837837837837839</v>
      </c>
      <c r="AJ20" s="25">
        <v>0</v>
      </c>
      <c r="AK20" s="25">
        <v>56.756756756756758</v>
      </c>
      <c r="AL20" s="25">
        <v>43.243243243243242</v>
      </c>
      <c r="AM20" s="25">
        <v>0.22454545454545452</v>
      </c>
      <c r="AN20" s="25">
        <v>0.16999999999999996</v>
      </c>
      <c r="AO20" s="25">
        <v>0.29499999999999998</v>
      </c>
      <c r="AP20" s="25">
        <v>0.23810810810810817</v>
      </c>
      <c r="AQ20" s="25">
        <v>0.12571656475840653</v>
      </c>
      <c r="AR20" s="25">
        <v>0.35</v>
      </c>
      <c r="AS20" s="25">
        <v>0.28999999999999998</v>
      </c>
      <c r="AT20" s="25">
        <v>0.55000000000000004</v>
      </c>
      <c r="AU20" s="25">
        <v>0.55000000000000004</v>
      </c>
      <c r="AV20" s="25">
        <v>8.3333333333333321</v>
      </c>
      <c r="AW20" s="25">
        <v>0.83333333333333337</v>
      </c>
      <c r="AX20" s="25">
        <v>0</v>
      </c>
      <c r="AY20" s="25">
        <v>25</v>
      </c>
      <c r="AZ20" s="25">
        <v>0</v>
      </c>
      <c r="BA20" s="25">
        <v>8.3333333333333321</v>
      </c>
      <c r="BB20" s="25">
        <v>83.333333333333343</v>
      </c>
      <c r="BC20" s="25">
        <v>0.33333333333333331</v>
      </c>
      <c r="BD20" s="25">
        <v>16.666666666666664</v>
      </c>
      <c r="BE20" s="25">
        <v>0.125</v>
      </c>
      <c r="BF20" s="25">
        <v>0.125</v>
      </c>
      <c r="BG20" s="25">
        <v>0</v>
      </c>
      <c r="BH20" s="25">
        <v>8.3333333333333329E-2</v>
      </c>
      <c r="BI20" s="25">
        <v>0.41666666666666669</v>
      </c>
      <c r="BJ20" s="25">
        <v>2.5</v>
      </c>
      <c r="BK20" s="25">
        <v>2.75</v>
      </c>
      <c r="BL20" s="25">
        <v>1</v>
      </c>
      <c r="BM20" s="25">
        <v>2.0833333333333335</v>
      </c>
      <c r="BN20" s="25">
        <v>0</v>
      </c>
      <c r="BO20" s="25">
        <v>0</v>
      </c>
      <c r="BP20" s="25">
        <v>0</v>
      </c>
      <c r="BQ20" s="25">
        <v>0</v>
      </c>
      <c r="BR20" s="25">
        <v>0.75</v>
      </c>
      <c r="BS20" s="25">
        <v>2</v>
      </c>
      <c r="BT20" s="25">
        <v>0.75</v>
      </c>
      <c r="BU20" s="25">
        <v>1.1666666666666667</v>
      </c>
      <c r="BV20" s="25">
        <v>0</v>
      </c>
      <c r="BW20" s="25">
        <v>75</v>
      </c>
      <c r="BX20" s="25">
        <v>25</v>
      </c>
      <c r="BY20" s="25">
        <v>46.666666666666664</v>
      </c>
      <c r="BZ20" s="25">
        <v>0.83333333333333337</v>
      </c>
      <c r="CA20" s="25">
        <v>95.030514385353101</v>
      </c>
      <c r="CB20" s="25">
        <v>2.8413233324579394</v>
      </c>
      <c r="CC20" s="25">
        <v>4.9694856146468993</v>
      </c>
      <c r="CD20" s="25">
        <v>0</v>
      </c>
      <c r="CE20" s="25">
        <v>0</v>
      </c>
      <c r="CF20" s="25">
        <v>0</v>
      </c>
      <c r="CG20" s="25">
        <v>0</v>
      </c>
      <c r="CH20" s="25">
        <v>0</v>
      </c>
    </row>
    <row r="21" spans="1:86" ht="15.75" x14ac:dyDescent="0.25">
      <c r="A21" s="2">
        <v>19</v>
      </c>
      <c r="B21" s="2" t="s">
        <v>3</v>
      </c>
      <c r="C21" s="2">
        <v>41</v>
      </c>
      <c r="D21" s="12">
        <v>2018</v>
      </c>
      <c r="E21" s="13">
        <v>43245</v>
      </c>
      <c r="F21" s="14" t="str">
        <f t="shared" si="0"/>
        <v>18145</v>
      </c>
      <c r="G21" s="32">
        <v>21.7</v>
      </c>
      <c r="H21" s="32">
        <v>8.92</v>
      </c>
      <c r="I21" s="32">
        <v>15.05</v>
      </c>
      <c r="J21" s="25">
        <v>260</v>
      </c>
      <c r="K21" s="25">
        <v>208</v>
      </c>
      <c r="L21" s="25">
        <v>391</v>
      </c>
      <c r="M21" s="25">
        <v>859</v>
      </c>
      <c r="N21" s="25">
        <v>0</v>
      </c>
      <c r="O21" s="25">
        <v>2.85</v>
      </c>
      <c r="P21" s="25">
        <v>2.125</v>
      </c>
      <c r="Q21" s="25">
        <v>3.1875000000000004</v>
      </c>
      <c r="R21" s="25">
        <v>2.7208333333333332</v>
      </c>
      <c r="S21" s="25">
        <v>0.92782080666223821</v>
      </c>
      <c r="T21" s="25">
        <v>0.27166666666666667</v>
      </c>
      <c r="U21" s="25">
        <v>0.14000000000000001</v>
      </c>
      <c r="V21" s="25">
        <v>0.34</v>
      </c>
      <c r="W21" s="25">
        <v>0.25371428571428573</v>
      </c>
      <c r="X21" s="25">
        <v>0.14501695061745901</v>
      </c>
      <c r="Y21" s="25">
        <v>0.4</v>
      </c>
      <c r="Z21" s="25">
        <v>0.24</v>
      </c>
      <c r="AA21" s="25">
        <v>0.76</v>
      </c>
      <c r="AB21" s="25">
        <v>0.76</v>
      </c>
      <c r="AC21" s="25">
        <v>10.724005255255255</v>
      </c>
      <c r="AD21" s="25">
        <v>0</v>
      </c>
      <c r="AE21" s="25">
        <v>60</v>
      </c>
      <c r="AF21" s="25">
        <v>0</v>
      </c>
      <c r="AG21" s="25">
        <v>60</v>
      </c>
      <c r="AH21" s="25">
        <v>0</v>
      </c>
      <c r="AI21" s="25">
        <v>40</v>
      </c>
      <c r="AJ21" s="25">
        <v>0</v>
      </c>
      <c r="AK21" s="25">
        <v>40</v>
      </c>
      <c r="AL21" s="25">
        <v>60</v>
      </c>
      <c r="AM21" s="25">
        <v>7.2727272727272738E-2</v>
      </c>
      <c r="AN21" s="25">
        <v>0.20700000000000002</v>
      </c>
      <c r="AO21" s="25">
        <v>7.8181818181818186E-2</v>
      </c>
      <c r="AP21" s="25">
        <v>0.10885714285714287</v>
      </c>
      <c r="AQ21" s="25">
        <v>0.15840698567059375</v>
      </c>
      <c r="AR21" s="25">
        <v>0.3</v>
      </c>
      <c r="AS21" s="25">
        <v>0.56000000000000005</v>
      </c>
      <c r="AT21" s="25">
        <v>0.56999999999999995</v>
      </c>
      <c r="AU21" s="25">
        <v>0.56999999999999995</v>
      </c>
      <c r="AV21" s="25">
        <v>16.666666666666664</v>
      </c>
      <c r="AW21" s="25">
        <v>0.29166666666666669</v>
      </c>
      <c r="AX21" s="25">
        <v>50</v>
      </c>
      <c r="AY21" s="25">
        <v>25</v>
      </c>
      <c r="AZ21" s="25">
        <v>87.5</v>
      </c>
      <c r="BA21" s="25">
        <v>54.166666666666664</v>
      </c>
      <c r="BB21" s="25">
        <v>37.5</v>
      </c>
      <c r="BC21" s="25">
        <v>0.75</v>
      </c>
      <c r="BD21" s="25">
        <v>25</v>
      </c>
      <c r="BE21" s="25">
        <v>0</v>
      </c>
      <c r="BF21" s="25">
        <v>0</v>
      </c>
      <c r="BG21" s="25">
        <v>0</v>
      </c>
      <c r="BH21" s="25">
        <v>0</v>
      </c>
      <c r="BI21" s="25">
        <v>0.125</v>
      </c>
      <c r="BJ21" s="25">
        <v>0</v>
      </c>
      <c r="BK21" s="25">
        <v>0</v>
      </c>
      <c r="BL21" s="25">
        <v>0</v>
      </c>
      <c r="BM21" s="25">
        <v>0</v>
      </c>
      <c r="BN21" s="25">
        <v>0</v>
      </c>
      <c r="BO21" s="25">
        <v>0</v>
      </c>
      <c r="BP21" s="25">
        <v>0</v>
      </c>
      <c r="BQ21" s="25">
        <v>0</v>
      </c>
      <c r="BR21" s="25">
        <v>0.75</v>
      </c>
      <c r="BS21" s="25">
        <v>0.5</v>
      </c>
      <c r="BT21" s="25">
        <v>2</v>
      </c>
      <c r="BU21" s="25">
        <v>1.0833333333333333</v>
      </c>
      <c r="BV21" s="25">
        <v>8.3333333333333321</v>
      </c>
      <c r="BW21" s="25">
        <v>75</v>
      </c>
      <c r="BX21" s="25">
        <v>16.666666666666664</v>
      </c>
      <c r="BY21" s="25">
        <v>38.958333333333336</v>
      </c>
      <c r="BZ21" s="25">
        <v>1.7083333333333333</v>
      </c>
      <c r="CA21" s="25">
        <v>57.507507507507505</v>
      </c>
      <c r="CB21" s="25">
        <v>14.631977694140668</v>
      </c>
      <c r="CC21" s="25">
        <v>42.492492492492495</v>
      </c>
      <c r="CD21" s="25">
        <v>0</v>
      </c>
      <c r="CE21" s="25">
        <v>0</v>
      </c>
      <c r="CF21" s="25">
        <v>0</v>
      </c>
      <c r="CG21" s="25">
        <v>0</v>
      </c>
      <c r="CH21" s="25">
        <v>0</v>
      </c>
    </row>
    <row r="22" spans="1:86" ht="15.75" x14ac:dyDescent="0.25">
      <c r="A22" s="2">
        <v>20</v>
      </c>
      <c r="B22" s="2" t="s">
        <v>3</v>
      </c>
      <c r="C22" s="2">
        <v>48</v>
      </c>
      <c r="D22" s="12">
        <v>2018</v>
      </c>
      <c r="E22" s="13">
        <v>43256</v>
      </c>
      <c r="F22" s="14" t="str">
        <f t="shared" si="0"/>
        <v>18156</v>
      </c>
      <c r="G22" s="32">
        <v>15</v>
      </c>
      <c r="H22" s="32">
        <v>8.58</v>
      </c>
      <c r="I22" s="32">
        <v>14.08</v>
      </c>
      <c r="J22" s="25">
        <v>698</v>
      </c>
      <c r="K22" s="25">
        <v>603</v>
      </c>
      <c r="L22" s="25">
        <v>658</v>
      </c>
      <c r="M22" s="25">
        <v>1959</v>
      </c>
      <c r="N22" s="25">
        <v>0</v>
      </c>
      <c r="O22" s="25">
        <v>4.0625</v>
      </c>
      <c r="P22" s="25">
        <v>3.5124999999999997</v>
      </c>
      <c r="Q22" s="25">
        <v>2.8125</v>
      </c>
      <c r="R22" s="25">
        <v>3.4625000000000004</v>
      </c>
      <c r="S22" s="25">
        <v>1.0499741197638695</v>
      </c>
      <c r="T22" s="25">
        <v>0.18000000000000002</v>
      </c>
      <c r="U22" s="25">
        <v>0.26</v>
      </c>
      <c r="V22" s="25">
        <v>0.21857142857142858</v>
      </c>
      <c r="W22" s="25">
        <v>0.22044444444444444</v>
      </c>
      <c r="X22" s="25">
        <v>0.13317718128929448</v>
      </c>
      <c r="Y22" s="25">
        <v>0.44</v>
      </c>
      <c r="Z22" s="25">
        <v>0.54</v>
      </c>
      <c r="AA22" s="25">
        <v>0.66</v>
      </c>
      <c r="AB22" s="25">
        <v>0.66</v>
      </c>
      <c r="AC22" s="25">
        <v>15.706905241935486</v>
      </c>
      <c r="AD22" s="25">
        <v>0</v>
      </c>
      <c r="AE22" s="25">
        <v>11.111111111111111</v>
      </c>
      <c r="AF22" s="25">
        <v>0</v>
      </c>
      <c r="AG22" s="25">
        <v>11.111111111111111</v>
      </c>
      <c r="AH22" s="25">
        <v>6.666666666666667</v>
      </c>
      <c r="AI22" s="25">
        <v>82.222222222222214</v>
      </c>
      <c r="AJ22" s="25">
        <v>0</v>
      </c>
      <c r="AK22" s="25">
        <v>88.888888888888886</v>
      </c>
      <c r="AL22" s="25">
        <v>82.222222222222214</v>
      </c>
      <c r="AM22" s="25">
        <v>0.27666666666666662</v>
      </c>
      <c r="AN22" s="25">
        <v>0.15375</v>
      </c>
      <c r="AO22" s="25">
        <v>0.27857142857142858</v>
      </c>
      <c r="AP22" s="25">
        <v>0.23355555555555552</v>
      </c>
      <c r="AQ22" s="25">
        <v>0.2047188266374102</v>
      </c>
      <c r="AR22" s="25">
        <v>0.61</v>
      </c>
      <c r="AS22" s="25">
        <v>0.62</v>
      </c>
      <c r="AT22" s="25">
        <v>0.76</v>
      </c>
      <c r="AU22" s="25">
        <v>0.76</v>
      </c>
      <c r="AV22" s="25">
        <v>41.666666666666671</v>
      </c>
      <c r="AW22" s="25">
        <v>0.45833333333333331</v>
      </c>
      <c r="AX22" s="25">
        <v>0</v>
      </c>
      <c r="AY22" s="25">
        <v>25</v>
      </c>
      <c r="AZ22" s="25">
        <v>12.5</v>
      </c>
      <c r="BA22" s="25">
        <v>12.5</v>
      </c>
      <c r="BB22" s="25">
        <v>45.833333333333329</v>
      </c>
      <c r="BC22" s="25">
        <v>1.6666666666666667</v>
      </c>
      <c r="BD22" s="25">
        <v>50</v>
      </c>
      <c r="BE22" s="25">
        <v>0.625</v>
      </c>
      <c r="BF22" s="25">
        <v>0.75</v>
      </c>
      <c r="BG22" s="25">
        <v>0.125</v>
      </c>
      <c r="BH22" s="25">
        <v>0.5</v>
      </c>
      <c r="BI22" s="25">
        <v>0.16666666666666666</v>
      </c>
      <c r="BJ22" s="25">
        <v>0</v>
      </c>
      <c r="BK22" s="25">
        <v>0.5</v>
      </c>
      <c r="BL22" s="25">
        <v>0.25</v>
      </c>
      <c r="BM22" s="25">
        <v>0.25</v>
      </c>
      <c r="BN22" s="25">
        <v>0</v>
      </c>
      <c r="BO22" s="25">
        <v>0.25</v>
      </c>
      <c r="BP22" s="25">
        <v>0</v>
      </c>
      <c r="BQ22" s="25">
        <v>8.3333333333333329E-2</v>
      </c>
      <c r="BR22" s="25">
        <v>1</v>
      </c>
      <c r="BS22" s="25">
        <v>1</v>
      </c>
      <c r="BT22" s="25">
        <v>0.25</v>
      </c>
      <c r="BU22" s="25">
        <v>0.75</v>
      </c>
      <c r="BV22" s="25">
        <v>16.666666666666664</v>
      </c>
      <c r="BW22" s="25">
        <v>33.333333333333329</v>
      </c>
      <c r="BX22" s="25">
        <v>50</v>
      </c>
      <c r="BY22" s="25">
        <v>45.625</v>
      </c>
      <c r="BZ22" s="25">
        <v>1.0833333333333333</v>
      </c>
      <c r="CA22" s="25">
        <v>33.933933933933936</v>
      </c>
      <c r="CB22" s="25">
        <v>17.048576722236032</v>
      </c>
      <c r="CC22" s="25">
        <v>66.066066066066071</v>
      </c>
      <c r="CD22" s="25">
        <v>0</v>
      </c>
      <c r="CE22" s="25">
        <v>0</v>
      </c>
      <c r="CF22" s="25">
        <v>0</v>
      </c>
      <c r="CG22" s="25">
        <v>0</v>
      </c>
      <c r="CH22" s="25">
        <v>0</v>
      </c>
    </row>
    <row r="23" spans="1:86" ht="15.75" x14ac:dyDescent="0.25">
      <c r="A23" s="2">
        <v>21</v>
      </c>
      <c r="B23" s="2" t="s">
        <v>3</v>
      </c>
      <c r="C23" s="2">
        <v>57</v>
      </c>
      <c r="D23" s="12">
        <v>2018</v>
      </c>
      <c r="E23" s="13">
        <v>43266</v>
      </c>
      <c r="F23" s="14" t="str">
        <f t="shared" si="0"/>
        <v>18166</v>
      </c>
      <c r="G23" s="32">
        <v>14.3</v>
      </c>
      <c r="H23" s="32">
        <v>7.91</v>
      </c>
      <c r="I23" s="32">
        <v>8.19</v>
      </c>
      <c r="J23" s="25">
        <v>188</v>
      </c>
      <c r="K23" s="25">
        <v>119</v>
      </c>
      <c r="L23" s="25">
        <v>97</v>
      </c>
      <c r="M23" s="25">
        <v>404</v>
      </c>
      <c r="N23" s="25">
        <v>0</v>
      </c>
      <c r="O23" s="25">
        <v>0.91250000000000009</v>
      </c>
      <c r="P23" s="25">
        <v>1.0249999999999999</v>
      </c>
      <c r="Q23" s="25">
        <v>0.91249999999999998</v>
      </c>
      <c r="R23" s="25">
        <v>0.95000000000000007</v>
      </c>
      <c r="S23" s="25">
        <v>0.30072376462244504</v>
      </c>
      <c r="T23" s="25">
        <v>0.23250000000000004</v>
      </c>
      <c r="U23" s="25">
        <v>0.22125</v>
      </c>
      <c r="V23" s="25">
        <v>0.1925</v>
      </c>
      <c r="W23" s="25">
        <v>0.21541666666666662</v>
      </c>
      <c r="X23" s="25">
        <v>8.4027902543126282E-2</v>
      </c>
      <c r="Y23" s="25">
        <v>0.36</v>
      </c>
      <c r="Z23" s="25">
        <v>0.36</v>
      </c>
      <c r="AA23" s="25">
        <v>0.3</v>
      </c>
      <c r="AB23" s="25">
        <v>0.36</v>
      </c>
      <c r="AC23" s="25">
        <v>4.4100580270793053</v>
      </c>
      <c r="AD23" s="25">
        <v>0</v>
      </c>
      <c r="AE23" s="25">
        <v>54.166666666666664</v>
      </c>
      <c r="AF23" s="25">
        <v>20.833333333333336</v>
      </c>
      <c r="AG23" s="25">
        <v>75</v>
      </c>
      <c r="AH23" s="25">
        <v>12.5</v>
      </c>
      <c r="AI23" s="25">
        <v>12.5</v>
      </c>
      <c r="AJ23" s="25">
        <v>0</v>
      </c>
      <c r="AK23" s="25">
        <v>25</v>
      </c>
      <c r="AL23" s="25">
        <v>54.166666666666664</v>
      </c>
      <c r="AM23" s="25">
        <v>0.11750000000000001</v>
      </c>
      <c r="AN23" s="25">
        <v>0.10999999999999999</v>
      </c>
      <c r="AO23" s="25">
        <v>0.18375</v>
      </c>
      <c r="AP23" s="25">
        <v>0.13708333333333331</v>
      </c>
      <c r="AQ23" s="25">
        <v>9.5438537775647189E-2</v>
      </c>
      <c r="AR23" s="25">
        <v>0.25</v>
      </c>
      <c r="AS23" s="25">
        <v>0.25</v>
      </c>
      <c r="AT23" s="25">
        <v>0.37</v>
      </c>
      <c r="AU23" s="25">
        <v>0.37</v>
      </c>
      <c r="AV23" s="25">
        <v>8.3333333333333321</v>
      </c>
      <c r="AW23" s="25">
        <v>0.58333333333333337</v>
      </c>
      <c r="AX23" s="25">
        <v>37.5</v>
      </c>
      <c r="AY23" s="25">
        <v>25</v>
      </c>
      <c r="AZ23" s="25">
        <v>37.5</v>
      </c>
      <c r="BA23" s="25">
        <v>33.333333333333329</v>
      </c>
      <c r="BB23" s="25">
        <v>58.333333333333336</v>
      </c>
      <c r="BC23" s="25">
        <v>0.41666666666666669</v>
      </c>
      <c r="BD23" s="25">
        <v>8.3333333333333321</v>
      </c>
      <c r="BE23" s="25">
        <v>0</v>
      </c>
      <c r="BF23" s="25">
        <v>0</v>
      </c>
      <c r="BG23" s="25">
        <v>0.375</v>
      </c>
      <c r="BH23" s="25">
        <v>0.125</v>
      </c>
      <c r="BI23" s="25">
        <v>0.45833333333333331</v>
      </c>
      <c r="BJ23" s="25">
        <v>2</v>
      </c>
      <c r="BK23" s="25">
        <v>1.75</v>
      </c>
      <c r="BL23" s="25">
        <v>1.5</v>
      </c>
      <c r="BM23" s="25">
        <v>1.75</v>
      </c>
      <c r="BN23" s="25">
        <v>0.25</v>
      </c>
      <c r="BO23" s="25">
        <v>0</v>
      </c>
      <c r="BP23" s="25">
        <v>0</v>
      </c>
      <c r="BQ23" s="25">
        <v>8.3333333333333329E-2</v>
      </c>
      <c r="BR23" s="25">
        <v>0</v>
      </c>
      <c r="BS23" s="25">
        <v>0.25</v>
      </c>
      <c r="BT23" s="25">
        <v>0.5</v>
      </c>
      <c r="BU23" s="25">
        <v>0.25</v>
      </c>
      <c r="BV23" s="25">
        <v>4.1666666666666661</v>
      </c>
      <c r="BW23" s="25">
        <v>45.833333333333329</v>
      </c>
      <c r="BX23" s="25">
        <v>50</v>
      </c>
      <c r="BY23" s="25">
        <v>48.916666666666664</v>
      </c>
      <c r="BZ23" s="25">
        <v>0.25</v>
      </c>
      <c r="CA23" s="25">
        <v>85.585585585585591</v>
      </c>
      <c r="CB23" s="25">
        <v>10.342615576811163</v>
      </c>
      <c r="CC23" s="25">
        <v>14.414414414414409</v>
      </c>
      <c r="CD23" s="25">
        <v>0</v>
      </c>
      <c r="CE23" s="25">
        <v>0</v>
      </c>
      <c r="CF23" s="25">
        <v>0</v>
      </c>
      <c r="CG23" s="25">
        <v>0</v>
      </c>
      <c r="CH23" s="25">
        <v>0</v>
      </c>
    </row>
    <row r="24" spans="1:86" ht="15.75" x14ac:dyDescent="0.25">
      <c r="A24" s="2">
        <v>22</v>
      </c>
      <c r="B24" s="2" t="s">
        <v>3</v>
      </c>
      <c r="C24" s="2">
        <v>61</v>
      </c>
      <c r="D24" s="12">
        <v>2018</v>
      </c>
      <c r="E24" s="13">
        <v>43283</v>
      </c>
      <c r="F24" s="14" t="str">
        <f t="shared" si="0"/>
        <v>18183</v>
      </c>
      <c r="G24" s="32">
        <v>16.2</v>
      </c>
      <c r="H24" s="32">
        <v>8.7799999999999994</v>
      </c>
      <c r="I24" s="32">
        <v>11.76</v>
      </c>
      <c r="J24" s="25">
        <v>380</v>
      </c>
      <c r="K24" s="25">
        <v>166</v>
      </c>
      <c r="L24" s="25">
        <v>166</v>
      </c>
      <c r="M24" s="25">
        <v>712</v>
      </c>
      <c r="N24" s="25">
        <v>0.42134831460674155</v>
      </c>
      <c r="O24" s="25">
        <v>2.6625000000000001</v>
      </c>
      <c r="P24" s="25">
        <v>2.1374999999999997</v>
      </c>
      <c r="Q24" s="25">
        <v>1.9499999999999997</v>
      </c>
      <c r="R24" s="25">
        <v>2.2500000000000004</v>
      </c>
      <c r="S24" s="25">
        <v>1.0232089335708168</v>
      </c>
      <c r="T24" s="25">
        <v>0.29454545454545455</v>
      </c>
      <c r="U24" s="25">
        <v>9.1111111111111115E-2</v>
      </c>
      <c r="V24" s="25">
        <v>0.16625000000000001</v>
      </c>
      <c r="W24" s="25">
        <v>0.19249999999999995</v>
      </c>
      <c r="X24" s="25">
        <v>0.21012562380104391</v>
      </c>
      <c r="Y24" s="25">
        <v>0.8</v>
      </c>
      <c r="Z24" s="25">
        <v>0.16</v>
      </c>
      <c r="AA24" s="25">
        <v>0.6</v>
      </c>
      <c r="AB24" s="25">
        <v>0.8</v>
      </c>
      <c r="AC24" s="25">
        <v>11.688311688311694</v>
      </c>
      <c r="AD24" s="25">
        <v>0</v>
      </c>
      <c r="AE24" s="25">
        <v>16.666666666666664</v>
      </c>
      <c r="AF24" s="25">
        <v>0</v>
      </c>
      <c r="AG24" s="25">
        <v>16.666666666666664</v>
      </c>
      <c r="AH24" s="25">
        <v>8.3333333333333321</v>
      </c>
      <c r="AI24" s="25">
        <v>75</v>
      </c>
      <c r="AJ24" s="25">
        <v>0</v>
      </c>
      <c r="AK24" s="25">
        <v>83.333333333333329</v>
      </c>
      <c r="AL24" s="25">
        <v>75</v>
      </c>
      <c r="AM24" s="25">
        <v>8.1818181818181832E-2</v>
      </c>
      <c r="AN24" s="25">
        <v>0.28888888888888886</v>
      </c>
      <c r="AO24" s="25">
        <v>0.18875</v>
      </c>
      <c r="AP24" s="25">
        <v>0.17892857142857141</v>
      </c>
      <c r="AQ24" s="25">
        <v>0.15009476724202997</v>
      </c>
      <c r="AR24" s="25">
        <v>0.36</v>
      </c>
      <c r="AS24" s="25">
        <v>0.53</v>
      </c>
      <c r="AT24" s="25">
        <v>0.39</v>
      </c>
      <c r="AU24" s="25">
        <v>0.53</v>
      </c>
      <c r="AV24" s="25">
        <v>66.666666666666657</v>
      </c>
      <c r="AW24" s="25">
        <v>8.3333333333333329E-2</v>
      </c>
      <c r="AX24" s="25">
        <v>50</v>
      </c>
      <c r="AY24" s="25">
        <v>0</v>
      </c>
      <c r="AZ24" s="25">
        <v>25</v>
      </c>
      <c r="BA24" s="25">
        <v>25</v>
      </c>
      <c r="BB24" s="25">
        <v>66.666666666666657</v>
      </c>
      <c r="BC24" s="25">
        <v>0.5</v>
      </c>
      <c r="BD24" s="25">
        <v>25</v>
      </c>
      <c r="BE24" s="25">
        <v>0.375</v>
      </c>
      <c r="BF24" s="25">
        <v>0.375</v>
      </c>
      <c r="BG24" s="25">
        <v>0.125</v>
      </c>
      <c r="BH24" s="25">
        <v>0.29166666666666669</v>
      </c>
      <c r="BI24" s="25">
        <v>0.41666666666666669</v>
      </c>
      <c r="BJ24" s="25">
        <v>0</v>
      </c>
      <c r="BK24" s="25">
        <v>0</v>
      </c>
      <c r="BL24" s="25">
        <v>0</v>
      </c>
      <c r="BM24" s="25">
        <v>0</v>
      </c>
      <c r="BN24" s="25">
        <v>0.5</v>
      </c>
      <c r="BO24" s="25">
        <v>0.25</v>
      </c>
      <c r="BP24" s="25">
        <v>0.75</v>
      </c>
      <c r="BQ24" s="25">
        <v>0.5</v>
      </c>
      <c r="BR24" s="25">
        <v>2</v>
      </c>
      <c r="BS24" s="25">
        <v>0</v>
      </c>
      <c r="BT24" s="25">
        <v>0.25</v>
      </c>
      <c r="BU24" s="25">
        <v>0.75</v>
      </c>
      <c r="BV24" s="25">
        <v>33.333333333333329</v>
      </c>
      <c r="BW24" s="25">
        <v>62.5</v>
      </c>
      <c r="BX24" s="25">
        <v>4.1666666666666661</v>
      </c>
      <c r="BY24" s="25">
        <v>25.625</v>
      </c>
      <c r="BZ24" s="25">
        <v>0.33333333333333331</v>
      </c>
      <c r="CA24" s="25">
        <v>10.18018018018018</v>
      </c>
      <c r="CB24" s="25">
        <v>7.2191475919268333</v>
      </c>
      <c r="CC24" s="25">
        <v>89.819819819819827</v>
      </c>
      <c r="CD24" s="25">
        <v>0</v>
      </c>
      <c r="CE24" s="25">
        <v>0</v>
      </c>
      <c r="CF24" s="25">
        <v>0</v>
      </c>
      <c r="CG24" s="25">
        <v>0</v>
      </c>
      <c r="CH24" s="25">
        <v>0</v>
      </c>
    </row>
    <row r="25" spans="1:86" ht="15.75" x14ac:dyDescent="0.25">
      <c r="A25" s="2">
        <v>23</v>
      </c>
      <c r="B25" s="2" t="s">
        <v>3</v>
      </c>
      <c r="C25" s="2">
        <v>75</v>
      </c>
      <c r="D25" s="12">
        <v>2018</v>
      </c>
      <c r="E25" s="13">
        <v>43269</v>
      </c>
      <c r="F25" s="14" t="str">
        <f t="shared" si="0"/>
        <v>18169</v>
      </c>
      <c r="G25" s="32">
        <v>16.100000000000001</v>
      </c>
      <c r="H25" s="32">
        <v>8.0299999999999994</v>
      </c>
      <c r="I25" s="32">
        <v>11.66</v>
      </c>
      <c r="J25" s="25">
        <v>338</v>
      </c>
      <c r="K25" s="25">
        <v>237</v>
      </c>
      <c r="L25" s="25">
        <v>310</v>
      </c>
      <c r="M25" s="25">
        <v>885</v>
      </c>
      <c r="N25" s="25">
        <v>0</v>
      </c>
      <c r="O25" s="25">
        <v>1.5875000000000001</v>
      </c>
      <c r="P25" s="25">
        <v>1.5125000000000002</v>
      </c>
      <c r="Q25" s="25">
        <v>2</v>
      </c>
      <c r="R25" s="25">
        <v>1.6999999999999993</v>
      </c>
      <c r="S25" s="25">
        <v>0.49956502819083182</v>
      </c>
      <c r="T25" s="25">
        <v>0.27749999999999997</v>
      </c>
      <c r="U25" s="25">
        <v>0.22624999999999998</v>
      </c>
      <c r="V25" s="25">
        <v>0.37</v>
      </c>
      <c r="W25" s="25">
        <v>0.29125000000000006</v>
      </c>
      <c r="X25" s="25">
        <v>0.12480637177156696</v>
      </c>
      <c r="Y25" s="25">
        <v>0.5</v>
      </c>
      <c r="Z25" s="25">
        <v>0.5</v>
      </c>
      <c r="AA25" s="25">
        <v>0.5</v>
      </c>
      <c r="AB25" s="25">
        <v>0.5</v>
      </c>
      <c r="AC25" s="25">
        <v>5.8369098712446315</v>
      </c>
      <c r="AD25" s="25">
        <v>0</v>
      </c>
      <c r="AE25" s="25">
        <v>20.833333333333336</v>
      </c>
      <c r="AF25" s="25">
        <v>0</v>
      </c>
      <c r="AG25" s="25">
        <v>20.833333333333336</v>
      </c>
      <c r="AH25" s="25">
        <v>0</v>
      </c>
      <c r="AI25" s="25">
        <v>79.166666666666657</v>
      </c>
      <c r="AJ25" s="25">
        <v>0</v>
      </c>
      <c r="AK25" s="25">
        <v>79.166666666666657</v>
      </c>
      <c r="AL25" s="25">
        <v>79.166666666666657</v>
      </c>
      <c r="AM25" s="25">
        <v>0.43875000000000003</v>
      </c>
      <c r="AN25" s="25">
        <v>0.50750000000000006</v>
      </c>
      <c r="AO25" s="25">
        <v>0.26874999999999999</v>
      </c>
      <c r="AP25" s="25">
        <v>0.40499999999999997</v>
      </c>
      <c r="AQ25" s="25">
        <v>0.25901149882146002</v>
      </c>
      <c r="AR25" s="25">
        <v>0.79</v>
      </c>
      <c r="AS25" s="25">
        <v>0.96</v>
      </c>
      <c r="AT25" s="25">
        <v>0.57999999999999996</v>
      </c>
      <c r="AU25" s="25">
        <v>0.96</v>
      </c>
      <c r="AV25" s="25">
        <v>12.5</v>
      </c>
      <c r="AW25" s="25">
        <v>0.79166666666666663</v>
      </c>
      <c r="AX25" s="25">
        <v>0</v>
      </c>
      <c r="AY25" s="25">
        <v>0</v>
      </c>
      <c r="AZ25" s="25">
        <v>25</v>
      </c>
      <c r="BA25" s="25">
        <v>8.3333333333333321</v>
      </c>
      <c r="BB25" s="25">
        <v>79.166666666666657</v>
      </c>
      <c r="BC25" s="25">
        <v>1.3333333333333333</v>
      </c>
      <c r="BD25" s="25">
        <v>33.333333333333329</v>
      </c>
      <c r="BE25" s="25">
        <v>0</v>
      </c>
      <c r="BF25" s="25">
        <v>0</v>
      </c>
      <c r="BG25" s="25">
        <v>0.75</v>
      </c>
      <c r="BH25" s="25">
        <v>0.25</v>
      </c>
      <c r="BI25" s="25">
        <v>0.625</v>
      </c>
      <c r="BJ25" s="25">
        <v>0.5</v>
      </c>
      <c r="BK25" s="25">
        <v>0.25</v>
      </c>
      <c r="BL25" s="25">
        <v>0.25</v>
      </c>
      <c r="BM25" s="25">
        <v>0.33333333333333331</v>
      </c>
      <c r="BN25" s="25">
        <v>0</v>
      </c>
      <c r="BO25" s="25">
        <v>0</v>
      </c>
      <c r="BP25" s="25">
        <v>0</v>
      </c>
      <c r="BQ25" s="25">
        <v>0</v>
      </c>
      <c r="BR25" s="25">
        <v>0.25</v>
      </c>
      <c r="BS25" s="25">
        <v>0.5</v>
      </c>
      <c r="BT25" s="25">
        <v>0.25</v>
      </c>
      <c r="BU25" s="25">
        <v>0.33333333333333331</v>
      </c>
      <c r="BV25" s="25">
        <v>0</v>
      </c>
      <c r="BW25" s="25">
        <v>95.833333333333343</v>
      </c>
      <c r="BX25" s="25">
        <v>4.1666666666666661</v>
      </c>
      <c r="BY25" s="25">
        <v>41.666666666666664</v>
      </c>
      <c r="BZ25" s="25">
        <v>0.20833333333333334</v>
      </c>
      <c r="CA25" s="25">
        <v>97.972972972972968</v>
      </c>
      <c r="CB25" s="25">
        <v>2.598076211353316</v>
      </c>
      <c r="CC25" s="25">
        <v>2.0270270270270316</v>
      </c>
      <c r="CD25" s="25">
        <v>0</v>
      </c>
      <c r="CE25" s="25">
        <v>0</v>
      </c>
      <c r="CF25" s="25">
        <v>0</v>
      </c>
      <c r="CG25" s="25">
        <v>0</v>
      </c>
      <c r="CH25" s="25">
        <v>0</v>
      </c>
    </row>
    <row r="26" spans="1:86" ht="15.75" x14ac:dyDescent="0.25">
      <c r="A26" s="2">
        <v>24</v>
      </c>
      <c r="B26" s="2" t="s">
        <v>3</v>
      </c>
      <c r="C26" s="2">
        <v>84</v>
      </c>
      <c r="D26" s="12">
        <v>2018</v>
      </c>
      <c r="E26" s="13">
        <v>43298</v>
      </c>
      <c r="F26" s="14" t="str">
        <f t="shared" si="0"/>
        <v>18198</v>
      </c>
      <c r="G26" s="32">
        <v>15.6</v>
      </c>
      <c r="H26" s="32">
        <v>7.99</v>
      </c>
      <c r="I26" s="32">
        <v>10.52</v>
      </c>
      <c r="J26" s="25">
        <v>122</v>
      </c>
      <c r="K26" s="25">
        <v>141</v>
      </c>
      <c r="L26" s="25">
        <v>167</v>
      </c>
      <c r="M26" s="25">
        <v>430</v>
      </c>
      <c r="N26" s="25">
        <v>0</v>
      </c>
      <c r="O26" s="25">
        <v>1.9</v>
      </c>
      <c r="P26" s="25">
        <v>2.2374999999999998</v>
      </c>
      <c r="Q26" s="25">
        <v>2.2124999999999999</v>
      </c>
      <c r="R26" s="25">
        <v>2.1166666666666667</v>
      </c>
      <c r="S26" s="25">
        <v>0.35590260840104421</v>
      </c>
      <c r="T26" s="25">
        <v>0.24545454545454548</v>
      </c>
      <c r="U26" s="25">
        <v>0.14583333333333334</v>
      </c>
      <c r="V26" s="25">
        <v>0.10666666666666669</v>
      </c>
      <c r="W26" s="25">
        <v>0.16371428571428576</v>
      </c>
      <c r="X26" s="25">
        <v>9.8102159066176281E-2</v>
      </c>
      <c r="Y26" s="25">
        <v>0.48</v>
      </c>
      <c r="Z26" s="25">
        <v>0.26</v>
      </c>
      <c r="AA26" s="25">
        <v>0.2</v>
      </c>
      <c r="AB26" s="25">
        <v>0.48</v>
      </c>
      <c r="AC26" s="25">
        <v>12.929028504944732</v>
      </c>
      <c r="AD26" s="25">
        <v>0</v>
      </c>
      <c r="AE26" s="25">
        <v>65.714285714285708</v>
      </c>
      <c r="AF26" s="25">
        <v>17.142857142857142</v>
      </c>
      <c r="AG26" s="25">
        <v>82.857142857142847</v>
      </c>
      <c r="AH26" s="25">
        <v>0</v>
      </c>
      <c r="AI26" s="25">
        <v>17.142857142857142</v>
      </c>
      <c r="AJ26" s="25">
        <v>0</v>
      </c>
      <c r="AK26" s="25">
        <v>17.142857142857142</v>
      </c>
      <c r="AL26" s="25">
        <v>65.714285714285708</v>
      </c>
      <c r="AM26" s="25">
        <v>0.19636363636363632</v>
      </c>
      <c r="AN26" s="25">
        <v>0.16636363636363635</v>
      </c>
      <c r="AO26" s="25">
        <v>0.2818181818181818</v>
      </c>
      <c r="AP26" s="25">
        <v>0.20942857142857141</v>
      </c>
      <c r="AQ26" s="25">
        <v>0.12564990712158872</v>
      </c>
      <c r="AR26" s="25">
        <v>0.56000000000000005</v>
      </c>
      <c r="AS26" s="25">
        <v>0.38</v>
      </c>
      <c r="AT26" s="25">
        <v>0.46</v>
      </c>
      <c r="AU26" s="25">
        <v>0.56000000000000005</v>
      </c>
      <c r="AV26" s="25">
        <v>8.3333333333333321</v>
      </c>
      <c r="AW26" s="25">
        <v>0.75</v>
      </c>
      <c r="AX26" s="25">
        <v>25</v>
      </c>
      <c r="AY26" s="25">
        <v>25</v>
      </c>
      <c r="AZ26" s="25">
        <v>0</v>
      </c>
      <c r="BA26" s="25">
        <v>16.666666666666664</v>
      </c>
      <c r="BB26" s="25">
        <v>75</v>
      </c>
      <c r="BC26" s="25">
        <v>0.25</v>
      </c>
      <c r="BD26" s="25">
        <v>8.3333333333333321</v>
      </c>
      <c r="BE26" s="25">
        <v>1</v>
      </c>
      <c r="BF26" s="25">
        <v>0.5</v>
      </c>
      <c r="BG26" s="25">
        <v>0.875</v>
      </c>
      <c r="BH26" s="25">
        <v>0.79166666666666663</v>
      </c>
      <c r="BI26" s="25">
        <v>1.8333333333333333</v>
      </c>
      <c r="BJ26" s="25">
        <v>1</v>
      </c>
      <c r="BK26" s="25">
        <v>0.5</v>
      </c>
      <c r="BL26" s="25">
        <v>0.25</v>
      </c>
      <c r="BM26" s="25">
        <v>0.58333333333333337</v>
      </c>
      <c r="BN26" s="25">
        <v>0.5</v>
      </c>
      <c r="BO26" s="25">
        <v>0</v>
      </c>
      <c r="BP26" s="25">
        <v>0</v>
      </c>
      <c r="BQ26" s="25">
        <v>0.16666666666666666</v>
      </c>
      <c r="BR26" s="25">
        <v>1</v>
      </c>
      <c r="BS26" s="25">
        <v>0.25</v>
      </c>
      <c r="BT26" s="25">
        <v>0.25</v>
      </c>
      <c r="BU26" s="25">
        <v>0.5</v>
      </c>
      <c r="BV26" s="25">
        <v>20.833333333333336</v>
      </c>
      <c r="BW26" s="25">
        <v>50</v>
      </c>
      <c r="BX26" s="25">
        <v>29.166666666666668</v>
      </c>
      <c r="BY26" s="25">
        <v>36.666666666666664</v>
      </c>
      <c r="BZ26" s="25">
        <v>0.79166666666666663</v>
      </c>
      <c r="CA26" s="25">
        <v>35.472972972972968</v>
      </c>
      <c r="CB26" s="25">
        <v>13.666869917187817</v>
      </c>
      <c r="CC26" s="25">
        <v>64.527027027027032</v>
      </c>
      <c r="CD26" s="25">
        <v>0</v>
      </c>
      <c r="CE26" s="25">
        <v>0</v>
      </c>
      <c r="CF26" s="25">
        <v>0</v>
      </c>
      <c r="CG26" s="25">
        <v>0</v>
      </c>
      <c r="CH26" s="25">
        <v>0</v>
      </c>
    </row>
    <row r="27" spans="1:86" ht="15.75" x14ac:dyDescent="0.25">
      <c r="A27" s="2">
        <v>25</v>
      </c>
      <c r="B27" s="2" t="s">
        <v>3</v>
      </c>
      <c r="C27" s="2">
        <v>85</v>
      </c>
      <c r="D27" s="12">
        <v>2018</v>
      </c>
      <c r="E27" s="13">
        <v>43276</v>
      </c>
      <c r="F27" s="14" t="str">
        <f t="shared" si="0"/>
        <v>18176</v>
      </c>
      <c r="G27" s="32">
        <v>15.9</v>
      </c>
      <c r="H27" s="32">
        <v>8.11</v>
      </c>
      <c r="I27" s="32">
        <v>11.78</v>
      </c>
      <c r="J27" s="25">
        <v>949</v>
      </c>
      <c r="K27" s="25">
        <v>490</v>
      </c>
      <c r="L27" s="25">
        <v>427</v>
      </c>
      <c r="M27" s="25">
        <v>1866</v>
      </c>
      <c r="N27" s="25">
        <v>3.2154340836012865</v>
      </c>
      <c r="O27" s="25">
        <v>2.8624999999999998</v>
      </c>
      <c r="P27" s="25">
        <v>3.5750000000000002</v>
      </c>
      <c r="Q27" s="25">
        <v>4.242857142857142</v>
      </c>
      <c r="R27" s="25">
        <v>3.5304347826086957</v>
      </c>
      <c r="S27" s="25">
        <v>1.0742586376442869</v>
      </c>
      <c r="T27" s="25">
        <v>0.35299999999999998</v>
      </c>
      <c r="U27" s="25">
        <v>0.23785714285714285</v>
      </c>
      <c r="V27" s="25">
        <v>0.16545454545454544</v>
      </c>
      <c r="W27" s="25">
        <v>0.24800000000000005</v>
      </c>
      <c r="X27" s="25">
        <v>0.16021676493022147</v>
      </c>
      <c r="Y27" s="25">
        <v>0.68</v>
      </c>
      <c r="Z27" s="25">
        <v>0.54</v>
      </c>
      <c r="AA27" s="25">
        <v>0.3</v>
      </c>
      <c r="AB27" s="25">
        <v>0.68</v>
      </c>
      <c r="AC27" s="25">
        <v>14.235624123422157</v>
      </c>
      <c r="AD27" s="25">
        <v>0</v>
      </c>
      <c r="AE27" s="25">
        <v>0</v>
      </c>
      <c r="AF27" s="25">
        <v>0</v>
      </c>
      <c r="AG27" s="25">
        <v>0</v>
      </c>
      <c r="AH27" s="25">
        <v>5.7142857142857144</v>
      </c>
      <c r="AI27" s="25">
        <v>94.285714285714278</v>
      </c>
      <c r="AJ27" s="25">
        <v>0</v>
      </c>
      <c r="AK27" s="25">
        <v>99.999999999999986</v>
      </c>
      <c r="AL27" s="25">
        <v>94.285714285714278</v>
      </c>
      <c r="AM27" s="25">
        <v>0.23888888888888887</v>
      </c>
      <c r="AN27" s="25">
        <v>0.1676923076923077</v>
      </c>
      <c r="AO27" s="25">
        <v>0.27300000000000002</v>
      </c>
      <c r="AP27" s="25">
        <v>0.20399999999999996</v>
      </c>
      <c r="AQ27" s="25">
        <v>0.18137059882364359</v>
      </c>
      <c r="AR27" s="25">
        <v>0.54</v>
      </c>
      <c r="AS27" s="25">
        <v>0.48</v>
      </c>
      <c r="AT27" s="25">
        <v>0.67</v>
      </c>
      <c r="AU27" s="25">
        <v>0.67</v>
      </c>
      <c r="AV27" s="25">
        <v>54.166666666666664</v>
      </c>
      <c r="AW27" s="25">
        <v>0.13043478260869565</v>
      </c>
      <c r="AX27" s="25">
        <v>37.5</v>
      </c>
      <c r="AY27" s="25">
        <v>50</v>
      </c>
      <c r="AZ27" s="25">
        <v>0</v>
      </c>
      <c r="BA27" s="25">
        <v>29.166666666666668</v>
      </c>
      <c r="BB27" s="25">
        <v>54.166666666666664</v>
      </c>
      <c r="BC27" s="25">
        <v>1</v>
      </c>
      <c r="BD27" s="25">
        <v>33.333333333333329</v>
      </c>
      <c r="BE27" s="25">
        <v>0.25</v>
      </c>
      <c r="BF27" s="25">
        <v>0.25</v>
      </c>
      <c r="BG27" s="25">
        <v>0.14285714285714285</v>
      </c>
      <c r="BH27" s="25">
        <v>0.21739130434782608</v>
      </c>
      <c r="BI27" s="25">
        <v>0.65217391304347827</v>
      </c>
      <c r="BJ27" s="25">
        <v>1</v>
      </c>
      <c r="BK27" s="25">
        <v>0.5</v>
      </c>
      <c r="BL27" s="25">
        <v>0.75</v>
      </c>
      <c r="BM27" s="25">
        <v>0.75</v>
      </c>
      <c r="BN27" s="25">
        <v>1</v>
      </c>
      <c r="BO27" s="25">
        <v>0.25</v>
      </c>
      <c r="BP27" s="25">
        <v>1</v>
      </c>
      <c r="BQ27" s="25">
        <v>0.75</v>
      </c>
      <c r="BR27" s="25">
        <v>1.5</v>
      </c>
      <c r="BS27" s="25">
        <v>0.5</v>
      </c>
      <c r="BT27" s="25">
        <v>0</v>
      </c>
      <c r="BU27" s="25">
        <v>0.66666666666666663</v>
      </c>
      <c r="BV27" s="25">
        <v>33.333333333333329</v>
      </c>
      <c r="BW27" s="25">
        <v>50</v>
      </c>
      <c r="BX27" s="25">
        <v>16.666666666666664</v>
      </c>
      <c r="BY27" s="25">
        <v>30.416666666666668</v>
      </c>
      <c r="BZ27" s="25">
        <v>0.625</v>
      </c>
      <c r="CA27" s="25">
        <v>8.9189189189189175</v>
      </c>
      <c r="CB27" s="25">
        <v>4.7354131742683743</v>
      </c>
      <c r="CC27" s="25">
        <v>91.081081081081081</v>
      </c>
      <c r="CD27" s="25">
        <v>0</v>
      </c>
      <c r="CE27" s="25">
        <v>0</v>
      </c>
      <c r="CF27" s="25">
        <v>0</v>
      </c>
      <c r="CG27" s="25">
        <v>0</v>
      </c>
      <c r="CH27" s="25">
        <v>0</v>
      </c>
    </row>
    <row r="28" spans="1:86" ht="15.75" x14ac:dyDescent="0.25">
      <c r="A28" s="2">
        <v>26</v>
      </c>
      <c r="B28" s="2" t="s">
        <v>3</v>
      </c>
      <c r="C28" s="2">
        <v>86</v>
      </c>
      <c r="D28" s="12">
        <v>2018</v>
      </c>
      <c r="E28" s="13">
        <v>43308</v>
      </c>
      <c r="F28" s="14" t="str">
        <f t="shared" si="0"/>
        <v>18208</v>
      </c>
      <c r="G28" s="33">
        <v>15.6</v>
      </c>
      <c r="H28" s="33">
        <v>8.39</v>
      </c>
      <c r="I28" s="33">
        <v>11.56</v>
      </c>
      <c r="J28" s="25">
        <v>448</v>
      </c>
      <c r="K28" s="25">
        <v>475</v>
      </c>
      <c r="L28" s="25">
        <v>545</v>
      </c>
      <c r="M28" s="25">
        <v>1468</v>
      </c>
      <c r="N28" s="25">
        <v>0.57220708446866475</v>
      </c>
      <c r="O28" s="25">
        <v>2.6750000000000003</v>
      </c>
      <c r="P28" s="25">
        <v>3.1374999999999997</v>
      </c>
      <c r="Q28" s="25">
        <v>2.7624999999999997</v>
      </c>
      <c r="R28" s="25">
        <v>2.8583333333333338</v>
      </c>
      <c r="S28" s="25">
        <v>0.84024668565464744</v>
      </c>
      <c r="T28" s="25">
        <v>0.2225</v>
      </c>
      <c r="U28" s="25">
        <v>0.25</v>
      </c>
      <c r="V28" s="25">
        <v>0.19833333333333333</v>
      </c>
      <c r="W28" s="25">
        <v>0.22361111111111112</v>
      </c>
      <c r="X28" s="25">
        <v>0.12226792074965714</v>
      </c>
      <c r="Y28" s="25">
        <v>0.54</v>
      </c>
      <c r="Z28" s="25">
        <v>0.56000000000000005</v>
      </c>
      <c r="AA28" s="25">
        <v>0.44</v>
      </c>
      <c r="AB28" s="25">
        <v>0.56000000000000005</v>
      </c>
      <c r="AC28" s="25">
        <v>12.782608695652176</v>
      </c>
      <c r="AD28" s="25">
        <v>3.3333333333333335</v>
      </c>
      <c r="AE28" s="25">
        <v>0</v>
      </c>
      <c r="AF28" s="25">
        <v>6.666666666666667</v>
      </c>
      <c r="AG28" s="25">
        <v>10</v>
      </c>
      <c r="AH28" s="25">
        <v>0</v>
      </c>
      <c r="AI28" s="25">
        <v>90</v>
      </c>
      <c r="AJ28" s="25">
        <v>0</v>
      </c>
      <c r="AK28" s="25">
        <v>90</v>
      </c>
      <c r="AL28" s="25">
        <v>90</v>
      </c>
      <c r="AM28" s="25">
        <v>0.2558333333333333</v>
      </c>
      <c r="AN28" s="25">
        <v>0.23666666666666666</v>
      </c>
      <c r="AO28" s="25">
        <v>0.20333333333333334</v>
      </c>
      <c r="AP28" s="25">
        <v>0.23194444444444443</v>
      </c>
      <c r="AQ28" s="25">
        <v>0.22565231719166601</v>
      </c>
      <c r="AR28" s="25">
        <v>0.72</v>
      </c>
      <c r="AS28" s="25">
        <v>0.92</v>
      </c>
      <c r="AT28" s="25">
        <v>0.46</v>
      </c>
      <c r="AU28" s="25">
        <v>0.92</v>
      </c>
      <c r="AV28" s="25">
        <v>37.5</v>
      </c>
      <c r="AW28" s="25">
        <v>0.33333333333333331</v>
      </c>
      <c r="AX28" s="25">
        <v>37.5</v>
      </c>
      <c r="AY28" s="25">
        <v>37.5</v>
      </c>
      <c r="AZ28" s="25">
        <v>12.5</v>
      </c>
      <c r="BA28" s="25">
        <v>29.166666666666668</v>
      </c>
      <c r="BB28" s="25">
        <v>37.5</v>
      </c>
      <c r="BC28" s="25">
        <v>1.75</v>
      </c>
      <c r="BD28" s="25">
        <v>58.333333333333336</v>
      </c>
      <c r="BE28" s="25">
        <v>0</v>
      </c>
      <c r="BF28" s="25">
        <v>0</v>
      </c>
      <c r="BG28" s="25">
        <v>0</v>
      </c>
      <c r="BH28" s="25">
        <v>0</v>
      </c>
      <c r="BI28" s="25">
        <v>0.375</v>
      </c>
      <c r="BJ28" s="25">
        <v>0</v>
      </c>
      <c r="BK28" s="25">
        <v>0</v>
      </c>
      <c r="BL28" s="25">
        <v>0</v>
      </c>
      <c r="BM28" s="25">
        <v>0</v>
      </c>
      <c r="BN28" s="25">
        <v>0.25</v>
      </c>
      <c r="BO28" s="25">
        <v>0</v>
      </c>
      <c r="BP28" s="25">
        <v>1</v>
      </c>
      <c r="BQ28" s="25">
        <v>0.41666666666666669</v>
      </c>
      <c r="BR28" s="25">
        <v>0.75</v>
      </c>
      <c r="BS28" s="25">
        <v>0.5</v>
      </c>
      <c r="BT28" s="25">
        <v>0.75</v>
      </c>
      <c r="BU28" s="25">
        <v>0.66666666666666663</v>
      </c>
      <c r="BV28" s="25">
        <v>33.333333333333329</v>
      </c>
      <c r="BW28" s="25">
        <v>54.166666666666664</v>
      </c>
      <c r="BX28" s="25">
        <v>12.5</v>
      </c>
      <c r="BY28" s="25">
        <v>29.166666666666668</v>
      </c>
      <c r="BZ28" s="25">
        <v>1.6666666666666667</v>
      </c>
      <c r="CA28" s="25">
        <v>64.26426426426427</v>
      </c>
      <c r="CB28" s="25">
        <v>16.030526434829824</v>
      </c>
      <c r="CC28" s="25">
        <v>35.73573573573573</v>
      </c>
      <c r="CD28" s="25">
        <v>0</v>
      </c>
      <c r="CE28" s="25">
        <v>0</v>
      </c>
      <c r="CF28" s="25">
        <v>0</v>
      </c>
      <c r="CG28" s="25">
        <v>0</v>
      </c>
      <c r="CH28" s="25">
        <v>0</v>
      </c>
    </row>
    <row r="29" spans="1:86" ht="15.75" x14ac:dyDescent="0.25">
      <c r="A29" s="2">
        <v>27</v>
      </c>
      <c r="B29" s="2" t="s">
        <v>3</v>
      </c>
      <c r="C29" s="2">
        <v>93</v>
      </c>
      <c r="D29" s="12">
        <v>2018</v>
      </c>
      <c r="E29" s="13">
        <v>43313</v>
      </c>
      <c r="F29" s="14" t="str">
        <f t="shared" si="0"/>
        <v>18213</v>
      </c>
      <c r="G29" s="32">
        <v>15.7</v>
      </c>
      <c r="H29" s="32">
        <v>8.5399999999999991</v>
      </c>
      <c r="I29" s="32">
        <v>11.63</v>
      </c>
      <c r="J29" s="25">
        <v>441</v>
      </c>
      <c r="K29" s="25">
        <v>310</v>
      </c>
      <c r="L29" s="25">
        <v>488</v>
      </c>
      <c r="M29" s="25">
        <v>1239</v>
      </c>
      <c r="N29" s="25">
        <v>0</v>
      </c>
      <c r="O29" s="25">
        <v>1.4</v>
      </c>
      <c r="P29" s="25">
        <v>1.5625</v>
      </c>
      <c r="Q29" s="25">
        <v>1.9375</v>
      </c>
      <c r="R29" s="25">
        <v>1.6333333333333335</v>
      </c>
      <c r="S29" s="25">
        <v>0.74813778472119363</v>
      </c>
      <c r="T29" s="25">
        <v>0.12222222222222223</v>
      </c>
      <c r="U29" s="25">
        <v>0.13</v>
      </c>
      <c r="V29" s="25">
        <v>0.26800000000000002</v>
      </c>
      <c r="W29" s="25">
        <v>0.17517241379310347</v>
      </c>
      <c r="X29" s="25">
        <v>0.14497834049202887</v>
      </c>
      <c r="Y29" s="25">
        <v>0.28000000000000003</v>
      </c>
      <c r="Z29" s="25">
        <v>0.2</v>
      </c>
      <c r="AA29" s="25">
        <v>0.68</v>
      </c>
      <c r="AB29" s="25">
        <v>0.68</v>
      </c>
      <c r="AC29" s="25">
        <v>9.3241469816272957</v>
      </c>
      <c r="AD29" s="25">
        <v>0</v>
      </c>
      <c r="AE29" s="25">
        <v>14.814814814814813</v>
      </c>
      <c r="AF29" s="25">
        <v>7.4074074074074066</v>
      </c>
      <c r="AG29" s="25">
        <v>22.222222222222221</v>
      </c>
      <c r="AH29" s="25">
        <v>11.111111111111111</v>
      </c>
      <c r="AI29" s="25">
        <v>66.666666666666657</v>
      </c>
      <c r="AJ29" s="25">
        <v>0</v>
      </c>
      <c r="AK29" s="25">
        <v>77.777777777777771</v>
      </c>
      <c r="AL29" s="25">
        <v>66.666666666666657</v>
      </c>
      <c r="AM29" s="25">
        <v>0.23111111111111107</v>
      </c>
      <c r="AN29" s="25">
        <v>0.13900000000000001</v>
      </c>
      <c r="AO29" s="25">
        <v>0.14699999999999999</v>
      </c>
      <c r="AP29" s="25">
        <v>0.17034482758620684</v>
      </c>
      <c r="AQ29" s="25">
        <v>0.16145505253830794</v>
      </c>
      <c r="AR29" s="25">
        <v>0.5</v>
      </c>
      <c r="AS29" s="25">
        <v>0.26</v>
      </c>
      <c r="AT29" s="25">
        <v>0.56000000000000005</v>
      </c>
      <c r="AU29" s="25">
        <v>0.56000000000000005</v>
      </c>
      <c r="AV29" s="25">
        <v>29.166666666666668</v>
      </c>
      <c r="AW29" s="25">
        <v>0.45833333333333331</v>
      </c>
      <c r="AX29" s="25">
        <v>0</v>
      </c>
      <c r="AY29" s="25">
        <v>25</v>
      </c>
      <c r="AZ29" s="25">
        <v>50</v>
      </c>
      <c r="BA29" s="25">
        <v>25</v>
      </c>
      <c r="BB29" s="25">
        <v>45.833333333333329</v>
      </c>
      <c r="BC29" s="25">
        <v>1.3333333333333333</v>
      </c>
      <c r="BD29" s="25">
        <v>50</v>
      </c>
      <c r="BE29" s="25">
        <v>0</v>
      </c>
      <c r="BF29" s="25">
        <v>0.125</v>
      </c>
      <c r="BG29" s="25">
        <v>0</v>
      </c>
      <c r="BH29" s="25">
        <v>4.1666666666666664E-2</v>
      </c>
      <c r="BI29" s="25">
        <v>0.54166666666666663</v>
      </c>
      <c r="BJ29" s="25">
        <v>0</v>
      </c>
      <c r="BK29" s="25">
        <v>0</v>
      </c>
      <c r="BL29" s="25">
        <v>0.5</v>
      </c>
      <c r="BM29" s="25">
        <v>0.16666666666666666</v>
      </c>
      <c r="BN29" s="25">
        <v>0</v>
      </c>
      <c r="BO29" s="25">
        <v>0</v>
      </c>
      <c r="BP29" s="25">
        <v>0</v>
      </c>
      <c r="BQ29" s="25">
        <v>0</v>
      </c>
      <c r="BR29" s="25">
        <v>0</v>
      </c>
      <c r="BS29" s="25">
        <v>0</v>
      </c>
      <c r="BT29" s="25">
        <v>1.5</v>
      </c>
      <c r="BU29" s="25">
        <v>0.5</v>
      </c>
      <c r="BV29" s="25">
        <v>37.5</v>
      </c>
      <c r="BW29" s="25">
        <v>62.5</v>
      </c>
      <c r="BX29" s="25">
        <v>0</v>
      </c>
      <c r="BY29" s="25">
        <v>23.125</v>
      </c>
      <c r="BZ29" s="25">
        <v>4.5454545454545456E-2</v>
      </c>
      <c r="CA29" s="25">
        <v>34.45945945945946</v>
      </c>
      <c r="CB29" s="25">
        <v>14.065593094175201</v>
      </c>
      <c r="CC29" s="25">
        <v>65.540540540540547</v>
      </c>
      <c r="CD29" s="25">
        <v>0</v>
      </c>
      <c r="CE29" s="25">
        <v>0</v>
      </c>
      <c r="CF29" s="25">
        <v>0</v>
      </c>
      <c r="CG29" s="25">
        <v>0</v>
      </c>
      <c r="CH29" s="25">
        <v>0</v>
      </c>
    </row>
    <row r="30" spans="1:86" ht="15.75" x14ac:dyDescent="0.25">
      <c r="A30" s="2">
        <v>28</v>
      </c>
      <c r="B30" s="2" t="s">
        <v>3</v>
      </c>
      <c r="C30" s="2">
        <v>96</v>
      </c>
      <c r="D30" s="12">
        <v>2018</v>
      </c>
      <c r="E30" s="13">
        <v>43249</v>
      </c>
      <c r="F30" s="14" t="str">
        <f t="shared" si="0"/>
        <v>18149</v>
      </c>
      <c r="G30" s="32">
        <v>17.600000000000001</v>
      </c>
      <c r="H30" s="32">
        <v>8.4700000000000006</v>
      </c>
      <c r="I30" s="32">
        <v>8.81</v>
      </c>
      <c r="J30" s="25">
        <v>2146</v>
      </c>
      <c r="K30" s="25">
        <v>1481</v>
      </c>
      <c r="L30" s="25">
        <v>969</v>
      </c>
      <c r="M30" s="25">
        <v>4596</v>
      </c>
      <c r="N30" s="25">
        <v>0</v>
      </c>
      <c r="O30" s="25">
        <v>5.0999999999999996</v>
      </c>
      <c r="P30" s="25">
        <v>4.7749999999999995</v>
      </c>
      <c r="Q30" s="25">
        <v>4.6375000000000002</v>
      </c>
      <c r="R30" s="25">
        <v>4.8374999999999995</v>
      </c>
      <c r="S30" s="25">
        <v>1.2218348639577328</v>
      </c>
      <c r="T30" s="25">
        <v>0.34499999999999997</v>
      </c>
      <c r="U30" s="25">
        <v>0.21937500000000001</v>
      </c>
      <c r="V30" s="25">
        <v>0.27875000000000005</v>
      </c>
      <c r="W30" s="25">
        <v>0.28104166666666669</v>
      </c>
      <c r="X30" s="25">
        <v>0.1459268190732009</v>
      </c>
      <c r="Y30" s="25">
        <v>0.84</v>
      </c>
      <c r="Z30" s="25">
        <v>0.39</v>
      </c>
      <c r="AA30" s="25">
        <v>0.42</v>
      </c>
      <c r="AB30" s="25">
        <v>0.84</v>
      </c>
      <c r="AC30" s="25">
        <v>17.212750185322459</v>
      </c>
      <c r="AD30" s="25">
        <v>0</v>
      </c>
      <c r="AE30" s="25">
        <v>19.148936170212767</v>
      </c>
      <c r="AF30" s="25">
        <v>2.1276595744680851</v>
      </c>
      <c r="AG30" s="25">
        <v>21.276595744680854</v>
      </c>
      <c r="AH30" s="25">
        <v>0</v>
      </c>
      <c r="AI30" s="25">
        <v>74.468085106382972</v>
      </c>
      <c r="AJ30" s="25">
        <v>4.2553191489361701</v>
      </c>
      <c r="AK30" s="25">
        <v>78.723404255319139</v>
      </c>
      <c r="AL30" s="25">
        <v>74.468085106382972</v>
      </c>
      <c r="AM30" s="25">
        <v>0.26</v>
      </c>
      <c r="AN30" s="25">
        <v>0.35599999999999998</v>
      </c>
      <c r="AO30" s="25">
        <v>0.27600000000000002</v>
      </c>
      <c r="AP30" s="25">
        <v>0.291875</v>
      </c>
      <c r="AQ30" s="25">
        <v>0.23431798952015176</v>
      </c>
      <c r="AR30" s="25">
        <v>0.89</v>
      </c>
      <c r="AS30" s="25">
        <v>0.89</v>
      </c>
      <c r="AT30" s="25">
        <v>0.53</v>
      </c>
      <c r="AU30" s="25">
        <v>0.89</v>
      </c>
      <c r="AV30" s="25">
        <v>33.333333333333329</v>
      </c>
      <c r="AW30" s="25">
        <v>0.45833333333333331</v>
      </c>
      <c r="AX30" s="25">
        <v>37.5</v>
      </c>
      <c r="AY30" s="25">
        <v>25</v>
      </c>
      <c r="AZ30" s="25">
        <v>0</v>
      </c>
      <c r="BA30" s="25">
        <v>20.833333333333336</v>
      </c>
      <c r="BB30" s="25">
        <v>45.833333333333329</v>
      </c>
      <c r="BC30" s="25">
        <v>1</v>
      </c>
      <c r="BD30" s="25">
        <v>41.666666666666671</v>
      </c>
      <c r="BE30" s="25">
        <v>0</v>
      </c>
      <c r="BF30" s="25">
        <v>0</v>
      </c>
      <c r="BG30" s="25">
        <v>0.875</v>
      </c>
      <c r="BH30" s="25">
        <v>0.29166666666666669</v>
      </c>
      <c r="BI30" s="25">
        <v>0.625</v>
      </c>
      <c r="BJ30" s="25">
        <v>0</v>
      </c>
      <c r="BK30" s="25">
        <v>0</v>
      </c>
      <c r="BL30" s="25">
        <v>0</v>
      </c>
      <c r="BM30" s="25">
        <v>0</v>
      </c>
      <c r="BN30" s="25">
        <v>0.25</v>
      </c>
      <c r="BO30" s="25">
        <v>0.5</v>
      </c>
      <c r="BP30" s="25">
        <v>0.25</v>
      </c>
      <c r="BQ30" s="25">
        <v>0.33333333333333331</v>
      </c>
      <c r="BR30" s="25">
        <v>0.5</v>
      </c>
      <c r="BS30" s="25">
        <v>0</v>
      </c>
      <c r="BT30" s="25">
        <v>0.5</v>
      </c>
      <c r="BU30" s="25">
        <v>0.33333333333333331</v>
      </c>
      <c r="BV30" s="25">
        <v>8.3333333333333321</v>
      </c>
      <c r="BW30" s="25">
        <v>66.666666666666657</v>
      </c>
      <c r="BX30" s="25">
        <v>25</v>
      </c>
      <c r="BY30" s="25">
        <v>42.5</v>
      </c>
      <c r="BZ30" s="25">
        <v>1.7916666666666667</v>
      </c>
      <c r="CA30" s="25">
        <v>40.015015015015017</v>
      </c>
      <c r="CB30" s="25">
        <v>14.583394557694612</v>
      </c>
      <c r="CC30" s="25">
        <v>59.984984984984983</v>
      </c>
      <c r="CD30" s="25">
        <v>0</v>
      </c>
      <c r="CE30" s="25">
        <v>0</v>
      </c>
      <c r="CF30" s="25">
        <v>0</v>
      </c>
      <c r="CG30" s="25">
        <v>0</v>
      </c>
      <c r="CH30" s="25">
        <v>0</v>
      </c>
    </row>
    <row r="31" spans="1:86" ht="15.75" x14ac:dyDescent="0.25">
      <c r="A31" s="2">
        <v>29</v>
      </c>
      <c r="B31" s="2" t="s">
        <v>3</v>
      </c>
      <c r="C31" s="2">
        <v>108</v>
      </c>
      <c r="D31" s="12">
        <v>2018</v>
      </c>
      <c r="E31" s="13">
        <v>43305</v>
      </c>
      <c r="F31" s="14" t="str">
        <f t="shared" si="0"/>
        <v>18205</v>
      </c>
      <c r="G31" s="32">
        <v>17.7</v>
      </c>
      <c r="H31" s="32">
        <v>7.97</v>
      </c>
      <c r="I31" s="32">
        <v>12.27</v>
      </c>
      <c r="J31" s="25">
        <v>1076</v>
      </c>
      <c r="K31" s="25">
        <v>737</v>
      </c>
      <c r="L31" s="25">
        <v>511</v>
      </c>
      <c r="M31" s="25">
        <v>2324</v>
      </c>
      <c r="N31" s="25">
        <v>0</v>
      </c>
      <c r="O31" s="25">
        <v>3.4249999999999998</v>
      </c>
      <c r="P31" s="25">
        <v>2.5874999999999999</v>
      </c>
      <c r="Q31" s="25">
        <v>2.8875000000000002</v>
      </c>
      <c r="R31" s="25">
        <v>2.9666666666666668</v>
      </c>
      <c r="S31" s="25">
        <v>1.0639003985199986</v>
      </c>
      <c r="T31" s="25">
        <v>0.30153846153846153</v>
      </c>
      <c r="U31" s="25">
        <v>0.48833333333333329</v>
      </c>
      <c r="V31" s="25">
        <v>0.29416666666666669</v>
      </c>
      <c r="W31" s="25">
        <v>0.35972972972972972</v>
      </c>
      <c r="X31" s="25">
        <v>0.28296531478145764</v>
      </c>
      <c r="Y31" s="25">
        <v>1.3</v>
      </c>
      <c r="Z31" s="25">
        <v>1.2</v>
      </c>
      <c r="AA31" s="25">
        <v>0.78</v>
      </c>
      <c r="AB31" s="25">
        <v>1.3</v>
      </c>
      <c r="AC31" s="25">
        <v>8.2469321312296522</v>
      </c>
      <c r="AD31" s="25">
        <v>0</v>
      </c>
      <c r="AE31" s="25">
        <v>8.1081081081081088</v>
      </c>
      <c r="AF31" s="25">
        <v>2.7027027027027026</v>
      </c>
      <c r="AG31" s="25">
        <v>10.810810810810811</v>
      </c>
      <c r="AH31" s="25">
        <v>8.1081081081081088</v>
      </c>
      <c r="AI31" s="25">
        <v>81.081081081081081</v>
      </c>
      <c r="AJ31" s="25">
        <v>0</v>
      </c>
      <c r="AK31" s="25">
        <v>89.189189189189193</v>
      </c>
      <c r="AL31" s="25">
        <v>81.081081081081081</v>
      </c>
      <c r="AM31" s="25">
        <v>0.31916666666666665</v>
      </c>
      <c r="AN31" s="25">
        <v>0.20454545454545456</v>
      </c>
      <c r="AO31" s="25">
        <v>0.27090909090909093</v>
      </c>
      <c r="AP31" s="25">
        <v>0.25972972972972974</v>
      </c>
      <c r="AQ31" s="25">
        <v>0.24537371142454983</v>
      </c>
      <c r="AR31" s="25">
        <v>0.84</v>
      </c>
      <c r="AS31" s="25">
        <v>0.67</v>
      </c>
      <c r="AT31" s="25">
        <v>1.01</v>
      </c>
      <c r="AU31" s="25">
        <v>1.01</v>
      </c>
      <c r="AV31" s="25">
        <v>25</v>
      </c>
      <c r="AW31" s="25">
        <v>0.39130434782608697</v>
      </c>
      <c r="AX31" s="25">
        <v>12.5</v>
      </c>
      <c r="AY31" s="25">
        <v>50</v>
      </c>
      <c r="AZ31" s="25">
        <v>37.5</v>
      </c>
      <c r="BA31" s="25">
        <v>33.333333333333329</v>
      </c>
      <c r="BB31" s="25">
        <v>37.5</v>
      </c>
      <c r="BC31" s="25">
        <v>1.4166666666666667</v>
      </c>
      <c r="BD31" s="25">
        <v>41.666666666666671</v>
      </c>
      <c r="BE31" s="25">
        <v>0</v>
      </c>
      <c r="BF31" s="25">
        <v>0.25</v>
      </c>
      <c r="BG31" s="25">
        <v>0</v>
      </c>
      <c r="BH31" s="25">
        <v>8.3333333333333329E-2</v>
      </c>
      <c r="BI31" s="25">
        <v>4.1666666666666664E-2</v>
      </c>
      <c r="BJ31" s="25">
        <v>1.25</v>
      </c>
      <c r="BK31" s="25">
        <v>1.75</v>
      </c>
      <c r="BL31" s="25">
        <v>0.25</v>
      </c>
      <c r="BM31" s="25">
        <v>1.0833333333333333</v>
      </c>
      <c r="BN31" s="25">
        <v>0.25</v>
      </c>
      <c r="BO31" s="25">
        <v>0</v>
      </c>
      <c r="BP31" s="25">
        <v>0</v>
      </c>
      <c r="BQ31" s="25">
        <v>8.3333333333333329E-2</v>
      </c>
      <c r="BR31" s="25">
        <v>0.5</v>
      </c>
      <c r="BS31" s="25">
        <v>1.75</v>
      </c>
      <c r="BT31" s="25">
        <v>0.5</v>
      </c>
      <c r="BU31" s="25">
        <v>0.91666666666666663</v>
      </c>
      <c r="BV31" s="25">
        <v>16.666666666666664</v>
      </c>
      <c r="BW31" s="25">
        <v>79.166666666666657</v>
      </c>
      <c r="BX31" s="25">
        <v>4.1666666666666661</v>
      </c>
      <c r="BY31" s="25">
        <v>33.541666666666664</v>
      </c>
      <c r="BZ31" s="25">
        <v>0.91666666666666663</v>
      </c>
      <c r="CA31" s="25">
        <v>100</v>
      </c>
      <c r="CB31" s="25">
        <v>0</v>
      </c>
      <c r="CC31" s="25">
        <v>0</v>
      </c>
      <c r="CD31" s="25">
        <v>0</v>
      </c>
      <c r="CE31" s="25">
        <v>0</v>
      </c>
      <c r="CF31" s="25">
        <v>0</v>
      </c>
      <c r="CG31" s="25">
        <v>0</v>
      </c>
      <c r="CH31" s="25">
        <v>0</v>
      </c>
    </row>
    <row r="32" spans="1:86" ht="15.75" x14ac:dyDescent="0.25">
      <c r="A32" s="2">
        <v>30</v>
      </c>
      <c r="B32" s="2" t="s">
        <v>3</v>
      </c>
      <c r="C32" s="2">
        <v>109</v>
      </c>
      <c r="D32" s="12">
        <v>2018</v>
      </c>
      <c r="E32" s="13">
        <v>43283</v>
      </c>
      <c r="F32" s="14" t="str">
        <f t="shared" si="0"/>
        <v>18183</v>
      </c>
      <c r="G32" s="32">
        <v>13.6</v>
      </c>
      <c r="H32" s="32">
        <v>8.9499999999999993</v>
      </c>
      <c r="I32" s="32">
        <v>11.36</v>
      </c>
      <c r="J32" s="25">
        <v>931</v>
      </c>
      <c r="K32" s="25">
        <v>261</v>
      </c>
      <c r="L32" s="25">
        <v>262</v>
      </c>
      <c r="M32" s="25">
        <v>1454</v>
      </c>
      <c r="N32" s="25">
        <v>0.82530949105914719</v>
      </c>
      <c r="O32" s="25">
        <v>3.7499999999999996</v>
      </c>
      <c r="P32" s="25">
        <v>4.3375000000000004</v>
      </c>
      <c r="Q32" s="25">
        <v>3.2249999999999996</v>
      </c>
      <c r="R32" s="25">
        <v>3.7708333333333335</v>
      </c>
      <c r="S32" s="25">
        <v>1.404798969578045</v>
      </c>
      <c r="T32" s="25">
        <v>0.27909090909090906</v>
      </c>
      <c r="U32" s="25">
        <v>0.13999999999999999</v>
      </c>
      <c r="V32" s="25">
        <v>0.27250000000000002</v>
      </c>
      <c r="W32" s="25">
        <v>0.22931034482758619</v>
      </c>
      <c r="X32" s="25">
        <v>0.191943649366213</v>
      </c>
      <c r="Y32" s="25">
        <v>0.8</v>
      </c>
      <c r="Z32" s="25">
        <v>0.24</v>
      </c>
      <c r="AA32" s="25">
        <v>0.66</v>
      </c>
      <c r="AB32" s="25">
        <v>0.8</v>
      </c>
      <c r="AC32" s="25">
        <v>16.444235588972433</v>
      </c>
      <c r="AD32" s="25">
        <v>0</v>
      </c>
      <c r="AE32" s="25">
        <v>0</v>
      </c>
      <c r="AF32" s="25">
        <v>0</v>
      </c>
      <c r="AG32" s="25">
        <v>0</v>
      </c>
      <c r="AH32" s="25">
        <v>3.5714285714285712</v>
      </c>
      <c r="AI32" s="25">
        <v>92.857142857142861</v>
      </c>
      <c r="AJ32" s="25">
        <v>3.5714285714285712</v>
      </c>
      <c r="AK32" s="25">
        <v>100</v>
      </c>
      <c r="AL32" s="25">
        <v>92.857142857142861</v>
      </c>
      <c r="AM32" s="25">
        <v>0.315</v>
      </c>
      <c r="AN32" s="25">
        <v>0.19400000000000001</v>
      </c>
      <c r="AO32" s="25">
        <v>0.22000000000000003</v>
      </c>
      <c r="AP32" s="25">
        <v>0.23724137931034484</v>
      </c>
      <c r="AQ32" s="25">
        <v>0.19316714730520188</v>
      </c>
      <c r="AR32" s="25">
        <v>0.71</v>
      </c>
      <c r="AS32" s="25">
        <v>0.45</v>
      </c>
      <c r="AT32" s="25">
        <v>0.64</v>
      </c>
      <c r="AU32" s="25">
        <v>0.71</v>
      </c>
      <c r="AV32" s="25">
        <v>33.333333333333329</v>
      </c>
      <c r="AW32" s="25">
        <v>0.5</v>
      </c>
      <c r="AX32" s="25">
        <v>12.5</v>
      </c>
      <c r="AY32" s="25">
        <v>12.5</v>
      </c>
      <c r="AZ32" s="25">
        <v>25</v>
      </c>
      <c r="BA32" s="25">
        <v>16.666666666666664</v>
      </c>
      <c r="BB32" s="25">
        <v>50</v>
      </c>
      <c r="BC32" s="25">
        <v>1.0833333333333333</v>
      </c>
      <c r="BD32" s="25">
        <v>25</v>
      </c>
      <c r="BE32" s="25">
        <v>0</v>
      </c>
      <c r="BF32" s="25">
        <v>0</v>
      </c>
      <c r="BG32" s="25">
        <v>0</v>
      </c>
      <c r="BH32" s="25">
        <v>0</v>
      </c>
      <c r="BI32" s="25">
        <v>0.25</v>
      </c>
      <c r="BJ32" s="25">
        <v>0.25</v>
      </c>
      <c r="BK32" s="25">
        <v>0</v>
      </c>
      <c r="BL32" s="25">
        <v>0</v>
      </c>
      <c r="BM32" s="25">
        <v>8.3333333333333329E-2</v>
      </c>
      <c r="BN32" s="25">
        <v>0.75</v>
      </c>
      <c r="BO32" s="25">
        <v>0.25</v>
      </c>
      <c r="BP32" s="25">
        <v>0</v>
      </c>
      <c r="BQ32" s="25">
        <v>0.33333333333333331</v>
      </c>
      <c r="BR32" s="25">
        <v>1</v>
      </c>
      <c r="BS32" s="25">
        <v>0</v>
      </c>
      <c r="BT32" s="25">
        <v>0.75</v>
      </c>
      <c r="BU32" s="25">
        <v>0.58333333333333337</v>
      </c>
      <c r="BV32" s="25">
        <v>37.5</v>
      </c>
      <c r="BW32" s="25">
        <v>41.666666666666671</v>
      </c>
      <c r="BX32" s="25">
        <v>20.833333333333336</v>
      </c>
      <c r="BY32" s="25">
        <v>33.541666666666664</v>
      </c>
      <c r="BZ32" s="25">
        <v>0.625</v>
      </c>
      <c r="CA32" s="25">
        <v>53.378378378378379</v>
      </c>
      <c r="CB32" s="25">
        <v>12.880494666632289</v>
      </c>
      <c r="CC32" s="25">
        <v>46.621621621621621</v>
      </c>
      <c r="CD32" s="25">
        <v>0</v>
      </c>
      <c r="CE32" s="25">
        <v>0</v>
      </c>
      <c r="CF32" s="25">
        <v>0</v>
      </c>
      <c r="CG32" s="25">
        <v>0</v>
      </c>
      <c r="CH32" s="25">
        <v>0</v>
      </c>
    </row>
    <row r="33" spans="1:86" ht="15.75" x14ac:dyDescent="0.25">
      <c r="A33" s="2">
        <v>31</v>
      </c>
      <c r="B33" s="2" t="s">
        <v>3</v>
      </c>
      <c r="C33" s="2">
        <v>117</v>
      </c>
      <c r="D33" s="12">
        <v>2018</v>
      </c>
      <c r="E33" s="13">
        <v>43319</v>
      </c>
      <c r="F33" s="14" t="str">
        <f t="shared" si="0"/>
        <v>18219</v>
      </c>
      <c r="G33" s="32">
        <v>12.4</v>
      </c>
      <c r="H33" s="32">
        <v>7.84</v>
      </c>
      <c r="I33" s="32">
        <v>12.06</v>
      </c>
      <c r="J33" s="25">
        <v>1038</v>
      </c>
      <c r="K33" s="25">
        <v>593</v>
      </c>
      <c r="L33" s="25">
        <v>480</v>
      </c>
      <c r="M33" s="25">
        <v>2111</v>
      </c>
      <c r="N33" s="25">
        <v>2.643297015632402</v>
      </c>
      <c r="O33" s="25">
        <v>3.9499999999999997</v>
      </c>
      <c r="P33" s="25">
        <v>3.4499999999999997</v>
      </c>
      <c r="Q33" s="25">
        <v>3.1624999999999996</v>
      </c>
      <c r="R33" s="25">
        <v>3.5208333333333344</v>
      </c>
      <c r="S33" s="25">
        <v>0.95415756909781824</v>
      </c>
      <c r="T33" s="25">
        <v>0.28857142857142859</v>
      </c>
      <c r="U33" s="25">
        <v>0.23153846153846155</v>
      </c>
      <c r="V33" s="25">
        <v>0.20400000000000004</v>
      </c>
      <c r="W33" s="25">
        <v>0.24071428571428574</v>
      </c>
      <c r="X33" s="25">
        <v>0.13765267102283646</v>
      </c>
      <c r="Y33" s="25">
        <v>0.7</v>
      </c>
      <c r="Z33" s="25">
        <v>0.48</v>
      </c>
      <c r="AA33" s="25">
        <v>0.46</v>
      </c>
      <c r="AB33" s="25">
        <v>0.7</v>
      </c>
      <c r="AC33" s="25">
        <v>14.626607319485661</v>
      </c>
      <c r="AD33" s="25">
        <v>0</v>
      </c>
      <c r="AE33" s="25">
        <v>12.195121951219512</v>
      </c>
      <c r="AF33" s="25">
        <v>9.7560975609756095</v>
      </c>
      <c r="AG33" s="25">
        <v>21.951219512195124</v>
      </c>
      <c r="AH33" s="25">
        <v>0</v>
      </c>
      <c r="AI33" s="25">
        <v>73.170731707317074</v>
      </c>
      <c r="AJ33" s="25">
        <v>4.8780487804878048</v>
      </c>
      <c r="AK33" s="25">
        <v>78.048780487804876</v>
      </c>
      <c r="AL33" s="25">
        <v>73.170731707317074</v>
      </c>
      <c r="AM33" s="25">
        <v>0.12461538461538463</v>
      </c>
      <c r="AN33" s="25">
        <v>0.26500000000000001</v>
      </c>
      <c r="AO33" s="25">
        <v>0.16428571428571434</v>
      </c>
      <c r="AP33" s="25">
        <v>0.18761904761904763</v>
      </c>
      <c r="AQ33" s="25">
        <v>0.16558557619241257</v>
      </c>
      <c r="AR33" s="25">
        <v>0.6</v>
      </c>
      <c r="AS33" s="25">
        <v>0.52</v>
      </c>
      <c r="AT33" s="25">
        <v>0.28999999999999998</v>
      </c>
      <c r="AU33" s="25">
        <v>0.6</v>
      </c>
      <c r="AV33" s="25">
        <v>29.166666666666668</v>
      </c>
      <c r="AW33" s="25">
        <v>0.33333333333333331</v>
      </c>
      <c r="AX33" s="25">
        <v>62.5</v>
      </c>
      <c r="AY33" s="25">
        <v>25</v>
      </c>
      <c r="AZ33" s="25">
        <v>25</v>
      </c>
      <c r="BA33" s="25">
        <v>37.5</v>
      </c>
      <c r="BB33" s="25">
        <v>33.333333333333329</v>
      </c>
      <c r="BC33" s="25">
        <v>1.25</v>
      </c>
      <c r="BD33" s="25">
        <v>33.333333333333329</v>
      </c>
      <c r="BE33" s="25">
        <v>0</v>
      </c>
      <c r="BF33" s="25">
        <v>0.125</v>
      </c>
      <c r="BG33" s="25">
        <v>0.125</v>
      </c>
      <c r="BH33" s="25">
        <v>8.3333333333333329E-2</v>
      </c>
      <c r="BI33" s="25">
        <v>0.58333333333333337</v>
      </c>
      <c r="BJ33" s="25">
        <v>0.25</v>
      </c>
      <c r="BK33" s="25">
        <v>0.25</v>
      </c>
      <c r="BL33" s="25">
        <v>0.5</v>
      </c>
      <c r="BM33" s="25">
        <v>0.33333333333333331</v>
      </c>
      <c r="BN33" s="25">
        <v>0.25</v>
      </c>
      <c r="BO33" s="25">
        <v>0.25</v>
      </c>
      <c r="BP33" s="25">
        <v>0.75</v>
      </c>
      <c r="BQ33" s="25">
        <v>0.41666666666666669</v>
      </c>
      <c r="BR33" s="25">
        <v>0.75</v>
      </c>
      <c r="BS33" s="25">
        <v>0.75</v>
      </c>
      <c r="BT33" s="25">
        <v>0.75</v>
      </c>
      <c r="BU33" s="25">
        <v>0.75</v>
      </c>
      <c r="BV33" s="25">
        <v>37.5</v>
      </c>
      <c r="BW33" s="25">
        <v>50</v>
      </c>
      <c r="BX33" s="25">
        <v>12.5</v>
      </c>
      <c r="BY33" s="25">
        <v>27.916666666666668</v>
      </c>
      <c r="BZ33" s="25">
        <v>0.29166666666666669</v>
      </c>
      <c r="CA33" s="25">
        <v>67.329093799682028</v>
      </c>
      <c r="CB33" s="25">
        <v>11.029897790836158</v>
      </c>
      <c r="CC33" s="25">
        <v>32.670906200317972</v>
      </c>
      <c r="CD33" s="25">
        <v>0</v>
      </c>
      <c r="CE33" s="25">
        <v>0</v>
      </c>
      <c r="CF33" s="25">
        <v>0</v>
      </c>
      <c r="CG33" s="25">
        <v>0</v>
      </c>
      <c r="CH33" s="25">
        <v>0</v>
      </c>
    </row>
    <row r="34" spans="1:86" ht="15.75" x14ac:dyDescent="0.25">
      <c r="A34" s="2">
        <v>32</v>
      </c>
      <c r="B34" s="2" t="s">
        <v>3</v>
      </c>
      <c r="C34" s="2">
        <v>118</v>
      </c>
      <c r="D34" s="12">
        <v>2018</v>
      </c>
      <c r="E34" s="13">
        <v>43291</v>
      </c>
      <c r="F34" s="14" t="str">
        <f t="shared" si="0"/>
        <v>18191</v>
      </c>
      <c r="G34" s="32">
        <v>20</v>
      </c>
      <c r="H34" s="32">
        <v>8.5</v>
      </c>
      <c r="I34" s="32">
        <v>12.23</v>
      </c>
      <c r="J34" s="25">
        <v>1323</v>
      </c>
      <c r="K34" s="25">
        <v>1277</v>
      </c>
      <c r="L34" s="25">
        <v>1233</v>
      </c>
      <c r="M34" s="25">
        <v>3833</v>
      </c>
      <c r="N34" s="25">
        <v>0</v>
      </c>
      <c r="O34" s="25">
        <v>5.5875000000000004</v>
      </c>
      <c r="P34" s="25">
        <v>5.3624999999999998</v>
      </c>
      <c r="Q34" s="25">
        <v>5.3624999999999989</v>
      </c>
      <c r="R34" s="25">
        <v>5.4375</v>
      </c>
      <c r="S34" s="25">
        <v>0.82820523606379015</v>
      </c>
      <c r="T34" s="25">
        <v>0.39066666666666666</v>
      </c>
      <c r="U34" s="25">
        <v>0.31937500000000002</v>
      </c>
      <c r="V34" s="25">
        <v>0.34333333333333338</v>
      </c>
      <c r="W34" s="25">
        <v>0.35043478260869565</v>
      </c>
      <c r="X34" s="25">
        <v>0.12379115965095985</v>
      </c>
      <c r="Y34" s="25">
        <v>0.62</v>
      </c>
      <c r="Z34" s="25">
        <v>0.56000000000000005</v>
      </c>
      <c r="AA34" s="25">
        <v>0.59</v>
      </c>
      <c r="AB34" s="25">
        <v>0.62</v>
      </c>
      <c r="AC34" s="25">
        <v>15.516439205955335</v>
      </c>
      <c r="AD34" s="25">
        <v>2.1739130434782608</v>
      </c>
      <c r="AE34" s="25">
        <v>10.869565217391305</v>
      </c>
      <c r="AF34" s="25">
        <v>8.695652173913043</v>
      </c>
      <c r="AG34" s="25">
        <v>21.739130434782609</v>
      </c>
      <c r="AH34" s="25">
        <v>2.1739130434782608</v>
      </c>
      <c r="AI34" s="25">
        <v>76.08695652173914</v>
      </c>
      <c r="AJ34" s="25">
        <v>0</v>
      </c>
      <c r="AK34" s="25">
        <v>78.260869565217405</v>
      </c>
      <c r="AL34" s="25">
        <v>76.08695652173914</v>
      </c>
      <c r="AM34" s="25">
        <v>0.27666666666666667</v>
      </c>
      <c r="AN34" s="25">
        <v>0.46312500000000001</v>
      </c>
      <c r="AO34" s="25">
        <v>0.33875</v>
      </c>
      <c r="AP34" s="25">
        <v>0.3612765957446808</v>
      </c>
      <c r="AQ34" s="25">
        <v>0.24158549680479588</v>
      </c>
      <c r="AR34" s="25">
        <v>0.6</v>
      </c>
      <c r="AS34" s="25">
        <v>1.04</v>
      </c>
      <c r="AT34" s="25">
        <v>0.91</v>
      </c>
      <c r="AU34" s="25">
        <v>1.04</v>
      </c>
      <c r="AV34" s="25">
        <v>16.666666666666664</v>
      </c>
      <c r="AW34" s="25">
        <v>0.77272727272727271</v>
      </c>
      <c r="AX34" s="25">
        <v>0</v>
      </c>
      <c r="AY34" s="25">
        <v>0</v>
      </c>
      <c r="AZ34" s="25">
        <v>12.5</v>
      </c>
      <c r="BA34" s="25">
        <v>4.1666666666666661</v>
      </c>
      <c r="BB34" s="25">
        <v>70.833333333333343</v>
      </c>
      <c r="BC34" s="25">
        <v>1.1000000000000001</v>
      </c>
      <c r="BD34" s="25">
        <v>8.3333333333333321</v>
      </c>
      <c r="BE34" s="25">
        <v>0</v>
      </c>
      <c r="BF34" s="25">
        <v>0.625</v>
      </c>
      <c r="BG34" s="25">
        <v>0.2857142857142857</v>
      </c>
      <c r="BH34" s="25">
        <v>0.31818181818181818</v>
      </c>
      <c r="BI34" s="25">
        <v>0.43478260869565216</v>
      </c>
      <c r="BJ34" s="25">
        <v>0</v>
      </c>
      <c r="BK34" s="25">
        <v>0</v>
      </c>
      <c r="BL34" s="25">
        <v>0</v>
      </c>
      <c r="BM34" s="25">
        <v>0</v>
      </c>
      <c r="BN34" s="25">
        <v>0</v>
      </c>
      <c r="BO34" s="25">
        <v>0</v>
      </c>
      <c r="BP34" s="25">
        <v>0</v>
      </c>
      <c r="BQ34" s="25">
        <v>0</v>
      </c>
      <c r="BR34" s="25">
        <v>1.5</v>
      </c>
      <c r="BS34" s="25">
        <v>0.5</v>
      </c>
      <c r="BT34" s="25">
        <v>0</v>
      </c>
      <c r="BU34" s="25">
        <v>0.66666666666666663</v>
      </c>
      <c r="BV34" s="25">
        <v>0</v>
      </c>
      <c r="BW34" s="25">
        <v>45.833333333333329</v>
      </c>
      <c r="BX34" s="25">
        <v>50</v>
      </c>
      <c r="BY34" s="25">
        <v>50.869565217391305</v>
      </c>
      <c r="BZ34" s="25">
        <v>1.1666666666666667</v>
      </c>
      <c r="CA34" s="25">
        <v>38.438438438438439</v>
      </c>
      <c r="CB34" s="25">
        <v>14.658222677510807</v>
      </c>
      <c r="CC34" s="25">
        <v>61.561561561561561</v>
      </c>
      <c r="CD34" s="25">
        <v>0</v>
      </c>
      <c r="CE34" s="25">
        <v>0</v>
      </c>
      <c r="CF34" s="25">
        <v>0</v>
      </c>
      <c r="CG34" s="25">
        <v>0</v>
      </c>
      <c r="CH34" s="25">
        <v>0</v>
      </c>
    </row>
    <row r="35" spans="1:86" ht="15.75" x14ac:dyDescent="0.25">
      <c r="A35" s="2">
        <v>33</v>
      </c>
      <c r="B35" s="2" t="s">
        <v>3</v>
      </c>
      <c r="C35" s="2">
        <v>123</v>
      </c>
      <c r="D35" s="12">
        <v>2018</v>
      </c>
      <c r="E35" s="13">
        <v>43248</v>
      </c>
      <c r="F35" s="14" t="str">
        <f t="shared" si="0"/>
        <v>18148</v>
      </c>
      <c r="G35" s="32">
        <v>14.3</v>
      </c>
      <c r="H35" s="32">
        <v>10.210000000000001</v>
      </c>
      <c r="I35" s="32">
        <v>9.65</v>
      </c>
      <c r="J35" s="25">
        <v>1090</v>
      </c>
      <c r="K35" s="25">
        <v>929</v>
      </c>
      <c r="L35" s="25">
        <v>1284</v>
      </c>
      <c r="M35" s="25">
        <v>3303</v>
      </c>
      <c r="N35" s="25">
        <v>0.32697547683923706</v>
      </c>
      <c r="O35" s="25">
        <v>4.4625000000000004</v>
      </c>
      <c r="P35" s="25">
        <v>4.2374999999999998</v>
      </c>
      <c r="Q35" s="25">
        <v>4.6625000000000005</v>
      </c>
      <c r="R35" s="25">
        <v>4.4541666666666666</v>
      </c>
      <c r="S35" s="25">
        <v>1.4631648742624193</v>
      </c>
      <c r="T35" s="25">
        <v>0.35000000000000003</v>
      </c>
      <c r="U35" s="25">
        <v>0.18428571428571425</v>
      </c>
      <c r="V35" s="25">
        <v>0.37571428571428572</v>
      </c>
      <c r="W35" s="25">
        <v>0.30545454545454537</v>
      </c>
      <c r="X35" s="25">
        <v>0.18768422943566257</v>
      </c>
      <c r="Y35" s="25">
        <v>0.8</v>
      </c>
      <c r="Z35" s="25">
        <v>0.34</v>
      </c>
      <c r="AA35" s="25">
        <v>0.76</v>
      </c>
      <c r="AB35" s="25">
        <v>0.8</v>
      </c>
      <c r="AC35" s="25">
        <v>14.582093253968258</v>
      </c>
      <c r="AD35" s="25">
        <v>0</v>
      </c>
      <c r="AE35" s="25">
        <v>2.2727272727272729</v>
      </c>
      <c r="AF35" s="25">
        <v>4.5454545454545459</v>
      </c>
      <c r="AG35" s="25">
        <v>6.8181818181818183</v>
      </c>
      <c r="AH35" s="25">
        <v>2.2727272727272729</v>
      </c>
      <c r="AI35" s="25">
        <v>90.909090909090907</v>
      </c>
      <c r="AJ35" s="25">
        <v>0</v>
      </c>
      <c r="AK35" s="25">
        <v>93.181818181818173</v>
      </c>
      <c r="AL35" s="25">
        <v>90.909090909090907</v>
      </c>
      <c r="AM35" s="25">
        <v>0.18066666666666664</v>
      </c>
      <c r="AN35" s="25">
        <v>0.35230769230769232</v>
      </c>
      <c r="AO35" s="25">
        <v>0.18153846153846154</v>
      </c>
      <c r="AP35" s="25">
        <v>0.23454545454545447</v>
      </c>
      <c r="AQ35" s="25">
        <v>0.21714269818303172</v>
      </c>
      <c r="AR35" s="25">
        <v>0.51</v>
      </c>
      <c r="AS35" s="25">
        <v>1.24</v>
      </c>
      <c r="AT35" s="25">
        <v>0.34</v>
      </c>
      <c r="AU35" s="25">
        <v>1.24</v>
      </c>
      <c r="AV35" s="25">
        <v>29.166666666666668</v>
      </c>
      <c r="AW35" s="25">
        <v>0.52173913043478259</v>
      </c>
      <c r="AX35" s="25">
        <v>12.5</v>
      </c>
      <c r="AY35" s="25">
        <v>25</v>
      </c>
      <c r="AZ35" s="25">
        <v>12.5</v>
      </c>
      <c r="BA35" s="25">
        <v>16.666666666666664</v>
      </c>
      <c r="BB35" s="25">
        <v>50</v>
      </c>
      <c r="BC35" s="25">
        <v>1.75</v>
      </c>
      <c r="BD35" s="25">
        <v>66.666666666666657</v>
      </c>
      <c r="BE35" s="25">
        <v>0</v>
      </c>
      <c r="BF35" s="25">
        <v>0.375</v>
      </c>
      <c r="BG35" s="25">
        <v>0.25</v>
      </c>
      <c r="BH35" s="25">
        <v>0.20833333333333334</v>
      </c>
      <c r="BI35" s="25">
        <v>0.625</v>
      </c>
      <c r="BJ35" s="25">
        <v>0</v>
      </c>
      <c r="BK35" s="25">
        <v>0</v>
      </c>
      <c r="BL35" s="25">
        <v>0.75</v>
      </c>
      <c r="BM35" s="25">
        <v>0.25</v>
      </c>
      <c r="BN35" s="25">
        <v>0.5</v>
      </c>
      <c r="BO35" s="25">
        <v>0</v>
      </c>
      <c r="BP35" s="25">
        <v>0</v>
      </c>
      <c r="BQ35" s="25">
        <v>0.16666666666666666</v>
      </c>
      <c r="BR35" s="25">
        <v>0.25</v>
      </c>
      <c r="BS35" s="25">
        <v>0</v>
      </c>
      <c r="BT35" s="25">
        <v>0.75</v>
      </c>
      <c r="BU35" s="25">
        <v>0.33333333333333331</v>
      </c>
      <c r="BV35" s="25">
        <v>29.166666666666668</v>
      </c>
      <c r="BW35" s="25">
        <v>50</v>
      </c>
      <c r="BX35" s="25">
        <v>20.833333333333336</v>
      </c>
      <c r="BY35" s="25">
        <v>34.375</v>
      </c>
      <c r="BZ35" s="25">
        <v>1.0833333333333333</v>
      </c>
      <c r="CA35" s="25">
        <v>11.208267090620033</v>
      </c>
      <c r="CB35" s="25">
        <v>7.2200577221782964</v>
      </c>
      <c r="CC35" s="25">
        <v>88.791732909379959</v>
      </c>
      <c r="CD35" s="25">
        <v>0</v>
      </c>
      <c r="CE35" s="25">
        <v>0</v>
      </c>
      <c r="CF35" s="25">
        <v>0</v>
      </c>
      <c r="CG35" s="25">
        <v>0</v>
      </c>
      <c r="CH35" s="25">
        <v>0</v>
      </c>
    </row>
    <row r="36" spans="1:86" ht="15.75" x14ac:dyDescent="0.25">
      <c r="A36" s="2">
        <v>34</v>
      </c>
      <c r="B36" s="2" t="s">
        <v>3</v>
      </c>
      <c r="C36" s="2">
        <v>128</v>
      </c>
      <c r="D36" s="12">
        <v>2018</v>
      </c>
      <c r="E36" s="13">
        <v>43280</v>
      </c>
      <c r="F36" s="14" t="str">
        <f t="shared" si="0"/>
        <v>18180</v>
      </c>
      <c r="G36" s="32">
        <v>15.7</v>
      </c>
      <c r="H36" s="32">
        <v>7.68</v>
      </c>
      <c r="I36" s="32">
        <v>11.04</v>
      </c>
      <c r="J36" s="25">
        <v>641</v>
      </c>
      <c r="K36" s="25">
        <v>360</v>
      </c>
      <c r="L36" s="25">
        <v>217</v>
      </c>
      <c r="M36" s="25">
        <v>1218</v>
      </c>
      <c r="N36" s="25">
        <v>0</v>
      </c>
      <c r="O36" s="25">
        <v>3.3874999999999997</v>
      </c>
      <c r="P36" s="25">
        <v>3.5874999999999999</v>
      </c>
      <c r="Q36" s="25">
        <v>2.5374999999999996</v>
      </c>
      <c r="R36" s="25">
        <v>3.1708333333333338</v>
      </c>
      <c r="S36" s="25">
        <v>0.78931955652881092</v>
      </c>
      <c r="T36" s="25">
        <v>0.38384615384615384</v>
      </c>
      <c r="U36" s="25">
        <v>0.21500000000000005</v>
      </c>
      <c r="V36" s="25">
        <v>0.32999999999999996</v>
      </c>
      <c r="W36" s="25">
        <v>0.29918918918918913</v>
      </c>
      <c r="X36" s="25">
        <v>0.13544942431234827</v>
      </c>
      <c r="Y36" s="25">
        <v>0.64</v>
      </c>
      <c r="Z36" s="25">
        <v>0.36</v>
      </c>
      <c r="AA36" s="25">
        <v>0.44</v>
      </c>
      <c r="AB36" s="25">
        <v>0.64</v>
      </c>
      <c r="AC36" s="25">
        <v>10.598087925323702</v>
      </c>
      <c r="AD36" s="25">
        <v>8.1081081081081088</v>
      </c>
      <c r="AE36" s="25">
        <v>62.162162162162161</v>
      </c>
      <c r="AF36" s="25">
        <v>13.513513513513514</v>
      </c>
      <c r="AG36" s="25">
        <v>83.78378378378379</v>
      </c>
      <c r="AH36" s="25">
        <v>10.810810810810811</v>
      </c>
      <c r="AI36" s="25">
        <v>5.4054054054054053</v>
      </c>
      <c r="AJ36" s="25">
        <v>0</v>
      </c>
      <c r="AK36" s="25">
        <v>16.216216216216218</v>
      </c>
      <c r="AL36" s="25">
        <v>62.162162162162161</v>
      </c>
      <c r="AM36" s="25">
        <v>3.1425000000000001</v>
      </c>
      <c r="AN36" s="25">
        <v>0.28466666666666662</v>
      </c>
      <c r="AO36" s="25">
        <v>0.34500000000000003</v>
      </c>
      <c r="AP36" s="25">
        <v>1.2235135135135136</v>
      </c>
      <c r="AQ36" s="25">
        <v>5.8779575138422482</v>
      </c>
      <c r="AR36" s="25">
        <v>36</v>
      </c>
      <c r="AS36" s="25">
        <v>0.55000000000000004</v>
      </c>
      <c r="AT36" s="25">
        <v>0.79</v>
      </c>
      <c r="AU36" s="25">
        <v>36</v>
      </c>
      <c r="AV36" s="25">
        <v>4.1666666666666661</v>
      </c>
      <c r="AW36" s="25">
        <v>0.79166666666666663</v>
      </c>
      <c r="AX36" s="25">
        <v>50</v>
      </c>
      <c r="AY36" s="25">
        <v>0</v>
      </c>
      <c r="AZ36" s="25">
        <v>0</v>
      </c>
      <c r="BA36" s="25">
        <v>16.666666666666664</v>
      </c>
      <c r="BB36" s="25">
        <v>79.166666666666657</v>
      </c>
      <c r="BC36" s="25">
        <v>0.33333333333333331</v>
      </c>
      <c r="BD36" s="25">
        <v>8.3333333333333321</v>
      </c>
      <c r="BE36" s="25">
        <v>0.625</v>
      </c>
      <c r="BF36" s="25">
        <v>0</v>
      </c>
      <c r="BG36" s="25">
        <v>0</v>
      </c>
      <c r="BH36" s="25">
        <v>0.20833333333333334</v>
      </c>
      <c r="BI36" s="25">
        <v>0.70833333333333337</v>
      </c>
      <c r="BJ36" s="25">
        <v>0.25</v>
      </c>
      <c r="BK36" s="25">
        <v>0.25</v>
      </c>
      <c r="BL36" s="25">
        <v>0</v>
      </c>
      <c r="BM36" s="25">
        <v>0.16666666666666666</v>
      </c>
      <c r="BN36" s="25">
        <v>0</v>
      </c>
      <c r="BO36" s="25">
        <v>0</v>
      </c>
      <c r="BP36" s="25">
        <v>0</v>
      </c>
      <c r="BQ36" s="25">
        <v>0</v>
      </c>
      <c r="BR36" s="25">
        <v>4</v>
      </c>
      <c r="BS36" s="25">
        <v>0.25</v>
      </c>
      <c r="BT36" s="25">
        <v>0.25</v>
      </c>
      <c r="BU36" s="25">
        <v>1.5</v>
      </c>
      <c r="BV36" s="25">
        <v>33.333333333333329</v>
      </c>
      <c r="BW36" s="25">
        <v>50</v>
      </c>
      <c r="BX36" s="25">
        <v>16.666666666666664</v>
      </c>
      <c r="BY36" s="25">
        <v>27.916666666666668</v>
      </c>
      <c r="BZ36" s="25">
        <v>1.25</v>
      </c>
      <c r="CA36" s="25">
        <v>52.648648648648653</v>
      </c>
      <c r="CB36" s="25">
        <v>16.69610733075228</v>
      </c>
      <c r="CC36" s="25">
        <v>47.351351351351347</v>
      </c>
      <c r="CD36" s="25">
        <v>0</v>
      </c>
      <c r="CE36" s="25">
        <v>0</v>
      </c>
      <c r="CF36" s="25">
        <v>0</v>
      </c>
      <c r="CG36" s="25">
        <v>0</v>
      </c>
      <c r="CH36" s="25">
        <v>0</v>
      </c>
    </row>
    <row r="37" spans="1:86" ht="15.75" x14ac:dyDescent="0.25">
      <c r="A37" s="2">
        <v>35</v>
      </c>
      <c r="B37" s="2" t="s">
        <v>3</v>
      </c>
      <c r="C37" s="2">
        <v>130</v>
      </c>
      <c r="D37" s="12">
        <v>2018</v>
      </c>
      <c r="E37" s="13">
        <v>43251</v>
      </c>
      <c r="F37" s="14" t="str">
        <f t="shared" si="0"/>
        <v>18151</v>
      </c>
      <c r="G37" s="32">
        <v>11.2</v>
      </c>
      <c r="H37" s="32">
        <v>7.7</v>
      </c>
      <c r="I37" s="32">
        <v>7.4</v>
      </c>
      <c r="J37" s="25">
        <v>406</v>
      </c>
      <c r="K37" s="25">
        <v>653</v>
      </c>
      <c r="L37" s="25">
        <v>530</v>
      </c>
      <c r="M37" s="25">
        <v>1589</v>
      </c>
      <c r="N37" s="25">
        <v>0.49087476400251728</v>
      </c>
      <c r="O37" s="25">
        <v>3.2749999999999999</v>
      </c>
      <c r="P37" s="25">
        <v>2.3374999999999999</v>
      </c>
      <c r="Q37" s="25">
        <v>3.1625000000000001</v>
      </c>
      <c r="R37" s="25">
        <v>2.9250000000000003</v>
      </c>
      <c r="S37" s="25">
        <v>1.6141359244526752</v>
      </c>
      <c r="T37" s="25">
        <v>0.28333333333333338</v>
      </c>
      <c r="U37" s="25">
        <v>0.17000000000000004</v>
      </c>
      <c r="V37" s="25">
        <v>0.40384615384615385</v>
      </c>
      <c r="W37" s="25">
        <v>0.28578947368421054</v>
      </c>
      <c r="X37" s="25">
        <v>0.19851654678051753</v>
      </c>
      <c r="Y37" s="25">
        <v>0.57999999999999996</v>
      </c>
      <c r="Z37" s="25">
        <v>0.38</v>
      </c>
      <c r="AA37" s="25">
        <v>0.78</v>
      </c>
      <c r="AB37" s="25">
        <v>0.78</v>
      </c>
      <c r="AC37" s="25">
        <v>10.234806629834255</v>
      </c>
      <c r="AD37" s="25">
        <v>0</v>
      </c>
      <c r="AE37" s="25">
        <v>45.945945945945951</v>
      </c>
      <c r="AF37" s="25">
        <v>0</v>
      </c>
      <c r="AG37" s="25">
        <v>45.945945945945951</v>
      </c>
      <c r="AH37" s="25">
        <v>0</v>
      </c>
      <c r="AI37" s="25">
        <v>54.054054054054056</v>
      </c>
      <c r="AJ37" s="25">
        <v>0</v>
      </c>
      <c r="AK37" s="25">
        <v>54.054054054054056</v>
      </c>
      <c r="AL37" s="25">
        <v>54.054054054054056</v>
      </c>
      <c r="AM37" s="25">
        <v>3.0833333333333334E-2</v>
      </c>
      <c r="AN37" s="25">
        <v>0.10615384615384617</v>
      </c>
      <c r="AO37" s="25">
        <v>6.7500000000000004E-2</v>
      </c>
      <c r="AP37" s="25">
        <v>6.7368421052631577E-2</v>
      </c>
      <c r="AQ37" s="25">
        <v>0.10983240821695954</v>
      </c>
      <c r="AR37" s="25">
        <v>0.15</v>
      </c>
      <c r="AS37" s="25">
        <v>0.33</v>
      </c>
      <c r="AT37" s="25">
        <v>0.46</v>
      </c>
      <c r="AU37" s="25">
        <v>0.46</v>
      </c>
      <c r="AV37" s="25">
        <v>16.666666666666664</v>
      </c>
      <c r="AW37" s="25">
        <v>0.20833333333333334</v>
      </c>
      <c r="AX37" s="25">
        <v>87.5</v>
      </c>
      <c r="AY37" s="25">
        <v>37.5</v>
      </c>
      <c r="AZ37" s="25">
        <v>62.5</v>
      </c>
      <c r="BA37" s="25">
        <v>62.5</v>
      </c>
      <c r="BB37" s="25">
        <v>41.666666666666671</v>
      </c>
      <c r="BC37" s="25">
        <v>1.3333333333333333</v>
      </c>
      <c r="BD37" s="25">
        <v>41.666666666666671</v>
      </c>
      <c r="BE37" s="25">
        <v>0.25</v>
      </c>
      <c r="BF37" s="25">
        <v>0.5</v>
      </c>
      <c r="BG37" s="25">
        <v>1</v>
      </c>
      <c r="BH37" s="25">
        <v>0.58333333333333337</v>
      </c>
      <c r="BI37" s="25">
        <v>0.79166666666666663</v>
      </c>
      <c r="BJ37" s="25">
        <v>0</v>
      </c>
      <c r="BK37" s="25">
        <v>0</v>
      </c>
      <c r="BL37" s="25">
        <v>0</v>
      </c>
      <c r="BM37" s="25">
        <v>0</v>
      </c>
      <c r="BN37" s="25">
        <v>3.5</v>
      </c>
      <c r="BO37" s="25">
        <v>0.5</v>
      </c>
      <c r="BP37" s="25">
        <v>1.25</v>
      </c>
      <c r="BQ37" s="25">
        <v>1.75</v>
      </c>
      <c r="BR37" s="25">
        <v>0.66666666666666663</v>
      </c>
      <c r="BS37" s="25">
        <v>0.5</v>
      </c>
      <c r="BT37" s="25">
        <v>2</v>
      </c>
      <c r="BU37" s="25">
        <v>1.0909090909090908</v>
      </c>
      <c r="BV37" s="25">
        <v>16.666666666666664</v>
      </c>
      <c r="BW37" s="25">
        <v>70.833333333333343</v>
      </c>
      <c r="BX37" s="25">
        <v>12.5</v>
      </c>
      <c r="BY37" s="25">
        <v>32.083333333333336</v>
      </c>
      <c r="BZ37" s="25">
        <v>0.41666666666666669</v>
      </c>
      <c r="CA37" s="25">
        <v>9.0090090090090094</v>
      </c>
      <c r="CB37" s="25">
        <v>5.1301891368360035</v>
      </c>
      <c r="CC37" s="25">
        <v>90.990990990990994</v>
      </c>
      <c r="CD37" s="25">
        <v>0</v>
      </c>
      <c r="CE37" s="25">
        <v>0</v>
      </c>
      <c r="CF37" s="25">
        <v>0</v>
      </c>
      <c r="CG37" s="25">
        <v>0</v>
      </c>
      <c r="CH37" s="25">
        <v>0</v>
      </c>
    </row>
    <row r="38" spans="1:86" ht="15.75" x14ac:dyDescent="0.25">
      <c r="A38" s="2">
        <v>36</v>
      </c>
      <c r="B38" s="2" t="s">
        <v>3</v>
      </c>
      <c r="C38" s="2">
        <v>135</v>
      </c>
      <c r="D38" s="12">
        <v>2018</v>
      </c>
      <c r="E38" s="13">
        <v>43304</v>
      </c>
      <c r="F38" s="14" t="str">
        <f t="shared" si="0"/>
        <v>18204</v>
      </c>
      <c r="G38" s="32">
        <v>14.5</v>
      </c>
      <c r="H38" s="32">
        <v>7.78</v>
      </c>
      <c r="I38" s="32">
        <v>10.3</v>
      </c>
      <c r="J38" s="25">
        <v>697</v>
      </c>
      <c r="K38" s="25">
        <v>627</v>
      </c>
      <c r="L38" s="25">
        <v>267</v>
      </c>
      <c r="M38" s="25">
        <v>1591</v>
      </c>
      <c r="N38" s="25">
        <v>0</v>
      </c>
      <c r="O38" s="25">
        <v>1.3624999999999998</v>
      </c>
      <c r="P38" s="25">
        <v>1.4249999999999998</v>
      </c>
      <c r="Q38" s="25">
        <v>1.4375</v>
      </c>
      <c r="R38" s="25">
        <v>1.4083333333333334</v>
      </c>
      <c r="S38" s="25">
        <v>0.43028470520834372</v>
      </c>
      <c r="T38" s="25">
        <v>0.246</v>
      </c>
      <c r="U38" s="25">
        <v>0.23799999999999999</v>
      </c>
      <c r="V38" s="25">
        <v>0.17199999999999999</v>
      </c>
      <c r="W38" s="25">
        <v>0.21866666666666668</v>
      </c>
      <c r="X38" s="25">
        <v>0.11410017780315967</v>
      </c>
      <c r="Y38" s="25">
        <v>0.56000000000000005</v>
      </c>
      <c r="Z38" s="25">
        <v>0.38</v>
      </c>
      <c r="AA38" s="25">
        <v>0.24</v>
      </c>
      <c r="AB38" s="25">
        <v>0.56000000000000005</v>
      </c>
      <c r="AC38" s="25">
        <v>6.4405487804878048</v>
      </c>
      <c r="AD38" s="25">
        <v>0</v>
      </c>
      <c r="AE38" s="25">
        <v>76.666666666666671</v>
      </c>
      <c r="AF38" s="25">
        <v>0</v>
      </c>
      <c r="AG38" s="25">
        <v>76.666666666666671</v>
      </c>
      <c r="AH38" s="25">
        <v>3.3333333333333335</v>
      </c>
      <c r="AI38" s="25">
        <v>20</v>
      </c>
      <c r="AJ38" s="25">
        <v>0</v>
      </c>
      <c r="AK38" s="25">
        <v>23.333333333333332</v>
      </c>
      <c r="AL38" s="25">
        <v>76.666666666666671</v>
      </c>
      <c r="AM38" s="25">
        <v>0.26900000000000002</v>
      </c>
      <c r="AN38" s="25">
        <v>0.15444444444444444</v>
      </c>
      <c r="AO38" s="25">
        <v>0.19000000000000006</v>
      </c>
      <c r="AP38" s="25">
        <v>0.19833333333333331</v>
      </c>
      <c r="AQ38" s="25">
        <v>0.16712752375178155</v>
      </c>
      <c r="AR38" s="25">
        <v>0.9</v>
      </c>
      <c r="AS38" s="25">
        <v>0.24</v>
      </c>
      <c r="AT38" s="25">
        <v>0.42</v>
      </c>
      <c r="AU38" s="25">
        <v>0.9</v>
      </c>
      <c r="AV38" s="25">
        <v>20.833333333333336</v>
      </c>
      <c r="AW38" s="25">
        <v>0.41666666666666669</v>
      </c>
      <c r="AX38" s="25">
        <v>37.5</v>
      </c>
      <c r="AY38" s="25">
        <v>62.5</v>
      </c>
      <c r="AZ38" s="25">
        <v>12.5</v>
      </c>
      <c r="BA38" s="25">
        <v>37.5</v>
      </c>
      <c r="BB38" s="25">
        <v>41.666666666666671</v>
      </c>
      <c r="BC38" s="25">
        <v>0.58333333333333337</v>
      </c>
      <c r="BD38" s="25">
        <v>25</v>
      </c>
      <c r="BE38" s="25">
        <v>0.375</v>
      </c>
      <c r="BF38" s="25">
        <v>0</v>
      </c>
      <c r="BG38" s="25">
        <v>0.25</v>
      </c>
      <c r="BH38" s="25">
        <v>0.20833333333333334</v>
      </c>
      <c r="BI38" s="25">
        <v>0.45833333333333331</v>
      </c>
      <c r="BJ38" s="25">
        <v>1.25</v>
      </c>
      <c r="BK38" s="25">
        <v>1.25</v>
      </c>
      <c r="BL38" s="25">
        <v>0.75</v>
      </c>
      <c r="BM38" s="25">
        <v>1.0833333333333333</v>
      </c>
      <c r="BN38" s="25">
        <v>0</v>
      </c>
      <c r="BO38" s="25">
        <v>0</v>
      </c>
      <c r="BP38" s="25">
        <v>0</v>
      </c>
      <c r="BQ38" s="25">
        <v>0</v>
      </c>
      <c r="BR38" s="25">
        <v>1.25</v>
      </c>
      <c r="BS38" s="25">
        <v>0.5</v>
      </c>
      <c r="BT38" s="25">
        <v>0</v>
      </c>
      <c r="BU38" s="25">
        <v>0.58333333333333337</v>
      </c>
      <c r="BV38" s="25">
        <v>0</v>
      </c>
      <c r="BW38" s="25">
        <v>66.666666666666657</v>
      </c>
      <c r="BX38" s="25">
        <v>33.333333333333329</v>
      </c>
      <c r="BY38" s="25">
        <v>42.708333333333336</v>
      </c>
      <c r="BZ38" s="25">
        <v>0.58333333333333337</v>
      </c>
      <c r="CA38" s="25">
        <v>94.14414414414415</v>
      </c>
      <c r="CB38" s="25">
        <v>5.4116276928216598</v>
      </c>
      <c r="CC38" s="25">
        <v>5.8558558558558502</v>
      </c>
      <c r="CD38" s="25">
        <v>0</v>
      </c>
      <c r="CE38" s="25">
        <v>0</v>
      </c>
      <c r="CF38" s="25">
        <v>0</v>
      </c>
      <c r="CG38" s="25">
        <v>0</v>
      </c>
      <c r="CH38" s="25">
        <v>0</v>
      </c>
    </row>
    <row r="39" spans="1:86" ht="15.75" x14ac:dyDescent="0.25">
      <c r="A39" s="2">
        <v>37</v>
      </c>
      <c r="B39" s="2" t="s">
        <v>3</v>
      </c>
      <c r="C39" s="2">
        <v>149</v>
      </c>
      <c r="D39" s="12">
        <v>2018</v>
      </c>
      <c r="E39" s="13">
        <v>43294</v>
      </c>
      <c r="F39" s="14" t="str">
        <f t="shared" si="0"/>
        <v>18194</v>
      </c>
      <c r="G39" s="32">
        <v>13.1</v>
      </c>
      <c r="H39" s="32">
        <v>8.1199999999999992</v>
      </c>
      <c r="I39" s="32">
        <v>11.52</v>
      </c>
      <c r="J39" s="25">
        <v>2178</v>
      </c>
      <c r="K39" s="25">
        <v>2164</v>
      </c>
      <c r="L39" s="25">
        <v>1094</v>
      </c>
      <c r="M39" s="25">
        <v>5436</v>
      </c>
      <c r="N39" s="25">
        <v>2.0088300220750552</v>
      </c>
      <c r="O39" s="25">
        <v>4.6125000000000007</v>
      </c>
      <c r="P39" s="25">
        <v>4.3187500000000005</v>
      </c>
      <c r="Q39" s="25">
        <v>7.3687500000000004</v>
      </c>
      <c r="R39" s="25">
        <v>5.4333333333333327</v>
      </c>
      <c r="S39" s="25">
        <v>1.9113884474646861</v>
      </c>
      <c r="T39" s="25">
        <v>0.29533333333333334</v>
      </c>
      <c r="U39" s="25">
        <v>0.233125</v>
      </c>
      <c r="V39" s="25">
        <v>0.65187499999999998</v>
      </c>
      <c r="W39" s="25">
        <v>0.39553191489361694</v>
      </c>
      <c r="X39" s="25">
        <v>0.25917770058598033</v>
      </c>
      <c r="Y39" s="25">
        <v>0.68</v>
      </c>
      <c r="Z39" s="25">
        <v>0.66</v>
      </c>
      <c r="AA39" s="25">
        <v>0.98</v>
      </c>
      <c r="AB39" s="25">
        <v>0.98</v>
      </c>
      <c r="AC39" s="25">
        <v>13.736776044468353</v>
      </c>
      <c r="AD39" s="25">
        <v>2.1739130434782608</v>
      </c>
      <c r="AE39" s="25">
        <v>30.434782608695656</v>
      </c>
      <c r="AF39" s="25">
        <v>0</v>
      </c>
      <c r="AG39" s="25">
        <v>32.608695652173914</v>
      </c>
      <c r="AH39" s="25">
        <v>0</v>
      </c>
      <c r="AI39" s="25">
        <v>65.217391304347828</v>
      </c>
      <c r="AJ39" s="25">
        <v>2.1739130434782608</v>
      </c>
      <c r="AK39" s="25">
        <v>67.391304347826093</v>
      </c>
      <c r="AL39" s="25">
        <v>65.217391304347828</v>
      </c>
      <c r="AM39" s="25">
        <v>0.35133333333333339</v>
      </c>
      <c r="AN39" s="25">
        <v>0.31125000000000003</v>
      </c>
      <c r="AO39" s="25">
        <v>2.2499999999999999E-2</v>
      </c>
      <c r="AP39" s="25">
        <v>0.22574468085106375</v>
      </c>
      <c r="AQ39" s="25">
        <v>0.27822218741307758</v>
      </c>
      <c r="AR39" s="25">
        <v>1.02</v>
      </c>
      <c r="AS39" s="25">
        <v>0.85</v>
      </c>
      <c r="AT39" s="25">
        <v>7.0000000000000007E-2</v>
      </c>
      <c r="AU39" s="25">
        <v>1.02</v>
      </c>
      <c r="AV39" s="25">
        <v>33.333333333333329</v>
      </c>
      <c r="AW39" s="25">
        <v>0.13043478260869565</v>
      </c>
      <c r="AX39" s="25">
        <v>37.5</v>
      </c>
      <c r="AY39" s="25">
        <v>12.5</v>
      </c>
      <c r="AZ39" s="25">
        <v>100</v>
      </c>
      <c r="BA39" s="25">
        <v>50</v>
      </c>
      <c r="BB39" s="25">
        <v>41.666666666666671</v>
      </c>
      <c r="BC39" s="25">
        <v>0.41666666666666669</v>
      </c>
      <c r="BD39" s="25">
        <v>8.3333333333333321</v>
      </c>
      <c r="BE39" s="25">
        <v>0.5</v>
      </c>
      <c r="BF39" s="25">
        <v>0.25</v>
      </c>
      <c r="BG39" s="25">
        <v>0</v>
      </c>
      <c r="BH39" s="25">
        <v>0.25</v>
      </c>
      <c r="BI39" s="25">
        <v>1.0833333333333333</v>
      </c>
      <c r="BJ39" s="25">
        <v>0.75</v>
      </c>
      <c r="BK39" s="25">
        <v>0</v>
      </c>
      <c r="BL39" s="25">
        <v>1.25</v>
      </c>
      <c r="BM39" s="25">
        <v>0.66666666666666663</v>
      </c>
      <c r="BN39" s="25">
        <v>0.5</v>
      </c>
      <c r="BO39" s="25">
        <v>0</v>
      </c>
      <c r="BP39" s="25">
        <v>0.5</v>
      </c>
      <c r="BQ39" s="25">
        <v>0.33333333333333331</v>
      </c>
      <c r="BR39" s="25">
        <v>2</v>
      </c>
      <c r="BS39" s="25">
        <v>0</v>
      </c>
      <c r="BT39" s="25">
        <v>3.25</v>
      </c>
      <c r="BU39" s="25">
        <v>1.75</v>
      </c>
      <c r="BV39" s="25">
        <v>16.666666666666664</v>
      </c>
      <c r="BW39" s="25">
        <v>66.666666666666657</v>
      </c>
      <c r="BX39" s="25">
        <v>16.666666666666664</v>
      </c>
      <c r="BY39" s="25">
        <v>37.708333333333336</v>
      </c>
      <c r="BZ39" s="25">
        <v>0.45833333333333331</v>
      </c>
      <c r="CA39" s="25">
        <v>53.753753753753756</v>
      </c>
      <c r="CB39" s="25">
        <v>11.997089594154021</v>
      </c>
      <c r="CC39" s="25">
        <v>46.246246246246244</v>
      </c>
      <c r="CD39" s="25">
        <v>0</v>
      </c>
      <c r="CE39" s="25">
        <v>0</v>
      </c>
      <c r="CF39" s="25">
        <v>0</v>
      </c>
      <c r="CG39" s="25">
        <v>0</v>
      </c>
      <c r="CH39" s="25">
        <v>0</v>
      </c>
    </row>
    <row r="40" spans="1:86" ht="15.75" x14ac:dyDescent="0.25">
      <c r="A40" s="2">
        <v>38</v>
      </c>
      <c r="B40" s="2" t="s">
        <v>3</v>
      </c>
      <c r="C40" s="2">
        <v>154</v>
      </c>
      <c r="D40" s="12">
        <v>2018</v>
      </c>
      <c r="E40" s="13">
        <v>43313</v>
      </c>
      <c r="F40" s="14" t="str">
        <f t="shared" si="0"/>
        <v>18213</v>
      </c>
      <c r="G40" s="32">
        <v>15.4</v>
      </c>
      <c r="H40" s="32">
        <v>8.44</v>
      </c>
      <c r="I40" s="32">
        <v>14.32</v>
      </c>
      <c r="J40" s="25">
        <v>1593</v>
      </c>
      <c r="K40" s="25">
        <v>1509</v>
      </c>
      <c r="L40" s="25">
        <v>1473</v>
      </c>
      <c r="M40" s="25">
        <v>4575</v>
      </c>
      <c r="N40" s="25">
        <v>0.93114754098360653</v>
      </c>
      <c r="O40" s="25">
        <v>4.1500000000000004</v>
      </c>
      <c r="P40" s="25">
        <v>3.375</v>
      </c>
      <c r="Q40" s="25">
        <v>4.2375000000000007</v>
      </c>
      <c r="R40" s="25">
        <v>3.9208333333333338</v>
      </c>
      <c r="S40" s="25">
        <v>1.7987868294967622</v>
      </c>
      <c r="T40" s="25">
        <v>0.34769230769230774</v>
      </c>
      <c r="U40" s="25">
        <v>0.23</v>
      </c>
      <c r="V40" s="25">
        <v>0.35166666666666674</v>
      </c>
      <c r="W40" s="25">
        <v>0.3108108108108108</v>
      </c>
      <c r="X40" s="25">
        <v>0.22274023707721338</v>
      </c>
      <c r="Y40" s="25">
        <v>0.74</v>
      </c>
      <c r="Z40" s="25">
        <v>0.57999999999999996</v>
      </c>
      <c r="AA40" s="25">
        <v>1</v>
      </c>
      <c r="AB40" s="25">
        <v>1</v>
      </c>
      <c r="AC40" s="25">
        <v>12.61485507246377</v>
      </c>
      <c r="AD40" s="25">
        <v>0</v>
      </c>
      <c r="AE40" s="25">
        <v>2.7027027027027026</v>
      </c>
      <c r="AF40" s="25">
        <v>0</v>
      </c>
      <c r="AG40" s="25">
        <v>2.7027027027027026</v>
      </c>
      <c r="AH40" s="25">
        <v>0</v>
      </c>
      <c r="AI40" s="25">
        <v>94.594594594594597</v>
      </c>
      <c r="AJ40" s="25">
        <v>2.7027027027027026</v>
      </c>
      <c r="AK40" s="25">
        <v>97.297297297297305</v>
      </c>
      <c r="AL40" s="25">
        <v>94.594594594594597</v>
      </c>
      <c r="AM40" s="25">
        <v>0.15583333333333335</v>
      </c>
      <c r="AN40" s="25">
        <v>0.31181818181818183</v>
      </c>
      <c r="AO40" s="25">
        <v>0.24916666666666665</v>
      </c>
      <c r="AP40" s="25">
        <v>0.23135135135135132</v>
      </c>
      <c r="AQ40" s="25">
        <v>0.26200256744036948</v>
      </c>
      <c r="AR40" s="25">
        <v>0.97</v>
      </c>
      <c r="AS40" s="25">
        <v>0.74</v>
      </c>
      <c r="AT40" s="25">
        <v>0.8</v>
      </c>
      <c r="AU40" s="25">
        <v>0.97</v>
      </c>
      <c r="AV40" s="25">
        <v>41.666666666666671</v>
      </c>
      <c r="AW40" s="25">
        <v>0.20833333333333334</v>
      </c>
      <c r="AX40" s="25">
        <v>50</v>
      </c>
      <c r="AY40" s="25">
        <v>12.5</v>
      </c>
      <c r="AZ40" s="25">
        <v>50</v>
      </c>
      <c r="BA40" s="25">
        <v>37.5</v>
      </c>
      <c r="BB40" s="25">
        <v>41.666666666666671</v>
      </c>
      <c r="BC40" s="25">
        <v>0.75</v>
      </c>
      <c r="BD40" s="25">
        <v>8.3333333333333321</v>
      </c>
      <c r="BE40" s="25">
        <v>0</v>
      </c>
      <c r="BF40" s="25">
        <v>0</v>
      </c>
      <c r="BG40" s="25">
        <v>0</v>
      </c>
      <c r="BH40" s="25">
        <v>0</v>
      </c>
      <c r="BI40" s="25">
        <v>0.20833333333333334</v>
      </c>
      <c r="BJ40" s="25">
        <v>0</v>
      </c>
      <c r="BK40" s="25">
        <v>1.25</v>
      </c>
      <c r="BL40" s="25">
        <v>1.75</v>
      </c>
      <c r="BM40" s="25">
        <v>1</v>
      </c>
      <c r="BN40" s="25">
        <v>0.25</v>
      </c>
      <c r="BO40" s="25">
        <v>0.25</v>
      </c>
      <c r="BP40" s="25">
        <v>0.75</v>
      </c>
      <c r="BQ40" s="25">
        <v>0.41666666666666669</v>
      </c>
      <c r="BR40" s="25">
        <v>2.25</v>
      </c>
      <c r="BS40" s="25">
        <v>0.75</v>
      </c>
      <c r="BT40" s="25">
        <v>1.5</v>
      </c>
      <c r="BU40" s="25">
        <v>1.5</v>
      </c>
      <c r="BV40" s="25">
        <v>16.666666666666664</v>
      </c>
      <c r="BW40" s="25">
        <v>62.5</v>
      </c>
      <c r="BX40" s="25">
        <v>20.833333333333336</v>
      </c>
      <c r="BY40" s="25">
        <v>38.75</v>
      </c>
      <c r="BZ40" s="25">
        <v>0.25</v>
      </c>
      <c r="CA40" s="25">
        <v>89.348171701112889</v>
      </c>
      <c r="CB40" s="25">
        <v>10.741991171638094</v>
      </c>
      <c r="CC40" s="25">
        <v>10.651828298887111</v>
      </c>
      <c r="CD40" s="25">
        <v>0</v>
      </c>
      <c r="CE40" s="25">
        <v>0</v>
      </c>
      <c r="CF40" s="25">
        <v>0</v>
      </c>
      <c r="CG40" s="25">
        <v>0</v>
      </c>
      <c r="CH40" s="25">
        <v>0</v>
      </c>
    </row>
    <row r="41" spans="1:86" ht="15.75" x14ac:dyDescent="0.25">
      <c r="A41" s="2">
        <v>39</v>
      </c>
      <c r="B41" s="2" t="s">
        <v>3</v>
      </c>
      <c r="C41" s="2">
        <v>156</v>
      </c>
      <c r="D41" s="12">
        <v>2018</v>
      </c>
      <c r="E41" s="13">
        <v>43298</v>
      </c>
      <c r="F41" s="14" t="str">
        <f t="shared" si="0"/>
        <v>18198</v>
      </c>
      <c r="G41" s="32">
        <v>10.5</v>
      </c>
      <c r="H41" s="32">
        <v>8.3800000000000008</v>
      </c>
      <c r="I41" s="32">
        <v>13.25</v>
      </c>
      <c r="J41" s="25">
        <v>443</v>
      </c>
      <c r="K41" s="25">
        <v>358</v>
      </c>
      <c r="L41" s="25">
        <v>437</v>
      </c>
      <c r="M41" s="25">
        <v>1238</v>
      </c>
      <c r="N41" s="25">
        <v>0.33925686591276255</v>
      </c>
      <c r="O41" s="25">
        <v>4.3999999999999995</v>
      </c>
      <c r="P41" s="25">
        <v>3.1124999999999994</v>
      </c>
      <c r="Q41" s="25">
        <v>2.4874999999999998</v>
      </c>
      <c r="R41" s="25">
        <v>3.3333333333333339</v>
      </c>
      <c r="S41" s="25">
        <v>1.4687074076463835</v>
      </c>
      <c r="T41" s="25">
        <v>0.23250000000000004</v>
      </c>
      <c r="U41" s="25">
        <v>0.19333333333333333</v>
      </c>
      <c r="V41" s="25">
        <v>0.15333333333333335</v>
      </c>
      <c r="W41" s="25">
        <v>0.19700000000000004</v>
      </c>
      <c r="X41" s="25">
        <v>0.11987600431385922</v>
      </c>
      <c r="Y41" s="25">
        <v>0.54</v>
      </c>
      <c r="Z41" s="25">
        <v>0.52</v>
      </c>
      <c r="AA41" s="25">
        <v>0.3</v>
      </c>
      <c r="AB41" s="25">
        <v>0.54</v>
      </c>
      <c r="AC41" s="25">
        <v>16.920473773265652</v>
      </c>
      <c r="AD41" s="25">
        <v>2.5</v>
      </c>
      <c r="AE41" s="25">
        <v>5</v>
      </c>
      <c r="AF41" s="25">
        <v>7.5</v>
      </c>
      <c r="AG41" s="25">
        <v>15</v>
      </c>
      <c r="AH41" s="25">
        <v>2.5</v>
      </c>
      <c r="AI41" s="25">
        <v>82.5</v>
      </c>
      <c r="AJ41" s="25">
        <v>0</v>
      </c>
      <c r="AK41" s="25">
        <v>85</v>
      </c>
      <c r="AL41" s="25">
        <v>82.5</v>
      </c>
      <c r="AM41" s="25">
        <v>0.19666666666666663</v>
      </c>
      <c r="AN41" s="25">
        <v>0.27363636363636368</v>
      </c>
      <c r="AO41" s="25">
        <v>0.30363636363636365</v>
      </c>
      <c r="AP41" s="25">
        <v>0.26650000000000001</v>
      </c>
      <c r="AQ41" s="25">
        <v>0.19515345704053463</v>
      </c>
      <c r="AR41" s="25">
        <v>0.42</v>
      </c>
      <c r="AS41" s="25">
        <v>0.56000000000000005</v>
      </c>
      <c r="AT41" s="25">
        <v>0.8</v>
      </c>
      <c r="AU41" s="25">
        <v>0.8</v>
      </c>
      <c r="AV41" s="25">
        <v>62.5</v>
      </c>
      <c r="AW41" s="25">
        <v>0.25</v>
      </c>
      <c r="AX41" s="25">
        <v>25</v>
      </c>
      <c r="AY41" s="25">
        <v>12.5</v>
      </c>
      <c r="AZ41" s="25">
        <v>0</v>
      </c>
      <c r="BA41" s="25">
        <v>12.5</v>
      </c>
      <c r="BB41" s="25">
        <v>62.5</v>
      </c>
      <c r="BC41" s="25">
        <v>0.83333333333333337</v>
      </c>
      <c r="BD41" s="25">
        <v>16.666666666666664</v>
      </c>
      <c r="BE41" s="25">
        <v>1.25</v>
      </c>
      <c r="BF41" s="25">
        <v>0</v>
      </c>
      <c r="BG41" s="25">
        <v>0.75</v>
      </c>
      <c r="BH41" s="25">
        <v>0.66666666666666663</v>
      </c>
      <c r="BI41" s="25">
        <v>1.0833333333333333</v>
      </c>
      <c r="BJ41" s="25">
        <v>0</v>
      </c>
      <c r="BK41" s="25">
        <v>0.25</v>
      </c>
      <c r="BL41" s="25">
        <v>0</v>
      </c>
      <c r="BM41" s="25">
        <v>8.3333333333333329E-2</v>
      </c>
      <c r="BN41" s="25">
        <v>0.25</v>
      </c>
      <c r="BO41" s="25">
        <v>1</v>
      </c>
      <c r="BP41" s="25">
        <v>1</v>
      </c>
      <c r="BQ41" s="25">
        <v>0.75</v>
      </c>
      <c r="BR41" s="25">
        <v>0.75</v>
      </c>
      <c r="BS41" s="25">
        <v>0.25</v>
      </c>
      <c r="BT41" s="25">
        <v>1</v>
      </c>
      <c r="BU41" s="25">
        <v>0.66666666666666663</v>
      </c>
      <c r="BV41" s="25">
        <v>29.166666666666668</v>
      </c>
      <c r="BW41" s="25">
        <v>50</v>
      </c>
      <c r="BX41" s="25">
        <v>20.833333333333336</v>
      </c>
      <c r="BY41" s="25">
        <v>30</v>
      </c>
      <c r="BZ41" s="25">
        <v>0.58333333333333337</v>
      </c>
      <c r="CA41" s="25">
        <v>2.7777777777777777</v>
      </c>
      <c r="CB41" s="25">
        <v>2.1710578213147764</v>
      </c>
      <c r="CC41" s="25">
        <v>97.222222222222229</v>
      </c>
      <c r="CD41" s="25">
        <v>0</v>
      </c>
      <c r="CE41" s="25">
        <v>0</v>
      </c>
      <c r="CF41" s="25">
        <v>0</v>
      </c>
      <c r="CG41" s="25">
        <v>0</v>
      </c>
      <c r="CH41" s="25">
        <v>0</v>
      </c>
    </row>
    <row r="42" spans="1:86" ht="15.75" x14ac:dyDescent="0.25">
      <c r="A42" s="2">
        <v>40</v>
      </c>
      <c r="B42" s="2" t="s">
        <v>3</v>
      </c>
      <c r="C42" s="2">
        <v>157</v>
      </c>
      <c r="D42" s="12">
        <v>2018</v>
      </c>
      <c r="E42" s="13">
        <v>43256</v>
      </c>
      <c r="F42" s="14" t="str">
        <f t="shared" si="0"/>
        <v>18156</v>
      </c>
      <c r="G42" s="32">
        <v>14.8</v>
      </c>
      <c r="H42" s="32">
        <v>8.1999999999999993</v>
      </c>
      <c r="I42" s="32">
        <v>10.8</v>
      </c>
      <c r="J42" s="25">
        <v>1260</v>
      </c>
      <c r="K42" s="25">
        <v>1262</v>
      </c>
      <c r="L42" s="25">
        <v>804</v>
      </c>
      <c r="M42" s="25">
        <v>3326</v>
      </c>
      <c r="N42" s="25">
        <v>2.8683102826217679</v>
      </c>
      <c r="O42" s="25">
        <v>7.65</v>
      </c>
      <c r="P42" s="25">
        <v>5.7</v>
      </c>
      <c r="Q42" s="25">
        <v>3.8874999999999997</v>
      </c>
      <c r="R42" s="25">
        <v>5.7458333333333336</v>
      </c>
      <c r="S42" s="25">
        <v>2.3361021356965135</v>
      </c>
      <c r="T42" s="25">
        <v>0.36125000000000002</v>
      </c>
      <c r="U42" s="25">
        <v>0.35062500000000002</v>
      </c>
      <c r="V42" s="25">
        <v>0.58437499999999998</v>
      </c>
      <c r="W42" s="25">
        <v>0.43208333333333332</v>
      </c>
      <c r="X42" s="25">
        <v>0.18403235531128329</v>
      </c>
      <c r="Y42" s="25">
        <v>0.6</v>
      </c>
      <c r="Z42" s="25">
        <v>0.65</v>
      </c>
      <c r="AA42" s="25">
        <v>0.8</v>
      </c>
      <c r="AB42" s="25">
        <v>0.8</v>
      </c>
      <c r="AC42" s="25">
        <v>13.297974927675989</v>
      </c>
      <c r="AD42" s="25">
        <v>0</v>
      </c>
      <c r="AE42" s="25">
        <v>45.833333333333329</v>
      </c>
      <c r="AF42" s="25">
        <v>0</v>
      </c>
      <c r="AG42" s="25">
        <v>45.833333333333329</v>
      </c>
      <c r="AH42" s="25">
        <v>0</v>
      </c>
      <c r="AI42" s="25">
        <v>50</v>
      </c>
      <c r="AJ42" s="25">
        <v>4.1666666666666661</v>
      </c>
      <c r="AK42" s="25">
        <v>54.166666666666664</v>
      </c>
      <c r="AL42" s="25">
        <v>50</v>
      </c>
      <c r="AM42" s="25">
        <v>0.24187500000000001</v>
      </c>
      <c r="AN42" s="25">
        <v>0.19500000000000003</v>
      </c>
      <c r="AO42" s="25">
        <v>9.7500000000000017E-2</v>
      </c>
      <c r="AP42" s="25">
        <v>0.17812500000000001</v>
      </c>
      <c r="AQ42" s="25">
        <v>0.2008985797901571</v>
      </c>
      <c r="AR42" s="25">
        <v>1.1000000000000001</v>
      </c>
      <c r="AS42" s="25">
        <v>0.38</v>
      </c>
      <c r="AT42" s="25">
        <v>0.17</v>
      </c>
      <c r="AU42" s="25">
        <v>1.1000000000000001</v>
      </c>
      <c r="AV42" s="25">
        <v>8.3333333333333321</v>
      </c>
      <c r="AW42" s="25">
        <v>0.52173913043478259</v>
      </c>
      <c r="AX42" s="25">
        <v>12.5</v>
      </c>
      <c r="AY42" s="25">
        <v>12.5</v>
      </c>
      <c r="AZ42" s="25">
        <v>87.5</v>
      </c>
      <c r="BA42" s="25">
        <v>37.5</v>
      </c>
      <c r="BB42" s="25">
        <v>50</v>
      </c>
      <c r="BC42" s="25">
        <v>0.66666666666666663</v>
      </c>
      <c r="BD42" s="25">
        <v>25</v>
      </c>
      <c r="BE42" s="25">
        <v>0</v>
      </c>
      <c r="BF42" s="25">
        <v>0.25</v>
      </c>
      <c r="BG42" s="25">
        <v>0</v>
      </c>
      <c r="BH42" s="25">
        <v>8.3333333333333329E-2</v>
      </c>
      <c r="BI42" s="25">
        <v>0.29166666666666669</v>
      </c>
      <c r="BJ42" s="25">
        <v>0.25</v>
      </c>
      <c r="BK42" s="25">
        <v>0.5</v>
      </c>
      <c r="BL42" s="25">
        <v>1</v>
      </c>
      <c r="BM42" s="25">
        <v>0.58333333333333337</v>
      </c>
      <c r="BN42" s="25">
        <v>1</v>
      </c>
      <c r="BO42" s="25">
        <v>1.25</v>
      </c>
      <c r="BP42" s="25">
        <v>0</v>
      </c>
      <c r="BQ42" s="25">
        <v>0.75</v>
      </c>
      <c r="BR42" s="25">
        <v>1.25</v>
      </c>
      <c r="BS42" s="25">
        <v>1</v>
      </c>
      <c r="BT42" s="25">
        <v>1.75</v>
      </c>
      <c r="BU42" s="25">
        <v>1.3333333333333333</v>
      </c>
      <c r="BV42" s="25">
        <v>20.833333333333336</v>
      </c>
      <c r="BW42" s="25">
        <v>58.333333333333336</v>
      </c>
      <c r="BX42" s="25">
        <v>20.833333333333336</v>
      </c>
      <c r="BY42" s="25">
        <v>37.5</v>
      </c>
      <c r="BZ42" s="25">
        <v>0.41666666666666669</v>
      </c>
      <c r="CA42" s="25">
        <v>64.86486486486487</v>
      </c>
      <c r="CB42" s="25">
        <v>15.831776946708244</v>
      </c>
      <c r="CC42" s="25">
        <v>35.13513513513513</v>
      </c>
      <c r="CD42" s="25">
        <v>0</v>
      </c>
      <c r="CE42" s="25">
        <v>0</v>
      </c>
      <c r="CF42" s="25">
        <v>0</v>
      </c>
      <c r="CG42" s="25">
        <v>0</v>
      </c>
      <c r="CH42" s="25">
        <v>0</v>
      </c>
    </row>
    <row r="43" spans="1:86" ht="15.75" x14ac:dyDescent="0.25">
      <c r="A43" s="2">
        <v>41</v>
      </c>
      <c r="B43" s="2" t="s">
        <v>3</v>
      </c>
      <c r="C43" s="2">
        <v>163</v>
      </c>
      <c r="D43" s="12">
        <v>2018</v>
      </c>
      <c r="E43" s="13">
        <v>43257</v>
      </c>
      <c r="F43" s="14" t="str">
        <f t="shared" si="0"/>
        <v>18157</v>
      </c>
      <c r="G43" s="32">
        <v>16</v>
      </c>
      <c r="H43" s="32">
        <v>8.5</v>
      </c>
      <c r="I43" s="32">
        <v>10.29</v>
      </c>
      <c r="J43" s="25">
        <v>615</v>
      </c>
      <c r="K43" s="25">
        <v>552</v>
      </c>
      <c r="L43" s="25">
        <v>402</v>
      </c>
      <c r="M43" s="25">
        <v>1569</v>
      </c>
      <c r="N43" s="25">
        <v>2.4091778202676863</v>
      </c>
      <c r="O43" s="25">
        <v>4.0875000000000004</v>
      </c>
      <c r="P43" s="25">
        <v>4.5375000000000005</v>
      </c>
      <c r="Q43" s="25">
        <v>4.4124999999999996</v>
      </c>
      <c r="R43" s="25">
        <v>4.3458333333333332</v>
      </c>
      <c r="S43" s="25">
        <v>1.4673191071879486</v>
      </c>
      <c r="T43" s="25">
        <v>0.2985714285714286</v>
      </c>
      <c r="U43" s="25">
        <v>0.12250000000000001</v>
      </c>
      <c r="V43" s="25">
        <v>0.33333333333333326</v>
      </c>
      <c r="W43" s="25">
        <v>0.24755555555555553</v>
      </c>
      <c r="X43" s="25">
        <v>0.20446332806949161</v>
      </c>
      <c r="Y43" s="25">
        <v>0.88</v>
      </c>
      <c r="Z43" s="25">
        <v>0.26</v>
      </c>
      <c r="AA43" s="25">
        <v>0.82</v>
      </c>
      <c r="AB43" s="25">
        <v>0.88</v>
      </c>
      <c r="AC43" s="25">
        <v>17.554982046678639</v>
      </c>
      <c r="AD43" s="25">
        <v>0</v>
      </c>
      <c r="AE43" s="25">
        <v>8.8888888888888893</v>
      </c>
      <c r="AF43" s="25">
        <v>0</v>
      </c>
      <c r="AG43" s="25">
        <v>8.8888888888888893</v>
      </c>
      <c r="AH43" s="25">
        <v>2.2222222222222223</v>
      </c>
      <c r="AI43" s="25">
        <v>88.888888888888886</v>
      </c>
      <c r="AJ43" s="25">
        <v>0</v>
      </c>
      <c r="AK43" s="25">
        <v>91.111111111111114</v>
      </c>
      <c r="AL43" s="25">
        <v>88.888888888888886</v>
      </c>
      <c r="AM43" s="25">
        <v>9.1538461538461541E-2</v>
      </c>
      <c r="AN43" s="25">
        <v>0.20133333333333334</v>
      </c>
      <c r="AO43" s="25">
        <v>0.11714285714285713</v>
      </c>
      <c r="AP43" s="25">
        <v>0.13533333333333328</v>
      </c>
      <c r="AQ43" s="25">
        <v>0.13354604245182805</v>
      </c>
      <c r="AR43" s="25">
        <v>0.47</v>
      </c>
      <c r="AS43" s="25">
        <v>0.43</v>
      </c>
      <c r="AT43" s="25">
        <v>0.42</v>
      </c>
      <c r="AU43" s="25">
        <v>0.47</v>
      </c>
      <c r="AV43" s="25">
        <v>25</v>
      </c>
      <c r="AW43" s="25">
        <v>0.375</v>
      </c>
      <c r="AX43" s="25">
        <v>62.5</v>
      </c>
      <c r="AY43" s="25">
        <v>0</v>
      </c>
      <c r="AZ43" s="25">
        <v>50</v>
      </c>
      <c r="BA43" s="25">
        <v>37.5</v>
      </c>
      <c r="BB43" s="25">
        <v>37.5</v>
      </c>
      <c r="BC43" s="25">
        <v>1.9166666666666667</v>
      </c>
      <c r="BD43" s="25">
        <v>58.333333333333336</v>
      </c>
      <c r="BE43" s="25">
        <v>0</v>
      </c>
      <c r="BF43" s="25">
        <v>0.375</v>
      </c>
      <c r="BG43" s="25">
        <v>0</v>
      </c>
      <c r="BH43" s="25">
        <v>0.125</v>
      </c>
      <c r="BI43" s="25">
        <v>0.5</v>
      </c>
      <c r="BJ43" s="25">
        <v>0</v>
      </c>
      <c r="BK43" s="25">
        <v>0</v>
      </c>
      <c r="BL43" s="25">
        <v>0</v>
      </c>
      <c r="BM43" s="25">
        <v>0</v>
      </c>
      <c r="BN43" s="25">
        <v>0.75</v>
      </c>
      <c r="BO43" s="25">
        <v>1</v>
      </c>
      <c r="BP43" s="25">
        <v>0.25</v>
      </c>
      <c r="BQ43" s="25">
        <v>0.66666666666666663</v>
      </c>
      <c r="BR43" s="25">
        <v>1.5</v>
      </c>
      <c r="BS43" s="25">
        <v>0.5</v>
      </c>
      <c r="BT43" s="25">
        <v>2.75</v>
      </c>
      <c r="BU43" s="25">
        <v>1.5833333333333333</v>
      </c>
      <c r="BV43" s="25">
        <v>25</v>
      </c>
      <c r="BW43" s="25">
        <v>54.166666666666664</v>
      </c>
      <c r="BX43" s="25">
        <v>20.833333333333336</v>
      </c>
      <c r="BY43" s="25">
        <v>32.708333333333336</v>
      </c>
      <c r="BZ43" s="25">
        <v>0.5</v>
      </c>
      <c r="CA43" s="25">
        <v>27.181467181467177</v>
      </c>
      <c r="CB43" s="25">
        <v>13.370166212048941</v>
      </c>
      <c r="CC43" s="25">
        <v>72.818532818532816</v>
      </c>
      <c r="CD43" s="25">
        <v>0</v>
      </c>
      <c r="CE43" s="25">
        <v>0</v>
      </c>
      <c r="CF43" s="25">
        <v>0</v>
      </c>
      <c r="CG43" s="25">
        <v>0</v>
      </c>
      <c r="CH43" s="25">
        <v>0</v>
      </c>
    </row>
    <row r="44" spans="1:86" ht="15.75" x14ac:dyDescent="0.25">
      <c r="A44" s="2">
        <v>42</v>
      </c>
      <c r="B44" s="2" t="s">
        <v>3</v>
      </c>
      <c r="C44" s="2">
        <v>170</v>
      </c>
      <c r="D44" s="12">
        <v>2018</v>
      </c>
      <c r="E44" s="13">
        <v>43251</v>
      </c>
      <c r="F44" s="14" t="str">
        <f t="shared" si="0"/>
        <v>18151</v>
      </c>
      <c r="G44" s="32">
        <v>14.6</v>
      </c>
      <c r="H44" s="32">
        <v>8.81</v>
      </c>
      <c r="I44" s="32">
        <v>8.91</v>
      </c>
      <c r="J44" s="25">
        <v>217</v>
      </c>
      <c r="K44" s="25">
        <v>128</v>
      </c>
      <c r="L44" s="25">
        <v>220</v>
      </c>
      <c r="M44" s="25">
        <v>565</v>
      </c>
      <c r="N44" s="25">
        <v>0</v>
      </c>
      <c r="O44" s="25">
        <v>1.85</v>
      </c>
      <c r="P44" s="25">
        <v>1.7000000000000002</v>
      </c>
      <c r="Q44" s="25">
        <v>1.9874999999999998</v>
      </c>
      <c r="R44" s="25">
        <v>1.8458333333333334</v>
      </c>
      <c r="S44" s="25">
        <v>0.79835655468330458</v>
      </c>
      <c r="T44" s="25">
        <v>0.14000000000000001</v>
      </c>
      <c r="U44" s="25">
        <v>0.11750000000000002</v>
      </c>
      <c r="V44" s="25">
        <v>9.2499999999999999E-2</v>
      </c>
      <c r="W44" s="25">
        <v>0.1166666666666667</v>
      </c>
      <c r="X44" s="25">
        <v>7.1909766323870195E-2</v>
      </c>
      <c r="Y44" s="25">
        <v>0.3</v>
      </c>
      <c r="Z44" s="25">
        <v>0.24</v>
      </c>
      <c r="AA44" s="25">
        <v>0.16</v>
      </c>
      <c r="AB44" s="25">
        <v>0.3</v>
      </c>
      <c r="AC44" s="25">
        <v>15.821428571428568</v>
      </c>
      <c r="AD44" s="25">
        <v>0</v>
      </c>
      <c r="AE44" s="25">
        <v>33.333333333333329</v>
      </c>
      <c r="AF44" s="25">
        <v>0</v>
      </c>
      <c r="AG44" s="25">
        <v>33.333333333333329</v>
      </c>
      <c r="AH44" s="25">
        <v>0</v>
      </c>
      <c r="AI44" s="25">
        <v>66.666666666666657</v>
      </c>
      <c r="AJ44" s="25">
        <v>0</v>
      </c>
      <c r="AK44" s="25">
        <v>66.666666666666657</v>
      </c>
      <c r="AL44" s="25">
        <v>66.666666666666657</v>
      </c>
      <c r="AM44" s="25">
        <v>9.1249999999999998E-2</v>
      </c>
      <c r="AN44" s="25">
        <v>7.4999999999999997E-2</v>
      </c>
      <c r="AO44" s="25">
        <v>9.6250000000000002E-2</v>
      </c>
      <c r="AP44" s="25">
        <v>8.7500000000000022E-2</v>
      </c>
      <c r="AQ44" s="25">
        <v>8.7984682461358502E-2</v>
      </c>
      <c r="AR44" s="25">
        <v>0.28999999999999998</v>
      </c>
      <c r="AS44" s="25">
        <v>0.23</v>
      </c>
      <c r="AT44" s="25">
        <v>0.25</v>
      </c>
      <c r="AU44" s="25">
        <v>0.28999999999999998</v>
      </c>
      <c r="AV44" s="25">
        <v>0</v>
      </c>
      <c r="AW44" s="25">
        <v>0.45833333333333331</v>
      </c>
      <c r="AX44" s="25">
        <v>75</v>
      </c>
      <c r="AY44" s="25">
        <v>50</v>
      </c>
      <c r="AZ44" s="25">
        <v>37.5</v>
      </c>
      <c r="BA44" s="25">
        <v>54.166666666666664</v>
      </c>
      <c r="BB44" s="25">
        <v>54.166666666666664</v>
      </c>
      <c r="BC44" s="25">
        <v>0.83333333333333337</v>
      </c>
      <c r="BD44" s="25">
        <v>33.333333333333329</v>
      </c>
      <c r="BE44" s="25">
        <v>0.5</v>
      </c>
      <c r="BF44" s="25">
        <v>0.625</v>
      </c>
      <c r="BG44" s="25">
        <v>0.5</v>
      </c>
      <c r="BH44" s="25">
        <v>0.54166666666666663</v>
      </c>
      <c r="BI44" s="25">
        <v>0.5</v>
      </c>
      <c r="BJ44" s="25">
        <v>0.25</v>
      </c>
      <c r="BK44" s="25">
        <v>0</v>
      </c>
      <c r="BL44" s="25">
        <v>0</v>
      </c>
      <c r="BM44" s="25">
        <v>8.3333333333333329E-2</v>
      </c>
      <c r="BN44" s="25">
        <v>0.5</v>
      </c>
      <c r="BO44" s="25">
        <v>1.25</v>
      </c>
      <c r="BP44" s="25">
        <v>0.75</v>
      </c>
      <c r="BQ44" s="25">
        <v>0.83333333333333337</v>
      </c>
      <c r="BR44" s="25">
        <v>0.75</v>
      </c>
      <c r="BS44" s="25">
        <v>0.5</v>
      </c>
      <c r="BT44" s="25">
        <v>0.5</v>
      </c>
      <c r="BU44" s="25">
        <v>0.58333333333333337</v>
      </c>
      <c r="BV44" s="25">
        <v>33.333333333333329</v>
      </c>
      <c r="BW44" s="25">
        <v>62.5</v>
      </c>
      <c r="BX44" s="25">
        <v>4.1666666666666661</v>
      </c>
      <c r="BY44" s="25">
        <v>26.25</v>
      </c>
      <c r="BZ44" s="25">
        <v>0.625</v>
      </c>
      <c r="CA44" s="25">
        <v>4.5045045045045047</v>
      </c>
      <c r="CB44" s="25">
        <v>3.4465617474213164</v>
      </c>
      <c r="CC44" s="25">
        <v>95.49549549549549</v>
      </c>
      <c r="CD44" s="25">
        <v>0</v>
      </c>
      <c r="CE44" s="25">
        <v>0</v>
      </c>
      <c r="CF44" s="25">
        <v>0</v>
      </c>
      <c r="CG44" s="25">
        <v>0</v>
      </c>
      <c r="CH44" s="25">
        <v>0</v>
      </c>
    </row>
    <row r="45" spans="1:86" ht="15.75" x14ac:dyDescent="0.25">
      <c r="A45" s="2">
        <v>43</v>
      </c>
      <c r="B45" s="2" t="s">
        <v>3</v>
      </c>
      <c r="C45" s="2" t="s">
        <v>4</v>
      </c>
      <c r="D45" s="12">
        <v>2018</v>
      </c>
      <c r="E45" s="13">
        <v>43293</v>
      </c>
      <c r="F45" s="14" t="str">
        <f t="shared" si="0"/>
        <v>18193</v>
      </c>
      <c r="G45" s="32">
        <v>12.2</v>
      </c>
      <c r="H45" s="32">
        <v>8.27</v>
      </c>
      <c r="I45" s="32">
        <v>11.8</v>
      </c>
      <c r="J45" s="25">
        <v>527</v>
      </c>
      <c r="K45" s="25">
        <v>413</v>
      </c>
      <c r="L45" s="25">
        <v>586</v>
      </c>
      <c r="M45" s="25">
        <v>1526</v>
      </c>
      <c r="N45" s="25">
        <v>0.78636959370904325</v>
      </c>
      <c r="O45" s="25">
        <v>1.85</v>
      </c>
      <c r="P45" s="25">
        <v>1.85</v>
      </c>
      <c r="Q45" s="25">
        <v>4.0125000000000002</v>
      </c>
      <c r="R45" s="25">
        <v>2.5708333333333329</v>
      </c>
      <c r="S45" s="25">
        <v>1.3362761907521277</v>
      </c>
      <c r="T45" s="25">
        <v>0.27</v>
      </c>
      <c r="U45" s="25">
        <v>0.16545454545454547</v>
      </c>
      <c r="V45" s="25">
        <v>0.5763636363636363</v>
      </c>
      <c r="W45" s="25">
        <v>0.33937499999999993</v>
      </c>
      <c r="X45" s="25">
        <v>0.20874335994848006</v>
      </c>
      <c r="Y45" s="25">
        <v>0.5</v>
      </c>
      <c r="Z45" s="25">
        <v>0.26</v>
      </c>
      <c r="AA45" s="25">
        <v>0.78</v>
      </c>
      <c r="AB45" s="25">
        <v>0.78</v>
      </c>
      <c r="AC45" s="25">
        <v>7.575199508901167</v>
      </c>
      <c r="AD45" s="25">
        <v>0</v>
      </c>
      <c r="AE45" s="25">
        <v>43.75</v>
      </c>
      <c r="AF45" s="25">
        <v>18.75</v>
      </c>
      <c r="AG45" s="25">
        <v>62.5</v>
      </c>
      <c r="AH45" s="25">
        <v>9.375</v>
      </c>
      <c r="AI45" s="25">
        <v>28.125</v>
      </c>
      <c r="AJ45" s="25">
        <v>0</v>
      </c>
      <c r="AK45" s="25">
        <v>37.5</v>
      </c>
      <c r="AL45" s="25">
        <v>43.75</v>
      </c>
      <c r="AM45" s="25">
        <v>0.32</v>
      </c>
      <c r="AN45" s="25">
        <v>0.55636363636363628</v>
      </c>
      <c r="AO45" s="25">
        <v>0.05</v>
      </c>
      <c r="AP45" s="25">
        <v>0.30843749999999998</v>
      </c>
      <c r="AQ45" s="25">
        <v>0.29630095179100946</v>
      </c>
      <c r="AR45" s="25">
        <v>1.1000000000000001</v>
      </c>
      <c r="AS45" s="25">
        <v>0.89</v>
      </c>
      <c r="AT45" s="25">
        <v>0.09</v>
      </c>
      <c r="AU45" s="25">
        <v>1.1000000000000001</v>
      </c>
      <c r="AV45" s="25">
        <v>25</v>
      </c>
      <c r="AW45" s="25">
        <v>0.41666666666666669</v>
      </c>
      <c r="AX45" s="25">
        <v>0</v>
      </c>
      <c r="AY45" s="25">
        <v>0</v>
      </c>
      <c r="AZ45" s="25">
        <v>100</v>
      </c>
      <c r="BA45" s="25">
        <v>33.333333333333329</v>
      </c>
      <c r="BB45" s="25">
        <v>41.666666666666671</v>
      </c>
      <c r="BC45" s="25">
        <v>0.41666666666666669</v>
      </c>
      <c r="BD45" s="25">
        <v>8.3333333333333321</v>
      </c>
      <c r="BE45" s="25">
        <v>0</v>
      </c>
      <c r="BF45" s="25">
        <v>0</v>
      </c>
      <c r="BG45" s="25">
        <v>0.25</v>
      </c>
      <c r="BH45" s="25">
        <v>8.3333333333333329E-2</v>
      </c>
      <c r="BI45" s="25">
        <v>0.125</v>
      </c>
      <c r="BJ45" s="25">
        <v>0.25</v>
      </c>
      <c r="BK45" s="25">
        <v>1.25</v>
      </c>
      <c r="BL45" s="25">
        <v>0.25</v>
      </c>
      <c r="BM45" s="25">
        <v>0.58333333333333337</v>
      </c>
      <c r="BN45" s="25">
        <v>0</v>
      </c>
      <c r="BO45" s="25">
        <v>0</v>
      </c>
      <c r="BP45" s="25">
        <v>0</v>
      </c>
      <c r="BQ45" s="25">
        <v>0</v>
      </c>
      <c r="BR45" s="25">
        <v>0.75</v>
      </c>
      <c r="BS45" s="25">
        <v>0.25</v>
      </c>
      <c r="BT45" s="25">
        <v>3.75</v>
      </c>
      <c r="BU45" s="25">
        <v>1.5833333333333333</v>
      </c>
      <c r="BV45" s="25">
        <v>8.3333333333333321</v>
      </c>
      <c r="BW45" s="25">
        <v>66.666666666666657</v>
      </c>
      <c r="BX45" s="25">
        <v>20.833333333333336</v>
      </c>
      <c r="BY45" s="25">
        <v>37.826086956521742</v>
      </c>
      <c r="BZ45" s="25">
        <v>0</v>
      </c>
      <c r="CA45" s="25">
        <v>100</v>
      </c>
      <c r="CB45" s="25">
        <v>0</v>
      </c>
      <c r="CC45" s="25">
        <v>0</v>
      </c>
      <c r="CD45" s="25">
        <v>0</v>
      </c>
      <c r="CE45" s="25">
        <v>0</v>
      </c>
      <c r="CF45" s="25">
        <v>0</v>
      </c>
      <c r="CG45" s="25">
        <v>0</v>
      </c>
      <c r="CH45" s="25">
        <v>0</v>
      </c>
    </row>
    <row r="46" spans="1:86" ht="15.75" x14ac:dyDescent="0.25">
      <c r="A46" s="2">
        <v>44</v>
      </c>
      <c r="B46" s="2" t="s">
        <v>3</v>
      </c>
      <c r="C46" s="2" t="s">
        <v>5</v>
      </c>
      <c r="D46" s="12">
        <v>2018</v>
      </c>
      <c r="E46" s="13">
        <v>43243</v>
      </c>
      <c r="F46" s="14" t="str">
        <f t="shared" si="0"/>
        <v>18143</v>
      </c>
      <c r="G46" s="32">
        <v>18.100000000000001</v>
      </c>
      <c r="H46" s="32">
        <v>8.6300000000000008</v>
      </c>
      <c r="I46" s="32">
        <v>12.16</v>
      </c>
      <c r="J46" s="25">
        <v>442</v>
      </c>
      <c r="K46" s="25">
        <v>503</v>
      </c>
      <c r="L46" s="25">
        <v>424</v>
      </c>
      <c r="M46" s="25">
        <v>1369</v>
      </c>
      <c r="N46" s="25">
        <v>0</v>
      </c>
      <c r="O46" s="25">
        <v>2.0125000000000002</v>
      </c>
      <c r="P46" s="25">
        <v>2.0875000000000004</v>
      </c>
      <c r="Q46" s="25">
        <v>1.85</v>
      </c>
      <c r="R46" s="25">
        <v>1.9833333333333334</v>
      </c>
      <c r="S46" s="25">
        <v>0.28539319431675009</v>
      </c>
      <c r="T46" s="25">
        <v>0.22142857142857145</v>
      </c>
      <c r="U46" s="25">
        <v>0.32187500000000002</v>
      </c>
      <c r="V46" s="25">
        <v>0.41000000000000003</v>
      </c>
      <c r="W46" s="25">
        <v>0.30342105263157904</v>
      </c>
      <c r="X46" s="25">
        <v>0.12085900464701581</v>
      </c>
      <c r="Y46" s="25">
        <v>0.38</v>
      </c>
      <c r="Z46" s="25">
        <v>0.48</v>
      </c>
      <c r="AA46" s="25">
        <v>0.52</v>
      </c>
      <c r="AB46" s="25">
        <v>0.52</v>
      </c>
      <c r="AC46" s="25">
        <v>6.5365712633709148</v>
      </c>
      <c r="AD46" s="25">
        <v>0</v>
      </c>
      <c r="AE46" s="25">
        <v>15.789473684210526</v>
      </c>
      <c r="AF46" s="25">
        <v>2.6315789473684208</v>
      </c>
      <c r="AG46" s="25">
        <v>18.421052631578945</v>
      </c>
      <c r="AH46" s="25">
        <v>15.789473684210526</v>
      </c>
      <c r="AI46" s="25">
        <v>65.789473684210535</v>
      </c>
      <c r="AJ46" s="25">
        <v>0</v>
      </c>
      <c r="AK46" s="25">
        <v>81.578947368421055</v>
      </c>
      <c r="AL46" s="25">
        <v>65.789473684210535</v>
      </c>
      <c r="AM46" s="25">
        <v>0.37923076923076926</v>
      </c>
      <c r="AN46" s="25">
        <v>0.25533333333333336</v>
      </c>
      <c r="AO46" s="25">
        <v>0.32375000000000004</v>
      </c>
      <c r="AP46" s="25">
        <v>0.31026315789473685</v>
      </c>
      <c r="AQ46" s="25">
        <v>0.19729915332629205</v>
      </c>
      <c r="AR46" s="25">
        <v>0.77</v>
      </c>
      <c r="AS46" s="25">
        <v>0.57999999999999996</v>
      </c>
      <c r="AT46" s="25">
        <v>0.83</v>
      </c>
      <c r="AU46" s="25">
        <v>0.83</v>
      </c>
      <c r="AV46" s="25">
        <v>8.3333333333333321</v>
      </c>
      <c r="AW46" s="25">
        <v>0.91304347826086951</v>
      </c>
      <c r="AX46" s="25">
        <v>0</v>
      </c>
      <c r="AY46" s="25">
        <v>0</v>
      </c>
      <c r="AZ46" s="25">
        <v>0</v>
      </c>
      <c r="BA46" s="25">
        <v>0</v>
      </c>
      <c r="BB46" s="25">
        <v>87.5</v>
      </c>
      <c r="BC46" s="25">
        <v>1.1666666666666667</v>
      </c>
      <c r="BD46" s="25">
        <v>25</v>
      </c>
      <c r="BE46" s="25">
        <v>0</v>
      </c>
      <c r="BF46" s="25">
        <v>0</v>
      </c>
      <c r="BG46" s="25">
        <v>0</v>
      </c>
      <c r="BH46" s="25">
        <v>0</v>
      </c>
      <c r="BI46" s="25">
        <v>0.16666666666666666</v>
      </c>
      <c r="BJ46" s="25">
        <v>1</v>
      </c>
      <c r="BK46" s="25">
        <v>1</v>
      </c>
      <c r="BL46" s="25">
        <v>1</v>
      </c>
      <c r="BM46" s="25">
        <v>1</v>
      </c>
      <c r="BN46" s="25">
        <v>0.25</v>
      </c>
      <c r="BO46" s="25">
        <v>0</v>
      </c>
      <c r="BP46" s="25">
        <v>0.5</v>
      </c>
      <c r="BQ46" s="25">
        <v>0.25</v>
      </c>
      <c r="BR46" s="25">
        <v>0.5</v>
      </c>
      <c r="BS46" s="25">
        <v>0.5</v>
      </c>
      <c r="BT46" s="25">
        <v>0.25</v>
      </c>
      <c r="BU46" s="25">
        <v>0.41666666666666669</v>
      </c>
      <c r="BV46" s="25">
        <v>0</v>
      </c>
      <c r="BW46" s="25">
        <v>91.666666666666657</v>
      </c>
      <c r="BX46" s="25">
        <v>8.3333333333333321</v>
      </c>
      <c r="BY46" s="25">
        <v>39.791666666666664</v>
      </c>
      <c r="BZ46" s="25">
        <v>0.41666666666666669</v>
      </c>
      <c r="CA46" s="25">
        <v>92.942942942942935</v>
      </c>
      <c r="CB46" s="25">
        <v>6.0889377890312515</v>
      </c>
      <c r="CC46" s="25">
        <v>7.0570570570570652</v>
      </c>
      <c r="CD46" s="25">
        <v>0</v>
      </c>
      <c r="CE46" s="25">
        <v>0</v>
      </c>
      <c r="CF46" s="25">
        <v>0</v>
      </c>
      <c r="CG46" s="25">
        <v>0</v>
      </c>
      <c r="CH46" s="25">
        <v>0</v>
      </c>
    </row>
    <row r="47" spans="1:86" ht="15.75" x14ac:dyDescent="0.25">
      <c r="A47" s="2">
        <v>45</v>
      </c>
      <c r="B47" s="2" t="s">
        <v>3</v>
      </c>
      <c r="C47" s="2" t="s">
        <v>6</v>
      </c>
      <c r="D47" s="12">
        <v>2018</v>
      </c>
      <c r="E47" s="13">
        <v>43291</v>
      </c>
      <c r="F47" s="14" t="str">
        <f t="shared" si="0"/>
        <v>18191</v>
      </c>
      <c r="G47" s="32">
        <v>17.5</v>
      </c>
      <c r="H47" s="32">
        <v>7.99</v>
      </c>
      <c r="I47" s="32">
        <v>11.08</v>
      </c>
      <c r="J47" s="25">
        <v>420</v>
      </c>
      <c r="K47" s="25">
        <v>573</v>
      </c>
      <c r="L47" s="25">
        <v>1025</v>
      </c>
      <c r="M47" s="25">
        <v>2018</v>
      </c>
      <c r="N47" s="25">
        <v>0</v>
      </c>
      <c r="O47" s="25">
        <v>2.3874999999999997</v>
      </c>
      <c r="P47" s="25">
        <v>3.1124999999999998</v>
      </c>
      <c r="Q47" s="25">
        <v>3.5250000000000008</v>
      </c>
      <c r="R47" s="25">
        <v>3.0083333333333333</v>
      </c>
      <c r="S47" s="25">
        <v>0.76551583442383664</v>
      </c>
      <c r="T47" s="25">
        <v>0.19090909090909092</v>
      </c>
      <c r="U47" s="25">
        <v>0.32545454545454544</v>
      </c>
      <c r="V47" s="25">
        <v>0.5591666666666667</v>
      </c>
      <c r="W47" s="25">
        <v>0.36441176470588232</v>
      </c>
      <c r="X47" s="25">
        <v>0.21874561365604839</v>
      </c>
      <c r="Y47" s="25">
        <v>0.46</v>
      </c>
      <c r="Z47" s="25">
        <v>0.62</v>
      </c>
      <c r="AA47" s="25">
        <v>0.82</v>
      </c>
      <c r="AB47" s="25">
        <v>0.82</v>
      </c>
      <c r="AC47" s="25">
        <v>8.2553134248049513</v>
      </c>
      <c r="AD47" s="25">
        <v>0</v>
      </c>
      <c r="AE47" s="25">
        <v>78.125</v>
      </c>
      <c r="AF47" s="25">
        <v>3.125</v>
      </c>
      <c r="AG47" s="25">
        <v>81.25</v>
      </c>
      <c r="AH47" s="25">
        <v>0</v>
      </c>
      <c r="AI47" s="25">
        <v>18.75</v>
      </c>
      <c r="AJ47" s="25">
        <v>0</v>
      </c>
      <c r="AK47" s="25">
        <v>18.75</v>
      </c>
      <c r="AL47" s="25">
        <v>78.125</v>
      </c>
      <c r="AM47" s="25">
        <v>0.13727272727272724</v>
      </c>
      <c r="AN47" s="25">
        <v>0.15454545454545457</v>
      </c>
      <c r="AO47" s="25">
        <v>2.8333333333333335E-2</v>
      </c>
      <c r="AP47" s="25">
        <v>0.10441176470588232</v>
      </c>
      <c r="AQ47" s="25">
        <v>0.16263346363452122</v>
      </c>
      <c r="AR47" s="25">
        <v>0.32</v>
      </c>
      <c r="AS47" s="25">
        <v>0.78</v>
      </c>
      <c r="AT47" s="25">
        <v>0.09</v>
      </c>
      <c r="AU47" s="25">
        <v>0.78</v>
      </c>
      <c r="AV47" s="25">
        <v>12.5</v>
      </c>
      <c r="AW47" s="25">
        <v>0.29166666666666669</v>
      </c>
      <c r="AX47" s="25">
        <v>12.5</v>
      </c>
      <c r="AY47" s="25">
        <v>62.5</v>
      </c>
      <c r="AZ47" s="25">
        <v>100</v>
      </c>
      <c r="BA47" s="25">
        <v>58.333333333333336</v>
      </c>
      <c r="BB47" s="25">
        <v>45.833333333333329</v>
      </c>
      <c r="BC47" s="25">
        <v>0.16666666666666666</v>
      </c>
      <c r="BD47" s="25">
        <v>8.3333333333333321</v>
      </c>
      <c r="BE47" s="25">
        <v>0.375</v>
      </c>
      <c r="BF47" s="25">
        <v>0.625</v>
      </c>
      <c r="BG47" s="25">
        <v>0.25</v>
      </c>
      <c r="BH47" s="25">
        <v>0.41666666666666669</v>
      </c>
      <c r="BI47" s="25">
        <v>0.95833333333333337</v>
      </c>
      <c r="BJ47" s="25">
        <v>0</v>
      </c>
      <c r="BK47" s="25">
        <v>0.25</v>
      </c>
      <c r="BL47" s="25">
        <v>0</v>
      </c>
      <c r="BM47" s="25">
        <v>8.3333333333333329E-2</v>
      </c>
      <c r="BN47" s="25">
        <v>0</v>
      </c>
      <c r="BO47" s="25">
        <v>0</v>
      </c>
      <c r="BP47" s="25">
        <v>0</v>
      </c>
      <c r="BQ47" s="25">
        <v>0</v>
      </c>
      <c r="BR47" s="25">
        <v>1.5</v>
      </c>
      <c r="BS47" s="25">
        <v>2.25</v>
      </c>
      <c r="BT47" s="25">
        <v>4</v>
      </c>
      <c r="BU47" s="25">
        <v>2.5833333333333335</v>
      </c>
      <c r="BV47" s="25">
        <v>8.3333333333333321</v>
      </c>
      <c r="BW47" s="25">
        <v>87.5</v>
      </c>
      <c r="BX47" s="25">
        <v>4.1666666666666661</v>
      </c>
      <c r="BY47" s="25">
        <v>38.333333333333336</v>
      </c>
      <c r="BZ47" s="25">
        <v>3.1666666666666665</v>
      </c>
      <c r="CA47" s="25">
        <v>60.585585585585591</v>
      </c>
      <c r="CB47" s="25">
        <v>15.921907638758078</v>
      </c>
      <c r="CC47" s="25">
        <v>39.414414414414409</v>
      </c>
      <c r="CD47" s="25">
        <v>0</v>
      </c>
      <c r="CE47" s="25">
        <v>0</v>
      </c>
      <c r="CF47" s="25">
        <v>0</v>
      </c>
      <c r="CG47" s="25">
        <v>0</v>
      </c>
      <c r="CH47" s="25">
        <v>0</v>
      </c>
    </row>
    <row r="48" spans="1:86" ht="15.75" x14ac:dyDescent="0.25">
      <c r="A48" s="2">
        <v>46</v>
      </c>
      <c r="B48" s="2" t="s">
        <v>3</v>
      </c>
      <c r="C48" s="2" t="s">
        <v>7</v>
      </c>
      <c r="D48" s="12">
        <v>2018</v>
      </c>
      <c r="E48" s="13">
        <v>43308</v>
      </c>
      <c r="F48" s="14" t="str">
        <f t="shared" si="0"/>
        <v>18208</v>
      </c>
      <c r="G48" s="32">
        <v>13.5</v>
      </c>
      <c r="H48" s="32">
        <v>8.49</v>
      </c>
      <c r="I48" s="32">
        <v>12.65</v>
      </c>
      <c r="J48" s="25">
        <v>512</v>
      </c>
      <c r="K48" s="25">
        <v>432</v>
      </c>
      <c r="L48" s="25">
        <v>401</v>
      </c>
      <c r="M48" s="25">
        <v>1345</v>
      </c>
      <c r="N48" s="25">
        <v>2.2304832713754648</v>
      </c>
      <c r="O48" s="25">
        <v>4.7374999999999998</v>
      </c>
      <c r="P48" s="25">
        <v>4.1500000000000004</v>
      </c>
      <c r="Q48" s="25">
        <v>4.9874999999999998</v>
      </c>
      <c r="R48" s="25">
        <v>4.6249999999999991</v>
      </c>
      <c r="S48" s="25">
        <v>1.4554993166846804</v>
      </c>
      <c r="T48" s="25">
        <v>0.21333333333333337</v>
      </c>
      <c r="U48" s="25">
        <v>0.13583333333333336</v>
      </c>
      <c r="V48" s="25">
        <v>0.16416666666666668</v>
      </c>
      <c r="W48" s="25">
        <v>0.1711111111111111</v>
      </c>
      <c r="X48" s="25">
        <v>0.12473463896901366</v>
      </c>
      <c r="Y48" s="25">
        <v>0.5</v>
      </c>
      <c r="Z48" s="25">
        <v>0.32</v>
      </c>
      <c r="AA48" s="25">
        <v>0.63</v>
      </c>
      <c r="AB48" s="25">
        <v>0.63</v>
      </c>
      <c r="AC48" s="25">
        <v>27.029220779220775</v>
      </c>
      <c r="AD48" s="25">
        <v>3.7037037037037033</v>
      </c>
      <c r="AE48" s="25">
        <v>0</v>
      </c>
      <c r="AF48" s="25">
        <v>0</v>
      </c>
      <c r="AG48" s="25">
        <v>3.7037037037037033</v>
      </c>
      <c r="AH48" s="25">
        <v>0</v>
      </c>
      <c r="AI48" s="25">
        <v>85.18518518518519</v>
      </c>
      <c r="AJ48" s="25">
        <v>11.111111111111111</v>
      </c>
      <c r="AK48" s="25">
        <v>96.296296296296305</v>
      </c>
      <c r="AL48" s="25">
        <v>85.18518518518519</v>
      </c>
      <c r="AM48" s="25">
        <v>0.1875</v>
      </c>
      <c r="AN48" s="25">
        <v>0.25416666666666665</v>
      </c>
      <c r="AO48" s="25">
        <v>0.32454545454545453</v>
      </c>
      <c r="AP48" s="25">
        <v>0.25342857142857139</v>
      </c>
      <c r="AQ48" s="25">
        <v>0.25463864658793339</v>
      </c>
      <c r="AR48" s="25">
        <v>0.4</v>
      </c>
      <c r="AS48" s="25">
        <v>0.76</v>
      </c>
      <c r="AT48" s="25">
        <v>1.04</v>
      </c>
      <c r="AU48" s="25">
        <v>1.04</v>
      </c>
      <c r="AV48" s="25">
        <v>45.833333333333329</v>
      </c>
      <c r="AW48" s="25">
        <v>0.29166666666666669</v>
      </c>
      <c r="AX48" s="25">
        <v>25</v>
      </c>
      <c r="AY48" s="25">
        <v>25</v>
      </c>
      <c r="AZ48" s="25">
        <v>25</v>
      </c>
      <c r="BA48" s="25">
        <v>25</v>
      </c>
      <c r="BB48" s="25">
        <v>45.833333333333329</v>
      </c>
      <c r="BC48" s="25">
        <v>0.83333333333333337</v>
      </c>
      <c r="BD48" s="25">
        <v>0</v>
      </c>
      <c r="BE48" s="25">
        <v>0</v>
      </c>
      <c r="BF48" s="25">
        <v>0</v>
      </c>
      <c r="BG48" s="25">
        <v>0</v>
      </c>
      <c r="BH48" s="25">
        <v>0</v>
      </c>
      <c r="BI48" s="25">
        <v>0.29166666666666669</v>
      </c>
      <c r="BJ48" s="25">
        <v>0</v>
      </c>
      <c r="BK48" s="25">
        <v>0</v>
      </c>
      <c r="BL48" s="25">
        <v>0</v>
      </c>
      <c r="BM48" s="25">
        <v>0</v>
      </c>
      <c r="BN48" s="25">
        <v>1.25</v>
      </c>
      <c r="BO48" s="25">
        <v>2.6666666666666665</v>
      </c>
      <c r="BP48" s="25">
        <v>2.5</v>
      </c>
      <c r="BQ48" s="25">
        <v>2.0909090909090908</v>
      </c>
      <c r="BR48" s="25">
        <v>1</v>
      </c>
      <c r="BS48" s="25">
        <v>0.5</v>
      </c>
      <c r="BT48" s="25">
        <v>0</v>
      </c>
      <c r="BU48" s="25">
        <v>0.54545454545454541</v>
      </c>
      <c r="BV48" s="25">
        <v>45.833333333333329</v>
      </c>
      <c r="BW48" s="25">
        <v>45.833333333333329</v>
      </c>
      <c r="BX48" s="25">
        <v>8.3333333333333321</v>
      </c>
      <c r="BY48" s="25">
        <v>25.625</v>
      </c>
      <c r="BZ48" s="25">
        <v>0</v>
      </c>
      <c r="CA48" s="25">
        <v>31.006006006006004</v>
      </c>
      <c r="CB48" s="25">
        <v>12.916182786635446</v>
      </c>
      <c r="CC48" s="25">
        <v>68.993993993993996</v>
      </c>
      <c r="CD48" s="25">
        <v>0</v>
      </c>
      <c r="CE48" s="25">
        <v>0</v>
      </c>
      <c r="CF48" s="25">
        <v>0</v>
      </c>
      <c r="CG48" s="25">
        <v>0</v>
      </c>
      <c r="CH48" s="25">
        <v>0</v>
      </c>
    </row>
    <row r="49" spans="1:86" ht="15.75" x14ac:dyDescent="0.25">
      <c r="A49" s="2">
        <v>47</v>
      </c>
      <c r="B49" s="2" t="s">
        <v>3</v>
      </c>
      <c r="C49" s="2" t="s">
        <v>8</v>
      </c>
      <c r="D49" s="12">
        <v>2018</v>
      </c>
      <c r="E49" s="13">
        <v>43308</v>
      </c>
      <c r="F49" s="14" t="str">
        <f t="shared" si="0"/>
        <v>18208</v>
      </c>
      <c r="G49" s="32">
        <v>14.7</v>
      </c>
      <c r="H49" s="32">
        <v>8.5299999999999994</v>
      </c>
      <c r="I49" s="32">
        <v>11.05</v>
      </c>
      <c r="J49" s="25">
        <v>670</v>
      </c>
      <c r="K49" s="25">
        <v>380</v>
      </c>
      <c r="L49" s="25">
        <v>380</v>
      </c>
      <c r="M49" s="25">
        <v>1430</v>
      </c>
      <c r="N49" s="25">
        <v>1.9300699300699302</v>
      </c>
      <c r="O49" s="25">
        <v>3.5124999999999997</v>
      </c>
      <c r="P49" s="25">
        <v>2.8125</v>
      </c>
      <c r="Q49" s="25">
        <v>2.2249999999999996</v>
      </c>
      <c r="R49" s="25">
        <v>2.85</v>
      </c>
      <c r="S49" s="25">
        <v>0.93063792987484451</v>
      </c>
      <c r="T49" s="25">
        <v>0.27833333333333332</v>
      </c>
      <c r="U49" s="25">
        <v>0.15636363636363637</v>
      </c>
      <c r="V49" s="25">
        <v>0.16200000000000001</v>
      </c>
      <c r="W49" s="25">
        <v>0.20242424242424245</v>
      </c>
      <c r="X49" s="25">
        <v>0.1107652445216431</v>
      </c>
      <c r="Y49" s="25">
        <v>0.48</v>
      </c>
      <c r="Z49" s="25">
        <v>0.28000000000000003</v>
      </c>
      <c r="AA49" s="25">
        <v>0.22</v>
      </c>
      <c r="AB49" s="25">
        <v>0.48</v>
      </c>
      <c r="AC49" s="25">
        <v>14.079341317365268</v>
      </c>
      <c r="AD49" s="25">
        <v>0</v>
      </c>
      <c r="AE49" s="25">
        <v>9.0909090909090917</v>
      </c>
      <c r="AF49" s="25">
        <v>3.0303030303030303</v>
      </c>
      <c r="AG49" s="25">
        <v>12.121212121212121</v>
      </c>
      <c r="AH49" s="25">
        <v>0</v>
      </c>
      <c r="AI49" s="25">
        <v>87.878787878787875</v>
      </c>
      <c r="AJ49" s="25">
        <v>0</v>
      </c>
      <c r="AK49" s="25">
        <v>87.878787878787875</v>
      </c>
      <c r="AL49" s="25">
        <v>87.878787878787875</v>
      </c>
      <c r="AM49" s="25">
        <v>0.30583333333333335</v>
      </c>
      <c r="AN49" s="25">
        <v>0.54272727272727284</v>
      </c>
      <c r="AO49" s="25">
        <v>0.72799999999999998</v>
      </c>
      <c r="AP49" s="25">
        <v>0.5127272727272727</v>
      </c>
      <c r="AQ49" s="25">
        <v>0.31703975231105413</v>
      </c>
      <c r="AR49" s="25">
        <v>0.78</v>
      </c>
      <c r="AS49" s="25">
        <v>0.92</v>
      </c>
      <c r="AT49" s="25">
        <v>1.23</v>
      </c>
      <c r="AU49" s="25">
        <v>1.23</v>
      </c>
      <c r="AV49" s="25">
        <v>66.666666666666657</v>
      </c>
      <c r="AW49" s="25">
        <v>0.30434782608695654</v>
      </c>
      <c r="AX49" s="25">
        <v>0</v>
      </c>
      <c r="AY49" s="25">
        <v>0</v>
      </c>
      <c r="AZ49" s="25">
        <v>0</v>
      </c>
      <c r="BA49" s="25">
        <v>0</v>
      </c>
      <c r="BB49" s="25">
        <v>66.666666666666657</v>
      </c>
      <c r="BC49" s="25">
        <v>1.75</v>
      </c>
      <c r="BD49" s="25">
        <v>50</v>
      </c>
      <c r="BE49" s="25">
        <v>0</v>
      </c>
      <c r="BF49" s="25">
        <v>0.25</v>
      </c>
      <c r="BG49" s="25">
        <v>0.5</v>
      </c>
      <c r="BH49" s="25">
        <v>0.25</v>
      </c>
      <c r="BI49" s="25">
        <v>0.29166666666666669</v>
      </c>
      <c r="BJ49" s="25">
        <v>0.25</v>
      </c>
      <c r="BK49" s="25">
        <v>0</v>
      </c>
      <c r="BL49" s="25">
        <v>0</v>
      </c>
      <c r="BM49" s="25">
        <v>8.3333333333333329E-2</v>
      </c>
      <c r="BN49" s="25">
        <v>0</v>
      </c>
      <c r="BO49" s="25">
        <v>0</v>
      </c>
      <c r="BP49" s="25">
        <v>0.25</v>
      </c>
      <c r="BQ49" s="25">
        <v>8.3333333333333329E-2</v>
      </c>
      <c r="BR49" s="25">
        <v>1.25</v>
      </c>
      <c r="BS49" s="25">
        <v>0</v>
      </c>
      <c r="BT49" s="25">
        <v>0</v>
      </c>
      <c r="BU49" s="25">
        <v>0.41666666666666669</v>
      </c>
      <c r="BV49" s="25">
        <v>50</v>
      </c>
      <c r="BW49" s="25">
        <v>45.833333333333329</v>
      </c>
      <c r="BX49" s="25">
        <v>4.1666666666666661</v>
      </c>
      <c r="BY49" s="25">
        <v>24.583333333333332</v>
      </c>
      <c r="BZ49" s="25">
        <v>0.35</v>
      </c>
      <c r="CA49" s="25">
        <v>32.618825722273996</v>
      </c>
      <c r="CB49" s="25">
        <v>13.863959016309567</v>
      </c>
      <c r="CC49" s="25">
        <v>67.381174277726004</v>
      </c>
      <c r="CD49" s="25">
        <v>0</v>
      </c>
      <c r="CE49" s="25">
        <v>0</v>
      </c>
      <c r="CF49" s="25">
        <v>0</v>
      </c>
      <c r="CG49" s="25">
        <v>0</v>
      </c>
      <c r="CH49" s="25">
        <v>0</v>
      </c>
    </row>
    <row r="50" spans="1:86" ht="15.75" x14ac:dyDescent="0.25">
      <c r="A50" s="2">
        <v>48</v>
      </c>
      <c r="B50" s="2" t="s">
        <v>9</v>
      </c>
      <c r="C50" s="2">
        <v>1</v>
      </c>
      <c r="D50" s="12">
        <v>2018</v>
      </c>
      <c r="E50" s="13">
        <v>43258</v>
      </c>
      <c r="F50" s="14" t="str">
        <f t="shared" si="0"/>
        <v>18158</v>
      </c>
      <c r="G50" s="32">
        <v>13.5</v>
      </c>
      <c r="H50" s="32">
        <v>8.56</v>
      </c>
      <c r="I50" s="32">
        <v>10.11</v>
      </c>
      <c r="J50" s="25">
        <v>2200</v>
      </c>
      <c r="K50" s="25">
        <v>1072</v>
      </c>
      <c r="L50" s="25">
        <v>1133</v>
      </c>
      <c r="M50" s="25">
        <v>4405</v>
      </c>
      <c r="N50" s="25">
        <v>0.32690124858115777</v>
      </c>
      <c r="O50" s="25">
        <v>5.6875</v>
      </c>
      <c r="P50" s="25">
        <v>5.9249999999999998</v>
      </c>
      <c r="Q50" s="25">
        <v>6.375</v>
      </c>
      <c r="R50" s="25">
        <v>5.9958333333333327</v>
      </c>
      <c r="S50" s="25">
        <v>1.1947272443557191</v>
      </c>
      <c r="T50" s="25">
        <v>0.32625000000000004</v>
      </c>
      <c r="U50" s="25">
        <v>0.42249999999999999</v>
      </c>
      <c r="V50" s="25">
        <v>0.22437500000000005</v>
      </c>
      <c r="W50" s="25">
        <v>0.32437500000000008</v>
      </c>
      <c r="X50" s="25">
        <v>0.1567204619425597</v>
      </c>
      <c r="Y50" s="25">
        <v>0.59</v>
      </c>
      <c r="Z50" s="25">
        <v>0.88</v>
      </c>
      <c r="AA50" s="25">
        <v>0.48</v>
      </c>
      <c r="AB50" s="25">
        <v>0.88</v>
      </c>
      <c r="AC50" s="25">
        <v>18.484264611432234</v>
      </c>
      <c r="AD50" s="25">
        <v>0</v>
      </c>
      <c r="AE50" s="25">
        <v>20.833333333333336</v>
      </c>
      <c r="AF50" s="25">
        <v>4.1666666666666661</v>
      </c>
      <c r="AG50" s="25">
        <v>25</v>
      </c>
      <c r="AH50" s="25">
        <v>8.3333333333333321</v>
      </c>
      <c r="AI50" s="25">
        <v>64.583333333333343</v>
      </c>
      <c r="AJ50" s="25">
        <v>2.083333333333333</v>
      </c>
      <c r="AK50" s="25">
        <v>75</v>
      </c>
      <c r="AL50" s="25">
        <v>64.583333333333343</v>
      </c>
      <c r="AM50" s="25">
        <v>0.314</v>
      </c>
      <c r="AN50" s="25">
        <v>0.19733333333333333</v>
      </c>
      <c r="AO50" s="25">
        <v>0.29466666666666669</v>
      </c>
      <c r="AP50" s="25">
        <v>0.26500000000000001</v>
      </c>
      <c r="AQ50" s="25">
        <v>0.17136498314068865</v>
      </c>
      <c r="AR50" s="25">
        <v>0.56000000000000005</v>
      </c>
      <c r="AS50" s="25">
        <v>0.53</v>
      </c>
      <c r="AT50" s="25">
        <v>0.85</v>
      </c>
      <c r="AU50" s="25">
        <v>0.85</v>
      </c>
      <c r="AV50" s="25">
        <v>29.166666666666668</v>
      </c>
      <c r="AW50" s="25">
        <v>0.58333333333333337</v>
      </c>
      <c r="AX50" s="25">
        <v>0</v>
      </c>
      <c r="AY50" s="25">
        <v>37.5</v>
      </c>
      <c r="AZ50" s="25">
        <v>0</v>
      </c>
      <c r="BA50" s="25">
        <v>12.5</v>
      </c>
      <c r="BB50" s="25">
        <v>58.333333333333336</v>
      </c>
      <c r="BC50" s="25">
        <v>0.5</v>
      </c>
      <c r="BD50" s="25">
        <v>8.3333333333333321</v>
      </c>
      <c r="BE50" s="25">
        <v>0.625</v>
      </c>
      <c r="BF50" s="25">
        <v>0.25</v>
      </c>
      <c r="BG50" s="25">
        <v>1</v>
      </c>
      <c r="BH50" s="25">
        <v>0.625</v>
      </c>
      <c r="BI50" s="25">
        <v>0.875</v>
      </c>
      <c r="BJ50" s="25">
        <v>0</v>
      </c>
      <c r="BK50" s="25">
        <v>0</v>
      </c>
      <c r="BL50" s="25">
        <v>0.5</v>
      </c>
      <c r="BM50" s="25">
        <v>0.16666666666666666</v>
      </c>
      <c r="BN50" s="25">
        <v>1.5</v>
      </c>
      <c r="BO50" s="25">
        <v>0</v>
      </c>
      <c r="BP50" s="25">
        <v>0.25</v>
      </c>
      <c r="BQ50" s="25">
        <v>0.58333333333333337</v>
      </c>
      <c r="BR50" s="25">
        <v>0.75</v>
      </c>
      <c r="BS50" s="25">
        <v>1.5</v>
      </c>
      <c r="BT50" s="25">
        <v>0.5</v>
      </c>
      <c r="BU50" s="25">
        <v>0.91666666666666663</v>
      </c>
      <c r="BV50" s="25">
        <v>8.3333333333333321</v>
      </c>
      <c r="BW50" s="25">
        <v>70.833333333333343</v>
      </c>
      <c r="BX50" s="25">
        <v>20.833333333333336</v>
      </c>
      <c r="BY50" s="25">
        <v>41.041666666666664</v>
      </c>
      <c r="BZ50" s="25">
        <v>0.91666666666666663</v>
      </c>
      <c r="CA50" s="25">
        <v>19.51951951951952</v>
      </c>
      <c r="CB50" s="25">
        <v>11.878218026794404</v>
      </c>
      <c r="CC50" s="25">
        <v>80.48048048048048</v>
      </c>
      <c r="CD50" s="25">
        <v>0</v>
      </c>
      <c r="CE50" s="25">
        <v>0</v>
      </c>
      <c r="CF50" s="25">
        <v>0</v>
      </c>
      <c r="CG50" s="25">
        <v>0</v>
      </c>
      <c r="CH50" s="25">
        <v>0</v>
      </c>
    </row>
    <row r="51" spans="1:86" ht="15.75" x14ac:dyDescent="0.25">
      <c r="A51" s="2">
        <v>49</v>
      </c>
      <c r="B51" s="2" t="s">
        <v>9</v>
      </c>
      <c r="C51" s="2">
        <v>4</v>
      </c>
      <c r="D51" s="12">
        <v>2018</v>
      </c>
      <c r="E51" s="13">
        <v>43271</v>
      </c>
      <c r="F51" s="14" t="str">
        <f t="shared" si="0"/>
        <v>18171</v>
      </c>
      <c r="G51" s="32">
        <v>13.4</v>
      </c>
      <c r="H51" s="32">
        <v>8.41</v>
      </c>
      <c r="I51" s="32">
        <v>10.77</v>
      </c>
      <c r="J51" s="25">
        <v>884</v>
      </c>
      <c r="K51" s="25">
        <v>631</v>
      </c>
      <c r="L51" s="25">
        <v>410</v>
      </c>
      <c r="M51" s="25">
        <v>1925</v>
      </c>
      <c r="N51" s="25">
        <v>2.3376623376623376</v>
      </c>
      <c r="O51" s="25">
        <v>3.2374999999999998</v>
      </c>
      <c r="P51" s="25">
        <v>2.1875</v>
      </c>
      <c r="Q51" s="25">
        <v>1.7749999999999999</v>
      </c>
      <c r="R51" s="25">
        <v>2.3999999999999995</v>
      </c>
      <c r="S51" s="25">
        <v>1.006068542915185</v>
      </c>
      <c r="T51" s="25">
        <v>0.13833333333333334</v>
      </c>
      <c r="U51" s="25">
        <v>0.22333333333333336</v>
      </c>
      <c r="V51" s="25">
        <v>0.13454545454545458</v>
      </c>
      <c r="W51" s="25">
        <v>0.16628571428571426</v>
      </c>
      <c r="X51" s="25">
        <v>9.3150280675454639E-2</v>
      </c>
      <c r="Y51" s="25">
        <v>0.26</v>
      </c>
      <c r="Z51" s="25">
        <v>0.5</v>
      </c>
      <c r="AA51" s="25">
        <v>0.26</v>
      </c>
      <c r="AB51" s="25">
        <v>0.5</v>
      </c>
      <c r="AC51" s="25">
        <v>14.432989690721648</v>
      </c>
      <c r="AD51" s="25">
        <v>0</v>
      </c>
      <c r="AE51" s="25">
        <v>11.428571428571429</v>
      </c>
      <c r="AF51" s="25">
        <v>0</v>
      </c>
      <c r="AG51" s="25">
        <v>11.428571428571429</v>
      </c>
      <c r="AH51" s="25">
        <v>0</v>
      </c>
      <c r="AI51" s="25">
        <v>88.571428571428569</v>
      </c>
      <c r="AJ51" s="25">
        <v>0</v>
      </c>
      <c r="AK51" s="25">
        <v>88.571428571428569</v>
      </c>
      <c r="AL51" s="25">
        <v>88.571428571428569</v>
      </c>
      <c r="AM51" s="25">
        <v>0.39583333333333331</v>
      </c>
      <c r="AN51" s="25">
        <v>0.34499999999999997</v>
      </c>
      <c r="AO51" s="25">
        <v>0.26090909090909092</v>
      </c>
      <c r="AP51" s="25">
        <v>0.33600000000000002</v>
      </c>
      <c r="AQ51" s="25">
        <v>0.26944605484324352</v>
      </c>
      <c r="AR51" s="25">
        <v>0.93</v>
      </c>
      <c r="AS51" s="25">
        <v>0.72</v>
      </c>
      <c r="AT51" s="25">
        <v>0.75</v>
      </c>
      <c r="AU51" s="25">
        <v>0.93</v>
      </c>
      <c r="AV51" s="25">
        <v>50</v>
      </c>
      <c r="AW51" s="25">
        <v>0.5</v>
      </c>
      <c r="AX51" s="25">
        <v>0</v>
      </c>
      <c r="AY51" s="25">
        <v>0</v>
      </c>
      <c r="AZ51" s="25">
        <v>0</v>
      </c>
      <c r="BA51" s="25">
        <v>0</v>
      </c>
      <c r="BB51" s="25">
        <v>50</v>
      </c>
      <c r="BC51" s="25">
        <v>1.8333333333333333</v>
      </c>
      <c r="BD51" s="25">
        <v>58.333333333333336</v>
      </c>
      <c r="BE51" s="25">
        <v>0.375</v>
      </c>
      <c r="BF51" s="25">
        <v>0.125</v>
      </c>
      <c r="BG51" s="25">
        <v>0</v>
      </c>
      <c r="BH51" s="25">
        <v>0.16666666666666666</v>
      </c>
      <c r="BI51" s="25">
        <v>0.25</v>
      </c>
      <c r="BJ51" s="25">
        <v>0</v>
      </c>
      <c r="BK51" s="25">
        <v>0.75</v>
      </c>
      <c r="BL51" s="25">
        <v>0.5</v>
      </c>
      <c r="BM51" s="25">
        <v>0.41666666666666669</v>
      </c>
      <c r="BN51" s="25">
        <v>1</v>
      </c>
      <c r="BO51" s="25">
        <v>0.25</v>
      </c>
      <c r="BP51" s="25">
        <v>0.25</v>
      </c>
      <c r="BQ51" s="25">
        <v>0.5</v>
      </c>
      <c r="BR51" s="25">
        <v>0.25</v>
      </c>
      <c r="BS51" s="25">
        <v>1</v>
      </c>
      <c r="BT51" s="25">
        <v>0</v>
      </c>
      <c r="BU51" s="25">
        <v>0.41666666666666669</v>
      </c>
      <c r="BV51" s="25">
        <v>12.5</v>
      </c>
      <c r="BW51" s="25">
        <v>70.833333333333343</v>
      </c>
      <c r="BX51" s="25">
        <v>16.666666666666664</v>
      </c>
      <c r="BY51" s="25">
        <v>40</v>
      </c>
      <c r="BZ51" s="25">
        <v>0.16666666666666666</v>
      </c>
      <c r="CA51" s="25">
        <v>45.67567567567567</v>
      </c>
      <c r="CB51" s="25">
        <v>16.07842621258947</v>
      </c>
      <c r="CC51" s="25">
        <v>54.32432432432433</v>
      </c>
      <c r="CD51" s="25">
        <v>0</v>
      </c>
      <c r="CE51" s="25">
        <v>0</v>
      </c>
      <c r="CF51" s="25">
        <v>0</v>
      </c>
      <c r="CG51" s="25">
        <v>0</v>
      </c>
      <c r="CH51" s="25">
        <v>0</v>
      </c>
    </row>
    <row r="52" spans="1:86" ht="15.75" x14ac:dyDescent="0.25">
      <c r="A52" s="2">
        <v>50</v>
      </c>
      <c r="B52" s="2" t="s">
        <v>9</v>
      </c>
      <c r="C52" s="2">
        <v>17</v>
      </c>
      <c r="D52" s="12">
        <v>2018</v>
      </c>
      <c r="E52" s="13">
        <v>43258</v>
      </c>
      <c r="F52" s="14" t="str">
        <f t="shared" si="0"/>
        <v>18158</v>
      </c>
      <c r="G52" s="32">
        <v>17.100000000000001</v>
      </c>
      <c r="H52" s="32">
        <v>8.85</v>
      </c>
      <c r="I52" s="32">
        <v>10.36</v>
      </c>
      <c r="J52" s="25">
        <v>203</v>
      </c>
      <c r="K52" s="25">
        <v>260</v>
      </c>
      <c r="L52" s="25">
        <v>450</v>
      </c>
      <c r="M52" s="25">
        <v>913</v>
      </c>
      <c r="N52" s="25">
        <v>6.5717415115005479E-2</v>
      </c>
      <c r="O52" s="25">
        <v>2.0625</v>
      </c>
      <c r="P52" s="25">
        <v>1.95</v>
      </c>
      <c r="Q52" s="25">
        <v>2.5187500000000003</v>
      </c>
      <c r="R52" s="25">
        <v>2.1770833333333335</v>
      </c>
      <c r="S52" s="25">
        <v>0.53527302392790743</v>
      </c>
      <c r="T52" s="25">
        <v>0.25888888888888889</v>
      </c>
      <c r="U52" s="25">
        <v>0.3125</v>
      </c>
      <c r="V52" s="25">
        <v>0.38749999999999996</v>
      </c>
      <c r="W52" s="25">
        <v>0.31719999999999998</v>
      </c>
      <c r="X52" s="25">
        <v>0.12607934009979596</v>
      </c>
      <c r="Y52" s="25">
        <v>0.36</v>
      </c>
      <c r="Z52" s="25">
        <v>0.44</v>
      </c>
      <c r="AA52" s="25">
        <v>0.74</v>
      </c>
      <c r="AB52" s="25">
        <v>0.74</v>
      </c>
      <c r="AC52" s="25">
        <v>6.8634405212274077</v>
      </c>
      <c r="AD52" s="25">
        <v>0</v>
      </c>
      <c r="AE52" s="25">
        <v>28.000000000000004</v>
      </c>
      <c r="AF52" s="25">
        <v>0</v>
      </c>
      <c r="AG52" s="25">
        <v>28.000000000000004</v>
      </c>
      <c r="AH52" s="25">
        <v>0</v>
      </c>
      <c r="AI52" s="25">
        <v>72</v>
      </c>
      <c r="AJ52" s="25">
        <v>0</v>
      </c>
      <c r="AK52" s="25">
        <v>72</v>
      </c>
      <c r="AL52" s="25">
        <v>72</v>
      </c>
      <c r="AM52" s="25">
        <v>0.49749999999999994</v>
      </c>
      <c r="AN52" s="25">
        <v>0.58125000000000004</v>
      </c>
      <c r="AO52" s="25">
        <v>0.39124999999999999</v>
      </c>
      <c r="AP52" s="25">
        <v>0.4924</v>
      </c>
      <c r="AQ52" s="25">
        <v>0.2148503355051295</v>
      </c>
      <c r="AR52" s="25">
        <v>0.79</v>
      </c>
      <c r="AS52" s="25">
        <v>1.05</v>
      </c>
      <c r="AT52" s="25">
        <v>0.78</v>
      </c>
      <c r="AU52" s="25">
        <v>1.05</v>
      </c>
      <c r="AV52" s="25">
        <v>4.1666666666666661</v>
      </c>
      <c r="AW52" s="25">
        <v>0.91304347826086951</v>
      </c>
      <c r="AX52" s="25">
        <v>0</v>
      </c>
      <c r="AY52" s="25">
        <v>0</v>
      </c>
      <c r="AZ52" s="25">
        <v>12.5</v>
      </c>
      <c r="BA52" s="25">
        <v>4.1666666666666661</v>
      </c>
      <c r="BB52" s="25">
        <v>87.5</v>
      </c>
      <c r="BC52" s="25">
        <v>0.91666666666666663</v>
      </c>
      <c r="BD52" s="25">
        <v>16.666666666666664</v>
      </c>
      <c r="BE52" s="25">
        <v>0.125</v>
      </c>
      <c r="BF52" s="25">
        <v>0</v>
      </c>
      <c r="BG52" s="25">
        <v>0</v>
      </c>
      <c r="BH52" s="25">
        <v>4.1666666666666664E-2</v>
      </c>
      <c r="BI52" s="25">
        <v>0.625</v>
      </c>
      <c r="BJ52" s="25">
        <v>1.5</v>
      </c>
      <c r="BK52" s="25">
        <v>1.25</v>
      </c>
      <c r="BL52" s="25">
        <v>1.25</v>
      </c>
      <c r="BM52" s="25">
        <v>1.3333333333333333</v>
      </c>
      <c r="BN52" s="25">
        <v>0</v>
      </c>
      <c r="BO52" s="25">
        <v>0</v>
      </c>
      <c r="BP52" s="25">
        <v>0</v>
      </c>
      <c r="BQ52" s="25">
        <v>0</v>
      </c>
      <c r="BR52" s="25">
        <v>0</v>
      </c>
      <c r="BS52" s="25">
        <v>0</v>
      </c>
      <c r="BT52" s="25">
        <v>0.25</v>
      </c>
      <c r="BU52" s="25">
        <v>8.3333333333333329E-2</v>
      </c>
      <c r="BV52" s="25">
        <v>0</v>
      </c>
      <c r="BW52" s="25">
        <v>54.166666666666664</v>
      </c>
      <c r="BX52" s="25">
        <v>45.833333333333329</v>
      </c>
      <c r="BY52" s="25">
        <v>51.666666666666664</v>
      </c>
      <c r="BZ52" s="25">
        <v>0.16666666666666666</v>
      </c>
      <c r="CA52" s="25">
        <v>81.531531531531527</v>
      </c>
      <c r="CB52" s="25">
        <v>12.074265144839197</v>
      </c>
      <c r="CC52" s="25">
        <v>18.468468468468473</v>
      </c>
      <c r="CD52" s="25">
        <v>0</v>
      </c>
      <c r="CE52" s="25">
        <v>0</v>
      </c>
      <c r="CF52" s="25">
        <v>0</v>
      </c>
      <c r="CG52" s="25">
        <v>0</v>
      </c>
      <c r="CH52" s="25">
        <v>0</v>
      </c>
    </row>
    <row r="53" spans="1:86" ht="15.75" x14ac:dyDescent="0.25">
      <c r="A53" s="2">
        <v>51</v>
      </c>
      <c r="B53" s="2" t="s">
        <v>9</v>
      </c>
      <c r="C53" s="2">
        <v>20</v>
      </c>
      <c r="D53" s="12">
        <v>2018</v>
      </c>
      <c r="E53" s="13">
        <v>43273</v>
      </c>
      <c r="F53" s="14" t="str">
        <f t="shared" si="0"/>
        <v>18173</v>
      </c>
      <c r="G53" s="32">
        <v>13.4</v>
      </c>
      <c r="H53" s="32">
        <v>8.8000000000000007</v>
      </c>
      <c r="I53" s="32">
        <v>13.01</v>
      </c>
      <c r="J53" s="25">
        <v>1987</v>
      </c>
      <c r="K53" s="25">
        <v>1464</v>
      </c>
      <c r="L53" s="25">
        <v>1064</v>
      </c>
      <c r="M53" s="25">
        <v>4515</v>
      </c>
      <c r="N53" s="25">
        <v>0.95681063122923593</v>
      </c>
      <c r="O53" s="25">
        <v>4.3874999999999993</v>
      </c>
      <c r="P53" s="25">
        <v>4.8375000000000004</v>
      </c>
      <c r="Q53" s="25">
        <v>3.9375</v>
      </c>
      <c r="R53" s="25">
        <v>4.3875000000000002</v>
      </c>
      <c r="S53" s="25">
        <v>1.1880976756801278</v>
      </c>
      <c r="T53" s="25">
        <v>0.25624999999999998</v>
      </c>
      <c r="U53" s="25">
        <v>0.20600000000000004</v>
      </c>
      <c r="V53" s="25">
        <v>0.2106666666666667</v>
      </c>
      <c r="W53" s="25">
        <v>0.22500000000000001</v>
      </c>
      <c r="X53" s="25">
        <v>0.11377853732385372</v>
      </c>
      <c r="Y53" s="25">
        <v>0.56000000000000005</v>
      </c>
      <c r="Z53" s="25">
        <v>0.4</v>
      </c>
      <c r="AA53" s="25">
        <v>0.32</v>
      </c>
      <c r="AB53" s="25">
        <v>0.56000000000000005</v>
      </c>
      <c r="AC53" s="25">
        <v>19.5</v>
      </c>
      <c r="AD53" s="25">
        <v>0</v>
      </c>
      <c r="AE53" s="25">
        <v>13.043478260869565</v>
      </c>
      <c r="AF53" s="25">
        <v>0</v>
      </c>
      <c r="AG53" s="25">
        <v>13.043478260869565</v>
      </c>
      <c r="AH53" s="25">
        <v>8.695652173913043</v>
      </c>
      <c r="AI53" s="25">
        <v>73.91304347826086</v>
      </c>
      <c r="AJ53" s="25">
        <v>4.3478260869565215</v>
      </c>
      <c r="AK53" s="25">
        <v>86.956521739130423</v>
      </c>
      <c r="AL53" s="25">
        <v>73.91304347826086</v>
      </c>
      <c r="AM53" s="25">
        <v>0.21249999999999999</v>
      </c>
      <c r="AN53" s="25">
        <v>0.16666666666666666</v>
      </c>
      <c r="AO53" s="25">
        <v>0.19466666666666668</v>
      </c>
      <c r="AP53" s="25">
        <v>0.19173913043478258</v>
      </c>
      <c r="AQ53" s="25">
        <v>0.16349385782314188</v>
      </c>
      <c r="AR53" s="25">
        <v>0.61</v>
      </c>
      <c r="AS53" s="25">
        <v>0.49</v>
      </c>
      <c r="AT53" s="25">
        <v>0.46</v>
      </c>
      <c r="AU53" s="25">
        <v>0.61</v>
      </c>
      <c r="AV53" s="25">
        <v>54.166666666666664</v>
      </c>
      <c r="AW53" s="25">
        <v>0.16666666666666666</v>
      </c>
      <c r="AX53" s="25">
        <v>25</v>
      </c>
      <c r="AY53" s="25">
        <v>37.5</v>
      </c>
      <c r="AZ53" s="25">
        <v>25</v>
      </c>
      <c r="BA53" s="25">
        <v>29.166666666666668</v>
      </c>
      <c r="BB53" s="25">
        <v>54.166666666666664</v>
      </c>
      <c r="BC53" s="25">
        <v>0.83333333333333337</v>
      </c>
      <c r="BD53" s="25">
        <v>25</v>
      </c>
      <c r="BE53" s="25">
        <v>0.125</v>
      </c>
      <c r="BF53" s="25">
        <v>0.25</v>
      </c>
      <c r="BG53" s="25">
        <v>0.25</v>
      </c>
      <c r="BH53" s="25">
        <v>0.20833333333333334</v>
      </c>
      <c r="BI53" s="25">
        <v>0.75</v>
      </c>
      <c r="BJ53" s="25">
        <v>0</v>
      </c>
      <c r="BK53" s="25">
        <v>0</v>
      </c>
      <c r="BL53" s="25">
        <v>0</v>
      </c>
      <c r="BM53" s="25">
        <v>0</v>
      </c>
      <c r="BN53" s="25">
        <v>1</v>
      </c>
      <c r="BO53" s="25">
        <v>1.75</v>
      </c>
      <c r="BP53" s="25">
        <v>0.5</v>
      </c>
      <c r="BQ53" s="25">
        <v>1.0833333333333333</v>
      </c>
      <c r="BR53" s="25">
        <v>0.75</v>
      </c>
      <c r="BS53" s="25">
        <v>0.75</v>
      </c>
      <c r="BT53" s="25">
        <v>0.75</v>
      </c>
      <c r="BU53" s="25">
        <v>0.75</v>
      </c>
      <c r="BV53" s="25">
        <v>12.5</v>
      </c>
      <c r="BW53" s="25">
        <v>79.166666666666657</v>
      </c>
      <c r="BX53" s="25">
        <v>8.3333333333333321</v>
      </c>
      <c r="BY53" s="25">
        <v>33.541666666666664</v>
      </c>
      <c r="BZ53" s="25">
        <v>0.70833333333333337</v>
      </c>
      <c r="CA53" s="25">
        <v>6.563706563706563</v>
      </c>
      <c r="CB53" s="25">
        <v>4.7544759981313103</v>
      </c>
      <c r="CC53" s="25">
        <v>93.43629343629344</v>
      </c>
      <c r="CD53" s="25">
        <v>0</v>
      </c>
      <c r="CE53" s="25">
        <v>0</v>
      </c>
      <c r="CF53" s="25">
        <v>0</v>
      </c>
      <c r="CG53" s="25">
        <v>0</v>
      </c>
      <c r="CH53" s="25">
        <v>0</v>
      </c>
    </row>
    <row r="54" spans="1:86" ht="15.75" x14ac:dyDescent="0.25">
      <c r="A54" s="2">
        <v>52</v>
      </c>
      <c r="B54" s="2" t="s">
        <v>9</v>
      </c>
      <c r="C54" s="2">
        <v>25</v>
      </c>
      <c r="D54" s="12">
        <v>2018</v>
      </c>
      <c r="E54" s="13">
        <v>43287</v>
      </c>
      <c r="F54" s="14" t="str">
        <f t="shared" si="0"/>
        <v>18187</v>
      </c>
      <c r="G54" s="32">
        <v>15.7</v>
      </c>
      <c r="H54" s="32">
        <v>8.1199999999999992</v>
      </c>
      <c r="I54" s="32">
        <v>11.67</v>
      </c>
      <c r="J54" s="25">
        <v>432</v>
      </c>
      <c r="K54" s="25">
        <v>293</v>
      </c>
      <c r="L54" s="25">
        <v>220</v>
      </c>
      <c r="M54" s="25">
        <v>945</v>
      </c>
      <c r="N54" s="25">
        <v>0</v>
      </c>
      <c r="O54" s="25">
        <v>1.0375000000000001</v>
      </c>
      <c r="P54" s="25">
        <v>0.92499999999999993</v>
      </c>
      <c r="Q54" s="25">
        <v>0.95</v>
      </c>
      <c r="R54" s="25">
        <v>0.97083333333333355</v>
      </c>
      <c r="S54" s="25">
        <v>0.27263475593718317</v>
      </c>
      <c r="T54" s="25">
        <v>0.23249999999999998</v>
      </c>
      <c r="U54" s="25">
        <v>0.17750000000000002</v>
      </c>
      <c r="V54" s="25">
        <v>0.22000000000000003</v>
      </c>
      <c r="W54" s="25">
        <v>0.21000000000000005</v>
      </c>
      <c r="X54" s="25">
        <v>0.10210821199355966</v>
      </c>
      <c r="Y54" s="25">
        <v>0.53</v>
      </c>
      <c r="Z54" s="25">
        <v>0.32</v>
      </c>
      <c r="AA54" s="25">
        <v>0.36</v>
      </c>
      <c r="AB54" s="25">
        <v>0.53</v>
      </c>
      <c r="AC54" s="25">
        <v>4.6230158730158726</v>
      </c>
      <c r="AD54" s="25">
        <v>0</v>
      </c>
      <c r="AE54" s="25">
        <v>12.5</v>
      </c>
      <c r="AF54" s="25">
        <v>0</v>
      </c>
      <c r="AG54" s="25">
        <v>12.5</v>
      </c>
      <c r="AH54" s="25">
        <v>8.3333333333333321</v>
      </c>
      <c r="AI54" s="25">
        <v>79.166666666666657</v>
      </c>
      <c r="AJ54" s="25">
        <v>0</v>
      </c>
      <c r="AK54" s="25">
        <v>87.499999999999986</v>
      </c>
      <c r="AL54" s="25">
        <v>79.166666666666657</v>
      </c>
      <c r="AM54" s="25">
        <v>0.30249999999999999</v>
      </c>
      <c r="AN54" s="25">
        <v>0.41375000000000001</v>
      </c>
      <c r="AO54" s="25">
        <v>0.26500000000000001</v>
      </c>
      <c r="AP54" s="25">
        <v>0.32708333333333334</v>
      </c>
      <c r="AQ54" s="25">
        <v>0.19068478808178985</v>
      </c>
      <c r="AR54" s="25">
        <v>0.67</v>
      </c>
      <c r="AS54" s="25">
        <v>0.93</v>
      </c>
      <c r="AT54" s="25">
        <v>0.36</v>
      </c>
      <c r="AU54" s="25">
        <v>0.93</v>
      </c>
      <c r="AV54" s="25">
        <v>20.833333333333336</v>
      </c>
      <c r="AW54" s="25">
        <v>0.70833333333333337</v>
      </c>
      <c r="AX54" s="25">
        <v>25</v>
      </c>
      <c r="AY54" s="25">
        <v>0</v>
      </c>
      <c r="AZ54" s="25">
        <v>0</v>
      </c>
      <c r="BA54" s="25">
        <v>8.3333333333333321</v>
      </c>
      <c r="BB54" s="25">
        <v>70.833333333333343</v>
      </c>
      <c r="BC54" s="25">
        <v>0.58333333333333337</v>
      </c>
      <c r="BD54" s="25">
        <v>16.666666666666664</v>
      </c>
      <c r="BE54" s="25">
        <v>0</v>
      </c>
      <c r="BF54" s="25">
        <v>0</v>
      </c>
      <c r="BG54" s="25">
        <v>0</v>
      </c>
      <c r="BH54" s="25">
        <v>0</v>
      </c>
      <c r="BI54" s="25">
        <v>0.20833333333333334</v>
      </c>
      <c r="BJ54" s="25">
        <v>1</v>
      </c>
      <c r="BK54" s="25">
        <v>1.5</v>
      </c>
      <c r="BL54" s="25">
        <v>1.25</v>
      </c>
      <c r="BM54" s="25">
        <v>1.25</v>
      </c>
      <c r="BN54" s="25">
        <v>0</v>
      </c>
      <c r="BO54" s="25">
        <v>0</v>
      </c>
      <c r="BP54" s="25">
        <v>0</v>
      </c>
      <c r="BQ54" s="25">
        <v>0</v>
      </c>
      <c r="BR54" s="25">
        <v>0</v>
      </c>
      <c r="BS54" s="25">
        <v>0.25</v>
      </c>
      <c r="BT54" s="25">
        <v>0</v>
      </c>
      <c r="BU54" s="25">
        <v>8.3333333333333329E-2</v>
      </c>
      <c r="BV54" s="25">
        <v>0</v>
      </c>
      <c r="BW54" s="25">
        <v>70.833333333333343</v>
      </c>
      <c r="BX54" s="25">
        <v>29.166666666666668</v>
      </c>
      <c r="BY54" s="25">
        <v>47.5</v>
      </c>
      <c r="BZ54" s="25">
        <v>0</v>
      </c>
      <c r="CA54" s="25">
        <v>98.198198198198199</v>
      </c>
      <c r="CB54" s="25">
        <v>1.7752507291971895</v>
      </c>
      <c r="CC54" s="25">
        <v>1.8018018018018012</v>
      </c>
      <c r="CD54" s="25">
        <v>0</v>
      </c>
      <c r="CE54" s="25">
        <v>0</v>
      </c>
      <c r="CF54" s="25">
        <v>0</v>
      </c>
      <c r="CG54" s="25">
        <v>0</v>
      </c>
      <c r="CH54" s="25">
        <v>0</v>
      </c>
    </row>
    <row r="55" spans="1:86" ht="15.75" x14ac:dyDescent="0.25">
      <c r="A55" s="2">
        <v>53</v>
      </c>
      <c r="B55" s="2" t="s">
        <v>9</v>
      </c>
      <c r="C55" s="2">
        <v>29</v>
      </c>
      <c r="D55" s="12">
        <v>2018</v>
      </c>
      <c r="E55" s="13">
        <v>43292</v>
      </c>
      <c r="F55" s="14" t="str">
        <f t="shared" si="0"/>
        <v>18192</v>
      </c>
      <c r="G55" s="32">
        <v>23.2</v>
      </c>
      <c r="H55" s="32">
        <v>7.96</v>
      </c>
      <c r="I55" s="32">
        <v>10.3</v>
      </c>
      <c r="J55" s="25">
        <v>476</v>
      </c>
      <c r="K55" s="25">
        <v>504</v>
      </c>
      <c r="L55" s="25">
        <v>313</v>
      </c>
      <c r="M55" s="25">
        <v>1293</v>
      </c>
      <c r="N55" s="25">
        <v>9.2807424593967514E-2</v>
      </c>
      <c r="O55" s="25">
        <v>1.5750000000000002</v>
      </c>
      <c r="P55" s="25">
        <v>3.6749999999999998</v>
      </c>
      <c r="Q55" s="25">
        <v>2.7</v>
      </c>
      <c r="R55" s="25">
        <v>2.6499999999999995</v>
      </c>
      <c r="S55" s="25">
        <v>1.2215457064897246</v>
      </c>
      <c r="T55" s="25">
        <v>0.22000000000000003</v>
      </c>
      <c r="U55" s="25">
        <v>0.29833333333333328</v>
      </c>
      <c r="V55" s="25">
        <v>0.16818181818181818</v>
      </c>
      <c r="W55" s="25">
        <v>0.23193548387096771</v>
      </c>
      <c r="X55" s="25">
        <v>8.6116949738469437E-2</v>
      </c>
      <c r="Y55" s="25">
        <v>0.3</v>
      </c>
      <c r="Z55" s="25">
        <v>0.42</v>
      </c>
      <c r="AA55" s="25">
        <v>0.3</v>
      </c>
      <c r="AB55" s="25">
        <v>0.42</v>
      </c>
      <c r="AC55" s="25">
        <v>11.42559109874826</v>
      </c>
      <c r="AD55" s="25">
        <v>0</v>
      </c>
      <c r="AE55" s="25">
        <v>20.689655172413794</v>
      </c>
      <c r="AF55" s="25">
        <v>0</v>
      </c>
      <c r="AG55" s="25">
        <v>20.689655172413794</v>
      </c>
      <c r="AH55" s="25">
        <v>0</v>
      </c>
      <c r="AI55" s="25">
        <v>79.310344827586206</v>
      </c>
      <c r="AJ55" s="25">
        <v>0</v>
      </c>
      <c r="AK55" s="25">
        <v>79.310344827586206</v>
      </c>
      <c r="AL55" s="25">
        <v>79.310344827586206</v>
      </c>
      <c r="AM55" s="25">
        <v>0.28000000000000003</v>
      </c>
      <c r="AN55" s="25">
        <v>8.2727272727272733E-2</v>
      </c>
      <c r="AO55" s="25">
        <v>0.25</v>
      </c>
      <c r="AP55" s="25">
        <v>0.19161290322580646</v>
      </c>
      <c r="AQ55" s="25">
        <v>0.18615579092422471</v>
      </c>
      <c r="AR55" s="25">
        <v>0.68</v>
      </c>
      <c r="AS55" s="25">
        <v>0.18</v>
      </c>
      <c r="AT55" s="25">
        <v>0.67</v>
      </c>
      <c r="AU55" s="25">
        <v>0.68</v>
      </c>
      <c r="AV55" s="25">
        <v>25</v>
      </c>
      <c r="AW55" s="25">
        <v>0.375</v>
      </c>
      <c r="AX55" s="25">
        <v>25</v>
      </c>
      <c r="AY55" s="25">
        <v>75</v>
      </c>
      <c r="AZ55" s="25">
        <v>12.5</v>
      </c>
      <c r="BA55" s="25">
        <v>37.5</v>
      </c>
      <c r="BB55" s="25">
        <v>37.5</v>
      </c>
      <c r="BC55" s="25">
        <v>1.25</v>
      </c>
      <c r="BD55" s="25">
        <v>41.666666666666671</v>
      </c>
      <c r="BE55" s="25">
        <v>0</v>
      </c>
      <c r="BF55" s="25">
        <v>0</v>
      </c>
      <c r="BG55" s="25">
        <v>0.125</v>
      </c>
      <c r="BH55" s="25">
        <v>4.1666666666666664E-2</v>
      </c>
      <c r="BI55" s="25">
        <v>0.625</v>
      </c>
      <c r="BJ55" s="25">
        <v>1</v>
      </c>
      <c r="BK55" s="25">
        <v>0.5</v>
      </c>
      <c r="BL55" s="25">
        <v>1</v>
      </c>
      <c r="BM55" s="25">
        <v>0.83333333333333337</v>
      </c>
      <c r="BN55" s="25">
        <v>0</v>
      </c>
      <c r="BO55" s="25">
        <v>0</v>
      </c>
      <c r="BP55" s="25">
        <v>0.5</v>
      </c>
      <c r="BQ55" s="25">
        <v>0.16666666666666666</v>
      </c>
      <c r="BR55" s="25">
        <v>0.5</v>
      </c>
      <c r="BS55" s="25">
        <v>1.25</v>
      </c>
      <c r="BT55" s="25">
        <v>0.5</v>
      </c>
      <c r="BU55" s="25">
        <v>0.75</v>
      </c>
      <c r="BV55" s="25">
        <v>16.666666666666664</v>
      </c>
      <c r="BW55" s="25">
        <v>54.166666666666664</v>
      </c>
      <c r="BX55" s="25">
        <v>29.166666666666668</v>
      </c>
      <c r="BY55" s="25">
        <v>36.25</v>
      </c>
      <c r="BZ55" s="25">
        <v>0.16666666666666666</v>
      </c>
      <c r="CA55" s="25">
        <v>42.117117117117118</v>
      </c>
      <c r="CB55" s="25">
        <v>12.078969954077836</v>
      </c>
      <c r="CC55" s="25">
        <v>57.882882882882882</v>
      </c>
      <c r="CD55" s="25">
        <v>0</v>
      </c>
      <c r="CE55" s="25">
        <v>0</v>
      </c>
      <c r="CF55" s="25">
        <v>0</v>
      </c>
      <c r="CG55" s="25">
        <v>0</v>
      </c>
      <c r="CH55" s="25">
        <v>0</v>
      </c>
    </row>
    <row r="56" spans="1:86" ht="15.75" x14ac:dyDescent="0.25">
      <c r="A56" s="3">
        <v>54</v>
      </c>
      <c r="B56" s="3" t="s">
        <v>9</v>
      </c>
      <c r="C56" s="3">
        <v>33</v>
      </c>
      <c r="D56" s="12">
        <v>2018</v>
      </c>
      <c r="E56" s="13">
        <v>43304</v>
      </c>
      <c r="F56" s="14" t="str">
        <f t="shared" si="0"/>
        <v>18204</v>
      </c>
      <c r="G56" s="32">
        <v>13.1</v>
      </c>
      <c r="H56" s="32">
        <v>7.91</v>
      </c>
      <c r="I56" s="32">
        <v>12.12</v>
      </c>
      <c r="J56" s="25">
        <v>251</v>
      </c>
      <c r="K56" s="25">
        <v>307</v>
      </c>
      <c r="L56" s="25">
        <v>178</v>
      </c>
      <c r="M56" s="25">
        <v>736</v>
      </c>
      <c r="N56" s="25">
        <v>0</v>
      </c>
      <c r="O56" s="25">
        <v>1.9624999999999999</v>
      </c>
      <c r="P56" s="25">
        <v>2.0625</v>
      </c>
      <c r="Q56" s="25">
        <v>1.8875</v>
      </c>
      <c r="R56" s="25">
        <v>1.9708333333333332</v>
      </c>
      <c r="S56" s="25">
        <v>0.74219367369667266</v>
      </c>
      <c r="T56" s="25">
        <v>0.26</v>
      </c>
      <c r="U56" s="25">
        <v>0.21250000000000002</v>
      </c>
      <c r="V56" s="25">
        <v>0.20250000000000001</v>
      </c>
      <c r="W56" s="25">
        <v>0.22500000000000001</v>
      </c>
      <c r="X56" s="25">
        <v>0.2029564099697915</v>
      </c>
      <c r="Y56" s="25">
        <v>0.7</v>
      </c>
      <c r="Z56" s="25">
        <v>0.84</v>
      </c>
      <c r="AA56" s="25">
        <v>0.4</v>
      </c>
      <c r="AB56" s="25">
        <v>0.84</v>
      </c>
      <c r="AC56" s="25">
        <v>8.7592592592592577</v>
      </c>
      <c r="AD56" s="25">
        <v>0</v>
      </c>
      <c r="AE56" s="25">
        <v>4.3478260869565215</v>
      </c>
      <c r="AF56" s="25">
        <v>0</v>
      </c>
      <c r="AG56" s="25">
        <v>4.3478260869565215</v>
      </c>
      <c r="AH56" s="25">
        <v>0</v>
      </c>
      <c r="AI56" s="25">
        <v>95.652173913043484</v>
      </c>
      <c r="AJ56" s="25">
        <v>0</v>
      </c>
      <c r="AK56" s="25">
        <v>95.652173913043484</v>
      </c>
      <c r="AL56" s="25">
        <v>95.652173913043484</v>
      </c>
      <c r="AM56" s="25">
        <v>0.16125</v>
      </c>
      <c r="AN56" s="25">
        <v>0.12499999999999999</v>
      </c>
      <c r="AO56" s="25">
        <v>0.13625000000000001</v>
      </c>
      <c r="AP56" s="25">
        <v>0.14083333333333334</v>
      </c>
      <c r="AQ56" s="25">
        <v>8.7074014826301727E-2</v>
      </c>
      <c r="AR56" s="25">
        <v>0.28999999999999998</v>
      </c>
      <c r="AS56" s="25">
        <v>0.25</v>
      </c>
      <c r="AT56" s="25">
        <v>0.28000000000000003</v>
      </c>
      <c r="AU56" s="25">
        <v>0.28999999999999998</v>
      </c>
      <c r="AV56" s="25">
        <v>41.666666666666671</v>
      </c>
      <c r="AW56" s="25">
        <v>0.29166666666666669</v>
      </c>
      <c r="AX56" s="25">
        <v>37.5</v>
      </c>
      <c r="AY56" s="25">
        <v>12.5</v>
      </c>
      <c r="AZ56" s="25">
        <v>37.5</v>
      </c>
      <c r="BA56" s="25">
        <v>29.166666666666668</v>
      </c>
      <c r="BB56" s="25">
        <v>41.666666666666671</v>
      </c>
      <c r="BC56" s="25">
        <v>1.75</v>
      </c>
      <c r="BD56" s="25">
        <v>58.333333333333336</v>
      </c>
      <c r="BE56" s="25">
        <v>0.375</v>
      </c>
      <c r="BF56" s="25">
        <v>0.625</v>
      </c>
      <c r="BG56" s="25">
        <v>0.5</v>
      </c>
      <c r="BH56" s="25">
        <v>0.5</v>
      </c>
      <c r="BI56" s="25">
        <v>1.1666666666666667</v>
      </c>
      <c r="BJ56" s="25">
        <v>0.5</v>
      </c>
      <c r="BK56" s="25">
        <v>0</v>
      </c>
      <c r="BL56" s="25">
        <v>0.75</v>
      </c>
      <c r="BM56" s="25">
        <v>0.41666666666666669</v>
      </c>
      <c r="BN56" s="25">
        <v>0.75</v>
      </c>
      <c r="BO56" s="25">
        <v>0.25</v>
      </c>
      <c r="BP56" s="25">
        <v>1.25</v>
      </c>
      <c r="BQ56" s="25">
        <v>0.75</v>
      </c>
      <c r="BR56" s="25">
        <v>0.75</v>
      </c>
      <c r="BS56" s="25">
        <v>0.25</v>
      </c>
      <c r="BT56" s="25">
        <v>0.75</v>
      </c>
      <c r="BU56" s="25">
        <v>0.58333333333333337</v>
      </c>
      <c r="BV56" s="25">
        <v>37.5</v>
      </c>
      <c r="BW56" s="25">
        <v>54.166666666666664</v>
      </c>
      <c r="BX56" s="25">
        <v>8.3333333333333321</v>
      </c>
      <c r="BY56" s="25">
        <v>25.416666666666668</v>
      </c>
      <c r="BZ56" s="25">
        <v>1.2083333333333333</v>
      </c>
      <c r="CA56" s="25">
        <v>7.8078078078078077</v>
      </c>
      <c r="CB56" s="25">
        <v>6.1865188816503158</v>
      </c>
      <c r="CC56" s="25">
        <v>92.192192192192195</v>
      </c>
      <c r="CD56" s="25">
        <v>0</v>
      </c>
      <c r="CE56" s="25">
        <v>0</v>
      </c>
      <c r="CF56" s="25">
        <v>0</v>
      </c>
      <c r="CG56" s="25">
        <v>0</v>
      </c>
      <c r="CH56" s="25">
        <v>0</v>
      </c>
    </row>
    <row r="57" spans="1:86" ht="15.75" x14ac:dyDescent="0.25">
      <c r="A57" s="2">
        <v>55</v>
      </c>
      <c r="B57" s="2" t="s">
        <v>9</v>
      </c>
      <c r="C57" s="2">
        <v>36</v>
      </c>
      <c r="D57" s="12">
        <v>2018</v>
      </c>
      <c r="E57" s="13">
        <v>43320</v>
      </c>
      <c r="F57" s="14" t="str">
        <f t="shared" si="0"/>
        <v>18220</v>
      </c>
      <c r="G57" s="32">
        <v>25.7</v>
      </c>
      <c r="H57" s="32">
        <v>8.67</v>
      </c>
      <c r="I57" s="32">
        <v>12.74</v>
      </c>
      <c r="J57" s="25">
        <v>249</v>
      </c>
      <c r="K57" s="25">
        <v>225</v>
      </c>
      <c r="L57" s="25">
        <v>159</v>
      </c>
      <c r="M57" s="25">
        <v>633</v>
      </c>
      <c r="N57" s="25">
        <v>0</v>
      </c>
      <c r="O57" s="25">
        <v>2.0374999999999996</v>
      </c>
      <c r="P57" s="25">
        <v>1.6124999999999998</v>
      </c>
      <c r="Q57" s="25">
        <v>1.9375</v>
      </c>
      <c r="R57" s="25">
        <v>1.8625</v>
      </c>
      <c r="S57" s="25">
        <v>0.59695786756870328</v>
      </c>
      <c r="T57" s="25">
        <v>0.13125000000000001</v>
      </c>
      <c r="U57" s="25">
        <v>0.22727272727272732</v>
      </c>
      <c r="V57" s="25">
        <v>0.14833333333333334</v>
      </c>
      <c r="W57" s="25">
        <v>0.17193548387096771</v>
      </c>
      <c r="X57" s="25">
        <v>0.17702013736368549</v>
      </c>
      <c r="Y57" s="25">
        <v>0.24</v>
      </c>
      <c r="Z57" s="25">
        <v>0.86</v>
      </c>
      <c r="AA57" s="25">
        <v>0.42</v>
      </c>
      <c r="AB57" s="25">
        <v>0.86</v>
      </c>
      <c r="AC57" s="25">
        <v>10.832551594746718</v>
      </c>
      <c r="AD57" s="25">
        <v>7.1428571428571423</v>
      </c>
      <c r="AE57" s="25">
        <v>3.5714285714285712</v>
      </c>
      <c r="AF57" s="25">
        <v>0</v>
      </c>
      <c r="AG57" s="25">
        <v>10.714285714285714</v>
      </c>
      <c r="AH57" s="25">
        <v>3.5714285714285712</v>
      </c>
      <c r="AI57" s="25">
        <v>82.142857142857139</v>
      </c>
      <c r="AJ57" s="25">
        <v>3.5714285714285712</v>
      </c>
      <c r="AK57" s="25">
        <v>89.285714285714278</v>
      </c>
      <c r="AL57" s="25">
        <v>82.142857142857139</v>
      </c>
      <c r="AM57" s="25">
        <v>0.16250000000000001</v>
      </c>
      <c r="AN57" s="25">
        <v>0.15</v>
      </c>
      <c r="AO57" s="25">
        <v>0.12727272727272729</v>
      </c>
      <c r="AP57" s="25">
        <v>0.16774193548387092</v>
      </c>
      <c r="AQ57" s="25">
        <v>0.18800194462503764</v>
      </c>
      <c r="AR57" s="25">
        <v>0.36</v>
      </c>
      <c r="AS57" s="25">
        <v>0.39</v>
      </c>
      <c r="AT57" s="25">
        <v>0.25</v>
      </c>
      <c r="AU57" s="25">
        <v>0.39</v>
      </c>
      <c r="AV57" s="25">
        <v>29.166666666666668</v>
      </c>
      <c r="AW57" s="25">
        <v>0.58333333333333337</v>
      </c>
      <c r="AX57" s="25">
        <v>0</v>
      </c>
      <c r="AY57" s="25">
        <v>25</v>
      </c>
      <c r="AZ57" s="25">
        <v>12.5</v>
      </c>
      <c r="BA57" s="25">
        <v>12.5</v>
      </c>
      <c r="BB57" s="25">
        <v>58.333333333333336</v>
      </c>
      <c r="BC57" s="25">
        <v>1.8333333333333333</v>
      </c>
      <c r="BD57" s="25">
        <v>75</v>
      </c>
      <c r="BE57" s="25">
        <v>0.125</v>
      </c>
      <c r="BF57" s="25">
        <v>0.25</v>
      </c>
      <c r="BG57" s="25">
        <v>0</v>
      </c>
      <c r="BH57" s="25">
        <v>0.125</v>
      </c>
      <c r="BI57" s="25">
        <v>0.29166666666666669</v>
      </c>
      <c r="BJ57" s="25">
        <v>0.25</v>
      </c>
      <c r="BK57" s="25">
        <v>0.25</v>
      </c>
      <c r="BL57" s="25">
        <v>0</v>
      </c>
      <c r="BM57" s="25">
        <v>0.16666666666666666</v>
      </c>
      <c r="BN57" s="25">
        <v>0.5</v>
      </c>
      <c r="BO57" s="25">
        <v>1</v>
      </c>
      <c r="BP57" s="25">
        <v>0.25</v>
      </c>
      <c r="BQ57" s="25">
        <v>0.58333333333333337</v>
      </c>
      <c r="BR57" s="25">
        <v>0.25</v>
      </c>
      <c r="BS57" s="25">
        <v>1</v>
      </c>
      <c r="BT57" s="25">
        <v>0.5</v>
      </c>
      <c r="BU57" s="25">
        <v>0.58333333333333337</v>
      </c>
      <c r="BV57" s="25">
        <v>37.5</v>
      </c>
      <c r="BW57" s="25">
        <v>41.666666666666671</v>
      </c>
      <c r="BX57" s="25">
        <v>20.833333333333336</v>
      </c>
      <c r="BY57" s="25">
        <v>30.833333333333332</v>
      </c>
      <c r="BZ57" s="25">
        <v>0.75</v>
      </c>
      <c r="CA57" s="25">
        <v>55.067567567567565</v>
      </c>
      <c r="CB57" s="25">
        <v>15.759789584316648</v>
      </c>
      <c r="CC57" s="25">
        <v>44.932432432432435</v>
      </c>
      <c r="CD57" s="25">
        <v>0</v>
      </c>
      <c r="CE57" s="25">
        <v>0</v>
      </c>
      <c r="CF57" s="25">
        <v>0</v>
      </c>
      <c r="CG57" s="25">
        <v>0</v>
      </c>
      <c r="CH57" s="25">
        <v>0</v>
      </c>
    </row>
    <row r="58" spans="1:86" ht="15.75" x14ac:dyDescent="0.25">
      <c r="A58" s="2">
        <v>56</v>
      </c>
      <c r="B58" s="2" t="s">
        <v>9</v>
      </c>
      <c r="C58" s="2">
        <v>39</v>
      </c>
      <c r="D58" s="12">
        <v>2018</v>
      </c>
      <c r="E58" s="13">
        <v>43299</v>
      </c>
      <c r="F58" s="14" t="str">
        <f t="shared" si="0"/>
        <v>18199</v>
      </c>
      <c r="G58" s="32">
        <v>12.5</v>
      </c>
      <c r="H58" s="32">
        <v>8.5</v>
      </c>
      <c r="I58" s="32">
        <v>10.3</v>
      </c>
      <c r="J58" s="25">
        <v>477</v>
      </c>
      <c r="K58" s="25">
        <v>537</v>
      </c>
      <c r="L58" s="25">
        <v>484</v>
      </c>
      <c r="M58" s="25">
        <v>1498</v>
      </c>
      <c r="N58" s="25">
        <v>0</v>
      </c>
      <c r="O58" s="25">
        <v>0.95</v>
      </c>
      <c r="P58" s="25">
        <v>0.68749999999999989</v>
      </c>
      <c r="Q58" s="25">
        <v>1.1000000000000001</v>
      </c>
      <c r="R58" s="25">
        <v>0.91250000000000009</v>
      </c>
      <c r="S58" s="25">
        <v>0.24013130466113874</v>
      </c>
      <c r="T58" s="25">
        <v>0.28249999999999997</v>
      </c>
      <c r="U58" s="25">
        <v>0.30500000000000005</v>
      </c>
      <c r="V58" s="25">
        <v>0.46000000000000008</v>
      </c>
      <c r="W58" s="25">
        <v>0.34916666666666668</v>
      </c>
      <c r="X58" s="25">
        <v>0.35907994346259642</v>
      </c>
      <c r="Y58" s="25">
        <v>0.42</v>
      </c>
      <c r="Z58" s="25">
        <v>0.4</v>
      </c>
      <c r="AA58" s="25">
        <v>2</v>
      </c>
      <c r="AB58" s="25">
        <v>2</v>
      </c>
      <c r="AC58" s="25">
        <v>2.6133651551312651</v>
      </c>
      <c r="AD58" s="25">
        <v>0</v>
      </c>
      <c r="AE58" s="25">
        <v>100</v>
      </c>
      <c r="AF58" s="25">
        <v>0</v>
      </c>
      <c r="AG58" s="25">
        <v>100</v>
      </c>
      <c r="AH58" s="25">
        <v>0</v>
      </c>
      <c r="AI58" s="25">
        <v>0</v>
      </c>
      <c r="AJ58" s="25">
        <v>0</v>
      </c>
      <c r="AK58" s="25">
        <v>0</v>
      </c>
      <c r="AL58" s="25">
        <v>100</v>
      </c>
      <c r="AM58" s="25">
        <v>7.0000000000000007E-2</v>
      </c>
      <c r="AN58" s="25">
        <v>0.13250000000000001</v>
      </c>
      <c r="AO58" s="25">
        <v>0.13</v>
      </c>
      <c r="AP58" s="25">
        <v>0.11083333333333334</v>
      </c>
      <c r="AQ58" s="25">
        <v>6.268740020871448E-2</v>
      </c>
      <c r="AR58" s="25">
        <v>0.14000000000000001</v>
      </c>
      <c r="AS58" s="25">
        <v>0.28999999999999998</v>
      </c>
      <c r="AT58" s="25">
        <v>0.19</v>
      </c>
      <c r="AU58" s="25">
        <v>0.28999999999999998</v>
      </c>
      <c r="AV58" s="25">
        <v>0</v>
      </c>
      <c r="AW58" s="25">
        <v>0.20833333333333334</v>
      </c>
      <c r="AX58" s="25">
        <v>50</v>
      </c>
      <c r="AY58" s="25">
        <v>100</v>
      </c>
      <c r="AZ58" s="25">
        <v>87.5</v>
      </c>
      <c r="BA58" s="25">
        <v>79.166666666666657</v>
      </c>
      <c r="BB58" s="25">
        <v>75</v>
      </c>
      <c r="BC58" s="25">
        <v>0</v>
      </c>
      <c r="BD58" s="25">
        <v>0</v>
      </c>
      <c r="BE58" s="25">
        <v>0</v>
      </c>
      <c r="BF58" s="25">
        <v>0</v>
      </c>
      <c r="BG58" s="25">
        <v>0</v>
      </c>
      <c r="BH58" s="25">
        <v>0</v>
      </c>
      <c r="BI58" s="25">
        <v>0.125</v>
      </c>
      <c r="BJ58" s="25">
        <v>0</v>
      </c>
      <c r="BK58" s="25">
        <v>0</v>
      </c>
      <c r="BL58" s="25">
        <v>0</v>
      </c>
      <c r="BM58" s="25">
        <v>0</v>
      </c>
      <c r="BN58" s="25">
        <v>0</v>
      </c>
      <c r="BO58" s="25">
        <v>0</v>
      </c>
      <c r="BP58" s="25">
        <v>0</v>
      </c>
      <c r="BQ58" s="25">
        <v>0</v>
      </c>
      <c r="BR58" s="25">
        <v>0.75</v>
      </c>
      <c r="BS58" s="25">
        <v>0</v>
      </c>
      <c r="BT58" s="25">
        <v>1</v>
      </c>
      <c r="BU58" s="25">
        <v>0.58333333333333337</v>
      </c>
      <c r="BV58" s="25">
        <v>8.3333333333333321</v>
      </c>
      <c r="BW58" s="25">
        <v>91.666666666666657</v>
      </c>
      <c r="BX58" s="25">
        <v>0</v>
      </c>
      <c r="BY58" s="25">
        <v>32.708333333333336</v>
      </c>
      <c r="BZ58" s="25">
        <v>0.54166666666666663</v>
      </c>
      <c r="CA58" s="25">
        <v>80.180180180180187</v>
      </c>
      <c r="CB58" s="25">
        <v>11.260012379561523</v>
      </c>
      <c r="CC58" s="25">
        <v>19.819819819819813</v>
      </c>
      <c r="CD58" s="25">
        <v>0</v>
      </c>
      <c r="CE58" s="25">
        <v>0</v>
      </c>
      <c r="CF58" s="25">
        <v>0</v>
      </c>
      <c r="CG58" s="25">
        <v>0</v>
      </c>
      <c r="CH58" s="25">
        <v>0</v>
      </c>
    </row>
    <row r="59" spans="1:86" ht="15.75" x14ac:dyDescent="0.25">
      <c r="A59" s="2">
        <v>57</v>
      </c>
      <c r="B59" s="2" t="s">
        <v>9</v>
      </c>
      <c r="C59" s="2">
        <v>40</v>
      </c>
      <c r="D59" s="12">
        <v>2018</v>
      </c>
      <c r="E59" s="13">
        <v>43285</v>
      </c>
      <c r="F59" s="14" t="str">
        <f t="shared" si="0"/>
        <v>18185</v>
      </c>
      <c r="G59" s="32">
        <v>15.4</v>
      </c>
      <c r="H59" s="32">
        <v>8.1300000000000008</v>
      </c>
      <c r="I59" s="32">
        <v>10.86</v>
      </c>
      <c r="J59" s="25">
        <v>1173</v>
      </c>
      <c r="K59" s="25">
        <v>674</v>
      </c>
      <c r="L59" s="25">
        <v>1484</v>
      </c>
      <c r="M59" s="25">
        <v>3331</v>
      </c>
      <c r="N59" s="25">
        <v>1.5490843590513359</v>
      </c>
      <c r="O59" s="25">
        <v>7.5625</v>
      </c>
      <c r="P59" s="25">
        <v>5.1500000000000012</v>
      </c>
      <c r="Q59" s="25">
        <v>5.7249999999999996</v>
      </c>
      <c r="R59" s="25">
        <v>6.145833333333333</v>
      </c>
      <c r="S59" s="25">
        <v>1.7788562927187028</v>
      </c>
      <c r="T59" s="25">
        <v>0.30375000000000002</v>
      </c>
      <c r="U59" s="25">
        <v>0.26749999999999996</v>
      </c>
      <c r="V59" s="25">
        <v>0.17125000000000001</v>
      </c>
      <c r="W59" s="25">
        <v>0.24749999999999997</v>
      </c>
      <c r="X59" s="25">
        <v>0.12912965610233151</v>
      </c>
      <c r="Y59" s="25">
        <v>0.5</v>
      </c>
      <c r="Z59" s="25">
        <v>0.48</v>
      </c>
      <c r="AA59" s="25">
        <v>0.62</v>
      </c>
      <c r="AB59" s="25">
        <v>0.62</v>
      </c>
      <c r="AC59" s="25">
        <v>24.831649831649834</v>
      </c>
      <c r="AD59" s="25">
        <v>0</v>
      </c>
      <c r="AE59" s="25">
        <v>4.5454545454545459</v>
      </c>
      <c r="AF59" s="25">
        <v>0</v>
      </c>
      <c r="AG59" s="25">
        <v>4.5454545454545459</v>
      </c>
      <c r="AH59" s="25">
        <v>2.2727272727272729</v>
      </c>
      <c r="AI59" s="25">
        <v>93.181818181818173</v>
      </c>
      <c r="AJ59" s="25">
        <v>0</v>
      </c>
      <c r="AK59" s="25">
        <v>95.454545454545439</v>
      </c>
      <c r="AL59" s="25">
        <v>93.181818181818173</v>
      </c>
      <c r="AM59" s="25">
        <v>0.31</v>
      </c>
      <c r="AN59" s="25">
        <v>0.39266666666666666</v>
      </c>
      <c r="AO59" s="25">
        <v>0.40266666666666673</v>
      </c>
      <c r="AP59" s="25">
        <v>0.3664583333333335</v>
      </c>
      <c r="AQ59" s="25">
        <v>0.24621811454293518</v>
      </c>
      <c r="AR59" s="25">
        <v>1.04</v>
      </c>
      <c r="AS59" s="25">
        <v>0.88</v>
      </c>
      <c r="AT59" s="25">
        <v>0.86</v>
      </c>
      <c r="AU59" s="25">
        <v>1.04</v>
      </c>
      <c r="AV59" s="25">
        <v>50</v>
      </c>
      <c r="AW59" s="25">
        <v>0.39130434782608697</v>
      </c>
      <c r="AX59" s="25">
        <v>0</v>
      </c>
      <c r="AY59" s="25">
        <v>12.5</v>
      </c>
      <c r="AZ59" s="25">
        <v>12.5</v>
      </c>
      <c r="BA59" s="25">
        <v>8.3333333333333321</v>
      </c>
      <c r="BB59" s="25">
        <v>50</v>
      </c>
      <c r="BC59" s="25">
        <v>1.1666666666666667</v>
      </c>
      <c r="BD59" s="25">
        <v>41.666666666666671</v>
      </c>
      <c r="BE59" s="25">
        <v>0</v>
      </c>
      <c r="BF59" s="25">
        <v>0</v>
      </c>
      <c r="BG59" s="25">
        <v>0.25</v>
      </c>
      <c r="BH59" s="25">
        <v>8.3333333333333329E-2</v>
      </c>
      <c r="BI59" s="25">
        <v>0.33333333333333331</v>
      </c>
      <c r="BJ59" s="25">
        <v>0.5</v>
      </c>
      <c r="BK59" s="25">
        <v>1</v>
      </c>
      <c r="BL59" s="25">
        <v>0</v>
      </c>
      <c r="BM59" s="25">
        <v>0.5</v>
      </c>
      <c r="BN59" s="25">
        <v>0.75</v>
      </c>
      <c r="BO59" s="25">
        <v>1.75</v>
      </c>
      <c r="BP59" s="25">
        <v>0.25</v>
      </c>
      <c r="BQ59" s="25">
        <v>0.91666666666666663</v>
      </c>
      <c r="BR59" s="25">
        <v>0.75</v>
      </c>
      <c r="BS59" s="25">
        <v>0.25</v>
      </c>
      <c r="BT59" s="25">
        <v>0</v>
      </c>
      <c r="BU59" s="25">
        <v>0.33333333333333331</v>
      </c>
      <c r="BV59" s="25">
        <v>12.5</v>
      </c>
      <c r="BW59" s="25">
        <v>87.5</v>
      </c>
      <c r="BX59" s="25">
        <v>0</v>
      </c>
      <c r="BY59" s="25">
        <v>33.333333333333336</v>
      </c>
      <c r="BZ59" s="25">
        <v>0.20833333333333334</v>
      </c>
      <c r="CA59" s="25">
        <v>61.636636636636645</v>
      </c>
      <c r="CB59" s="25">
        <v>15.105002850417181</v>
      </c>
      <c r="CC59" s="25">
        <v>38.363363363363355</v>
      </c>
      <c r="CD59" s="25">
        <v>0</v>
      </c>
      <c r="CE59" s="25">
        <v>0</v>
      </c>
      <c r="CF59" s="25">
        <v>0</v>
      </c>
      <c r="CG59" s="25">
        <v>0</v>
      </c>
      <c r="CH59" s="25">
        <v>0</v>
      </c>
    </row>
    <row r="60" spans="1:86" ht="15.75" x14ac:dyDescent="0.25">
      <c r="A60" s="2">
        <v>58</v>
      </c>
      <c r="B60" s="2" t="s">
        <v>9</v>
      </c>
      <c r="C60" s="2">
        <v>41</v>
      </c>
      <c r="D60" s="12">
        <v>2018</v>
      </c>
      <c r="E60" s="13">
        <v>43307</v>
      </c>
      <c r="F60" s="14" t="str">
        <f t="shared" si="0"/>
        <v>18207</v>
      </c>
      <c r="G60" s="32">
        <v>19.2</v>
      </c>
      <c r="H60" s="32">
        <v>8.32</v>
      </c>
      <c r="I60" s="32">
        <v>14.31</v>
      </c>
      <c r="J60" s="25">
        <v>739</v>
      </c>
      <c r="K60" s="25">
        <v>554</v>
      </c>
      <c r="L60" s="25">
        <v>555</v>
      </c>
      <c r="M60" s="25">
        <v>1848</v>
      </c>
      <c r="N60" s="25">
        <v>0</v>
      </c>
      <c r="O60" s="25">
        <v>3.0750000000000002</v>
      </c>
      <c r="P60" s="25">
        <v>2.6999999999999997</v>
      </c>
      <c r="Q60" s="25">
        <v>3.1857142857142859</v>
      </c>
      <c r="R60" s="25">
        <v>2.9782608695652173</v>
      </c>
      <c r="S60" s="25">
        <v>0.83826472372131411</v>
      </c>
      <c r="T60" s="25">
        <v>0.27499999999999997</v>
      </c>
      <c r="U60" s="25">
        <v>0.23333333333333336</v>
      </c>
      <c r="V60" s="25">
        <v>0.19090909090909092</v>
      </c>
      <c r="W60" s="25">
        <v>0.23428571428571426</v>
      </c>
      <c r="X60" s="25">
        <v>0.13638797847416362</v>
      </c>
      <c r="Y60" s="25">
        <v>0.62</v>
      </c>
      <c r="Z60" s="25">
        <v>0.52</v>
      </c>
      <c r="AA60" s="25">
        <v>0.5</v>
      </c>
      <c r="AB60" s="25">
        <v>0.62</v>
      </c>
      <c r="AC60" s="25">
        <v>12.712089077412514</v>
      </c>
      <c r="AD60" s="25">
        <v>2.9411764705882351</v>
      </c>
      <c r="AE60" s="25">
        <v>5.8823529411764701</v>
      </c>
      <c r="AF60" s="25">
        <v>0</v>
      </c>
      <c r="AG60" s="25">
        <v>8.8235294117647047</v>
      </c>
      <c r="AH60" s="25">
        <v>14.705882352941178</v>
      </c>
      <c r="AI60" s="25">
        <v>76.470588235294116</v>
      </c>
      <c r="AJ60" s="25">
        <v>0</v>
      </c>
      <c r="AK60" s="25">
        <v>91.17647058823529</v>
      </c>
      <c r="AL60" s="25">
        <v>76.470588235294116</v>
      </c>
      <c r="AM60" s="25">
        <v>0.14636363636363636</v>
      </c>
      <c r="AN60" s="25">
        <v>0.31</v>
      </c>
      <c r="AO60" s="25">
        <v>0.26999999999999996</v>
      </c>
      <c r="AP60" s="25">
        <v>0.24200000000000008</v>
      </c>
      <c r="AQ60" s="25">
        <v>0.17176933918005541</v>
      </c>
      <c r="AR60" s="25">
        <v>0.26</v>
      </c>
      <c r="AS60" s="25">
        <v>0.86</v>
      </c>
      <c r="AT60" s="25">
        <v>0.5</v>
      </c>
      <c r="AU60" s="25">
        <v>0.86</v>
      </c>
      <c r="AV60" s="25">
        <v>37.5</v>
      </c>
      <c r="AW60" s="25">
        <v>0.41666666666666669</v>
      </c>
      <c r="AX60" s="25">
        <v>12.5</v>
      </c>
      <c r="AY60" s="25">
        <v>37.5</v>
      </c>
      <c r="AZ60" s="25">
        <v>12.5</v>
      </c>
      <c r="BA60" s="25">
        <v>20.833333333333336</v>
      </c>
      <c r="BB60" s="25">
        <v>41.666666666666671</v>
      </c>
      <c r="BC60" s="25">
        <v>2</v>
      </c>
      <c r="BD60" s="25">
        <v>75</v>
      </c>
      <c r="BE60" s="25">
        <v>0.125</v>
      </c>
      <c r="BF60" s="25">
        <v>0</v>
      </c>
      <c r="BG60" s="25">
        <v>0</v>
      </c>
      <c r="BH60" s="25">
        <v>4.1666666666666664E-2</v>
      </c>
      <c r="BI60" s="25">
        <v>0</v>
      </c>
      <c r="BJ60" s="25">
        <v>1</v>
      </c>
      <c r="BK60" s="25">
        <v>1</v>
      </c>
      <c r="BL60" s="25">
        <v>0</v>
      </c>
      <c r="BM60" s="25">
        <v>0.66666666666666663</v>
      </c>
      <c r="BN60" s="25">
        <v>0</v>
      </c>
      <c r="BO60" s="25">
        <v>0</v>
      </c>
      <c r="BP60" s="25">
        <v>0</v>
      </c>
      <c r="BQ60" s="25">
        <v>0</v>
      </c>
      <c r="BR60" s="25">
        <v>0.75</v>
      </c>
      <c r="BS60" s="25">
        <v>1</v>
      </c>
      <c r="BT60" s="25">
        <v>1</v>
      </c>
      <c r="BU60" s="25">
        <v>0.91666666666666663</v>
      </c>
      <c r="BV60" s="25">
        <v>20.833333333333336</v>
      </c>
      <c r="BW60" s="25">
        <v>58.333333333333336</v>
      </c>
      <c r="BX60" s="25">
        <v>20.833333333333336</v>
      </c>
      <c r="BY60" s="25">
        <v>34.791666666666664</v>
      </c>
      <c r="BZ60" s="25">
        <v>1.7083333333333333</v>
      </c>
      <c r="CA60" s="25">
        <v>100</v>
      </c>
      <c r="CB60" s="25">
        <v>0</v>
      </c>
      <c r="CC60" s="25">
        <v>0</v>
      </c>
      <c r="CD60" s="25">
        <v>0</v>
      </c>
      <c r="CE60" s="25">
        <v>0</v>
      </c>
      <c r="CF60" s="25">
        <v>0</v>
      </c>
      <c r="CG60" s="25">
        <v>0</v>
      </c>
      <c r="CH60" s="25">
        <v>0</v>
      </c>
    </row>
    <row r="61" spans="1:86" ht="15.75" x14ac:dyDescent="0.25">
      <c r="A61" s="2">
        <v>59</v>
      </c>
      <c r="B61" s="2" t="s">
        <v>9</v>
      </c>
      <c r="C61" s="2">
        <v>52</v>
      </c>
      <c r="D61" s="12">
        <v>2018</v>
      </c>
      <c r="E61" s="13">
        <v>43243</v>
      </c>
      <c r="F61" s="14" t="str">
        <f t="shared" si="0"/>
        <v>18143</v>
      </c>
      <c r="G61" s="32">
        <v>14.3</v>
      </c>
      <c r="H61" s="32">
        <v>8.66</v>
      </c>
      <c r="I61" s="32">
        <v>9.94</v>
      </c>
      <c r="J61" s="25">
        <v>214</v>
      </c>
      <c r="K61" s="25">
        <v>276</v>
      </c>
      <c r="L61" s="25">
        <v>882</v>
      </c>
      <c r="M61" s="25">
        <v>1372</v>
      </c>
      <c r="N61" s="25">
        <v>4.3731778425655975E-2</v>
      </c>
      <c r="O61" s="25">
        <v>1.4125000000000001</v>
      </c>
      <c r="P61" s="25">
        <v>1.9625000000000001</v>
      </c>
      <c r="Q61" s="25">
        <v>2.3000000000000003</v>
      </c>
      <c r="R61" s="25">
        <v>1.8916666666666664</v>
      </c>
      <c r="S61" s="25">
        <v>0.55082283640155183</v>
      </c>
      <c r="T61" s="25">
        <v>0.2</v>
      </c>
      <c r="U61" s="25">
        <v>0.21800000000000003</v>
      </c>
      <c r="V61" s="25">
        <v>0.26500000000000001</v>
      </c>
      <c r="W61" s="25">
        <v>0.22692307692307698</v>
      </c>
      <c r="X61" s="25">
        <v>7.8779146010564433E-2</v>
      </c>
      <c r="Y61" s="25">
        <v>0.28000000000000003</v>
      </c>
      <c r="Z61" s="25">
        <v>0.4</v>
      </c>
      <c r="AA61" s="25">
        <v>0.38</v>
      </c>
      <c r="AB61" s="25">
        <v>0.4</v>
      </c>
      <c r="AC61" s="25">
        <v>8.3361581920903927</v>
      </c>
      <c r="AD61" s="25">
        <v>0</v>
      </c>
      <c r="AE61" s="25">
        <v>11.538461538461538</v>
      </c>
      <c r="AF61" s="25">
        <v>0</v>
      </c>
      <c r="AG61" s="25">
        <v>11.538461538461538</v>
      </c>
      <c r="AH61" s="25">
        <v>19.230769230769234</v>
      </c>
      <c r="AI61" s="25">
        <v>69.230769230769226</v>
      </c>
      <c r="AJ61" s="25">
        <v>0</v>
      </c>
      <c r="AK61" s="25">
        <v>88.461538461538453</v>
      </c>
      <c r="AL61" s="25">
        <v>69.230769230769226</v>
      </c>
      <c r="AM61" s="25">
        <v>0.58624999999999994</v>
      </c>
      <c r="AN61" s="25">
        <v>0.52100000000000002</v>
      </c>
      <c r="AO61" s="25">
        <v>0.30375000000000002</v>
      </c>
      <c r="AP61" s="25">
        <v>0.47423076923076912</v>
      </c>
      <c r="AQ61" s="25">
        <v>0.20856026614718517</v>
      </c>
      <c r="AR61" s="25">
        <v>0.99</v>
      </c>
      <c r="AS61" s="25">
        <v>0.95</v>
      </c>
      <c r="AT61" s="25">
        <v>0.42</v>
      </c>
      <c r="AU61" s="25">
        <v>0.99</v>
      </c>
      <c r="AV61" s="25">
        <v>29.166666666666668</v>
      </c>
      <c r="AW61" s="25">
        <v>0.70833333333333337</v>
      </c>
      <c r="AX61" s="25">
        <v>0</v>
      </c>
      <c r="AY61" s="25">
        <v>0</v>
      </c>
      <c r="AZ61" s="25">
        <v>0</v>
      </c>
      <c r="BA61" s="25">
        <v>0</v>
      </c>
      <c r="BB61" s="25">
        <v>70.833333333333343</v>
      </c>
      <c r="BC61" s="25">
        <v>2.5454545454545454</v>
      </c>
      <c r="BD61" s="25">
        <v>75</v>
      </c>
      <c r="BE61" s="25">
        <v>0.5</v>
      </c>
      <c r="BF61" s="25">
        <v>0.75</v>
      </c>
      <c r="BG61" s="25">
        <v>0.875</v>
      </c>
      <c r="BH61" s="25">
        <v>0.70833333333333337</v>
      </c>
      <c r="BI61" s="25">
        <v>0.41666666666666669</v>
      </c>
      <c r="BJ61" s="25">
        <v>0.5</v>
      </c>
      <c r="BK61" s="25">
        <v>0</v>
      </c>
      <c r="BL61" s="25">
        <v>0</v>
      </c>
      <c r="BM61" s="25">
        <v>0.16666666666666666</v>
      </c>
      <c r="BN61" s="25">
        <v>0.25</v>
      </c>
      <c r="BO61" s="25">
        <v>1.25</v>
      </c>
      <c r="BP61" s="25">
        <v>0.25</v>
      </c>
      <c r="BQ61" s="25">
        <v>0.58333333333333337</v>
      </c>
      <c r="BR61" s="25">
        <v>0</v>
      </c>
      <c r="BS61" s="25">
        <v>0</v>
      </c>
      <c r="BT61" s="25">
        <v>0.25</v>
      </c>
      <c r="BU61" s="25">
        <v>8.3333333333333329E-2</v>
      </c>
      <c r="BV61" s="25">
        <v>4.1666666666666661</v>
      </c>
      <c r="BW61" s="25">
        <v>75</v>
      </c>
      <c r="BX61" s="25">
        <v>20.833333333333336</v>
      </c>
      <c r="BY61" s="25">
        <v>39.125</v>
      </c>
      <c r="BZ61" s="25">
        <v>0.83333333333333337</v>
      </c>
      <c r="CA61" s="25">
        <v>7.4324324324324325</v>
      </c>
      <c r="CB61" s="25">
        <v>5.1190375515857918</v>
      </c>
      <c r="CC61" s="25">
        <v>92.567567567567565</v>
      </c>
      <c r="CD61" s="25">
        <v>0</v>
      </c>
      <c r="CE61" s="25">
        <v>0</v>
      </c>
      <c r="CF61" s="25">
        <v>0</v>
      </c>
      <c r="CG61" s="25">
        <v>0</v>
      </c>
      <c r="CH61" s="25">
        <v>0</v>
      </c>
    </row>
    <row r="62" spans="1:86" ht="15.75" x14ac:dyDescent="0.25">
      <c r="A62" s="2">
        <v>60</v>
      </c>
      <c r="B62" s="2" t="s">
        <v>9</v>
      </c>
      <c r="C62" s="2">
        <v>56</v>
      </c>
      <c r="D62" s="12">
        <v>2018</v>
      </c>
      <c r="E62" s="13">
        <v>43320</v>
      </c>
      <c r="F62" s="14" t="str">
        <f t="shared" si="0"/>
        <v>18220</v>
      </c>
      <c r="G62" s="32">
        <v>18</v>
      </c>
      <c r="H62" s="32">
        <v>8.33</v>
      </c>
      <c r="I62" s="32">
        <v>12.17</v>
      </c>
      <c r="J62" s="25">
        <v>531</v>
      </c>
      <c r="K62" s="25">
        <v>357</v>
      </c>
      <c r="L62" s="25">
        <v>664</v>
      </c>
      <c r="M62" s="25">
        <v>1552</v>
      </c>
      <c r="N62" s="25">
        <v>0.65721649484536082</v>
      </c>
      <c r="O62" s="25">
        <v>3.8124999999999996</v>
      </c>
      <c r="P62" s="25">
        <v>2.6875</v>
      </c>
      <c r="Q62" s="25">
        <v>2.7375000000000003</v>
      </c>
      <c r="R62" s="25">
        <v>3.0791666666666671</v>
      </c>
      <c r="S62" s="25">
        <v>0.93342714331867127</v>
      </c>
      <c r="T62" s="25">
        <v>0.31</v>
      </c>
      <c r="U62" s="25">
        <v>0.16818181818181818</v>
      </c>
      <c r="V62" s="25">
        <v>0.26666666666666666</v>
      </c>
      <c r="W62" s="25">
        <v>0.25057142857142861</v>
      </c>
      <c r="X62" s="25">
        <v>0.17806051279968677</v>
      </c>
      <c r="Y62" s="25">
        <v>0.74</v>
      </c>
      <c r="Z62" s="25">
        <v>0.26</v>
      </c>
      <c r="AA62" s="25">
        <v>0.72</v>
      </c>
      <c r="AB62" s="25">
        <v>0.74</v>
      </c>
      <c r="AC62" s="25">
        <v>12.288578487267198</v>
      </c>
      <c r="AD62" s="25">
        <v>0</v>
      </c>
      <c r="AE62" s="25">
        <v>0</v>
      </c>
      <c r="AF62" s="25">
        <v>0</v>
      </c>
      <c r="AG62" s="25">
        <v>0</v>
      </c>
      <c r="AH62" s="25">
        <v>3.3333333333333335</v>
      </c>
      <c r="AI62" s="25">
        <v>96.666666666666671</v>
      </c>
      <c r="AJ62" s="25">
        <v>0</v>
      </c>
      <c r="AK62" s="25">
        <v>100</v>
      </c>
      <c r="AL62" s="25">
        <v>96.666666666666671</v>
      </c>
      <c r="AM62" s="25">
        <v>0.11545454545454546</v>
      </c>
      <c r="AN62" s="25">
        <v>0.28999999999999998</v>
      </c>
      <c r="AO62" s="25">
        <v>0.24090909090909091</v>
      </c>
      <c r="AP62" s="25">
        <v>0.19771428571428576</v>
      </c>
      <c r="AQ62" s="25">
        <v>0.20315287947005517</v>
      </c>
      <c r="AR62" s="25">
        <v>0.45</v>
      </c>
      <c r="AS62" s="25">
        <v>0.94</v>
      </c>
      <c r="AT62" s="25">
        <v>0.56999999999999995</v>
      </c>
      <c r="AU62" s="25">
        <v>0.94</v>
      </c>
      <c r="AV62" s="25">
        <v>33.333333333333329</v>
      </c>
      <c r="AW62" s="25">
        <v>0.45833333333333331</v>
      </c>
      <c r="AX62" s="25">
        <v>50</v>
      </c>
      <c r="AY62" s="25">
        <v>0</v>
      </c>
      <c r="AZ62" s="25">
        <v>12.5</v>
      </c>
      <c r="BA62" s="25">
        <v>20.833333333333336</v>
      </c>
      <c r="BB62" s="25">
        <v>45.833333333333329</v>
      </c>
      <c r="BC62" s="25">
        <v>1.5</v>
      </c>
      <c r="BD62" s="25">
        <v>50</v>
      </c>
      <c r="BE62" s="25">
        <v>0.125</v>
      </c>
      <c r="BF62" s="25">
        <v>0.25</v>
      </c>
      <c r="BG62" s="25">
        <v>0.375</v>
      </c>
      <c r="BH62" s="25">
        <v>0.25</v>
      </c>
      <c r="BI62" s="25">
        <v>0.58333333333333337</v>
      </c>
      <c r="BJ62" s="25">
        <v>0.25</v>
      </c>
      <c r="BK62" s="25">
        <v>1</v>
      </c>
      <c r="BL62" s="25">
        <v>0.5</v>
      </c>
      <c r="BM62" s="25">
        <v>0.58333333333333337</v>
      </c>
      <c r="BN62" s="25">
        <v>0.25</v>
      </c>
      <c r="BO62" s="25">
        <v>0</v>
      </c>
      <c r="BP62" s="25">
        <v>0.25</v>
      </c>
      <c r="BQ62" s="25">
        <v>0.16666666666666666</v>
      </c>
      <c r="BR62" s="25">
        <v>1.5</v>
      </c>
      <c r="BS62" s="25">
        <v>0</v>
      </c>
      <c r="BT62" s="25">
        <v>0.75</v>
      </c>
      <c r="BU62" s="25">
        <v>0.75</v>
      </c>
      <c r="BV62" s="25">
        <v>29.166666666666668</v>
      </c>
      <c r="BW62" s="25">
        <v>45.833333333333329</v>
      </c>
      <c r="BX62" s="25">
        <v>25</v>
      </c>
      <c r="BY62" s="25">
        <v>31.875</v>
      </c>
      <c r="BZ62" s="25">
        <v>0.83333333333333337</v>
      </c>
      <c r="CA62" s="25">
        <v>53.753753753753756</v>
      </c>
      <c r="CB62" s="25">
        <v>15.920835903714849</v>
      </c>
      <c r="CC62" s="25">
        <v>46.246246246246244</v>
      </c>
      <c r="CD62" s="25">
        <v>0</v>
      </c>
      <c r="CE62" s="25">
        <v>0</v>
      </c>
      <c r="CF62" s="25">
        <v>0</v>
      </c>
      <c r="CG62" s="25">
        <v>0</v>
      </c>
      <c r="CH62" s="25">
        <v>0</v>
      </c>
    </row>
    <row r="63" spans="1:86" ht="15.75" x14ac:dyDescent="0.25">
      <c r="A63" s="2">
        <v>61</v>
      </c>
      <c r="B63" s="2" t="s">
        <v>9</v>
      </c>
      <c r="C63" s="2">
        <v>57</v>
      </c>
      <c r="D63" s="12">
        <v>2018</v>
      </c>
      <c r="E63" s="13">
        <v>43244</v>
      </c>
      <c r="F63" s="14" t="str">
        <f t="shared" si="0"/>
        <v>18144</v>
      </c>
      <c r="G63" s="32">
        <v>20</v>
      </c>
      <c r="H63" s="32">
        <v>8.6199999999999992</v>
      </c>
      <c r="I63" s="32">
        <v>9.92</v>
      </c>
      <c r="J63" s="34">
        <v>234</v>
      </c>
      <c r="K63" s="34">
        <v>234</v>
      </c>
      <c r="L63" s="25">
        <v>234</v>
      </c>
      <c r="M63" s="34">
        <v>702</v>
      </c>
      <c r="N63" s="34">
        <v>0</v>
      </c>
      <c r="O63" s="25">
        <v>1.5375000000000001</v>
      </c>
      <c r="P63" s="25">
        <v>1.5249999999999999</v>
      </c>
      <c r="Q63" s="25">
        <v>1.125</v>
      </c>
      <c r="R63" s="25">
        <v>1.3958333333333337</v>
      </c>
      <c r="S63" s="25">
        <v>0.32900266507003795</v>
      </c>
      <c r="T63" s="25">
        <v>0.25375000000000003</v>
      </c>
      <c r="U63" s="25">
        <v>0.26</v>
      </c>
      <c r="V63" s="25">
        <v>0.33624999999999999</v>
      </c>
      <c r="W63" s="25">
        <v>0.28333333333333338</v>
      </c>
      <c r="X63" s="25">
        <v>8.4424737085075099E-2</v>
      </c>
      <c r="Y63" s="25">
        <v>0.36</v>
      </c>
      <c r="Z63" s="25">
        <v>0.4</v>
      </c>
      <c r="AA63" s="25">
        <v>0.46</v>
      </c>
      <c r="AB63" s="25">
        <v>0.46</v>
      </c>
      <c r="AC63" s="25">
        <v>4.9264705882352944</v>
      </c>
      <c r="AD63" s="25">
        <v>0</v>
      </c>
      <c r="AE63" s="25">
        <v>29.166666666666668</v>
      </c>
      <c r="AF63" s="25">
        <v>8.3333333333333321</v>
      </c>
      <c r="AG63" s="25">
        <v>37.5</v>
      </c>
      <c r="AH63" s="25">
        <v>12.5</v>
      </c>
      <c r="AI63" s="25">
        <v>50</v>
      </c>
      <c r="AJ63" s="25">
        <v>0</v>
      </c>
      <c r="AK63" s="25">
        <v>62.5</v>
      </c>
      <c r="AL63" s="25">
        <v>50</v>
      </c>
      <c r="AM63" s="25">
        <v>0.42124999999999996</v>
      </c>
      <c r="AN63" s="25">
        <v>0.43374999999999997</v>
      </c>
      <c r="AO63" s="25">
        <v>0.23374999999999999</v>
      </c>
      <c r="AP63" s="25">
        <v>0.36291666666666661</v>
      </c>
      <c r="AQ63" s="25">
        <v>0.15894979154400951</v>
      </c>
      <c r="AR63" s="25">
        <v>0.67</v>
      </c>
      <c r="AS63" s="25">
        <v>0.72</v>
      </c>
      <c r="AT63" s="25">
        <v>0.44</v>
      </c>
      <c r="AU63" s="25">
        <v>0.72</v>
      </c>
      <c r="AV63" s="25">
        <v>16.666666666666664</v>
      </c>
      <c r="AW63" s="25">
        <v>0.75</v>
      </c>
      <c r="AX63" s="25">
        <v>0</v>
      </c>
      <c r="AY63" s="25">
        <v>0</v>
      </c>
      <c r="AZ63" s="25">
        <v>25</v>
      </c>
      <c r="BA63" s="25">
        <v>8.3333333333333321</v>
      </c>
      <c r="BB63" s="25">
        <v>75</v>
      </c>
      <c r="BC63" s="25">
        <v>1</v>
      </c>
      <c r="BD63" s="25">
        <v>33.333333333333329</v>
      </c>
      <c r="BE63" s="25">
        <v>0</v>
      </c>
      <c r="BF63" s="25">
        <v>0</v>
      </c>
      <c r="BG63" s="25">
        <v>0</v>
      </c>
      <c r="BH63" s="25">
        <v>0</v>
      </c>
      <c r="BI63" s="25">
        <v>8.3333333333333329E-2</v>
      </c>
      <c r="BJ63" s="25">
        <v>1</v>
      </c>
      <c r="BK63" s="25">
        <v>2</v>
      </c>
      <c r="BL63" s="25">
        <v>1</v>
      </c>
      <c r="BM63" s="25">
        <v>1.3333333333333333</v>
      </c>
      <c r="BN63" s="25">
        <v>0</v>
      </c>
      <c r="BO63" s="25">
        <v>0</v>
      </c>
      <c r="BP63" s="25">
        <v>0</v>
      </c>
      <c r="BQ63" s="25">
        <v>0</v>
      </c>
      <c r="BR63" s="25">
        <v>0.25</v>
      </c>
      <c r="BS63" s="25">
        <v>0.25</v>
      </c>
      <c r="BT63" s="25">
        <v>0.5</v>
      </c>
      <c r="BU63" s="25">
        <v>0.33333333333333331</v>
      </c>
      <c r="BV63" s="25">
        <v>16.666666666666664</v>
      </c>
      <c r="BW63" s="25">
        <v>83.333333333333343</v>
      </c>
      <c r="BX63" s="25">
        <v>0</v>
      </c>
      <c r="BY63" s="25">
        <v>25.416666666666668</v>
      </c>
      <c r="BZ63" s="25">
        <v>0.33333333333333331</v>
      </c>
      <c r="CA63" s="25">
        <v>74.324324324324323</v>
      </c>
      <c r="CB63" s="25">
        <v>12.957974027952476</v>
      </c>
      <c r="CC63" s="25">
        <v>25.675675675675677</v>
      </c>
      <c r="CD63" s="25">
        <v>0</v>
      </c>
      <c r="CE63" s="25">
        <v>0</v>
      </c>
      <c r="CF63" s="25">
        <v>0</v>
      </c>
      <c r="CG63" s="25">
        <v>0</v>
      </c>
      <c r="CH63" s="25">
        <v>0</v>
      </c>
    </row>
    <row r="64" spans="1:86" ht="15.75" x14ac:dyDescent="0.25">
      <c r="A64" s="2">
        <v>62</v>
      </c>
      <c r="B64" s="2" t="s">
        <v>9</v>
      </c>
      <c r="C64" s="2">
        <v>65</v>
      </c>
      <c r="D64" s="12">
        <v>2018</v>
      </c>
      <c r="E64" s="13">
        <v>43287</v>
      </c>
      <c r="F64" s="14" t="str">
        <f t="shared" si="0"/>
        <v>18187</v>
      </c>
      <c r="G64" s="32">
        <v>13.9</v>
      </c>
      <c r="H64" s="32">
        <v>8.73</v>
      </c>
      <c r="I64" s="32">
        <v>12.13</v>
      </c>
      <c r="J64" s="25">
        <v>692</v>
      </c>
      <c r="K64" s="25">
        <v>484</v>
      </c>
      <c r="L64" s="25">
        <v>418</v>
      </c>
      <c r="M64" s="25">
        <v>1594</v>
      </c>
      <c r="N64" s="25">
        <v>0.60225846925972393</v>
      </c>
      <c r="O64" s="25">
        <v>2</v>
      </c>
      <c r="P64" s="25">
        <v>1.7000000000000002</v>
      </c>
      <c r="Q64" s="25">
        <v>1.6875</v>
      </c>
      <c r="R64" s="25">
        <v>1.7958333333333334</v>
      </c>
      <c r="S64" s="25">
        <v>0.38839599544197451</v>
      </c>
      <c r="T64" s="25">
        <v>0.16833333333333336</v>
      </c>
      <c r="U64" s="25">
        <v>0.20333333333333337</v>
      </c>
      <c r="V64" s="25">
        <v>0.21166666666666667</v>
      </c>
      <c r="W64" s="25">
        <v>0.19444444444444453</v>
      </c>
      <c r="X64" s="25">
        <v>7.1331998207353933E-2</v>
      </c>
      <c r="Y64" s="25">
        <v>0.3</v>
      </c>
      <c r="Z64" s="25">
        <v>0.3</v>
      </c>
      <c r="AA64" s="25">
        <v>0.32</v>
      </c>
      <c r="AB64" s="25">
        <v>0.32</v>
      </c>
      <c r="AC64" s="25">
        <v>9.2357142857142822</v>
      </c>
      <c r="AD64" s="25">
        <v>0</v>
      </c>
      <c r="AE64" s="25">
        <v>2.7777777777777777</v>
      </c>
      <c r="AF64" s="25">
        <v>0</v>
      </c>
      <c r="AG64" s="25">
        <v>2.7777777777777777</v>
      </c>
      <c r="AH64" s="25">
        <v>2.7777777777777777</v>
      </c>
      <c r="AI64" s="25">
        <v>94.444444444444443</v>
      </c>
      <c r="AJ64" s="25">
        <v>0</v>
      </c>
      <c r="AK64" s="25">
        <v>97.222222222222214</v>
      </c>
      <c r="AL64" s="25">
        <v>94.444444444444443</v>
      </c>
      <c r="AM64" s="25">
        <v>0.3741666666666667</v>
      </c>
      <c r="AN64" s="25">
        <v>0.34</v>
      </c>
      <c r="AO64" s="25">
        <v>0.29166666666666669</v>
      </c>
      <c r="AP64" s="25">
        <v>0.33527777777777773</v>
      </c>
      <c r="AQ64" s="25">
        <v>0.2227039817606849</v>
      </c>
      <c r="AR64" s="25">
        <v>0.75</v>
      </c>
      <c r="AS64" s="25">
        <v>0.8</v>
      </c>
      <c r="AT64" s="25">
        <v>0.88</v>
      </c>
      <c r="AU64" s="25">
        <v>0.88</v>
      </c>
      <c r="AV64" s="25">
        <v>37.5</v>
      </c>
      <c r="AW64" s="25">
        <v>0.58333333333333337</v>
      </c>
      <c r="AX64" s="25">
        <v>12.5</v>
      </c>
      <c r="AY64" s="25">
        <v>0</v>
      </c>
      <c r="AZ64" s="25">
        <v>0</v>
      </c>
      <c r="BA64" s="25">
        <v>4.1666666666666661</v>
      </c>
      <c r="BB64" s="25">
        <v>58.333333333333336</v>
      </c>
      <c r="BC64" s="25">
        <v>1.6</v>
      </c>
      <c r="BD64" s="25">
        <v>33.333333333333329</v>
      </c>
      <c r="BE64" s="25">
        <v>0</v>
      </c>
      <c r="BF64" s="25">
        <v>0</v>
      </c>
      <c r="BG64" s="25">
        <v>0</v>
      </c>
      <c r="BH64" s="25">
        <v>0</v>
      </c>
      <c r="BI64" s="25">
        <v>4.3478260869565216E-2</v>
      </c>
      <c r="BJ64" s="25">
        <v>0.25</v>
      </c>
      <c r="BK64" s="25">
        <v>0.25</v>
      </c>
      <c r="BL64" s="25">
        <v>0</v>
      </c>
      <c r="BM64" s="25">
        <v>0.18181818181818182</v>
      </c>
      <c r="BN64" s="25">
        <v>0</v>
      </c>
      <c r="BO64" s="25">
        <v>0</v>
      </c>
      <c r="BP64" s="25">
        <v>0.33333333333333331</v>
      </c>
      <c r="BQ64" s="25">
        <v>9.0909090909090912E-2</v>
      </c>
      <c r="BR64" s="25">
        <v>1.25</v>
      </c>
      <c r="BS64" s="25">
        <v>1.25</v>
      </c>
      <c r="BT64" s="25">
        <v>0</v>
      </c>
      <c r="BU64" s="25">
        <v>0.90909090909090906</v>
      </c>
      <c r="BV64" s="25">
        <v>0</v>
      </c>
      <c r="BW64" s="25">
        <v>83.333333333333343</v>
      </c>
      <c r="BX64" s="25">
        <v>16.666666666666664</v>
      </c>
      <c r="BY64" s="25">
        <v>41.458333333333336</v>
      </c>
      <c r="BZ64" s="25">
        <v>1</v>
      </c>
      <c r="CA64" s="25">
        <v>100</v>
      </c>
      <c r="CB64" s="25">
        <v>0</v>
      </c>
      <c r="CC64" s="25">
        <v>0</v>
      </c>
      <c r="CD64" s="25">
        <v>0</v>
      </c>
      <c r="CE64" s="25">
        <v>0</v>
      </c>
      <c r="CF64" s="25">
        <v>0</v>
      </c>
      <c r="CG64" s="25">
        <v>0</v>
      </c>
      <c r="CH64" s="25">
        <v>0</v>
      </c>
    </row>
    <row r="65" spans="1:86" ht="15.75" x14ac:dyDescent="0.25">
      <c r="A65" s="2">
        <v>63</v>
      </c>
      <c r="B65" s="2" t="s">
        <v>9</v>
      </c>
      <c r="C65" s="2">
        <v>73</v>
      </c>
      <c r="D65" s="12">
        <v>2018</v>
      </c>
      <c r="E65" s="13">
        <v>43244</v>
      </c>
      <c r="F65" s="14" t="str">
        <f t="shared" si="0"/>
        <v>18144</v>
      </c>
      <c r="G65" s="32">
        <v>14.9</v>
      </c>
      <c r="H65" s="32">
        <v>8.61</v>
      </c>
      <c r="I65" s="32">
        <v>12.52</v>
      </c>
      <c r="J65" s="34">
        <v>717</v>
      </c>
      <c r="K65" s="34">
        <v>717</v>
      </c>
      <c r="L65" s="34">
        <v>717</v>
      </c>
      <c r="M65" s="34">
        <v>2151</v>
      </c>
      <c r="N65" s="34">
        <v>5.5788005578800558E-2</v>
      </c>
      <c r="O65" s="25">
        <v>3.2250000000000001</v>
      </c>
      <c r="P65" s="25">
        <v>2.5750000000000002</v>
      </c>
      <c r="Q65" s="25">
        <v>2.9499999999999997</v>
      </c>
      <c r="R65" s="25">
        <v>2.9166666666666674</v>
      </c>
      <c r="S65" s="25">
        <v>0.58582284506247884</v>
      </c>
      <c r="T65" s="25">
        <v>0.47555555555555556</v>
      </c>
      <c r="U65" s="25">
        <v>0.38500000000000001</v>
      </c>
      <c r="V65" s="25">
        <v>0.45600000000000007</v>
      </c>
      <c r="W65" s="25">
        <v>0.44148148148148147</v>
      </c>
      <c r="X65" s="25">
        <v>0.12960602145626124</v>
      </c>
      <c r="Y65" s="25">
        <v>0.68</v>
      </c>
      <c r="Z65" s="25">
        <v>0.64</v>
      </c>
      <c r="AA65" s="25">
        <v>0.66</v>
      </c>
      <c r="AB65" s="25">
        <v>0.68</v>
      </c>
      <c r="AC65" s="25">
        <v>6.606543624161076</v>
      </c>
      <c r="AD65" s="25">
        <v>0</v>
      </c>
      <c r="AE65" s="25">
        <v>29.629629629629626</v>
      </c>
      <c r="AF65" s="25">
        <v>0</v>
      </c>
      <c r="AG65" s="25">
        <v>29.629629629629626</v>
      </c>
      <c r="AH65" s="25">
        <v>11.111111111111111</v>
      </c>
      <c r="AI65" s="25">
        <v>59.259259259259252</v>
      </c>
      <c r="AJ65" s="25">
        <v>0</v>
      </c>
      <c r="AK65" s="25">
        <v>70.370370370370367</v>
      </c>
      <c r="AL65" s="25">
        <v>59.259259259259252</v>
      </c>
      <c r="AM65" s="25">
        <v>0.30777777777777771</v>
      </c>
      <c r="AN65" s="25">
        <v>0.65499999999999992</v>
      </c>
      <c r="AO65" s="25">
        <v>0.25700000000000001</v>
      </c>
      <c r="AP65" s="25">
        <v>0.39185185185185178</v>
      </c>
      <c r="AQ65" s="25">
        <v>0.29929451711851995</v>
      </c>
      <c r="AR65" s="25">
        <v>0.71</v>
      </c>
      <c r="AS65" s="25">
        <v>1.23</v>
      </c>
      <c r="AT65" s="25">
        <v>0.6</v>
      </c>
      <c r="AU65" s="25">
        <v>1.23</v>
      </c>
      <c r="AV65" s="25">
        <v>8.3333333333333321</v>
      </c>
      <c r="AW65" s="25">
        <v>0.90909090909090906</v>
      </c>
      <c r="AX65" s="25">
        <v>0</v>
      </c>
      <c r="AY65" s="25">
        <v>0</v>
      </c>
      <c r="AZ65" s="25">
        <v>0</v>
      </c>
      <c r="BA65" s="25">
        <v>0</v>
      </c>
      <c r="BB65" s="25">
        <v>83.333333333333343</v>
      </c>
      <c r="BC65" s="25">
        <v>1.3333333333333333</v>
      </c>
      <c r="BD65" s="25">
        <v>41.666666666666671</v>
      </c>
      <c r="BE65" s="25">
        <v>0</v>
      </c>
      <c r="BF65" s="25">
        <v>0.125</v>
      </c>
      <c r="BG65" s="25">
        <v>0</v>
      </c>
      <c r="BH65" s="25">
        <v>4.1666666666666664E-2</v>
      </c>
      <c r="BI65" s="25">
        <v>0.45833333333333331</v>
      </c>
      <c r="BJ65" s="25">
        <v>0.5</v>
      </c>
      <c r="BK65" s="25">
        <v>0.25</v>
      </c>
      <c r="BL65" s="25">
        <v>1</v>
      </c>
      <c r="BM65" s="25">
        <v>0.58333333333333337</v>
      </c>
      <c r="BN65" s="25">
        <v>0.25</v>
      </c>
      <c r="BO65" s="25">
        <v>0.75</v>
      </c>
      <c r="BP65" s="25">
        <v>0</v>
      </c>
      <c r="BQ65" s="25">
        <v>0.33333333333333331</v>
      </c>
      <c r="BR65" s="25">
        <v>1</v>
      </c>
      <c r="BS65" s="25">
        <v>0.75</v>
      </c>
      <c r="BT65" s="25">
        <v>1.75</v>
      </c>
      <c r="BU65" s="25">
        <v>1.1666666666666667</v>
      </c>
      <c r="BV65" s="25">
        <v>12.5</v>
      </c>
      <c r="BW65" s="25">
        <v>75</v>
      </c>
      <c r="BX65" s="25">
        <v>12.5</v>
      </c>
      <c r="BY65" s="25">
        <v>36.875</v>
      </c>
      <c r="BZ65" s="25">
        <v>0.41666666666666669</v>
      </c>
      <c r="CA65" s="25">
        <v>92.342342342342334</v>
      </c>
      <c r="CB65" s="25">
        <v>8.3212032929393214</v>
      </c>
      <c r="CC65" s="25">
        <v>7.6576576576576656</v>
      </c>
      <c r="CD65" s="25">
        <v>0</v>
      </c>
      <c r="CE65" s="25">
        <v>0</v>
      </c>
      <c r="CF65" s="25">
        <v>0</v>
      </c>
      <c r="CG65" s="25">
        <v>0</v>
      </c>
      <c r="CH65" s="25">
        <v>0</v>
      </c>
    </row>
    <row r="66" spans="1:86" ht="15.75" x14ac:dyDescent="0.25">
      <c r="A66" s="2">
        <v>64</v>
      </c>
      <c r="B66" s="2" t="s">
        <v>9</v>
      </c>
      <c r="C66" s="2">
        <v>77</v>
      </c>
      <c r="D66" s="12">
        <v>2018</v>
      </c>
      <c r="E66" s="13">
        <v>43284</v>
      </c>
      <c r="F66" s="14" t="str">
        <f t="shared" si="0"/>
        <v>18184</v>
      </c>
      <c r="G66" s="32">
        <v>21.2</v>
      </c>
      <c r="H66" s="32">
        <v>8.31</v>
      </c>
      <c r="I66" s="32">
        <v>11.61</v>
      </c>
      <c r="J66" s="25">
        <v>663</v>
      </c>
      <c r="K66" s="25">
        <v>412</v>
      </c>
      <c r="L66" s="25">
        <v>529</v>
      </c>
      <c r="M66" s="25">
        <v>1604</v>
      </c>
      <c r="N66" s="25">
        <v>0.14962593516209477</v>
      </c>
      <c r="O66" s="25">
        <v>2.5125000000000002</v>
      </c>
      <c r="P66" s="25">
        <v>3.3499999999999996</v>
      </c>
      <c r="Q66" s="25">
        <v>2.65</v>
      </c>
      <c r="R66" s="25">
        <v>2.8374999999999999</v>
      </c>
      <c r="S66" s="25">
        <v>0.93892283333430715</v>
      </c>
      <c r="T66" s="25">
        <v>0.31384615384615394</v>
      </c>
      <c r="U66" s="25">
        <v>0.39090909090909087</v>
      </c>
      <c r="V66" s="25">
        <v>0.21555555555555558</v>
      </c>
      <c r="W66" s="25">
        <v>0.31272727272727274</v>
      </c>
      <c r="X66" s="25">
        <v>0.13129815134058251</v>
      </c>
      <c r="Y66" s="25">
        <v>0.4</v>
      </c>
      <c r="Z66" s="25">
        <v>0.62</v>
      </c>
      <c r="AA66" s="25">
        <v>0.38</v>
      </c>
      <c r="AB66" s="25">
        <v>0.62</v>
      </c>
      <c r="AC66" s="25">
        <v>9.073401162790697</v>
      </c>
      <c r="AD66" s="25">
        <v>3.225806451612903</v>
      </c>
      <c r="AE66" s="25">
        <v>3.225806451612903</v>
      </c>
      <c r="AF66" s="25">
        <v>0</v>
      </c>
      <c r="AG66" s="25">
        <v>6.4516129032258061</v>
      </c>
      <c r="AH66" s="25">
        <v>0</v>
      </c>
      <c r="AI66" s="25">
        <v>87.096774193548384</v>
      </c>
      <c r="AJ66" s="25">
        <v>6.4516129032258061</v>
      </c>
      <c r="AK66" s="25">
        <v>93.548387096774192</v>
      </c>
      <c r="AL66" s="25">
        <v>87.096774193548384</v>
      </c>
      <c r="AM66" s="25">
        <v>0.37916666666666665</v>
      </c>
      <c r="AN66" s="25">
        <v>0.28272727272727277</v>
      </c>
      <c r="AO66" s="25">
        <v>0.46111111111111103</v>
      </c>
      <c r="AP66" s="25">
        <v>0.36151515151515157</v>
      </c>
      <c r="AQ66" s="25">
        <v>0.278670069393463</v>
      </c>
      <c r="AR66" s="25">
        <v>0.86</v>
      </c>
      <c r="AS66" s="25">
        <v>1.1200000000000001</v>
      </c>
      <c r="AT66" s="25">
        <v>0.94</v>
      </c>
      <c r="AU66" s="25">
        <v>1.1200000000000001</v>
      </c>
      <c r="AV66" s="25">
        <v>45.833333333333329</v>
      </c>
      <c r="AW66" s="25">
        <v>0.34782608695652173</v>
      </c>
      <c r="AX66" s="25">
        <v>12.5</v>
      </c>
      <c r="AY66" s="25">
        <v>37.5</v>
      </c>
      <c r="AZ66" s="25">
        <v>0</v>
      </c>
      <c r="BA66" s="25">
        <v>16.666666666666664</v>
      </c>
      <c r="BB66" s="25">
        <v>45.833333333333329</v>
      </c>
      <c r="BC66" s="25">
        <v>0.91666666666666663</v>
      </c>
      <c r="BD66" s="25">
        <v>25</v>
      </c>
      <c r="BE66" s="25">
        <v>0.125</v>
      </c>
      <c r="BF66" s="25">
        <v>0</v>
      </c>
      <c r="BG66" s="25">
        <v>0</v>
      </c>
      <c r="BH66" s="25">
        <v>4.1666666666666664E-2</v>
      </c>
      <c r="BI66" s="25">
        <v>0.20833333333333334</v>
      </c>
      <c r="BJ66" s="25">
        <v>0</v>
      </c>
      <c r="BK66" s="25">
        <v>0</v>
      </c>
      <c r="BL66" s="25">
        <v>0</v>
      </c>
      <c r="BM66" s="25">
        <v>0</v>
      </c>
      <c r="BN66" s="25">
        <v>0</v>
      </c>
      <c r="BO66" s="25">
        <v>0</v>
      </c>
      <c r="BP66" s="25">
        <v>0.75</v>
      </c>
      <c r="BQ66" s="25">
        <v>0.25</v>
      </c>
      <c r="BR66" s="25">
        <v>0.75</v>
      </c>
      <c r="BS66" s="25">
        <v>1.75</v>
      </c>
      <c r="BT66" s="25">
        <v>0</v>
      </c>
      <c r="BU66" s="25">
        <v>0.83333333333333337</v>
      </c>
      <c r="BV66" s="25">
        <v>8.3333333333333321</v>
      </c>
      <c r="BW66" s="25">
        <v>62.5</v>
      </c>
      <c r="BX66" s="25">
        <v>29.166666666666668</v>
      </c>
      <c r="BY66" s="25">
        <v>48.75</v>
      </c>
      <c r="BZ66" s="25">
        <v>0.5</v>
      </c>
      <c r="CA66" s="25">
        <v>94.069069069069073</v>
      </c>
      <c r="CB66" s="25">
        <v>7.9384037418270692</v>
      </c>
      <c r="CC66" s="25">
        <v>5.930930930930927</v>
      </c>
      <c r="CD66" s="25">
        <v>0</v>
      </c>
      <c r="CE66" s="25">
        <v>0</v>
      </c>
      <c r="CF66" s="25">
        <v>0</v>
      </c>
      <c r="CG66" s="25">
        <v>0</v>
      </c>
      <c r="CH66" s="25">
        <v>0</v>
      </c>
    </row>
    <row r="67" spans="1:86" ht="15.75" x14ac:dyDescent="0.25">
      <c r="A67" s="2">
        <v>65</v>
      </c>
      <c r="B67" s="2" t="s">
        <v>9</v>
      </c>
      <c r="C67" s="2">
        <v>80</v>
      </c>
      <c r="D67" s="12">
        <v>2018</v>
      </c>
      <c r="E67" s="13">
        <v>43278</v>
      </c>
      <c r="F67" s="14" t="str">
        <f t="shared" si="0"/>
        <v>18178</v>
      </c>
      <c r="G67" s="32">
        <v>18.3</v>
      </c>
      <c r="H67" s="32">
        <v>9.0299999999999994</v>
      </c>
      <c r="I67" s="32">
        <v>11.55</v>
      </c>
      <c r="J67" s="25">
        <v>570</v>
      </c>
      <c r="K67" s="25">
        <v>720</v>
      </c>
      <c r="L67" s="25">
        <v>392</v>
      </c>
      <c r="M67" s="25">
        <v>1682</v>
      </c>
      <c r="N67" s="25">
        <v>0</v>
      </c>
      <c r="O67" s="25">
        <v>4.0375000000000005</v>
      </c>
      <c r="P67" s="25">
        <v>3.2124999999999995</v>
      </c>
      <c r="Q67" s="25">
        <v>2.8250000000000002</v>
      </c>
      <c r="R67" s="25">
        <v>3.3583333333333329</v>
      </c>
      <c r="S67" s="25">
        <v>1.2863553727207506</v>
      </c>
      <c r="T67" s="25">
        <v>0.22363636363636363</v>
      </c>
      <c r="U67" s="25">
        <v>0.22272727272727275</v>
      </c>
      <c r="V67" s="25">
        <v>0.18666666666666665</v>
      </c>
      <c r="W67" s="25">
        <v>0.21029411764705883</v>
      </c>
      <c r="X67" s="25">
        <v>0.14044270467946246</v>
      </c>
      <c r="Y67" s="25">
        <v>0.54</v>
      </c>
      <c r="Z67" s="25">
        <v>0.5</v>
      </c>
      <c r="AA67" s="25">
        <v>0.4</v>
      </c>
      <c r="AB67" s="25">
        <v>0.54</v>
      </c>
      <c r="AC67" s="25">
        <v>15.969696969696967</v>
      </c>
      <c r="AD67" s="25">
        <v>0</v>
      </c>
      <c r="AE67" s="25">
        <v>32.352941176470587</v>
      </c>
      <c r="AF67" s="25">
        <v>0</v>
      </c>
      <c r="AG67" s="25">
        <v>32.352941176470587</v>
      </c>
      <c r="AH67" s="25">
        <v>2.9411764705882351</v>
      </c>
      <c r="AI67" s="25">
        <v>64.705882352941174</v>
      </c>
      <c r="AJ67" s="25">
        <v>0</v>
      </c>
      <c r="AK67" s="25">
        <v>67.647058823529406</v>
      </c>
      <c r="AL67" s="25">
        <v>64.705882352941174</v>
      </c>
      <c r="AM67" s="25">
        <v>0.14899999999999999</v>
      </c>
      <c r="AN67" s="25">
        <v>8.6999999999999994E-2</v>
      </c>
      <c r="AO67" s="25">
        <v>0.13636363636363635</v>
      </c>
      <c r="AP67" s="25">
        <v>0.12</v>
      </c>
      <c r="AQ67" s="25">
        <v>0.1162807469928368</v>
      </c>
      <c r="AR67" s="25">
        <v>0.47</v>
      </c>
      <c r="AS67" s="25">
        <v>0.27</v>
      </c>
      <c r="AT67" s="25">
        <v>0.26</v>
      </c>
      <c r="AU67" s="25">
        <v>0.47</v>
      </c>
      <c r="AV67" s="25">
        <v>16.666666666666664</v>
      </c>
      <c r="AW67" s="25">
        <v>0.29166666666666669</v>
      </c>
      <c r="AX67" s="25">
        <v>62.5</v>
      </c>
      <c r="AY67" s="25">
        <v>62.5</v>
      </c>
      <c r="AZ67" s="25">
        <v>37.5</v>
      </c>
      <c r="BA67" s="25">
        <v>54.166666666666664</v>
      </c>
      <c r="BB67" s="25">
        <v>45.833333333333329</v>
      </c>
      <c r="BC67" s="25">
        <v>0.58333333333333337</v>
      </c>
      <c r="BD67" s="25">
        <v>16.666666666666664</v>
      </c>
      <c r="BE67" s="25">
        <v>0.625</v>
      </c>
      <c r="BF67" s="25">
        <v>0.75</v>
      </c>
      <c r="BG67" s="25">
        <v>0.125</v>
      </c>
      <c r="BH67" s="25">
        <v>0.5</v>
      </c>
      <c r="BI67" s="25">
        <v>0.95833333333333337</v>
      </c>
      <c r="BJ67" s="25">
        <v>0.5</v>
      </c>
      <c r="BK67" s="25">
        <v>0.25</v>
      </c>
      <c r="BL67" s="25">
        <v>0.25</v>
      </c>
      <c r="BM67" s="25">
        <v>0.33333333333333331</v>
      </c>
      <c r="BN67" s="25">
        <v>1.5</v>
      </c>
      <c r="BO67" s="25">
        <v>1</v>
      </c>
      <c r="BP67" s="25">
        <v>1</v>
      </c>
      <c r="BQ67" s="25">
        <v>1.1666666666666667</v>
      </c>
      <c r="BR67" s="25">
        <v>1.5</v>
      </c>
      <c r="BS67" s="25">
        <v>2</v>
      </c>
      <c r="BT67" s="25">
        <v>0.5</v>
      </c>
      <c r="BU67" s="25">
        <v>1.3333333333333333</v>
      </c>
      <c r="BV67" s="25">
        <v>37.5</v>
      </c>
      <c r="BW67" s="25">
        <v>41.666666666666671</v>
      </c>
      <c r="BX67" s="25">
        <v>20.833333333333336</v>
      </c>
      <c r="BY67" s="25">
        <v>32.291666666666664</v>
      </c>
      <c r="BZ67" s="25">
        <v>0.66666666666666663</v>
      </c>
      <c r="CA67" s="25">
        <v>9.7774244833068362</v>
      </c>
      <c r="CB67" s="25">
        <v>8.2020496547097554</v>
      </c>
      <c r="CC67" s="25">
        <v>90.222575516693169</v>
      </c>
      <c r="CD67" s="25">
        <v>0</v>
      </c>
      <c r="CE67" s="25">
        <v>0</v>
      </c>
      <c r="CF67" s="25">
        <v>0</v>
      </c>
      <c r="CG67" s="25">
        <v>0</v>
      </c>
      <c r="CH67" s="25">
        <v>0</v>
      </c>
    </row>
    <row r="68" spans="1:86" ht="15.75" x14ac:dyDescent="0.25">
      <c r="A68" s="2">
        <v>66</v>
      </c>
      <c r="B68" s="2" t="s">
        <v>9</v>
      </c>
      <c r="C68" s="2">
        <v>82</v>
      </c>
      <c r="D68" s="12">
        <v>2018</v>
      </c>
      <c r="E68" s="13">
        <v>43299</v>
      </c>
      <c r="F68" s="14" t="str">
        <f t="shared" ref="F68:F90" si="1">TEXT(E68,"yy")&amp;TEXT((E68-DATEVALUE("1/1/"&amp;TEXT(E68,"yy"))+1),"000")</f>
        <v>18199</v>
      </c>
      <c r="G68" s="32">
        <v>17.899999999999999</v>
      </c>
      <c r="H68" s="32">
        <v>8.2100000000000009</v>
      </c>
      <c r="I68" s="32">
        <v>12.86</v>
      </c>
      <c r="J68" s="25">
        <v>630</v>
      </c>
      <c r="K68" s="25">
        <v>515</v>
      </c>
      <c r="L68" s="25">
        <v>818</v>
      </c>
      <c r="M68" s="25">
        <v>1963</v>
      </c>
      <c r="N68" s="25">
        <v>1.7116658176260824</v>
      </c>
      <c r="O68" s="25">
        <v>3.6124999999999998</v>
      </c>
      <c r="P68" s="25">
        <v>3.9624999999999999</v>
      </c>
      <c r="Q68" s="25">
        <v>3.9250000000000003</v>
      </c>
      <c r="R68" s="25">
        <v>3.8333333333333335</v>
      </c>
      <c r="S68" s="25">
        <v>1.051155334016757</v>
      </c>
      <c r="T68" s="25">
        <v>0.44687500000000008</v>
      </c>
      <c r="U68" s="25">
        <v>0.2207142857142857</v>
      </c>
      <c r="V68" s="25">
        <v>0.22785714285714284</v>
      </c>
      <c r="W68" s="25">
        <v>0.30522727272727268</v>
      </c>
      <c r="X68" s="25">
        <v>0.22443198209644241</v>
      </c>
      <c r="Y68" s="25">
        <v>1.08</v>
      </c>
      <c r="Z68" s="25">
        <v>0.62</v>
      </c>
      <c r="AA68" s="25">
        <v>0.44</v>
      </c>
      <c r="AB68" s="25">
        <v>1.08</v>
      </c>
      <c r="AC68" s="25">
        <v>12.558947629684788</v>
      </c>
      <c r="AD68" s="25">
        <v>0</v>
      </c>
      <c r="AE68" s="25">
        <v>4.5454545454545459</v>
      </c>
      <c r="AF68" s="25">
        <v>2.2727272727272729</v>
      </c>
      <c r="AG68" s="25">
        <v>6.8181818181818183</v>
      </c>
      <c r="AH68" s="25">
        <v>0</v>
      </c>
      <c r="AI68" s="25">
        <v>93.181818181818173</v>
      </c>
      <c r="AJ68" s="25">
        <v>0</v>
      </c>
      <c r="AK68" s="25">
        <v>93.181818181818173</v>
      </c>
      <c r="AL68" s="25">
        <v>93.181818181818173</v>
      </c>
      <c r="AM68" s="25">
        <v>0.17799999999999999</v>
      </c>
      <c r="AN68" s="25">
        <v>0.30615384615384617</v>
      </c>
      <c r="AO68" s="25">
        <v>0.23538461538461541</v>
      </c>
      <c r="AP68" s="25">
        <v>0.23227272727272724</v>
      </c>
      <c r="AQ68" s="25">
        <v>0.22567587001863557</v>
      </c>
      <c r="AR68" s="25">
        <v>0.89</v>
      </c>
      <c r="AS68" s="25">
        <v>0.78</v>
      </c>
      <c r="AT68" s="25">
        <v>0.63</v>
      </c>
      <c r="AU68" s="25">
        <v>0.89</v>
      </c>
      <c r="AV68" s="25">
        <v>41.666666666666671</v>
      </c>
      <c r="AW68" s="25">
        <v>0.29166666666666669</v>
      </c>
      <c r="AX68" s="25">
        <v>62.5</v>
      </c>
      <c r="AY68" s="25">
        <v>12.5</v>
      </c>
      <c r="AZ68" s="25">
        <v>12.5</v>
      </c>
      <c r="BA68" s="25">
        <v>29.166666666666668</v>
      </c>
      <c r="BB68" s="25">
        <v>41.666666666666671</v>
      </c>
      <c r="BC68" s="25">
        <v>1</v>
      </c>
      <c r="BD68" s="25">
        <v>25</v>
      </c>
      <c r="BE68" s="25">
        <v>0.25</v>
      </c>
      <c r="BF68" s="25">
        <v>0</v>
      </c>
      <c r="BG68" s="25">
        <v>0</v>
      </c>
      <c r="BH68" s="25">
        <v>8.3333333333333329E-2</v>
      </c>
      <c r="BI68" s="25">
        <v>0.54166666666666663</v>
      </c>
      <c r="BJ68" s="25">
        <v>0.75</v>
      </c>
      <c r="BK68" s="25">
        <v>0.25</v>
      </c>
      <c r="BL68" s="25">
        <v>0</v>
      </c>
      <c r="BM68" s="25">
        <v>0.33333333333333331</v>
      </c>
      <c r="BN68" s="25">
        <v>0</v>
      </c>
      <c r="BO68" s="25">
        <v>0.25</v>
      </c>
      <c r="BP68" s="25">
        <v>1</v>
      </c>
      <c r="BQ68" s="25">
        <v>0.41666666666666669</v>
      </c>
      <c r="BR68" s="25">
        <v>2</v>
      </c>
      <c r="BS68" s="25">
        <v>1</v>
      </c>
      <c r="BT68" s="25">
        <v>0.75</v>
      </c>
      <c r="BU68" s="25">
        <v>1.25</v>
      </c>
      <c r="BV68" s="25">
        <v>54.166666666666664</v>
      </c>
      <c r="BW68" s="25">
        <v>29.166666666666668</v>
      </c>
      <c r="BX68" s="25">
        <v>16.666666666666664</v>
      </c>
      <c r="BY68" s="25">
        <v>24.875</v>
      </c>
      <c r="BZ68" s="25">
        <v>0.20833333333333334</v>
      </c>
      <c r="CA68" s="25">
        <v>33.38632750397457</v>
      </c>
      <c r="CB68" s="25">
        <v>12.389835406105052</v>
      </c>
      <c r="CC68" s="25">
        <v>66.61367249602543</v>
      </c>
      <c r="CD68" s="25">
        <v>0</v>
      </c>
      <c r="CE68" s="25">
        <v>0</v>
      </c>
      <c r="CF68" s="25">
        <v>0</v>
      </c>
      <c r="CG68" s="25">
        <v>0</v>
      </c>
      <c r="CH68" s="25">
        <v>0</v>
      </c>
    </row>
    <row r="69" spans="1:86" ht="15.75" x14ac:dyDescent="0.25">
      <c r="A69" s="2">
        <v>67</v>
      </c>
      <c r="B69" s="2" t="s">
        <v>9</v>
      </c>
      <c r="C69" s="2">
        <v>101</v>
      </c>
      <c r="D69" s="12">
        <v>2018</v>
      </c>
      <c r="E69" s="13">
        <v>43325</v>
      </c>
      <c r="F69" s="14" t="str">
        <f t="shared" si="1"/>
        <v>18225</v>
      </c>
      <c r="G69" s="32">
        <v>17.7</v>
      </c>
      <c r="H69" s="32">
        <v>7.86</v>
      </c>
      <c r="I69" s="32">
        <v>12.59</v>
      </c>
      <c r="J69" s="25">
        <v>232</v>
      </c>
      <c r="K69" s="25">
        <v>278</v>
      </c>
      <c r="L69" s="25">
        <v>393</v>
      </c>
      <c r="M69" s="25">
        <v>903</v>
      </c>
      <c r="N69" s="25">
        <v>0</v>
      </c>
      <c r="O69" s="25">
        <v>2</v>
      </c>
      <c r="P69" s="25">
        <v>2.1625000000000001</v>
      </c>
      <c r="Q69" s="25">
        <v>2.1250000000000004</v>
      </c>
      <c r="R69" s="25">
        <v>2.0958333333333337</v>
      </c>
      <c r="S69" s="25">
        <v>0.57368311709564779</v>
      </c>
      <c r="T69" s="25">
        <v>0.12444444444444445</v>
      </c>
      <c r="U69" s="25">
        <v>0.2218181818181818</v>
      </c>
      <c r="V69" s="25">
        <v>0.20666666666666669</v>
      </c>
      <c r="W69" s="25">
        <v>0.18689655172413794</v>
      </c>
      <c r="X69" s="25">
        <v>0.11035991276196074</v>
      </c>
      <c r="Y69" s="25">
        <v>0.24</v>
      </c>
      <c r="Z69" s="25">
        <v>0.38</v>
      </c>
      <c r="AA69" s="25">
        <v>0.42</v>
      </c>
      <c r="AB69" s="25">
        <v>0.42</v>
      </c>
      <c r="AC69" s="25">
        <v>11.213868388683888</v>
      </c>
      <c r="AD69" s="25">
        <v>6.8965517241379306</v>
      </c>
      <c r="AE69" s="25">
        <v>3.4482758620689653</v>
      </c>
      <c r="AF69" s="25">
        <v>10.344827586206897</v>
      </c>
      <c r="AG69" s="25">
        <v>20.689655172413794</v>
      </c>
      <c r="AH69" s="25">
        <v>13.793103448275861</v>
      </c>
      <c r="AI69" s="25">
        <v>65.517241379310349</v>
      </c>
      <c r="AJ69" s="25">
        <v>0</v>
      </c>
      <c r="AK69" s="25">
        <v>79.310344827586206</v>
      </c>
      <c r="AL69" s="25">
        <v>65.517241379310349</v>
      </c>
      <c r="AM69" s="25">
        <v>0.22750000000000004</v>
      </c>
      <c r="AN69" s="25">
        <v>0.10909090909090911</v>
      </c>
      <c r="AO69" s="25">
        <v>0.14777777777777776</v>
      </c>
      <c r="AP69" s="25">
        <v>0.15586206896551721</v>
      </c>
      <c r="AQ69" s="25">
        <v>0.14363936093512886</v>
      </c>
      <c r="AR69" s="25">
        <v>0.44</v>
      </c>
      <c r="AS69" s="25">
        <v>0.52</v>
      </c>
      <c r="AT69" s="25">
        <v>0.41</v>
      </c>
      <c r="AU69" s="25">
        <v>0.52</v>
      </c>
      <c r="AV69" s="25">
        <v>33.333333333333329</v>
      </c>
      <c r="AW69" s="25">
        <v>0.33333333333333331</v>
      </c>
      <c r="AX69" s="25">
        <v>0</v>
      </c>
      <c r="AY69" s="25">
        <v>50</v>
      </c>
      <c r="AZ69" s="25">
        <v>50</v>
      </c>
      <c r="BA69" s="25">
        <v>33.333333333333329</v>
      </c>
      <c r="BB69" s="25">
        <v>33.333333333333329</v>
      </c>
      <c r="BC69" s="25">
        <v>1.5833333333333333</v>
      </c>
      <c r="BD69" s="25">
        <v>58.333333333333336</v>
      </c>
      <c r="BE69" s="25">
        <v>0</v>
      </c>
      <c r="BF69" s="25">
        <v>0</v>
      </c>
      <c r="BG69" s="25">
        <v>0</v>
      </c>
      <c r="BH69" s="25">
        <v>0</v>
      </c>
      <c r="BI69" s="25">
        <v>0.16666666666666666</v>
      </c>
      <c r="BJ69" s="25">
        <v>0</v>
      </c>
      <c r="BK69" s="25">
        <v>0</v>
      </c>
      <c r="BL69" s="25">
        <v>0.25</v>
      </c>
      <c r="BM69" s="25">
        <v>8.3333333333333329E-2</v>
      </c>
      <c r="BN69" s="25">
        <v>0</v>
      </c>
      <c r="BO69" s="25">
        <v>0</v>
      </c>
      <c r="BP69" s="25">
        <v>0.25</v>
      </c>
      <c r="BQ69" s="25">
        <v>8.3333333333333329E-2</v>
      </c>
      <c r="BR69" s="25">
        <v>0</v>
      </c>
      <c r="BS69" s="25">
        <v>1</v>
      </c>
      <c r="BT69" s="25">
        <v>1.25</v>
      </c>
      <c r="BU69" s="25">
        <v>0.75</v>
      </c>
      <c r="BV69" s="25">
        <v>12.5</v>
      </c>
      <c r="BW69" s="25">
        <v>62.5</v>
      </c>
      <c r="BX69" s="25">
        <v>25</v>
      </c>
      <c r="BY69" s="25">
        <v>36.875</v>
      </c>
      <c r="BZ69" s="25">
        <v>1.3913043478260869</v>
      </c>
      <c r="CA69" s="25">
        <v>98.198198198198199</v>
      </c>
      <c r="CB69" s="25">
        <v>1.6143297699232979</v>
      </c>
      <c r="CC69" s="25">
        <v>1.8018018018018012</v>
      </c>
      <c r="CD69" s="25">
        <v>0</v>
      </c>
      <c r="CE69" s="25">
        <v>0</v>
      </c>
      <c r="CF69" s="25">
        <v>0</v>
      </c>
      <c r="CG69" s="25">
        <v>0</v>
      </c>
      <c r="CH69" s="25">
        <v>0</v>
      </c>
    </row>
    <row r="70" spans="1:86" ht="15.75" x14ac:dyDescent="0.25">
      <c r="A70" s="2">
        <v>68</v>
      </c>
      <c r="B70" s="2" t="s">
        <v>9</v>
      </c>
      <c r="C70" s="2">
        <v>103</v>
      </c>
      <c r="D70" s="12">
        <v>2018</v>
      </c>
      <c r="E70" s="13">
        <v>43297</v>
      </c>
      <c r="F70" s="14" t="str">
        <f t="shared" si="1"/>
        <v>18197</v>
      </c>
      <c r="G70" s="32">
        <v>15.6</v>
      </c>
      <c r="H70" s="32">
        <v>8.1199999999999992</v>
      </c>
      <c r="I70" s="32">
        <v>10.89</v>
      </c>
      <c r="J70" s="25">
        <v>838</v>
      </c>
      <c r="K70" s="25">
        <v>621</v>
      </c>
      <c r="L70" s="25">
        <v>377</v>
      </c>
      <c r="M70" s="25">
        <v>1836</v>
      </c>
      <c r="N70" s="25">
        <v>0.16339869281045752</v>
      </c>
      <c r="O70" s="25">
        <v>2.4750000000000001</v>
      </c>
      <c r="P70" s="25">
        <v>2.625</v>
      </c>
      <c r="Q70" s="25">
        <v>2.7250000000000001</v>
      </c>
      <c r="R70" s="25">
        <v>2.6083333333333329</v>
      </c>
      <c r="S70" s="25">
        <v>0.82615751033568574</v>
      </c>
      <c r="T70" s="25">
        <v>0.14000000000000001</v>
      </c>
      <c r="U70" s="25">
        <v>0.21000000000000005</v>
      </c>
      <c r="V70" s="25">
        <v>0.12333333333333335</v>
      </c>
      <c r="W70" s="25">
        <v>0.15777777777777777</v>
      </c>
      <c r="X70" s="25">
        <v>0.11551403405427442</v>
      </c>
      <c r="Y70" s="25">
        <v>0.28000000000000003</v>
      </c>
      <c r="Z70" s="25">
        <v>0.52</v>
      </c>
      <c r="AA70" s="25">
        <v>0.26</v>
      </c>
      <c r="AB70" s="25">
        <v>0.52</v>
      </c>
      <c r="AC70" s="25">
        <v>16.531690140845068</v>
      </c>
      <c r="AD70" s="25">
        <v>0</v>
      </c>
      <c r="AE70" s="25">
        <v>5.5555555555555554</v>
      </c>
      <c r="AF70" s="25">
        <v>8.3333333333333321</v>
      </c>
      <c r="AG70" s="25">
        <v>13.888888888888888</v>
      </c>
      <c r="AH70" s="25">
        <v>5.5555555555555554</v>
      </c>
      <c r="AI70" s="25">
        <v>80.555555555555557</v>
      </c>
      <c r="AJ70" s="25">
        <v>0</v>
      </c>
      <c r="AK70" s="25">
        <v>86.111111111111114</v>
      </c>
      <c r="AL70" s="25">
        <v>80.555555555555557</v>
      </c>
      <c r="AM70" s="25">
        <v>0.28750000000000003</v>
      </c>
      <c r="AN70" s="25">
        <v>0.23333333333333336</v>
      </c>
      <c r="AO70" s="25">
        <v>0.16583333333333333</v>
      </c>
      <c r="AP70" s="25">
        <v>0.22888888888888895</v>
      </c>
      <c r="AQ70" s="25">
        <v>0.23089611489372411</v>
      </c>
      <c r="AR70" s="25">
        <v>1.04</v>
      </c>
      <c r="AS70" s="25">
        <v>0.52</v>
      </c>
      <c r="AT70" s="25">
        <v>0.53</v>
      </c>
      <c r="AU70" s="25">
        <v>1.04</v>
      </c>
      <c r="AV70" s="25">
        <v>33.333333333333329</v>
      </c>
      <c r="AW70" s="25">
        <v>0.43478260869565216</v>
      </c>
      <c r="AX70" s="25">
        <v>25</v>
      </c>
      <c r="AY70" s="25">
        <v>37.5</v>
      </c>
      <c r="AZ70" s="25">
        <v>0</v>
      </c>
      <c r="BA70" s="25">
        <v>20.833333333333336</v>
      </c>
      <c r="BB70" s="25">
        <v>41.666666666666671</v>
      </c>
      <c r="BC70" s="25">
        <v>1</v>
      </c>
      <c r="BD70" s="25">
        <v>25</v>
      </c>
      <c r="BE70" s="25">
        <v>0.375</v>
      </c>
      <c r="BF70" s="25">
        <v>0.75</v>
      </c>
      <c r="BG70" s="25">
        <v>0</v>
      </c>
      <c r="BH70" s="25">
        <v>0.375</v>
      </c>
      <c r="BI70" s="25">
        <v>1</v>
      </c>
      <c r="BJ70" s="25">
        <v>0.25</v>
      </c>
      <c r="BK70" s="25">
        <v>0.75</v>
      </c>
      <c r="BL70" s="25">
        <v>0</v>
      </c>
      <c r="BM70" s="25">
        <v>0.33333333333333331</v>
      </c>
      <c r="BN70" s="25">
        <v>0.5</v>
      </c>
      <c r="BO70" s="25">
        <v>0.75</v>
      </c>
      <c r="BP70" s="25">
        <v>0.25</v>
      </c>
      <c r="BQ70" s="25">
        <v>0.5</v>
      </c>
      <c r="BR70" s="25">
        <v>0.5</v>
      </c>
      <c r="BS70" s="25">
        <v>1.25</v>
      </c>
      <c r="BT70" s="25">
        <v>0.25</v>
      </c>
      <c r="BU70" s="25">
        <v>0.66666666666666663</v>
      </c>
      <c r="BV70" s="25">
        <v>41.666666666666671</v>
      </c>
      <c r="BW70" s="25">
        <v>45.833333333333329</v>
      </c>
      <c r="BX70" s="25">
        <v>12.5</v>
      </c>
      <c r="BY70" s="25">
        <v>25.833333333333332</v>
      </c>
      <c r="BZ70" s="25">
        <v>0.5</v>
      </c>
      <c r="CA70" s="25">
        <v>24.662162162162161</v>
      </c>
      <c r="CB70" s="25">
        <v>13.727180477831846</v>
      </c>
      <c r="CC70" s="25">
        <v>75.337837837837839</v>
      </c>
      <c r="CD70" s="25">
        <v>0</v>
      </c>
      <c r="CE70" s="25">
        <v>0</v>
      </c>
      <c r="CF70" s="25">
        <v>0</v>
      </c>
      <c r="CG70" s="25">
        <v>0</v>
      </c>
      <c r="CH70" s="25">
        <v>0</v>
      </c>
    </row>
    <row r="71" spans="1:86" ht="15.75" x14ac:dyDescent="0.25">
      <c r="A71" s="2">
        <v>69</v>
      </c>
      <c r="B71" s="2" t="s">
        <v>9</v>
      </c>
      <c r="C71" s="2">
        <v>105</v>
      </c>
      <c r="D71" s="12">
        <v>2018</v>
      </c>
      <c r="E71" s="13">
        <v>43286</v>
      </c>
      <c r="F71" s="14" t="str">
        <f t="shared" si="1"/>
        <v>18186</v>
      </c>
      <c r="G71" s="32">
        <v>12.7</v>
      </c>
      <c r="H71" s="32">
        <v>8.24</v>
      </c>
      <c r="I71" s="32">
        <v>12.28</v>
      </c>
      <c r="J71" s="25">
        <v>641</v>
      </c>
      <c r="K71" s="25">
        <v>422</v>
      </c>
      <c r="L71" s="25">
        <v>212</v>
      </c>
      <c r="M71" s="25">
        <v>1275</v>
      </c>
      <c r="N71" s="25">
        <v>0</v>
      </c>
      <c r="O71" s="25">
        <v>2.6625000000000001</v>
      </c>
      <c r="P71" s="25">
        <v>2.3624999999999998</v>
      </c>
      <c r="Q71" s="25">
        <v>2.5999999999999996</v>
      </c>
      <c r="R71" s="25">
        <v>2.5416666666666665</v>
      </c>
      <c r="S71" s="25">
        <v>0.67817957520990313</v>
      </c>
      <c r="T71" s="25">
        <v>0.11833333333333335</v>
      </c>
      <c r="U71" s="25">
        <v>0.14000000000000001</v>
      </c>
      <c r="V71" s="25">
        <v>0.10249999999999999</v>
      </c>
      <c r="W71" s="25">
        <v>0.11971428571428573</v>
      </c>
      <c r="X71" s="25">
        <v>5.8535344490502877E-2</v>
      </c>
      <c r="Y71" s="25">
        <v>0.26</v>
      </c>
      <c r="Z71" s="25">
        <v>0.3</v>
      </c>
      <c r="AA71" s="25">
        <v>0.22</v>
      </c>
      <c r="AB71" s="25">
        <v>0.3</v>
      </c>
      <c r="AC71" s="25">
        <v>21.231105807478119</v>
      </c>
      <c r="AD71" s="25">
        <v>0</v>
      </c>
      <c r="AE71" s="25">
        <v>0</v>
      </c>
      <c r="AF71" s="25">
        <v>0</v>
      </c>
      <c r="AG71" s="25">
        <v>0</v>
      </c>
      <c r="AH71" s="25">
        <v>0</v>
      </c>
      <c r="AI71" s="25">
        <v>100</v>
      </c>
      <c r="AJ71" s="25">
        <v>0</v>
      </c>
      <c r="AK71" s="25">
        <v>100</v>
      </c>
      <c r="AL71" s="25">
        <v>100</v>
      </c>
      <c r="AM71" s="25">
        <v>0.36166666666666664</v>
      </c>
      <c r="AN71" s="25">
        <v>0.27181818181818185</v>
      </c>
      <c r="AO71" s="25">
        <v>0.27416666666666667</v>
      </c>
      <c r="AP71" s="25">
        <v>0.30342857142857138</v>
      </c>
      <c r="AQ71" s="25">
        <v>0.19380012227797488</v>
      </c>
      <c r="AR71" s="25">
        <v>0.7</v>
      </c>
      <c r="AS71" s="25">
        <v>0.75</v>
      </c>
      <c r="AT71" s="25">
        <v>0.52</v>
      </c>
      <c r="AU71" s="25">
        <v>0.75</v>
      </c>
      <c r="AV71" s="25">
        <v>66.666666666666657</v>
      </c>
      <c r="AW71" s="25">
        <v>0.33333333333333331</v>
      </c>
      <c r="AX71" s="25">
        <v>0</v>
      </c>
      <c r="AY71" s="25">
        <v>0</v>
      </c>
      <c r="AZ71" s="25">
        <v>0</v>
      </c>
      <c r="BA71" s="25">
        <v>0</v>
      </c>
      <c r="BB71" s="25">
        <v>66.666666666666657</v>
      </c>
      <c r="BC71" s="25">
        <v>1.1666666666666667</v>
      </c>
      <c r="BD71" s="25">
        <v>16.666666666666664</v>
      </c>
      <c r="BE71" s="25">
        <v>0.125</v>
      </c>
      <c r="BF71" s="25">
        <v>0</v>
      </c>
      <c r="BG71" s="25">
        <v>0</v>
      </c>
      <c r="BH71" s="25">
        <v>4.1666666666666664E-2</v>
      </c>
      <c r="BI71" s="25">
        <v>4.1666666666666664E-2</v>
      </c>
      <c r="BJ71" s="25">
        <v>0</v>
      </c>
      <c r="BK71" s="25">
        <v>0.25</v>
      </c>
      <c r="BL71" s="25">
        <v>0</v>
      </c>
      <c r="BM71" s="25">
        <v>8.3333333333333329E-2</v>
      </c>
      <c r="BN71" s="25">
        <v>0</v>
      </c>
      <c r="BO71" s="25">
        <v>0</v>
      </c>
      <c r="BP71" s="25">
        <v>1</v>
      </c>
      <c r="BQ71" s="25">
        <v>0.33333333333333331</v>
      </c>
      <c r="BR71" s="25">
        <v>0</v>
      </c>
      <c r="BS71" s="25">
        <v>1</v>
      </c>
      <c r="BT71" s="25">
        <v>0</v>
      </c>
      <c r="BU71" s="25">
        <v>0.33333333333333331</v>
      </c>
      <c r="BV71" s="25">
        <v>33.333333333333329</v>
      </c>
      <c r="BW71" s="25">
        <v>58.333333333333336</v>
      </c>
      <c r="BX71" s="25">
        <v>8.3333333333333321</v>
      </c>
      <c r="BY71" s="25">
        <v>24.791666666666668</v>
      </c>
      <c r="BZ71" s="25">
        <v>0</v>
      </c>
      <c r="CA71" s="25">
        <v>23.501762632197416</v>
      </c>
      <c r="CB71" s="25">
        <v>9.3099886857108061</v>
      </c>
      <c r="CC71" s="25">
        <v>76.498237367802588</v>
      </c>
      <c r="CD71" s="25">
        <v>0</v>
      </c>
      <c r="CE71" s="25">
        <v>0</v>
      </c>
      <c r="CF71" s="25">
        <v>0</v>
      </c>
      <c r="CG71" s="25">
        <v>0</v>
      </c>
      <c r="CH71" s="25">
        <v>0</v>
      </c>
    </row>
    <row r="72" spans="1:86" ht="15.75" x14ac:dyDescent="0.25">
      <c r="A72" s="2">
        <v>70</v>
      </c>
      <c r="B72" s="2" t="s">
        <v>9</v>
      </c>
      <c r="C72" s="2">
        <v>113</v>
      </c>
      <c r="D72" s="12">
        <v>2018</v>
      </c>
      <c r="E72" s="13">
        <v>43258</v>
      </c>
      <c r="F72" s="14" t="str">
        <f t="shared" si="1"/>
        <v>18158</v>
      </c>
      <c r="G72" s="32">
        <v>19.600000000000001</v>
      </c>
      <c r="H72" s="32">
        <v>8.76</v>
      </c>
      <c r="I72" s="32">
        <v>10.48</v>
      </c>
      <c r="J72" s="25">
        <v>164</v>
      </c>
      <c r="K72" s="25">
        <v>101</v>
      </c>
      <c r="L72" s="25">
        <v>148</v>
      </c>
      <c r="M72" s="25">
        <v>413</v>
      </c>
      <c r="N72" s="25">
        <v>0</v>
      </c>
      <c r="O72" s="25">
        <v>1.1875</v>
      </c>
      <c r="P72" s="25">
        <v>1.3875000000000002</v>
      </c>
      <c r="Q72" s="25">
        <v>1.4124999999999999</v>
      </c>
      <c r="R72" s="25">
        <v>1.3291666666666668</v>
      </c>
      <c r="S72" s="25">
        <v>0.21564698743178751</v>
      </c>
      <c r="T72" s="25">
        <v>0.13500000000000001</v>
      </c>
      <c r="U72" s="25">
        <v>0.11555555555555556</v>
      </c>
      <c r="V72" s="25">
        <v>0.23125000000000001</v>
      </c>
      <c r="W72" s="25">
        <v>0.15880000000000005</v>
      </c>
      <c r="X72" s="25">
        <v>0.13207699774500223</v>
      </c>
      <c r="Y72" s="25">
        <v>0.18</v>
      </c>
      <c r="Z72" s="25">
        <v>0.18</v>
      </c>
      <c r="AA72" s="25">
        <v>0.77</v>
      </c>
      <c r="AB72" s="25">
        <v>0.77</v>
      </c>
      <c r="AC72" s="25">
        <v>8.3700671704450027</v>
      </c>
      <c r="AD72" s="25">
        <v>0</v>
      </c>
      <c r="AE72" s="25">
        <v>24</v>
      </c>
      <c r="AF72" s="25">
        <v>0</v>
      </c>
      <c r="AG72" s="25">
        <v>24</v>
      </c>
      <c r="AH72" s="25">
        <v>20</v>
      </c>
      <c r="AI72" s="25">
        <v>56.000000000000007</v>
      </c>
      <c r="AJ72" s="25">
        <v>0</v>
      </c>
      <c r="AK72" s="25">
        <v>76</v>
      </c>
      <c r="AL72" s="25">
        <v>56.000000000000007</v>
      </c>
      <c r="AM72" s="25">
        <v>0.34875</v>
      </c>
      <c r="AN72" s="25">
        <v>0.29777777777777781</v>
      </c>
      <c r="AO72" s="25">
        <v>0.31</v>
      </c>
      <c r="AP72" s="25">
        <v>0.31799999999999995</v>
      </c>
      <c r="AQ72" s="25">
        <v>0.12760616495034002</v>
      </c>
      <c r="AR72" s="25">
        <v>0.42</v>
      </c>
      <c r="AS72" s="25">
        <v>0.75</v>
      </c>
      <c r="AT72" s="25">
        <v>0.42</v>
      </c>
      <c r="AU72" s="25">
        <v>0.75</v>
      </c>
      <c r="AV72" s="25">
        <v>25</v>
      </c>
      <c r="AW72" s="25">
        <v>0.75</v>
      </c>
      <c r="AX72" s="25">
        <v>0</v>
      </c>
      <c r="AY72" s="25">
        <v>0</v>
      </c>
      <c r="AZ72" s="25">
        <v>0</v>
      </c>
      <c r="BA72" s="25">
        <v>0</v>
      </c>
      <c r="BB72" s="25">
        <v>75</v>
      </c>
      <c r="BC72" s="25">
        <v>0.83333333333333337</v>
      </c>
      <c r="BD72" s="25">
        <v>16.666666666666664</v>
      </c>
      <c r="BE72" s="25">
        <v>0.125</v>
      </c>
      <c r="BF72" s="25">
        <v>1.125</v>
      </c>
      <c r="BG72" s="25">
        <v>0.75</v>
      </c>
      <c r="BH72" s="25">
        <v>0.66666666666666663</v>
      </c>
      <c r="BI72" s="25">
        <v>1.3333333333333333</v>
      </c>
      <c r="BJ72" s="25">
        <v>0</v>
      </c>
      <c r="BK72" s="25">
        <v>0</v>
      </c>
      <c r="BL72" s="25">
        <v>0</v>
      </c>
      <c r="BM72" s="25">
        <v>0</v>
      </c>
      <c r="BN72" s="25">
        <v>0</v>
      </c>
      <c r="BO72" s="25">
        <v>0</v>
      </c>
      <c r="BP72" s="25">
        <v>0</v>
      </c>
      <c r="BQ72" s="25">
        <v>0</v>
      </c>
      <c r="BR72" s="25">
        <v>0</v>
      </c>
      <c r="BS72" s="25">
        <v>0</v>
      </c>
      <c r="BT72" s="25">
        <v>0.25</v>
      </c>
      <c r="BU72" s="25">
        <v>8.3333333333333329E-2</v>
      </c>
      <c r="BV72" s="25">
        <v>4.1666666666666661</v>
      </c>
      <c r="BW72" s="25">
        <v>58.333333333333336</v>
      </c>
      <c r="BX72" s="25">
        <v>37.5</v>
      </c>
      <c r="BY72" s="25">
        <v>45.208333333333336</v>
      </c>
      <c r="BZ72" s="25">
        <v>1.6666666666666667</v>
      </c>
      <c r="CA72" s="25">
        <v>1.8018018018018018</v>
      </c>
      <c r="CB72" s="25">
        <v>2.3094010767585029</v>
      </c>
      <c r="CC72" s="25">
        <v>98.198198198198199</v>
      </c>
      <c r="CD72" s="25">
        <v>0</v>
      </c>
      <c r="CE72" s="25">
        <v>0</v>
      </c>
      <c r="CF72" s="25">
        <v>0</v>
      </c>
      <c r="CG72" s="25">
        <v>0</v>
      </c>
      <c r="CH72" s="25">
        <v>0</v>
      </c>
    </row>
    <row r="73" spans="1:86" ht="15.75" x14ac:dyDescent="0.25">
      <c r="A73" s="2">
        <v>71</v>
      </c>
      <c r="B73" s="2" t="s">
        <v>9</v>
      </c>
      <c r="C73" s="2">
        <v>119</v>
      </c>
      <c r="D73" s="12">
        <v>2018</v>
      </c>
      <c r="E73" s="13">
        <v>43325</v>
      </c>
      <c r="F73" s="14" t="str">
        <f t="shared" si="1"/>
        <v>18225</v>
      </c>
      <c r="G73" s="32">
        <v>19</v>
      </c>
      <c r="H73" s="32">
        <v>8.23</v>
      </c>
      <c r="I73" s="32">
        <v>13.17</v>
      </c>
      <c r="J73" s="25">
        <v>799</v>
      </c>
      <c r="K73" s="25">
        <v>548</v>
      </c>
      <c r="L73" s="25">
        <v>490</v>
      </c>
      <c r="M73" s="25">
        <v>1837</v>
      </c>
      <c r="N73" s="25">
        <v>0</v>
      </c>
      <c r="O73" s="25">
        <v>2.6375000000000002</v>
      </c>
      <c r="P73" s="25">
        <v>3.3625000000000003</v>
      </c>
      <c r="Q73" s="25">
        <v>2.8875000000000002</v>
      </c>
      <c r="R73" s="25">
        <v>2.9624999999999999</v>
      </c>
      <c r="S73" s="25">
        <v>1.3887161728357784</v>
      </c>
      <c r="T73" s="25">
        <v>0.42399999999999999</v>
      </c>
      <c r="U73" s="25">
        <v>0.32437500000000002</v>
      </c>
      <c r="V73" s="25">
        <v>0.32187499999999997</v>
      </c>
      <c r="W73" s="25">
        <v>0.35531914893617028</v>
      </c>
      <c r="X73" s="25">
        <v>0.11507749872283193</v>
      </c>
      <c r="Y73" s="25">
        <v>0.56000000000000005</v>
      </c>
      <c r="Z73" s="25">
        <v>0.5</v>
      </c>
      <c r="AA73" s="25">
        <v>0.54</v>
      </c>
      <c r="AB73" s="25">
        <v>0.56000000000000005</v>
      </c>
      <c r="AC73" s="25">
        <v>8.3375748502993989</v>
      </c>
      <c r="AD73" s="25">
        <v>0</v>
      </c>
      <c r="AE73" s="25">
        <v>65.957446808510639</v>
      </c>
      <c r="AF73" s="25">
        <v>25.531914893617021</v>
      </c>
      <c r="AG73" s="25">
        <v>91.489361702127667</v>
      </c>
      <c r="AH73" s="25">
        <v>2.1276595744680851</v>
      </c>
      <c r="AI73" s="25">
        <v>6.3829787234042552</v>
      </c>
      <c r="AJ73" s="25">
        <v>0</v>
      </c>
      <c r="AK73" s="25">
        <v>8.5106382978723403</v>
      </c>
      <c r="AL73" s="25">
        <v>65.957446808510639</v>
      </c>
      <c r="AM73" s="25">
        <v>0.16857142857142859</v>
      </c>
      <c r="AN73" s="25">
        <v>0.21733333333333335</v>
      </c>
      <c r="AO73" s="25">
        <v>0.17466666666666666</v>
      </c>
      <c r="AP73" s="25">
        <v>0.18723404255319145</v>
      </c>
      <c r="AQ73" s="25">
        <v>0.11011263260584346</v>
      </c>
      <c r="AR73" s="25">
        <v>0.39</v>
      </c>
      <c r="AS73" s="25">
        <v>0.4</v>
      </c>
      <c r="AT73" s="25">
        <v>0.43</v>
      </c>
      <c r="AU73" s="25">
        <v>0.43</v>
      </c>
      <c r="AV73" s="25">
        <v>8.3333333333333321</v>
      </c>
      <c r="AW73" s="25">
        <v>0.70833333333333337</v>
      </c>
      <c r="AX73" s="25">
        <v>0</v>
      </c>
      <c r="AY73" s="25">
        <v>37.5</v>
      </c>
      <c r="AZ73" s="25">
        <v>25</v>
      </c>
      <c r="BA73" s="25">
        <v>20.833333333333336</v>
      </c>
      <c r="BB73" s="25">
        <v>70.833333333333343</v>
      </c>
      <c r="BC73" s="25">
        <v>0.33333333333333331</v>
      </c>
      <c r="BD73" s="25">
        <v>8.3333333333333321</v>
      </c>
      <c r="BE73" s="25">
        <v>0</v>
      </c>
      <c r="BF73" s="25">
        <v>0</v>
      </c>
      <c r="BG73" s="25">
        <v>0.25</v>
      </c>
      <c r="BH73" s="25">
        <v>8.3333333333333329E-2</v>
      </c>
      <c r="BI73" s="25">
        <v>8.3333333333333329E-2</v>
      </c>
      <c r="BJ73" s="25">
        <v>1.75</v>
      </c>
      <c r="BK73" s="25">
        <v>1.75</v>
      </c>
      <c r="BL73" s="25">
        <v>1.5</v>
      </c>
      <c r="BM73" s="25">
        <v>1.6666666666666667</v>
      </c>
      <c r="BN73" s="25">
        <v>0.25</v>
      </c>
      <c r="BO73" s="25">
        <v>0</v>
      </c>
      <c r="BP73" s="25">
        <v>0</v>
      </c>
      <c r="BQ73" s="25">
        <v>8.3333333333333329E-2</v>
      </c>
      <c r="BR73" s="25">
        <v>0.75</v>
      </c>
      <c r="BS73" s="25">
        <v>1.75</v>
      </c>
      <c r="BT73" s="25">
        <v>1.5</v>
      </c>
      <c r="BU73" s="25">
        <v>1.3333333333333333</v>
      </c>
      <c r="BV73" s="25">
        <v>0</v>
      </c>
      <c r="BW73" s="25">
        <v>100</v>
      </c>
      <c r="BX73" s="25">
        <v>0</v>
      </c>
      <c r="BY73" s="25">
        <v>35.208333333333336</v>
      </c>
      <c r="BZ73" s="25">
        <v>0.83333333333333337</v>
      </c>
      <c r="CA73" s="25">
        <v>99.699699699699693</v>
      </c>
      <c r="CB73" s="25">
        <v>0.46462136829144618</v>
      </c>
      <c r="CC73" s="25">
        <v>0.3003003003003073</v>
      </c>
      <c r="CD73" s="25">
        <v>0</v>
      </c>
      <c r="CE73" s="25">
        <v>0</v>
      </c>
      <c r="CF73" s="25">
        <v>0</v>
      </c>
      <c r="CG73" s="25">
        <v>0</v>
      </c>
      <c r="CH73" s="25">
        <v>0</v>
      </c>
    </row>
    <row r="74" spans="1:86" ht="15.75" x14ac:dyDescent="0.25">
      <c r="A74" s="2">
        <v>72</v>
      </c>
      <c r="B74" s="2" t="s">
        <v>9</v>
      </c>
      <c r="C74" s="2">
        <v>120</v>
      </c>
      <c r="D74" s="12">
        <v>2018</v>
      </c>
      <c r="E74" s="13">
        <v>43312</v>
      </c>
      <c r="F74" s="14" t="str">
        <f t="shared" si="1"/>
        <v>18212</v>
      </c>
      <c r="G74" s="32">
        <v>14.2</v>
      </c>
      <c r="H74" s="32">
        <v>7.92</v>
      </c>
      <c r="I74" s="32">
        <v>11.5</v>
      </c>
      <c r="J74" s="25">
        <v>1290</v>
      </c>
      <c r="K74" s="25">
        <v>984</v>
      </c>
      <c r="L74" s="25">
        <v>855</v>
      </c>
      <c r="M74" s="25">
        <v>3129</v>
      </c>
      <c r="N74" s="25">
        <v>0.84372003835091081</v>
      </c>
      <c r="O74" s="25">
        <v>5.4</v>
      </c>
      <c r="P74" s="25">
        <v>4.1375000000000002</v>
      </c>
      <c r="Q74" s="25">
        <v>3.9999999999999996</v>
      </c>
      <c r="R74" s="25">
        <v>4.5125000000000002</v>
      </c>
      <c r="S74" s="25">
        <v>1.3482073443941254</v>
      </c>
      <c r="T74" s="25">
        <v>0.26357142857142857</v>
      </c>
      <c r="U74" s="25">
        <v>0.24933333333333335</v>
      </c>
      <c r="V74" s="25">
        <v>0.19133333333333333</v>
      </c>
      <c r="W74" s="25">
        <v>0.23409090909090907</v>
      </c>
      <c r="X74" s="25">
        <v>0.13411758433203805</v>
      </c>
      <c r="Y74" s="25">
        <v>0.57999999999999996</v>
      </c>
      <c r="Z74" s="25">
        <v>0.44</v>
      </c>
      <c r="AA74" s="25">
        <v>0.54</v>
      </c>
      <c r="AB74" s="25">
        <v>0.57999999999999996</v>
      </c>
      <c r="AC74" s="25">
        <v>19.276699029126217</v>
      </c>
      <c r="AD74" s="25">
        <v>2.2727272727272729</v>
      </c>
      <c r="AE74" s="25">
        <v>18.181818181818183</v>
      </c>
      <c r="AF74" s="25">
        <v>29.545454545454547</v>
      </c>
      <c r="AG74" s="25">
        <v>50</v>
      </c>
      <c r="AH74" s="25">
        <v>2.2727272727272729</v>
      </c>
      <c r="AI74" s="25">
        <v>47.727272727272727</v>
      </c>
      <c r="AJ74" s="25">
        <v>0</v>
      </c>
      <c r="AK74" s="25">
        <v>50</v>
      </c>
      <c r="AL74" s="25">
        <v>47.727272727272727</v>
      </c>
      <c r="AM74" s="25">
        <v>0.11769230769230769</v>
      </c>
      <c r="AN74" s="25">
        <v>0.23500000000000001</v>
      </c>
      <c r="AO74" s="25">
        <v>0.24071428571428574</v>
      </c>
      <c r="AP74" s="25">
        <v>0.20272727272727276</v>
      </c>
      <c r="AQ74" s="25">
        <v>0.19151007789820107</v>
      </c>
      <c r="AR74" s="25">
        <v>0.28000000000000003</v>
      </c>
      <c r="AS74" s="25">
        <v>0.69</v>
      </c>
      <c r="AT74" s="25">
        <v>0.66</v>
      </c>
      <c r="AU74" s="25">
        <v>0.69</v>
      </c>
      <c r="AV74" s="25">
        <v>25</v>
      </c>
      <c r="AW74" s="25">
        <v>0.5</v>
      </c>
      <c r="AX74" s="25">
        <v>25</v>
      </c>
      <c r="AY74" s="25">
        <v>25</v>
      </c>
      <c r="AZ74" s="25">
        <v>25</v>
      </c>
      <c r="BA74" s="25">
        <v>25</v>
      </c>
      <c r="BB74" s="25">
        <v>50</v>
      </c>
      <c r="BC74" s="25">
        <v>1.25</v>
      </c>
      <c r="BD74" s="25">
        <v>41.666666666666671</v>
      </c>
      <c r="BE74" s="25">
        <v>1.25</v>
      </c>
      <c r="BF74" s="25">
        <v>0.75</v>
      </c>
      <c r="BG74" s="25">
        <v>0.25</v>
      </c>
      <c r="BH74" s="25">
        <v>0.75</v>
      </c>
      <c r="BI74" s="25">
        <v>1.25</v>
      </c>
      <c r="BJ74" s="25">
        <v>0.5</v>
      </c>
      <c r="BK74" s="25">
        <v>1.25</v>
      </c>
      <c r="BL74" s="25">
        <v>0.25</v>
      </c>
      <c r="BM74" s="25">
        <v>0.66666666666666663</v>
      </c>
      <c r="BN74" s="25">
        <v>0</v>
      </c>
      <c r="BO74" s="25">
        <v>0.25</v>
      </c>
      <c r="BP74" s="25">
        <v>0.25</v>
      </c>
      <c r="BQ74" s="25">
        <v>0.16666666666666666</v>
      </c>
      <c r="BR74" s="25">
        <v>1.75</v>
      </c>
      <c r="BS74" s="25">
        <v>1.25</v>
      </c>
      <c r="BT74" s="25">
        <v>1</v>
      </c>
      <c r="BU74" s="25">
        <v>1.3333333333333333</v>
      </c>
      <c r="BV74" s="25">
        <v>25</v>
      </c>
      <c r="BW74" s="25">
        <v>75</v>
      </c>
      <c r="BX74" s="25">
        <v>0</v>
      </c>
      <c r="BY74" s="25">
        <v>30.833333333333332</v>
      </c>
      <c r="BZ74" s="25">
        <v>1.2083333333333333</v>
      </c>
      <c r="CA74" s="25">
        <v>36.561561561561561</v>
      </c>
      <c r="CB74" s="25">
        <v>15.738008788754716</v>
      </c>
      <c r="CC74" s="25">
        <v>63.438438438438439</v>
      </c>
      <c r="CD74" s="25">
        <v>0</v>
      </c>
      <c r="CE74" s="25">
        <v>0</v>
      </c>
      <c r="CF74" s="25">
        <v>0</v>
      </c>
      <c r="CG74" s="25">
        <v>0</v>
      </c>
      <c r="CH74" s="25">
        <v>0</v>
      </c>
    </row>
    <row r="75" spans="1:86" ht="15.75" x14ac:dyDescent="0.25">
      <c r="A75" s="2">
        <v>73</v>
      </c>
      <c r="B75" s="2" t="s">
        <v>9</v>
      </c>
      <c r="C75" s="2">
        <v>129</v>
      </c>
      <c r="D75" s="12">
        <v>2018</v>
      </c>
      <c r="E75" s="13">
        <v>43275</v>
      </c>
      <c r="F75" s="14" t="str">
        <f t="shared" si="1"/>
        <v>18175</v>
      </c>
      <c r="G75" s="32">
        <v>16.899999999999999</v>
      </c>
      <c r="H75" s="32">
        <v>7.59</v>
      </c>
      <c r="I75" s="32">
        <v>10.25</v>
      </c>
      <c r="J75" s="25">
        <v>436</v>
      </c>
      <c r="K75" s="25">
        <v>407</v>
      </c>
      <c r="L75" s="25">
        <v>348</v>
      </c>
      <c r="M75" s="25">
        <v>1191</v>
      </c>
      <c r="N75" s="25">
        <v>0</v>
      </c>
      <c r="O75" s="25">
        <v>1.35</v>
      </c>
      <c r="P75" s="25">
        <v>1.35</v>
      </c>
      <c r="Q75" s="25">
        <v>0.97499999999999998</v>
      </c>
      <c r="R75" s="25">
        <v>1.2249999999999999</v>
      </c>
      <c r="S75" s="25">
        <v>0.41624616462523506</v>
      </c>
      <c r="T75" s="25">
        <v>0.37000000000000005</v>
      </c>
      <c r="U75" s="25">
        <v>0.38222222222222219</v>
      </c>
      <c r="V75" s="25">
        <v>0.40499999999999997</v>
      </c>
      <c r="W75" s="25">
        <v>0.3856</v>
      </c>
      <c r="X75" s="25">
        <v>0.11409352888456596</v>
      </c>
      <c r="Y75" s="25">
        <v>0.6</v>
      </c>
      <c r="Z75" s="25">
        <v>0.52</v>
      </c>
      <c r="AA75" s="25">
        <v>0.52</v>
      </c>
      <c r="AB75" s="25">
        <v>0.6</v>
      </c>
      <c r="AC75" s="25">
        <v>3.1768672199170123</v>
      </c>
      <c r="AD75" s="25">
        <v>0</v>
      </c>
      <c r="AE75" s="25">
        <v>4</v>
      </c>
      <c r="AF75" s="25">
        <v>4</v>
      </c>
      <c r="AG75" s="25">
        <v>8</v>
      </c>
      <c r="AH75" s="25">
        <v>4</v>
      </c>
      <c r="AI75" s="25">
        <v>88</v>
      </c>
      <c r="AJ75" s="25">
        <v>0</v>
      </c>
      <c r="AK75" s="25">
        <v>92</v>
      </c>
      <c r="AL75" s="25">
        <v>88</v>
      </c>
      <c r="AM75" s="25">
        <v>0.33124999999999999</v>
      </c>
      <c r="AN75" s="25">
        <v>0.40249999999999997</v>
      </c>
      <c r="AO75" s="25">
        <v>0.40625</v>
      </c>
      <c r="AP75" s="25">
        <v>0.38160000000000005</v>
      </c>
      <c r="AQ75" s="25">
        <v>0.21318380176114057</v>
      </c>
      <c r="AR75" s="25">
        <v>0.86</v>
      </c>
      <c r="AS75" s="25">
        <v>0.96</v>
      </c>
      <c r="AT75" s="25">
        <v>0.72</v>
      </c>
      <c r="AU75" s="25">
        <v>0.96</v>
      </c>
      <c r="AV75" s="25">
        <v>8.3333333333333321</v>
      </c>
      <c r="AW75" s="25">
        <v>0.83333333333333337</v>
      </c>
      <c r="AX75" s="25">
        <v>12.5</v>
      </c>
      <c r="AY75" s="25">
        <v>12.5</v>
      </c>
      <c r="AZ75" s="25">
        <v>0</v>
      </c>
      <c r="BA75" s="25">
        <v>8.3333333333333321</v>
      </c>
      <c r="BB75" s="25">
        <v>83.333333333333343</v>
      </c>
      <c r="BC75" s="25">
        <v>0.75</v>
      </c>
      <c r="BD75" s="25">
        <v>16.666666666666664</v>
      </c>
      <c r="BE75" s="25">
        <v>0</v>
      </c>
      <c r="BF75" s="25">
        <v>0</v>
      </c>
      <c r="BG75" s="25">
        <v>0.125</v>
      </c>
      <c r="BH75" s="25">
        <v>4.1666666666666664E-2</v>
      </c>
      <c r="BI75" s="25">
        <v>0.20833333333333334</v>
      </c>
      <c r="BJ75" s="25">
        <v>1.75</v>
      </c>
      <c r="BK75" s="25">
        <v>1.75</v>
      </c>
      <c r="BL75" s="25">
        <v>1.75</v>
      </c>
      <c r="BM75" s="25">
        <v>1.75</v>
      </c>
      <c r="BN75" s="25">
        <v>0</v>
      </c>
      <c r="BO75" s="25">
        <v>0</v>
      </c>
      <c r="BP75" s="25">
        <v>0</v>
      </c>
      <c r="BQ75" s="25">
        <v>0</v>
      </c>
      <c r="BR75" s="25">
        <v>1</v>
      </c>
      <c r="BS75" s="25">
        <v>0</v>
      </c>
      <c r="BT75" s="25">
        <v>0.25</v>
      </c>
      <c r="BU75" s="25">
        <v>0.41666666666666669</v>
      </c>
      <c r="BV75" s="25">
        <v>0</v>
      </c>
      <c r="BW75" s="25">
        <v>37.5</v>
      </c>
      <c r="BX75" s="25">
        <v>62.5</v>
      </c>
      <c r="BY75" s="25">
        <v>55.625</v>
      </c>
      <c r="BZ75" s="25">
        <v>4.1666666666666664E-2</v>
      </c>
      <c r="CA75" s="25">
        <v>84.009009009009006</v>
      </c>
      <c r="CB75" s="25">
        <v>11.54011448921727</v>
      </c>
      <c r="CC75" s="25">
        <v>15.990990990990994</v>
      </c>
      <c r="CD75" s="25">
        <v>0</v>
      </c>
      <c r="CE75" s="25">
        <v>0</v>
      </c>
      <c r="CF75" s="25">
        <v>0</v>
      </c>
      <c r="CG75" s="25">
        <v>0</v>
      </c>
      <c r="CH75" s="25">
        <v>0</v>
      </c>
    </row>
    <row r="76" spans="1:86" ht="15.75" x14ac:dyDescent="0.25">
      <c r="A76" s="2">
        <v>74</v>
      </c>
      <c r="B76" s="2" t="s">
        <v>9</v>
      </c>
      <c r="C76" s="2">
        <v>150</v>
      </c>
      <c r="D76" s="12">
        <v>2018</v>
      </c>
      <c r="E76" s="13">
        <v>43326</v>
      </c>
      <c r="F76" s="14" t="str">
        <f t="shared" si="1"/>
        <v>18226</v>
      </c>
      <c r="G76" s="32">
        <v>17.100000000000001</v>
      </c>
      <c r="H76" s="32">
        <v>7.47</v>
      </c>
      <c r="I76" s="32">
        <v>10.4</v>
      </c>
      <c r="J76" s="25">
        <v>290</v>
      </c>
      <c r="K76" s="25">
        <v>218</v>
      </c>
      <c r="L76" s="25">
        <v>160</v>
      </c>
      <c r="M76" s="25">
        <v>668</v>
      </c>
      <c r="N76" s="25">
        <v>0</v>
      </c>
      <c r="O76" s="25">
        <v>1.7249999999999999</v>
      </c>
      <c r="P76" s="25">
        <v>2.3250000000000002</v>
      </c>
      <c r="Q76" s="25">
        <v>1.4125000000000001</v>
      </c>
      <c r="R76" s="25">
        <v>1.8208333333333335</v>
      </c>
      <c r="S76" s="25">
        <v>1.0790411067910841</v>
      </c>
      <c r="T76" s="25">
        <v>0.17222222222222219</v>
      </c>
      <c r="U76" s="25">
        <v>0.1125</v>
      </c>
      <c r="V76" s="25">
        <v>0.17750000000000005</v>
      </c>
      <c r="W76" s="25">
        <v>0.15480000000000005</v>
      </c>
      <c r="X76" s="25">
        <v>8.8370432460938633E-2</v>
      </c>
      <c r="Y76" s="25">
        <v>0.44</v>
      </c>
      <c r="Z76" s="25">
        <v>0.18</v>
      </c>
      <c r="AA76" s="25">
        <v>0.28000000000000003</v>
      </c>
      <c r="AB76" s="25">
        <v>0.44</v>
      </c>
      <c r="AC76" s="25">
        <v>11.762489233419464</v>
      </c>
      <c r="AD76" s="25">
        <v>0</v>
      </c>
      <c r="AE76" s="25">
        <v>12</v>
      </c>
      <c r="AF76" s="25">
        <v>8</v>
      </c>
      <c r="AG76" s="25">
        <v>20</v>
      </c>
      <c r="AH76" s="25">
        <v>16</v>
      </c>
      <c r="AI76" s="25">
        <v>64</v>
      </c>
      <c r="AJ76" s="25">
        <v>0</v>
      </c>
      <c r="AK76" s="25">
        <v>80</v>
      </c>
      <c r="AL76" s="25">
        <v>64</v>
      </c>
      <c r="AM76" s="25">
        <v>0.18555555555555558</v>
      </c>
      <c r="AN76" s="25">
        <v>0.20875000000000005</v>
      </c>
      <c r="AO76" s="25">
        <v>0.15750000000000003</v>
      </c>
      <c r="AP76" s="25">
        <v>0.184</v>
      </c>
      <c r="AQ76" s="25">
        <v>0.13503086067019396</v>
      </c>
      <c r="AR76" s="25">
        <v>0.34</v>
      </c>
      <c r="AS76" s="25">
        <v>0.45</v>
      </c>
      <c r="AT76" s="25">
        <v>0.44</v>
      </c>
      <c r="AU76" s="25">
        <v>0.45</v>
      </c>
      <c r="AV76" s="25">
        <v>41.666666666666671</v>
      </c>
      <c r="AW76" s="25">
        <v>0.41666666666666669</v>
      </c>
      <c r="AX76" s="25">
        <v>0</v>
      </c>
      <c r="AY76" s="25">
        <v>25</v>
      </c>
      <c r="AZ76" s="25">
        <v>25</v>
      </c>
      <c r="BA76" s="25">
        <v>16.666666666666664</v>
      </c>
      <c r="BB76" s="25">
        <v>41.666666666666671</v>
      </c>
      <c r="BC76" s="25">
        <v>1.5833333333333333</v>
      </c>
      <c r="BD76" s="25">
        <v>58.333333333333336</v>
      </c>
      <c r="BE76" s="25">
        <v>0</v>
      </c>
      <c r="BF76" s="25">
        <v>0</v>
      </c>
      <c r="BG76" s="25">
        <v>0</v>
      </c>
      <c r="BH76" s="25">
        <v>0</v>
      </c>
      <c r="BI76" s="25">
        <v>4.1666666666666664E-2</v>
      </c>
      <c r="BJ76" s="25">
        <v>0</v>
      </c>
      <c r="BK76" s="25">
        <v>0</v>
      </c>
      <c r="BL76" s="25">
        <v>0.25</v>
      </c>
      <c r="BM76" s="25">
        <v>8.3333333333333329E-2</v>
      </c>
      <c r="BN76" s="25">
        <v>1</v>
      </c>
      <c r="BO76" s="25">
        <v>1.5</v>
      </c>
      <c r="BP76" s="25">
        <v>0.75</v>
      </c>
      <c r="BQ76" s="25">
        <v>1.0833333333333333</v>
      </c>
      <c r="BR76" s="25">
        <v>0.25</v>
      </c>
      <c r="BS76" s="25">
        <v>0</v>
      </c>
      <c r="BT76" s="25">
        <v>1.25</v>
      </c>
      <c r="BU76" s="25">
        <v>0.5</v>
      </c>
      <c r="BV76" s="25">
        <v>58.333333333333336</v>
      </c>
      <c r="BW76" s="25">
        <v>33.333333333333329</v>
      </c>
      <c r="BX76" s="25">
        <v>8.3333333333333321</v>
      </c>
      <c r="BY76" s="25">
        <v>21.666666666666668</v>
      </c>
      <c r="BZ76" s="25">
        <v>0.58333333333333337</v>
      </c>
      <c r="CA76" s="25">
        <v>62.93436293436293</v>
      </c>
      <c r="CB76" s="25">
        <v>16.967972416057492</v>
      </c>
      <c r="CC76" s="25">
        <v>37.06563706563707</v>
      </c>
      <c r="CD76" s="25">
        <v>0</v>
      </c>
      <c r="CE76" s="25">
        <v>0</v>
      </c>
      <c r="CF76" s="25">
        <v>0</v>
      </c>
      <c r="CG76" s="25">
        <v>0</v>
      </c>
      <c r="CH76" s="25">
        <v>0</v>
      </c>
    </row>
    <row r="77" spans="1:86" ht="15.75" x14ac:dyDescent="0.25">
      <c r="A77" s="2">
        <v>75</v>
      </c>
      <c r="B77" s="2" t="s">
        <v>9</v>
      </c>
      <c r="C77" s="2">
        <v>161</v>
      </c>
      <c r="D77" s="12">
        <v>2018</v>
      </c>
      <c r="E77" s="13">
        <v>43307</v>
      </c>
      <c r="F77" s="14" t="str">
        <f t="shared" si="1"/>
        <v>18207</v>
      </c>
      <c r="G77" s="32">
        <v>16</v>
      </c>
      <c r="H77" s="32">
        <v>8.2200000000000006</v>
      </c>
      <c r="I77" s="32">
        <v>11.12</v>
      </c>
      <c r="J77" s="25">
        <v>837</v>
      </c>
      <c r="K77" s="25">
        <v>1358</v>
      </c>
      <c r="L77" s="25">
        <v>657</v>
      </c>
      <c r="M77" s="25">
        <v>2852</v>
      </c>
      <c r="N77" s="25">
        <v>0.16830294530154277</v>
      </c>
      <c r="O77" s="25">
        <v>2.6499999999999995</v>
      </c>
      <c r="P77" s="25">
        <v>3.9</v>
      </c>
      <c r="Q77" s="25">
        <v>3.2</v>
      </c>
      <c r="R77" s="25">
        <v>3.25</v>
      </c>
      <c r="S77" s="25">
        <v>1.1617078881505918</v>
      </c>
      <c r="T77" s="25">
        <v>0.23250000000000001</v>
      </c>
      <c r="U77" s="25">
        <v>0.28307692307692311</v>
      </c>
      <c r="V77" s="25">
        <v>0.23833333333333337</v>
      </c>
      <c r="W77" s="25">
        <v>0.25216216216216214</v>
      </c>
      <c r="X77" s="25">
        <v>0.14255866502241449</v>
      </c>
      <c r="Y77" s="25">
        <v>0.55000000000000004</v>
      </c>
      <c r="Z77" s="25">
        <v>0.69</v>
      </c>
      <c r="AA77" s="25">
        <v>0.52</v>
      </c>
      <c r="AB77" s="25">
        <v>0.69</v>
      </c>
      <c r="AC77" s="25">
        <v>12.888531618435156</v>
      </c>
      <c r="AD77" s="25">
        <v>0</v>
      </c>
      <c r="AE77" s="25">
        <v>10.810810810810811</v>
      </c>
      <c r="AF77" s="25">
        <v>0</v>
      </c>
      <c r="AG77" s="25">
        <v>10.810810810810811</v>
      </c>
      <c r="AH77" s="25">
        <v>16.216216216216218</v>
      </c>
      <c r="AI77" s="25">
        <v>72.972972972972968</v>
      </c>
      <c r="AJ77" s="25">
        <v>0</v>
      </c>
      <c r="AK77" s="25">
        <v>89.189189189189193</v>
      </c>
      <c r="AL77" s="25">
        <v>72.972972972972968</v>
      </c>
      <c r="AM77" s="25">
        <v>0.27181818181818185</v>
      </c>
      <c r="AN77" s="25">
        <v>0.20499999999999999</v>
      </c>
      <c r="AO77" s="25">
        <v>0.21090909090909093</v>
      </c>
      <c r="AP77" s="25">
        <v>0.22945945945945947</v>
      </c>
      <c r="AQ77" s="25">
        <v>0.16978656447869336</v>
      </c>
      <c r="AR77" s="25">
        <v>0.54</v>
      </c>
      <c r="AS77" s="25">
        <v>0.45</v>
      </c>
      <c r="AT77" s="25">
        <v>0.6</v>
      </c>
      <c r="AU77" s="25">
        <v>0.6</v>
      </c>
      <c r="AV77" s="25">
        <v>25</v>
      </c>
      <c r="AW77" s="25">
        <v>0.45833333333333331</v>
      </c>
      <c r="AX77" s="25">
        <v>12.5</v>
      </c>
      <c r="AY77" s="25">
        <v>25</v>
      </c>
      <c r="AZ77" s="25">
        <v>50</v>
      </c>
      <c r="BA77" s="25">
        <v>29.166666666666668</v>
      </c>
      <c r="BB77" s="25">
        <v>45.833333333333329</v>
      </c>
      <c r="BC77" s="25">
        <v>0.75</v>
      </c>
      <c r="BD77" s="25">
        <v>16.666666666666664</v>
      </c>
      <c r="BE77" s="25">
        <v>0</v>
      </c>
      <c r="BF77" s="25">
        <v>0</v>
      </c>
      <c r="BG77" s="25">
        <v>0</v>
      </c>
      <c r="BH77" s="25">
        <v>0</v>
      </c>
      <c r="BI77" s="25">
        <v>0.45833333333333331</v>
      </c>
      <c r="BJ77" s="25">
        <v>0.5</v>
      </c>
      <c r="BK77" s="25">
        <v>0.25</v>
      </c>
      <c r="BL77" s="25">
        <v>0.25</v>
      </c>
      <c r="BM77" s="25">
        <v>0.33333333333333331</v>
      </c>
      <c r="BN77" s="25">
        <v>0.25</v>
      </c>
      <c r="BO77" s="25">
        <v>0.75</v>
      </c>
      <c r="BP77" s="25">
        <v>0</v>
      </c>
      <c r="BQ77" s="25">
        <v>0.33333333333333331</v>
      </c>
      <c r="BR77" s="25">
        <v>0</v>
      </c>
      <c r="BS77" s="25">
        <v>1.25</v>
      </c>
      <c r="BT77" s="25">
        <v>0.5</v>
      </c>
      <c r="BU77" s="25">
        <v>0.58333333333333337</v>
      </c>
      <c r="BV77" s="25">
        <v>16.666666666666664</v>
      </c>
      <c r="BW77" s="25">
        <v>79.166666666666657</v>
      </c>
      <c r="BX77" s="25">
        <v>4.1666666666666661</v>
      </c>
      <c r="BY77" s="25">
        <v>27.916666666666668</v>
      </c>
      <c r="BZ77" s="25">
        <v>0.91666666666666663</v>
      </c>
      <c r="CA77" s="25">
        <v>93.018018018018012</v>
      </c>
      <c r="CB77" s="25">
        <v>8.9837154260997636</v>
      </c>
      <c r="CC77" s="25">
        <v>6.9819819819819884</v>
      </c>
      <c r="CD77" s="25">
        <v>0</v>
      </c>
      <c r="CE77" s="25">
        <v>0</v>
      </c>
      <c r="CF77" s="25">
        <v>0</v>
      </c>
      <c r="CG77" s="25">
        <v>0</v>
      </c>
      <c r="CH77" s="25">
        <v>0</v>
      </c>
    </row>
    <row r="78" spans="1:86" ht="15.75" x14ac:dyDescent="0.25">
      <c r="A78" s="2">
        <v>76</v>
      </c>
      <c r="B78" s="2" t="s">
        <v>9</v>
      </c>
      <c r="C78" s="2">
        <v>178</v>
      </c>
      <c r="D78" s="12">
        <v>2018</v>
      </c>
      <c r="E78" s="13">
        <v>43297</v>
      </c>
      <c r="F78" s="14" t="str">
        <f t="shared" si="1"/>
        <v>18197</v>
      </c>
      <c r="G78" s="32">
        <v>19.600000000000001</v>
      </c>
      <c r="H78" s="32">
        <v>8.4700000000000006</v>
      </c>
      <c r="I78" s="32">
        <v>13.28</v>
      </c>
      <c r="J78" s="25">
        <v>1893</v>
      </c>
      <c r="K78" s="25">
        <v>1834</v>
      </c>
      <c r="L78" s="25">
        <v>1528</v>
      </c>
      <c r="M78" s="25">
        <v>5255</v>
      </c>
      <c r="N78" s="25">
        <v>1.8953377735490011</v>
      </c>
      <c r="O78" s="25">
        <v>4.2374999999999998</v>
      </c>
      <c r="P78" s="25">
        <v>4.6499999999999995</v>
      </c>
      <c r="Q78" s="25">
        <v>5</v>
      </c>
      <c r="R78" s="25">
        <v>4.6291666666666673</v>
      </c>
      <c r="S78" s="25">
        <v>1.5886770998337663</v>
      </c>
      <c r="T78" s="25">
        <v>0.3116666666666667</v>
      </c>
      <c r="U78" s="25">
        <v>0.31333333333333335</v>
      </c>
      <c r="V78" s="25">
        <v>0.28666666666666663</v>
      </c>
      <c r="W78" s="25">
        <v>0.30388888888888899</v>
      </c>
      <c r="X78" s="25">
        <v>0.14027071332203639</v>
      </c>
      <c r="Y78" s="25">
        <v>0.5</v>
      </c>
      <c r="Z78" s="25">
        <v>0.74</v>
      </c>
      <c r="AA78" s="25">
        <v>0.52</v>
      </c>
      <c r="AB78" s="25">
        <v>0.74</v>
      </c>
      <c r="AC78" s="25">
        <v>15.233089579524677</v>
      </c>
      <c r="AD78" s="25">
        <v>0</v>
      </c>
      <c r="AE78" s="25">
        <v>2.7777777777777777</v>
      </c>
      <c r="AF78" s="25">
        <v>22.222222222222221</v>
      </c>
      <c r="AG78" s="25">
        <v>25</v>
      </c>
      <c r="AH78" s="25">
        <v>8.3333333333333321</v>
      </c>
      <c r="AI78" s="25">
        <v>66.666666666666657</v>
      </c>
      <c r="AJ78" s="25">
        <v>0</v>
      </c>
      <c r="AK78" s="25">
        <v>74.999999999999986</v>
      </c>
      <c r="AL78" s="25">
        <v>66.666666666666657</v>
      </c>
      <c r="AM78" s="25">
        <v>0.21333333333333329</v>
      </c>
      <c r="AN78" s="25">
        <v>0.25499999999999995</v>
      </c>
      <c r="AO78" s="25">
        <v>0.26666666666666666</v>
      </c>
      <c r="AP78" s="25">
        <v>0.245</v>
      </c>
      <c r="AQ78" s="25">
        <v>0.16739175606940748</v>
      </c>
      <c r="AR78" s="25">
        <v>0.48</v>
      </c>
      <c r="AS78" s="25">
        <v>0.53</v>
      </c>
      <c r="AT78" s="25">
        <v>0.56000000000000005</v>
      </c>
      <c r="AU78" s="25">
        <v>0.56000000000000005</v>
      </c>
      <c r="AV78" s="25">
        <v>20.833333333333336</v>
      </c>
      <c r="AW78" s="25">
        <v>0.5</v>
      </c>
      <c r="AX78" s="25">
        <v>25</v>
      </c>
      <c r="AY78" s="25">
        <v>37.5</v>
      </c>
      <c r="AZ78" s="25">
        <v>25</v>
      </c>
      <c r="BA78" s="25">
        <v>29.166666666666668</v>
      </c>
      <c r="BB78" s="25">
        <v>50</v>
      </c>
      <c r="BC78" s="25">
        <v>1</v>
      </c>
      <c r="BD78" s="25">
        <v>41.666666666666671</v>
      </c>
      <c r="BE78" s="25">
        <v>0.125</v>
      </c>
      <c r="BF78" s="25">
        <v>0.75</v>
      </c>
      <c r="BG78" s="25">
        <v>0.5</v>
      </c>
      <c r="BH78" s="25">
        <v>0.45833333333333331</v>
      </c>
      <c r="BI78" s="25">
        <v>0.95833333333333337</v>
      </c>
      <c r="BJ78" s="25">
        <v>1</v>
      </c>
      <c r="BK78" s="25">
        <v>0.66666666666666663</v>
      </c>
      <c r="BL78" s="25">
        <v>0</v>
      </c>
      <c r="BM78" s="25">
        <v>0.54545454545454541</v>
      </c>
      <c r="BN78" s="25">
        <v>0</v>
      </c>
      <c r="BO78" s="25">
        <v>0</v>
      </c>
      <c r="BP78" s="25">
        <v>0.25</v>
      </c>
      <c r="BQ78" s="25">
        <v>8.3333333333333329E-2</v>
      </c>
      <c r="BR78" s="25">
        <v>2</v>
      </c>
      <c r="BS78" s="25">
        <v>1.75</v>
      </c>
      <c r="BT78" s="25">
        <v>0.5</v>
      </c>
      <c r="BU78" s="25">
        <v>1.4166666666666667</v>
      </c>
      <c r="BV78" s="25">
        <v>29.166666666666668</v>
      </c>
      <c r="BW78" s="25">
        <v>54.166666666666664</v>
      </c>
      <c r="BX78" s="25">
        <v>16.666666666666664</v>
      </c>
      <c r="BY78" s="25">
        <v>31.875</v>
      </c>
      <c r="BZ78" s="25">
        <v>0.5</v>
      </c>
      <c r="CA78" s="25">
        <v>55.200655200655206</v>
      </c>
      <c r="CB78" s="25">
        <v>12.673866574151472</v>
      </c>
      <c r="CC78" s="25">
        <v>44.799344799344794</v>
      </c>
      <c r="CD78" s="25">
        <v>0</v>
      </c>
      <c r="CE78" s="25">
        <v>0</v>
      </c>
      <c r="CF78" s="25">
        <v>0</v>
      </c>
      <c r="CG78" s="25">
        <v>0</v>
      </c>
      <c r="CH78" s="25">
        <v>0</v>
      </c>
    </row>
    <row r="79" spans="1:86" ht="15.75" x14ac:dyDescent="0.25">
      <c r="A79" s="2">
        <v>77</v>
      </c>
      <c r="B79" s="2" t="s">
        <v>9</v>
      </c>
      <c r="C79" s="2">
        <v>193</v>
      </c>
      <c r="D79" s="12">
        <v>2018</v>
      </c>
      <c r="E79" s="13">
        <v>43292</v>
      </c>
      <c r="F79" s="14" t="str">
        <f t="shared" si="1"/>
        <v>18192</v>
      </c>
      <c r="G79" s="32">
        <v>16.7</v>
      </c>
      <c r="H79" s="32">
        <v>8.31</v>
      </c>
      <c r="I79" s="32">
        <v>12.28</v>
      </c>
      <c r="J79" s="25">
        <v>1110</v>
      </c>
      <c r="K79" s="25">
        <v>1140</v>
      </c>
      <c r="L79" s="25">
        <v>1886</v>
      </c>
      <c r="M79" s="25">
        <v>4136</v>
      </c>
      <c r="N79" s="25">
        <v>2.7127659574468082</v>
      </c>
      <c r="O79" s="25">
        <v>7.416666666666667</v>
      </c>
      <c r="P79" s="25">
        <v>7.2624999999999993</v>
      </c>
      <c r="Q79" s="25">
        <v>7.7999999999999989</v>
      </c>
      <c r="R79" s="25">
        <v>7.5000000000000009</v>
      </c>
      <c r="S79" s="25">
        <v>2.957637409761213</v>
      </c>
      <c r="T79" s="25">
        <v>0.46928571428571431</v>
      </c>
      <c r="U79" s="25">
        <v>0.45333333333333325</v>
      </c>
      <c r="V79" s="25">
        <v>0.21937500000000004</v>
      </c>
      <c r="W79" s="25">
        <v>0.37511111111111117</v>
      </c>
      <c r="X79" s="25">
        <v>0.28208333892842746</v>
      </c>
      <c r="Y79" s="25">
        <v>1.1000000000000001</v>
      </c>
      <c r="Z79" s="25">
        <v>0.86</v>
      </c>
      <c r="AA79" s="25">
        <v>0.6</v>
      </c>
      <c r="AB79" s="25">
        <v>1.1000000000000001</v>
      </c>
      <c r="AC79" s="25">
        <v>19.994075829383885</v>
      </c>
      <c r="AD79" s="25">
        <v>2.2222222222222223</v>
      </c>
      <c r="AE79" s="25">
        <v>6.666666666666667</v>
      </c>
      <c r="AF79" s="25">
        <v>8.8888888888888893</v>
      </c>
      <c r="AG79" s="25">
        <v>17.777777777777779</v>
      </c>
      <c r="AH79" s="25">
        <v>0</v>
      </c>
      <c r="AI79" s="25">
        <v>82.222222222222214</v>
      </c>
      <c r="AJ79" s="25">
        <v>0</v>
      </c>
      <c r="AK79" s="25">
        <v>82.222222222222214</v>
      </c>
      <c r="AL79" s="25">
        <v>82.222222222222214</v>
      </c>
      <c r="AM79" s="25">
        <v>0.23642857142857143</v>
      </c>
      <c r="AN79" s="25">
        <v>0.23357142857142854</v>
      </c>
      <c r="AO79" s="25">
        <v>0.40066666666666667</v>
      </c>
      <c r="AP79" s="25">
        <v>0.31555555555555559</v>
      </c>
      <c r="AQ79" s="25">
        <v>0.26554879328696185</v>
      </c>
      <c r="AR79" s="25">
        <v>0.54</v>
      </c>
      <c r="AS79" s="25">
        <v>0.81</v>
      </c>
      <c r="AT79" s="25">
        <v>1.1599999999999999</v>
      </c>
      <c r="AU79" s="25">
        <v>1.1599999999999999</v>
      </c>
      <c r="AV79" s="25">
        <v>41.666666666666671</v>
      </c>
      <c r="AW79" s="25">
        <v>0.29166666666666669</v>
      </c>
      <c r="AX79" s="25">
        <v>50</v>
      </c>
      <c r="AY79" s="25">
        <v>25</v>
      </c>
      <c r="AZ79" s="25">
        <v>12.5</v>
      </c>
      <c r="BA79" s="25">
        <v>29.166666666666668</v>
      </c>
      <c r="BB79" s="25">
        <v>41.666666666666671</v>
      </c>
      <c r="BC79" s="25">
        <v>0.5</v>
      </c>
      <c r="BD79" s="25">
        <v>16.666666666666664</v>
      </c>
      <c r="BE79" s="25">
        <v>0</v>
      </c>
      <c r="BF79" s="25">
        <v>0.25</v>
      </c>
      <c r="BG79" s="25">
        <v>0</v>
      </c>
      <c r="BH79" s="25">
        <v>8.3333333333333329E-2</v>
      </c>
      <c r="BI79" s="25">
        <v>0.33333333333333331</v>
      </c>
      <c r="BJ79" s="25">
        <v>0.5</v>
      </c>
      <c r="BK79" s="25">
        <v>0</v>
      </c>
      <c r="BL79" s="25">
        <v>0</v>
      </c>
      <c r="BM79" s="25">
        <v>0.16666666666666666</v>
      </c>
      <c r="BN79" s="25">
        <v>0.25</v>
      </c>
      <c r="BO79" s="25">
        <v>0.25</v>
      </c>
      <c r="BP79" s="25">
        <v>0.25</v>
      </c>
      <c r="BQ79" s="25">
        <v>0.25</v>
      </c>
      <c r="BR79" s="25">
        <v>1.75</v>
      </c>
      <c r="BS79" s="25">
        <v>1.5</v>
      </c>
      <c r="BT79" s="25">
        <v>0.75</v>
      </c>
      <c r="BU79" s="25">
        <v>1.3333333333333333</v>
      </c>
      <c r="BV79" s="25">
        <v>45.833333333333329</v>
      </c>
      <c r="BW79" s="25">
        <v>16.666666666666664</v>
      </c>
      <c r="BX79" s="25">
        <v>33.333333333333329</v>
      </c>
      <c r="BY79" s="25">
        <v>33.043478260869563</v>
      </c>
      <c r="BZ79" s="25">
        <v>0.79166666666666663</v>
      </c>
      <c r="CA79" s="25">
        <v>59.534534534534536</v>
      </c>
      <c r="CB79" s="25">
        <v>16.185506940489535</v>
      </c>
      <c r="CC79" s="25">
        <v>40.465465465465464</v>
      </c>
      <c r="CD79" s="25">
        <v>0</v>
      </c>
      <c r="CE79" s="25">
        <v>0</v>
      </c>
      <c r="CF79" s="25">
        <v>0</v>
      </c>
      <c r="CG79" s="25">
        <v>0</v>
      </c>
      <c r="CH79" s="25">
        <v>0</v>
      </c>
    </row>
    <row r="80" spans="1:86" ht="15.75" x14ac:dyDescent="0.25">
      <c r="A80" s="2">
        <v>78</v>
      </c>
      <c r="B80" s="2" t="s">
        <v>9</v>
      </c>
      <c r="C80" s="2">
        <v>201</v>
      </c>
      <c r="D80" s="12">
        <v>2018</v>
      </c>
      <c r="E80" s="13">
        <v>43279</v>
      </c>
      <c r="F80" s="14" t="str">
        <f t="shared" si="1"/>
        <v>18179</v>
      </c>
      <c r="G80" s="32">
        <v>16</v>
      </c>
      <c r="H80" s="32">
        <v>8.6</v>
      </c>
      <c r="I80" s="32">
        <v>12.35</v>
      </c>
      <c r="J80" s="25">
        <v>1123</v>
      </c>
      <c r="K80" s="25">
        <v>995</v>
      </c>
      <c r="L80" s="25">
        <v>766</v>
      </c>
      <c r="M80" s="25">
        <v>2884</v>
      </c>
      <c r="N80" s="25">
        <v>2.1012482662968099</v>
      </c>
      <c r="O80" s="25">
        <v>3.25</v>
      </c>
      <c r="P80" s="25">
        <v>3.0625</v>
      </c>
      <c r="Q80" s="25">
        <v>2.4249999999999998</v>
      </c>
      <c r="R80" s="25">
        <v>2.9125000000000001</v>
      </c>
      <c r="S80" s="25">
        <v>1.2563966764902113</v>
      </c>
      <c r="T80" s="25">
        <v>0.3428571428571428</v>
      </c>
      <c r="U80" s="25">
        <v>0.31</v>
      </c>
      <c r="V80" s="25">
        <v>0.33499999999999996</v>
      </c>
      <c r="W80" s="25">
        <v>0.32948717948717948</v>
      </c>
      <c r="X80" s="25">
        <v>0.23513656410409131</v>
      </c>
      <c r="Y80" s="25">
        <v>0.6</v>
      </c>
      <c r="Z80" s="25">
        <v>0.52</v>
      </c>
      <c r="AA80" s="25">
        <v>1.4</v>
      </c>
      <c r="AB80" s="25">
        <v>1.4</v>
      </c>
      <c r="AC80" s="25">
        <v>8.8394941634241242</v>
      </c>
      <c r="AD80" s="25">
        <v>0</v>
      </c>
      <c r="AE80" s="25">
        <v>31.578947368421051</v>
      </c>
      <c r="AF80" s="25">
        <v>2.6315789473684208</v>
      </c>
      <c r="AG80" s="25">
        <v>34.210526315789473</v>
      </c>
      <c r="AH80" s="25">
        <v>5.2631578947368416</v>
      </c>
      <c r="AI80" s="25">
        <v>60.526315789473685</v>
      </c>
      <c r="AJ80" s="25">
        <v>0</v>
      </c>
      <c r="AK80" s="25">
        <v>65.78947368421052</v>
      </c>
      <c r="AL80" s="25">
        <v>60.526315789473685</v>
      </c>
      <c r="AM80" s="25">
        <v>0.1435714285714286</v>
      </c>
      <c r="AN80" s="25">
        <v>0.23846153846153845</v>
      </c>
      <c r="AO80" s="25">
        <v>0.29833333333333328</v>
      </c>
      <c r="AP80" s="25">
        <v>0.22282051282051279</v>
      </c>
      <c r="AQ80" s="25">
        <v>0.25483687990089821</v>
      </c>
      <c r="AR80" s="25">
        <v>1.03</v>
      </c>
      <c r="AS80" s="25">
        <v>0.97</v>
      </c>
      <c r="AT80" s="25">
        <v>0.72</v>
      </c>
      <c r="AU80" s="25">
        <v>1.03</v>
      </c>
      <c r="AV80" s="25">
        <v>20.833333333333336</v>
      </c>
      <c r="AW80" s="25">
        <v>0.41666666666666669</v>
      </c>
      <c r="AX80" s="25">
        <v>62.5</v>
      </c>
      <c r="AY80" s="25">
        <v>25</v>
      </c>
      <c r="AZ80" s="25">
        <v>25</v>
      </c>
      <c r="BA80" s="25">
        <v>37.5</v>
      </c>
      <c r="BB80" s="25">
        <v>41.666666666666671</v>
      </c>
      <c r="BC80" s="25">
        <v>0.91666666666666663</v>
      </c>
      <c r="BD80" s="25">
        <v>33.333333333333329</v>
      </c>
      <c r="BE80" s="25">
        <v>0.125</v>
      </c>
      <c r="BF80" s="25">
        <v>0</v>
      </c>
      <c r="BG80" s="25">
        <v>0.25</v>
      </c>
      <c r="BH80" s="25">
        <v>0.125</v>
      </c>
      <c r="BI80" s="25">
        <v>0.33333333333333331</v>
      </c>
      <c r="BJ80" s="25">
        <v>0</v>
      </c>
      <c r="BK80" s="25">
        <v>0.75</v>
      </c>
      <c r="BL80" s="25">
        <v>1</v>
      </c>
      <c r="BM80" s="25">
        <v>0.58333333333333337</v>
      </c>
      <c r="BN80" s="25">
        <v>0</v>
      </c>
      <c r="BO80" s="25">
        <v>1</v>
      </c>
      <c r="BP80" s="25">
        <v>0.25</v>
      </c>
      <c r="BQ80" s="25">
        <v>0.41666666666666669</v>
      </c>
      <c r="BR80" s="25">
        <v>2.5</v>
      </c>
      <c r="BS80" s="25">
        <v>0.5</v>
      </c>
      <c r="BT80" s="25">
        <v>0.75</v>
      </c>
      <c r="BU80" s="25">
        <v>1.25</v>
      </c>
      <c r="BV80" s="25">
        <v>0</v>
      </c>
      <c r="BW80" s="25">
        <v>70.833333333333343</v>
      </c>
      <c r="BX80" s="25">
        <v>29.166666666666668</v>
      </c>
      <c r="BY80" s="25">
        <v>44.583333333333336</v>
      </c>
      <c r="BZ80" s="25">
        <v>0.625</v>
      </c>
      <c r="CA80" s="25">
        <v>89.268680445151034</v>
      </c>
      <c r="CB80" s="25">
        <v>9.586876427882741</v>
      </c>
      <c r="CC80" s="25">
        <v>10.731319554848966</v>
      </c>
      <c r="CD80" s="25">
        <v>0</v>
      </c>
      <c r="CE80" s="25">
        <v>0</v>
      </c>
      <c r="CF80" s="25">
        <v>0</v>
      </c>
      <c r="CG80" s="25">
        <v>0</v>
      </c>
      <c r="CH80" s="25">
        <v>0</v>
      </c>
    </row>
    <row r="81" spans="1:86" ht="15.75" x14ac:dyDescent="0.25">
      <c r="A81" s="2">
        <v>79</v>
      </c>
      <c r="B81" s="2" t="s">
        <v>9</v>
      </c>
      <c r="C81" s="2">
        <v>202</v>
      </c>
      <c r="D81" s="12">
        <v>2018</v>
      </c>
      <c r="E81" s="13">
        <v>43321</v>
      </c>
      <c r="F81" s="14" t="str">
        <f t="shared" si="1"/>
        <v>18221</v>
      </c>
      <c r="G81" s="32">
        <v>15.3</v>
      </c>
      <c r="H81" s="32">
        <v>8.0500000000000007</v>
      </c>
      <c r="I81" s="32">
        <v>11.21</v>
      </c>
      <c r="J81" s="25">
        <v>638</v>
      </c>
      <c r="K81" s="25">
        <v>368</v>
      </c>
      <c r="L81" s="25">
        <v>370</v>
      </c>
      <c r="M81" s="25">
        <v>1376</v>
      </c>
      <c r="N81" s="25">
        <v>0</v>
      </c>
      <c r="O81" s="25">
        <v>1.3250000000000002</v>
      </c>
      <c r="P81" s="25">
        <v>1.2749999999999999</v>
      </c>
      <c r="Q81" s="25">
        <v>1.6499999999999997</v>
      </c>
      <c r="R81" s="25">
        <v>1.4166666666666667</v>
      </c>
      <c r="S81" s="25">
        <v>0.61337744012799444</v>
      </c>
      <c r="T81" s="25">
        <v>0.29375000000000001</v>
      </c>
      <c r="U81" s="25">
        <v>0.3175</v>
      </c>
      <c r="V81" s="25">
        <v>0.23</v>
      </c>
      <c r="W81" s="25">
        <v>0.28041666666666659</v>
      </c>
      <c r="X81" s="25">
        <v>0.13989061461717517</v>
      </c>
      <c r="Y81" s="25">
        <v>0.5</v>
      </c>
      <c r="Z81" s="25">
        <v>0.5</v>
      </c>
      <c r="AA81" s="25">
        <v>0.42</v>
      </c>
      <c r="AB81" s="25">
        <v>0.5</v>
      </c>
      <c r="AC81" s="25">
        <v>5.0520059435364058</v>
      </c>
      <c r="AD81" s="25">
        <v>0</v>
      </c>
      <c r="AE81" s="25">
        <v>45.833333333333329</v>
      </c>
      <c r="AF81" s="25">
        <v>0</v>
      </c>
      <c r="AG81" s="25">
        <v>45.833333333333329</v>
      </c>
      <c r="AH81" s="25">
        <v>20.833333333333336</v>
      </c>
      <c r="AI81" s="25">
        <v>33.333333333333329</v>
      </c>
      <c r="AJ81" s="25">
        <v>0</v>
      </c>
      <c r="AK81" s="25">
        <v>54.166666666666664</v>
      </c>
      <c r="AL81" s="25">
        <v>45.833333333333329</v>
      </c>
      <c r="AM81" s="25">
        <v>4.2500000000000003E-2</v>
      </c>
      <c r="AN81" s="25">
        <v>5.2500000000000005E-2</v>
      </c>
      <c r="AO81" s="25">
        <v>7.4999999999999997E-2</v>
      </c>
      <c r="AP81" s="25">
        <v>5.6666666666666671E-2</v>
      </c>
      <c r="AQ81" s="25">
        <v>5.4904396487195702E-2</v>
      </c>
      <c r="AR81" s="25">
        <v>0.13</v>
      </c>
      <c r="AS81" s="25">
        <v>0.12</v>
      </c>
      <c r="AT81" s="25">
        <v>0.2</v>
      </c>
      <c r="AU81" s="25">
        <v>0.2</v>
      </c>
      <c r="AV81" s="25">
        <v>12.5</v>
      </c>
      <c r="AW81" s="25">
        <v>0.16666666666666666</v>
      </c>
      <c r="AX81" s="25">
        <v>62.5</v>
      </c>
      <c r="AY81" s="25">
        <v>87.5</v>
      </c>
      <c r="AZ81" s="25">
        <v>62.5</v>
      </c>
      <c r="BA81" s="25">
        <v>70.833333333333343</v>
      </c>
      <c r="BB81" s="25">
        <v>66.666666666666657</v>
      </c>
      <c r="BC81" s="25">
        <v>0.41666666666666669</v>
      </c>
      <c r="BD81" s="25">
        <v>16.666666666666664</v>
      </c>
      <c r="BE81" s="25">
        <v>0</v>
      </c>
      <c r="BF81" s="25">
        <v>0</v>
      </c>
      <c r="BG81" s="25">
        <v>0</v>
      </c>
      <c r="BH81" s="25">
        <v>0</v>
      </c>
      <c r="BI81" s="25">
        <v>4.1666666666666664E-2</v>
      </c>
      <c r="BJ81" s="25">
        <v>1.25</v>
      </c>
      <c r="BK81" s="25">
        <v>1.5</v>
      </c>
      <c r="BL81" s="25">
        <v>0.75</v>
      </c>
      <c r="BM81" s="25">
        <v>1.1666666666666667</v>
      </c>
      <c r="BN81" s="25">
        <v>0</v>
      </c>
      <c r="BO81" s="25">
        <v>0</v>
      </c>
      <c r="BP81" s="25">
        <v>0</v>
      </c>
      <c r="BQ81" s="25">
        <v>0</v>
      </c>
      <c r="BR81" s="25">
        <v>2.25</v>
      </c>
      <c r="BS81" s="25">
        <v>3.25</v>
      </c>
      <c r="BT81" s="25">
        <v>2.5</v>
      </c>
      <c r="BU81" s="25">
        <v>2.6666666666666665</v>
      </c>
      <c r="BV81" s="25">
        <v>0</v>
      </c>
      <c r="BW81" s="25">
        <v>54.166666666666664</v>
      </c>
      <c r="BX81" s="25">
        <v>45.833333333333329</v>
      </c>
      <c r="BY81" s="25">
        <v>47.291666666666664</v>
      </c>
      <c r="BZ81" s="25">
        <v>0.58333333333333337</v>
      </c>
      <c r="CA81" s="25">
        <v>88.513513513513516</v>
      </c>
      <c r="CB81" s="25">
        <v>10.872191382354591</v>
      </c>
      <c r="CC81" s="25">
        <v>11.486486486486484</v>
      </c>
      <c r="CD81" s="25">
        <v>0</v>
      </c>
      <c r="CE81" s="25">
        <v>0</v>
      </c>
      <c r="CF81" s="25">
        <v>0</v>
      </c>
      <c r="CG81" s="25">
        <v>0</v>
      </c>
      <c r="CH81" s="25">
        <v>0</v>
      </c>
    </row>
    <row r="82" spans="1:86" ht="15.75" x14ac:dyDescent="0.25">
      <c r="A82" s="2">
        <v>80</v>
      </c>
      <c r="B82" s="2" t="s">
        <v>9</v>
      </c>
      <c r="C82" s="2">
        <v>203</v>
      </c>
      <c r="D82" s="12">
        <v>2018</v>
      </c>
      <c r="E82" s="13">
        <v>43321</v>
      </c>
      <c r="F82" s="14" t="str">
        <f t="shared" si="1"/>
        <v>18221</v>
      </c>
      <c r="G82" s="32">
        <v>11.5</v>
      </c>
      <c r="H82" s="32">
        <v>7.53</v>
      </c>
      <c r="I82" s="32">
        <v>10.94</v>
      </c>
      <c r="J82" s="25">
        <v>1509</v>
      </c>
      <c r="K82" s="25">
        <v>789</v>
      </c>
      <c r="L82" s="25">
        <v>1427</v>
      </c>
      <c r="M82" s="25">
        <v>3725</v>
      </c>
      <c r="N82" s="25">
        <v>0.59597315436241605</v>
      </c>
      <c r="O82" s="25">
        <v>6.8250000000000011</v>
      </c>
      <c r="P82" s="25">
        <v>6.2</v>
      </c>
      <c r="Q82" s="25">
        <v>6.2750000000000012</v>
      </c>
      <c r="R82" s="25">
        <v>6.4333333333333327</v>
      </c>
      <c r="S82" s="25">
        <v>1.6833369206447679</v>
      </c>
      <c r="T82" s="25">
        <v>0.41999999999999993</v>
      </c>
      <c r="U82" s="25">
        <v>0.38375000000000004</v>
      </c>
      <c r="V82" s="25">
        <v>0.43687500000000001</v>
      </c>
      <c r="W82" s="25">
        <v>0.41354166666666653</v>
      </c>
      <c r="X82" s="25">
        <v>0.20334950086869211</v>
      </c>
      <c r="Y82" s="25">
        <v>0.74</v>
      </c>
      <c r="Z82" s="25">
        <v>0.68</v>
      </c>
      <c r="AA82" s="25">
        <v>1</v>
      </c>
      <c r="AB82" s="25">
        <v>1</v>
      </c>
      <c r="AC82" s="25">
        <v>15.556675062972296</v>
      </c>
      <c r="AD82" s="25">
        <v>8.5106382978723403</v>
      </c>
      <c r="AE82" s="25">
        <v>0</v>
      </c>
      <c r="AF82" s="25">
        <v>4.2553191489361701</v>
      </c>
      <c r="AG82" s="25">
        <v>12.76595744680851</v>
      </c>
      <c r="AH82" s="25">
        <v>10.638297872340425</v>
      </c>
      <c r="AI82" s="25">
        <v>76.59574468085107</v>
      </c>
      <c r="AJ82" s="25">
        <v>0</v>
      </c>
      <c r="AK82" s="25">
        <v>87.2340425531915</v>
      </c>
      <c r="AL82" s="25">
        <v>76.59574468085107</v>
      </c>
      <c r="AM82" s="25">
        <v>0.28333333333333333</v>
      </c>
      <c r="AN82" s="25">
        <v>0.34333333333333338</v>
      </c>
      <c r="AO82" s="25">
        <v>0.39799999999999996</v>
      </c>
      <c r="AP82" s="25">
        <v>0.34937499999999999</v>
      </c>
      <c r="AQ82" s="25">
        <v>0.21239672083456607</v>
      </c>
      <c r="AR82" s="25">
        <v>0.62</v>
      </c>
      <c r="AS82" s="25">
        <v>0.71</v>
      </c>
      <c r="AT82" s="25">
        <v>0.87</v>
      </c>
      <c r="AU82" s="25">
        <v>0.87</v>
      </c>
      <c r="AV82" s="25">
        <v>45.833333333333329</v>
      </c>
      <c r="AW82" s="25">
        <v>0.5</v>
      </c>
      <c r="AX82" s="25">
        <v>0</v>
      </c>
      <c r="AY82" s="25">
        <v>12.5</v>
      </c>
      <c r="AZ82" s="25">
        <v>0</v>
      </c>
      <c r="BA82" s="25">
        <v>4.1666666666666661</v>
      </c>
      <c r="BB82" s="25">
        <v>50</v>
      </c>
      <c r="BC82" s="25">
        <v>1.5</v>
      </c>
      <c r="BD82" s="25">
        <v>50</v>
      </c>
      <c r="BE82" s="25">
        <v>1.25</v>
      </c>
      <c r="BF82" s="25">
        <v>0.375</v>
      </c>
      <c r="BG82" s="25">
        <v>0.25</v>
      </c>
      <c r="BH82" s="25">
        <v>0.625</v>
      </c>
      <c r="BI82" s="25">
        <v>1</v>
      </c>
      <c r="BJ82" s="25">
        <v>0.5</v>
      </c>
      <c r="BK82" s="25">
        <v>1.5</v>
      </c>
      <c r="BL82" s="25">
        <v>0.75</v>
      </c>
      <c r="BM82" s="25">
        <v>0.91666666666666663</v>
      </c>
      <c r="BN82" s="25">
        <v>0</v>
      </c>
      <c r="BO82" s="25">
        <v>0.5</v>
      </c>
      <c r="BP82" s="25">
        <v>0.25</v>
      </c>
      <c r="BQ82" s="25">
        <v>0.25</v>
      </c>
      <c r="BR82" s="25">
        <v>0.75</v>
      </c>
      <c r="BS82" s="25">
        <v>0</v>
      </c>
      <c r="BT82" s="25">
        <v>1.25</v>
      </c>
      <c r="BU82" s="25">
        <v>0.66666666666666663</v>
      </c>
      <c r="BV82" s="25">
        <v>8.3333333333333321</v>
      </c>
      <c r="BW82" s="25">
        <v>75</v>
      </c>
      <c r="BX82" s="25">
        <v>16.666666666666664</v>
      </c>
      <c r="BY82" s="25">
        <v>40.625</v>
      </c>
      <c r="BZ82" s="25">
        <v>1.4583333333333333</v>
      </c>
      <c r="CA82" s="25">
        <v>60.810810810810814</v>
      </c>
      <c r="CB82" s="25">
        <v>14.531738663058476</v>
      </c>
      <c r="CC82" s="25">
        <v>39.189189189189186</v>
      </c>
      <c r="CD82" s="25">
        <v>0</v>
      </c>
      <c r="CE82" s="25">
        <v>0</v>
      </c>
      <c r="CF82" s="25">
        <v>0</v>
      </c>
      <c r="CG82" s="25">
        <v>0</v>
      </c>
      <c r="CH82" s="25">
        <v>0</v>
      </c>
    </row>
    <row r="83" spans="1:86" ht="15.75" x14ac:dyDescent="0.25">
      <c r="A83" s="2">
        <v>81</v>
      </c>
      <c r="B83" s="2" t="s">
        <v>9</v>
      </c>
      <c r="C83" s="2">
        <v>204</v>
      </c>
      <c r="D83" s="12">
        <v>2018</v>
      </c>
      <c r="E83" s="13">
        <v>43284</v>
      </c>
      <c r="F83" s="14" t="str">
        <f t="shared" si="1"/>
        <v>18184</v>
      </c>
      <c r="G83" s="32">
        <v>12.5</v>
      </c>
      <c r="H83" s="32">
        <v>8.09</v>
      </c>
      <c r="I83" s="32">
        <v>9.7899999999999991</v>
      </c>
      <c r="J83" s="25">
        <v>1775</v>
      </c>
      <c r="K83" s="25">
        <v>1830</v>
      </c>
      <c r="L83" s="25">
        <v>1720</v>
      </c>
      <c r="M83" s="25">
        <v>5325</v>
      </c>
      <c r="N83" s="25">
        <v>1.7577464788732395</v>
      </c>
      <c r="O83" s="25">
        <v>4.9999999999999991</v>
      </c>
      <c r="P83" s="25">
        <v>4.3624999999999998</v>
      </c>
      <c r="Q83" s="25">
        <v>4.2750000000000004</v>
      </c>
      <c r="R83" s="25">
        <v>4.5458333333333334</v>
      </c>
      <c r="S83" s="25">
        <v>1.5511508116813513</v>
      </c>
      <c r="T83" s="25">
        <v>0.30250000000000005</v>
      </c>
      <c r="U83" s="25">
        <v>0.37249999999999994</v>
      </c>
      <c r="V83" s="25">
        <v>0.58250000000000002</v>
      </c>
      <c r="W83" s="25">
        <v>0.41916666666666652</v>
      </c>
      <c r="X83" s="25">
        <v>0.26945866290489329</v>
      </c>
      <c r="Y83" s="25">
        <v>0.86</v>
      </c>
      <c r="Z83" s="25">
        <v>0.6</v>
      </c>
      <c r="AA83" s="25">
        <v>0.92</v>
      </c>
      <c r="AB83" s="25">
        <v>0.92</v>
      </c>
      <c r="AC83" s="25">
        <v>10.844930417495034</v>
      </c>
      <c r="AD83" s="25">
        <v>0</v>
      </c>
      <c r="AE83" s="25">
        <v>25</v>
      </c>
      <c r="AF83" s="25">
        <v>0</v>
      </c>
      <c r="AG83" s="25">
        <v>25</v>
      </c>
      <c r="AH83" s="25">
        <v>0</v>
      </c>
      <c r="AI83" s="25">
        <v>75</v>
      </c>
      <c r="AJ83" s="25">
        <v>0</v>
      </c>
      <c r="AK83" s="25">
        <v>75</v>
      </c>
      <c r="AL83" s="25">
        <v>75</v>
      </c>
      <c r="AM83" s="25">
        <v>0.21000000000000002</v>
      </c>
      <c r="AN83" s="25">
        <v>0.20250000000000001</v>
      </c>
      <c r="AO83" s="25">
        <v>0.20375000000000001</v>
      </c>
      <c r="AP83" s="25">
        <v>0.20541666666666666</v>
      </c>
      <c r="AQ83" s="25">
        <v>0.22463456636456711</v>
      </c>
      <c r="AR83" s="25">
        <v>0.41</v>
      </c>
      <c r="AS83" s="25">
        <v>0.61</v>
      </c>
      <c r="AT83" s="25">
        <v>0.89</v>
      </c>
      <c r="AU83" s="25">
        <v>0.89</v>
      </c>
      <c r="AV83" s="25">
        <v>20.833333333333336</v>
      </c>
      <c r="AW83" s="25">
        <v>0.25</v>
      </c>
      <c r="AX83" s="25">
        <v>37.5</v>
      </c>
      <c r="AY83" s="25">
        <v>62.5</v>
      </c>
      <c r="AZ83" s="25">
        <v>62.5</v>
      </c>
      <c r="BA83" s="25">
        <v>54.166666666666664</v>
      </c>
      <c r="BB83" s="25">
        <v>50</v>
      </c>
      <c r="BC83" s="25">
        <v>0.58333333333333337</v>
      </c>
      <c r="BD83" s="25">
        <v>25</v>
      </c>
      <c r="BE83" s="25">
        <v>0.125</v>
      </c>
      <c r="BF83" s="25">
        <v>0.125</v>
      </c>
      <c r="BG83" s="25">
        <v>0.125</v>
      </c>
      <c r="BH83" s="25">
        <v>0.125</v>
      </c>
      <c r="BI83" s="25">
        <v>1</v>
      </c>
      <c r="BJ83" s="25">
        <v>0.75</v>
      </c>
      <c r="BK83" s="25">
        <v>1</v>
      </c>
      <c r="BL83" s="25">
        <v>1.25</v>
      </c>
      <c r="BM83" s="25">
        <v>1</v>
      </c>
      <c r="BN83" s="25">
        <v>0.25</v>
      </c>
      <c r="BO83" s="25">
        <v>0</v>
      </c>
      <c r="BP83" s="25">
        <v>0</v>
      </c>
      <c r="BQ83" s="25">
        <v>8.3333333333333329E-2</v>
      </c>
      <c r="BR83" s="25">
        <v>3</v>
      </c>
      <c r="BS83" s="25">
        <v>2.25</v>
      </c>
      <c r="BT83" s="25">
        <v>3.25</v>
      </c>
      <c r="BU83" s="25">
        <v>2.8333333333333335</v>
      </c>
      <c r="BV83" s="25">
        <v>4.1666666666666661</v>
      </c>
      <c r="BW83" s="25">
        <v>54.166666666666664</v>
      </c>
      <c r="BX83" s="25">
        <v>41.666666666666671</v>
      </c>
      <c r="BY83" s="25">
        <v>48.75</v>
      </c>
      <c r="BZ83" s="25">
        <v>0.91666666666666663</v>
      </c>
      <c r="CA83" s="25">
        <v>34.384384384384383</v>
      </c>
      <c r="CB83" s="25">
        <v>14.290078698395934</v>
      </c>
      <c r="CC83" s="25">
        <v>65.61561561561561</v>
      </c>
      <c r="CD83" s="25">
        <v>0</v>
      </c>
      <c r="CE83" s="25">
        <v>0</v>
      </c>
      <c r="CF83" s="25">
        <v>0</v>
      </c>
      <c r="CG83" s="25">
        <v>0</v>
      </c>
      <c r="CH83" s="25">
        <v>0</v>
      </c>
    </row>
    <row r="84" spans="1:86" ht="15.75" x14ac:dyDescent="0.25">
      <c r="A84" s="2">
        <v>82</v>
      </c>
      <c r="B84" s="2" t="s">
        <v>10</v>
      </c>
      <c r="C84" s="2">
        <v>5</v>
      </c>
      <c r="D84" s="12">
        <v>2018</v>
      </c>
      <c r="E84" s="13">
        <v>43314</v>
      </c>
      <c r="F84" s="14" t="str">
        <f t="shared" si="1"/>
        <v>18214</v>
      </c>
      <c r="G84" s="32">
        <v>16.899999999999999</v>
      </c>
      <c r="H84" s="32">
        <v>8.4600000000000009</v>
      </c>
      <c r="I84" s="32">
        <v>12.22</v>
      </c>
      <c r="J84" s="25">
        <v>593</v>
      </c>
      <c r="K84" s="25">
        <v>713</v>
      </c>
      <c r="L84" s="25">
        <v>653</v>
      </c>
      <c r="M84" s="25">
        <v>1959</v>
      </c>
      <c r="N84" s="25">
        <v>6.1255742725880552E-2</v>
      </c>
      <c r="O84" s="25">
        <v>2.4499999999999997</v>
      </c>
      <c r="P84" s="25">
        <v>2.6999999999999997</v>
      </c>
      <c r="Q84" s="25">
        <v>3.4999999999999996</v>
      </c>
      <c r="R84" s="25">
        <v>2.8833333333333342</v>
      </c>
      <c r="S84" s="25">
        <v>0.96082693852592138</v>
      </c>
      <c r="T84" s="25">
        <v>0.11833333333333335</v>
      </c>
      <c r="U84" s="25">
        <v>0.13499999999999998</v>
      </c>
      <c r="V84" s="25">
        <v>0.18500000000000003</v>
      </c>
      <c r="W84" s="25">
        <v>0.14611111111111114</v>
      </c>
      <c r="X84" s="25">
        <v>7.9112136608298952E-2</v>
      </c>
      <c r="Y84" s="25">
        <v>0.3</v>
      </c>
      <c r="Z84" s="25">
        <v>0.34</v>
      </c>
      <c r="AA84" s="25">
        <v>0.36</v>
      </c>
      <c r="AB84" s="25">
        <v>0.36</v>
      </c>
      <c r="AC84" s="25">
        <v>19.733840304182511</v>
      </c>
      <c r="AD84" s="25">
        <v>5.5555555555555554</v>
      </c>
      <c r="AE84" s="25">
        <v>13.888888888888889</v>
      </c>
      <c r="AF84" s="25">
        <v>0</v>
      </c>
      <c r="AG84" s="25">
        <v>19.444444444444443</v>
      </c>
      <c r="AH84" s="25">
        <v>2.7777777777777777</v>
      </c>
      <c r="AI84" s="25">
        <v>77.777777777777786</v>
      </c>
      <c r="AJ84" s="25">
        <v>0</v>
      </c>
      <c r="AK84" s="25">
        <v>80.555555555555557</v>
      </c>
      <c r="AL84" s="25">
        <v>77.777777777777786</v>
      </c>
      <c r="AM84" s="25">
        <v>0.22090909090909089</v>
      </c>
      <c r="AN84" s="25">
        <v>0.12636363636363637</v>
      </c>
      <c r="AO84" s="25">
        <v>0.10909090909090911</v>
      </c>
      <c r="AP84" s="25">
        <v>0.14999999999999997</v>
      </c>
      <c r="AQ84" s="25">
        <v>0.17647338933351153</v>
      </c>
      <c r="AR84" s="25">
        <v>0.69</v>
      </c>
      <c r="AS84" s="25">
        <v>0.51</v>
      </c>
      <c r="AT84" s="25">
        <v>0.41</v>
      </c>
      <c r="AU84" s="25">
        <v>0.69</v>
      </c>
      <c r="AV84" s="25">
        <v>20.833333333333336</v>
      </c>
      <c r="AW84" s="25">
        <v>0.20833333333333334</v>
      </c>
      <c r="AX84" s="25">
        <v>37.5</v>
      </c>
      <c r="AY84" s="25">
        <v>75</v>
      </c>
      <c r="AZ84" s="25">
        <v>62.5</v>
      </c>
      <c r="BA84" s="25">
        <v>58.333333333333336</v>
      </c>
      <c r="BB84" s="25">
        <v>33.333333333333329</v>
      </c>
      <c r="BC84" s="25">
        <v>1</v>
      </c>
      <c r="BD84" s="25">
        <v>16.666666666666664</v>
      </c>
      <c r="BE84" s="25">
        <v>0.5</v>
      </c>
      <c r="BF84" s="25">
        <v>0.625</v>
      </c>
      <c r="BG84" s="25">
        <v>0.75</v>
      </c>
      <c r="BH84" s="25">
        <v>0.625</v>
      </c>
      <c r="BI84" s="25">
        <v>1.0833333333333333</v>
      </c>
      <c r="BJ84" s="25">
        <v>0.25</v>
      </c>
      <c r="BK84" s="25">
        <v>0</v>
      </c>
      <c r="BL84" s="25">
        <v>0</v>
      </c>
      <c r="BM84" s="25">
        <v>8.3333333333333329E-2</v>
      </c>
      <c r="BN84" s="25">
        <v>1.25</v>
      </c>
      <c r="BO84" s="25">
        <v>0.75</v>
      </c>
      <c r="BP84" s="25">
        <v>1.5</v>
      </c>
      <c r="BQ84" s="25">
        <v>1.1666666666666667</v>
      </c>
      <c r="BR84" s="25">
        <v>0.25</v>
      </c>
      <c r="BS84" s="25">
        <v>0.5</v>
      </c>
      <c r="BT84" s="25">
        <v>1</v>
      </c>
      <c r="BU84" s="25">
        <v>0.58333333333333337</v>
      </c>
      <c r="BV84" s="25">
        <v>4.1666666666666661</v>
      </c>
      <c r="BW84" s="25">
        <v>91.666666666666657</v>
      </c>
      <c r="BX84" s="25">
        <v>4.1666666666666661</v>
      </c>
      <c r="BY84" s="25">
        <v>32.5</v>
      </c>
      <c r="BZ84" s="25">
        <v>1.25</v>
      </c>
      <c r="CA84" s="25">
        <v>9.9849849849849868</v>
      </c>
      <c r="CB84" s="25">
        <v>6.9644790367958072</v>
      </c>
      <c r="CC84" s="25">
        <v>90.01501501501501</v>
      </c>
      <c r="CD84" s="25">
        <v>0</v>
      </c>
      <c r="CE84" s="25">
        <v>0</v>
      </c>
      <c r="CF84" s="25">
        <v>0</v>
      </c>
      <c r="CG84" s="25">
        <v>0</v>
      </c>
      <c r="CH84" s="25">
        <v>0</v>
      </c>
    </row>
    <row r="85" spans="1:86" ht="15.75" x14ac:dyDescent="0.25">
      <c r="A85" s="2">
        <v>83</v>
      </c>
      <c r="B85" s="2" t="s">
        <v>10</v>
      </c>
      <c r="C85" s="2">
        <v>8</v>
      </c>
      <c r="D85" s="12">
        <v>2018</v>
      </c>
      <c r="E85" s="13">
        <v>43356</v>
      </c>
      <c r="F85" s="14" t="str">
        <f t="shared" si="1"/>
        <v>18256</v>
      </c>
      <c r="G85" s="32">
        <v>16.3</v>
      </c>
      <c r="H85" s="32">
        <v>8.32</v>
      </c>
      <c r="I85" s="32">
        <v>13.7</v>
      </c>
      <c r="J85" s="25">
        <v>364</v>
      </c>
      <c r="K85" s="25">
        <v>455</v>
      </c>
      <c r="L85" s="25">
        <v>437</v>
      </c>
      <c r="M85" s="25">
        <v>1256</v>
      </c>
      <c r="N85" s="25">
        <v>0</v>
      </c>
      <c r="O85" s="25">
        <v>2.7500000000000004</v>
      </c>
      <c r="P85" s="25">
        <v>2.5</v>
      </c>
      <c r="Q85" s="25">
        <v>3.4250000000000003</v>
      </c>
      <c r="R85" s="25">
        <v>2.8916666666666662</v>
      </c>
      <c r="S85" s="25">
        <v>0.77230128535586506</v>
      </c>
      <c r="T85" s="25">
        <v>0.15916666666666668</v>
      </c>
      <c r="U85" s="25">
        <v>0.17000000000000004</v>
      </c>
      <c r="V85" s="25">
        <v>0.12249999999999998</v>
      </c>
      <c r="W85" s="25">
        <v>0.15055555555555561</v>
      </c>
      <c r="X85" s="25">
        <v>9.4625410191809686E-2</v>
      </c>
      <c r="Y85" s="25">
        <v>0.38</v>
      </c>
      <c r="Z85" s="25">
        <v>0.4</v>
      </c>
      <c r="AA85" s="25">
        <v>0.3</v>
      </c>
      <c r="AB85" s="25">
        <v>0.4</v>
      </c>
      <c r="AC85" s="25">
        <v>19.206642066420653</v>
      </c>
      <c r="AD85" s="25">
        <v>0</v>
      </c>
      <c r="AE85" s="25">
        <v>9.375</v>
      </c>
      <c r="AF85" s="25">
        <v>3.125</v>
      </c>
      <c r="AG85" s="25">
        <v>12.5</v>
      </c>
      <c r="AH85" s="25">
        <v>28.125</v>
      </c>
      <c r="AI85" s="25">
        <v>59.375</v>
      </c>
      <c r="AJ85" s="25">
        <v>0</v>
      </c>
      <c r="AK85" s="25">
        <v>87.5</v>
      </c>
      <c r="AL85" s="25">
        <v>59.375</v>
      </c>
      <c r="AM85" s="25">
        <v>0.15666666666666665</v>
      </c>
      <c r="AN85" s="25">
        <v>0.18500000000000003</v>
      </c>
      <c r="AO85" s="25">
        <v>0.17666666666666667</v>
      </c>
      <c r="AP85" s="25">
        <v>0.17277777777777775</v>
      </c>
      <c r="AQ85" s="25">
        <v>0.13863850446623743</v>
      </c>
      <c r="AR85" s="25">
        <v>0.3</v>
      </c>
      <c r="AS85" s="25">
        <v>0.62</v>
      </c>
      <c r="AT85" s="25">
        <v>0.3</v>
      </c>
      <c r="AU85" s="25">
        <v>0.62</v>
      </c>
      <c r="AV85" s="25">
        <v>66.666666666666657</v>
      </c>
      <c r="AW85" s="25">
        <v>0.16666666666666666</v>
      </c>
      <c r="AX85" s="25">
        <v>25</v>
      </c>
      <c r="AY85" s="25">
        <v>12.5</v>
      </c>
      <c r="AZ85" s="25">
        <v>12.5</v>
      </c>
      <c r="BA85" s="25">
        <v>16.666666666666664</v>
      </c>
      <c r="BB85" s="25">
        <v>66.666666666666657</v>
      </c>
      <c r="BC85" s="25">
        <v>0.83333333333333337</v>
      </c>
      <c r="BD85" s="25">
        <v>16.666666666666664</v>
      </c>
      <c r="BE85" s="25">
        <v>0.25</v>
      </c>
      <c r="BF85" s="25">
        <v>0.25</v>
      </c>
      <c r="BG85" s="25">
        <v>0.25</v>
      </c>
      <c r="BH85" s="25">
        <v>0.25</v>
      </c>
      <c r="BI85" s="25">
        <v>0.625</v>
      </c>
      <c r="BJ85" s="25">
        <v>0.25</v>
      </c>
      <c r="BK85" s="25">
        <v>0.5</v>
      </c>
      <c r="BL85" s="25">
        <v>0</v>
      </c>
      <c r="BM85" s="25">
        <v>0.25</v>
      </c>
      <c r="BN85" s="25">
        <v>0.75</v>
      </c>
      <c r="BO85" s="25">
        <v>0.75</v>
      </c>
      <c r="BP85" s="25">
        <v>2.5</v>
      </c>
      <c r="BQ85" s="25">
        <v>1.3333333333333333</v>
      </c>
      <c r="BR85" s="25">
        <v>0.5</v>
      </c>
      <c r="BS85" s="25">
        <v>0.75</v>
      </c>
      <c r="BT85" s="25">
        <v>0.5</v>
      </c>
      <c r="BU85" s="25">
        <v>0.58333333333333337</v>
      </c>
      <c r="BV85" s="25">
        <v>16.666666666666664</v>
      </c>
      <c r="BW85" s="25">
        <v>66.666666666666657</v>
      </c>
      <c r="BX85" s="25">
        <v>16.666666666666664</v>
      </c>
      <c r="BY85" s="25">
        <v>33.958333333333336</v>
      </c>
      <c r="BZ85" s="25">
        <v>1.125</v>
      </c>
      <c r="CA85" s="25">
        <v>16.816816816816818</v>
      </c>
      <c r="CB85" s="25">
        <v>6.3835105035713964</v>
      </c>
      <c r="CC85" s="25">
        <v>83.183183183183189</v>
      </c>
      <c r="CD85" s="25">
        <v>0</v>
      </c>
      <c r="CE85" s="25">
        <v>0</v>
      </c>
      <c r="CF85" s="25">
        <v>0</v>
      </c>
      <c r="CG85" s="25">
        <v>0</v>
      </c>
      <c r="CH85" s="25">
        <v>0</v>
      </c>
    </row>
    <row r="86" spans="1:86" ht="15.75" x14ac:dyDescent="0.25">
      <c r="A86" s="2">
        <v>84</v>
      </c>
      <c r="B86" s="2" t="s">
        <v>10</v>
      </c>
      <c r="C86" s="2">
        <v>10</v>
      </c>
      <c r="D86" s="12">
        <v>2018</v>
      </c>
      <c r="E86" s="13">
        <v>43328</v>
      </c>
      <c r="F86" s="14" t="str">
        <f t="shared" si="1"/>
        <v>18228</v>
      </c>
      <c r="G86" s="32">
        <v>12.2</v>
      </c>
      <c r="H86" s="32">
        <v>7.73</v>
      </c>
      <c r="I86" s="32">
        <v>12.74</v>
      </c>
      <c r="J86" s="25">
        <v>272</v>
      </c>
      <c r="K86" s="25">
        <v>306</v>
      </c>
      <c r="L86" s="25">
        <v>333</v>
      </c>
      <c r="M86" s="25">
        <v>911</v>
      </c>
      <c r="N86" s="25">
        <v>0</v>
      </c>
      <c r="O86" s="25">
        <v>3.1124999999999994</v>
      </c>
      <c r="P86" s="25">
        <v>2.7125000000000004</v>
      </c>
      <c r="Q86" s="25">
        <v>2.875</v>
      </c>
      <c r="R86" s="25">
        <v>2.9</v>
      </c>
      <c r="S86" s="25">
        <v>1.0986157297886885</v>
      </c>
      <c r="T86" s="25">
        <v>0.16</v>
      </c>
      <c r="U86" s="25">
        <v>0.11600000000000002</v>
      </c>
      <c r="V86" s="25">
        <v>0.12545454545454546</v>
      </c>
      <c r="W86" s="25">
        <v>0.13172413793103452</v>
      </c>
      <c r="X86" s="25">
        <v>5.4580802846869676E-2</v>
      </c>
      <c r="Y86" s="25">
        <v>0.24</v>
      </c>
      <c r="Z86" s="25">
        <v>0.19</v>
      </c>
      <c r="AA86" s="25">
        <v>0.22</v>
      </c>
      <c r="AB86" s="25">
        <v>0.24</v>
      </c>
      <c r="AC86" s="25">
        <v>22.015706806282715</v>
      </c>
      <c r="AD86" s="25">
        <v>0</v>
      </c>
      <c r="AE86" s="25">
        <v>11.111111111111111</v>
      </c>
      <c r="AF86" s="25">
        <v>11.111111111111111</v>
      </c>
      <c r="AG86" s="25">
        <v>22.222222222222221</v>
      </c>
      <c r="AH86" s="25">
        <v>7.4074074074074066</v>
      </c>
      <c r="AI86" s="25">
        <v>70.370370370370367</v>
      </c>
      <c r="AJ86" s="25">
        <v>0</v>
      </c>
      <c r="AK86" s="25">
        <v>77.777777777777771</v>
      </c>
      <c r="AL86" s="25">
        <v>70.370370370370367</v>
      </c>
      <c r="AM86" s="25">
        <v>0.17625000000000002</v>
      </c>
      <c r="AN86" s="25">
        <v>0.17</v>
      </c>
      <c r="AO86" s="25">
        <v>0.11099999999999999</v>
      </c>
      <c r="AP86" s="25">
        <v>0.19</v>
      </c>
      <c r="AQ86" s="25">
        <v>0.21505813167606569</v>
      </c>
      <c r="AR86" s="25">
        <v>0.39</v>
      </c>
      <c r="AS86" s="25">
        <v>0.39</v>
      </c>
      <c r="AT86" s="25">
        <v>0.38</v>
      </c>
      <c r="AU86" s="25">
        <v>0.39</v>
      </c>
      <c r="AV86" s="25">
        <v>50</v>
      </c>
      <c r="AW86" s="25">
        <v>0.29166666666666669</v>
      </c>
      <c r="AX86" s="25">
        <v>37.5</v>
      </c>
      <c r="AY86" s="25">
        <v>0</v>
      </c>
      <c r="AZ86" s="25">
        <v>25</v>
      </c>
      <c r="BA86" s="25">
        <v>20.833333333333336</v>
      </c>
      <c r="BB86" s="25">
        <v>50</v>
      </c>
      <c r="BC86" s="25">
        <v>1</v>
      </c>
      <c r="BD86" s="25">
        <v>8.3333333333333321</v>
      </c>
      <c r="BE86" s="25">
        <v>0.125</v>
      </c>
      <c r="BF86" s="25">
        <v>0</v>
      </c>
      <c r="BG86" s="25">
        <v>0.25</v>
      </c>
      <c r="BH86" s="25">
        <v>0.125</v>
      </c>
      <c r="BI86" s="25">
        <v>0.91666666666666663</v>
      </c>
      <c r="BJ86" s="25">
        <v>0.25</v>
      </c>
      <c r="BK86" s="25">
        <v>0.25</v>
      </c>
      <c r="BL86" s="25">
        <v>0.75</v>
      </c>
      <c r="BM86" s="25">
        <v>0.41666666666666669</v>
      </c>
      <c r="BN86" s="25">
        <v>1</v>
      </c>
      <c r="BO86" s="25">
        <v>2.5</v>
      </c>
      <c r="BP86" s="25">
        <v>2.25</v>
      </c>
      <c r="BQ86" s="25">
        <v>1.9166666666666667</v>
      </c>
      <c r="BR86" s="25">
        <v>0</v>
      </c>
      <c r="BS86" s="25">
        <v>0.5</v>
      </c>
      <c r="BT86" s="25">
        <v>0.75</v>
      </c>
      <c r="BU86" s="25">
        <v>0.41666666666666669</v>
      </c>
      <c r="BV86" s="25">
        <v>54.166666666666664</v>
      </c>
      <c r="BW86" s="25">
        <v>41.666666666666671</v>
      </c>
      <c r="BX86" s="25">
        <v>4.1666666666666661</v>
      </c>
      <c r="BY86" s="25">
        <v>20.583333333333332</v>
      </c>
      <c r="BZ86" s="25">
        <v>1.3333333333333333</v>
      </c>
      <c r="CA86" s="25">
        <v>3.1531531531531534</v>
      </c>
      <c r="CB86" s="25">
        <v>2.1509153357603816</v>
      </c>
      <c r="CC86" s="25">
        <v>96.846846846846844</v>
      </c>
      <c r="CD86" s="25">
        <v>0</v>
      </c>
      <c r="CE86" s="25">
        <v>0</v>
      </c>
      <c r="CF86" s="25">
        <v>0</v>
      </c>
      <c r="CG86" s="25">
        <v>0</v>
      </c>
      <c r="CH86" s="25">
        <v>0</v>
      </c>
    </row>
    <row r="87" spans="1:86" ht="15.75" x14ac:dyDescent="0.25">
      <c r="A87" s="2">
        <v>85</v>
      </c>
      <c r="B87" s="2" t="s">
        <v>10</v>
      </c>
      <c r="C87" s="2">
        <v>17</v>
      </c>
      <c r="D87" s="12">
        <v>2018</v>
      </c>
      <c r="E87" s="13">
        <v>43356</v>
      </c>
      <c r="F87" s="14" t="str">
        <f t="shared" si="1"/>
        <v>18256</v>
      </c>
      <c r="G87" s="32">
        <v>13.9</v>
      </c>
      <c r="H87" s="32">
        <v>8.32</v>
      </c>
      <c r="I87" s="32">
        <v>11.65</v>
      </c>
      <c r="J87" s="25">
        <v>888</v>
      </c>
      <c r="K87" s="25">
        <v>786</v>
      </c>
      <c r="L87" s="25">
        <v>813</v>
      </c>
      <c r="M87" s="25">
        <v>2487</v>
      </c>
      <c r="N87" s="25">
        <v>7.2376357056694818E-2</v>
      </c>
      <c r="O87" s="25">
        <v>5.2874999999999996</v>
      </c>
      <c r="P87" s="25">
        <v>4.9124999999999996</v>
      </c>
      <c r="Q87" s="25">
        <v>4.1999999999999993</v>
      </c>
      <c r="R87" s="25">
        <v>4.8000000000000016</v>
      </c>
      <c r="S87" s="25">
        <v>1.8308942932467371</v>
      </c>
      <c r="T87" s="25">
        <v>0.21312500000000004</v>
      </c>
      <c r="U87" s="25">
        <v>0.23999999999999996</v>
      </c>
      <c r="V87" s="25">
        <v>0.25875000000000004</v>
      </c>
      <c r="W87" s="25">
        <v>0.23723404255319153</v>
      </c>
      <c r="X87" s="25">
        <v>0.15364699982440799</v>
      </c>
      <c r="Y87" s="25">
        <v>0.59</v>
      </c>
      <c r="Z87" s="25">
        <v>0.72</v>
      </c>
      <c r="AA87" s="25">
        <v>0.57999999999999996</v>
      </c>
      <c r="AB87" s="25">
        <v>0.72</v>
      </c>
      <c r="AC87" s="25">
        <v>20.233183856502247</v>
      </c>
      <c r="AD87" s="25">
        <v>0</v>
      </c>
      <c r="AE87" s="25">
        <v>9.5238095238095237</v>
      </c>
      <c r="AF87" s="25">
        <v>7.1428571428571423</v>
      </c>
      <c r="AG87" s="25">
        <v>16.666666666666664</v>
      </c>
      <c r="AH87" s="25">
        <v>0</v>
      </c>
      <c r="AI87" s="25">
        <v>80.952380952380949</v>
      </c>
      <c r="AJ87" s="25">
        <v>2.3809523809523809</v>
      </c>
      <c r="AK87" s="25">
        <v>83.333333333333329</v>
      </c>
      <c r="AL87" s="25">
        <v>80.952380952380949</v>
      </c>
      <c r="AM87" s="25">
        <v>0.18999999999999995</v>
      </c>
      <c r="AN87" s="25">
        <v>0.13799999999999998</v>
      </c>
      <c r="AO87" s="25">
        <v>0.19874999999999995</v>
      </c>
      <c r="AP87" s="25">
        <v>0.17638297872340425</v>
      </c>
      <c r="AQ87" s="25">
        <v>0.15216446382714946</v>
      </c>
      <c r="AR87" s="25">
        <v>0.56999999999999995</v>
      </c>
      <c r="AS87" s="25">
        <v>0.4</v>
      </c>
      <c r="AT87" s="25">
        <v>0.53</v>
      </c>
      <c r="AU87" s="25">
        <v>0.56999999999999995</v>
      </c>
      <c r="AV87" s="25">
        <v>41.666666666666671</v>
      </c>
      <c r="AW87" s="25">
        <v>0.20833333333333334</v>
      </c>
      <c r="AX87" s="25">
        <v>37.5</v>
      </c>
      <c r="AY87" s="25">
        <v>37.5</v>
      </c>
      <c r="AZ87" s="25">
        <v>37.5</v>
      </c>
      <c r="BA87" s="25">
        <v>37.5</v>
      </c>
      <c r="BB87" s="25">
        <v>41.666666666666671</v>
      </c>
      <c r="BC87" s="25">
        <v>1</v>
      </c>
      <c r="BD87" s="25">
        <v>25</v>
      </c>
      <c r="BE87" s="25">
        <v>0.625</v>
      </c>
      <c r="BF87" s="25">
        <v>0.625</v>
      </c>
      <c r="BG87" s="25">
        <v>0.75</v>
      </c>
      <c r="BH87" s="25">
        <v>0.66666666666666663</v>
      </c>
      <c r="BI87" s="25">
        <v>1.0416666666666667</v>
      </c>
      <c r="BJ87" s="25">
        <v>0.5</v>
      </c>
      <c r="BK87" s="25">
        <v>0.25</v>
      </c>
      <c r="BL87" s="25">
        <v>0.75</v>
      </c>
      <c r="BM87" s="25">
        <v>0.5</v>
      </c>
      <c r="BN87" s="25">
        <v>0.75</v>
      </c>
      <c r="BO87" s="25">
        <v>2</v>
      </c>
      <c r="BP87" s="25">
        <v>1</v>
      </c>
      <c r="BQ87" s="25">
        <v>1.25</v>
      </c>
      <c r="BR87" s="25">
        <v>1</v>
      </c>
      <c r="BS87" s="25">
        <v>1.25</v>
      </c>
      <c r="BT87" s="25">
        <v>2</v>
      </c>
      <c r="BU87" s="25">
        <v>1.4166666666666667</v>
      </c>
      <c r="BV87" s="25">
        <v>25</v>
      </c>
      <c r="BW87" s="25">
        <v>58.333333333333336</v>
      </c>
      <c r="BX87" s="25">
        <v>16.666666666666664</v>
      </c>
      <c r="BY87" s="25">
        <v>32.083333333333336</v>
      </c>
      <c r="BZ87" s="25">
        <v>0.41666666666666669</v>
      </c>
      <c r="CA87" s="25">
        <v>18.918918918918919</v>
      </c>
      <c r="CB87" s="25">
        <v>6.2335497797918364</v>
      </c>
      <c r="CC87" s="25">
        <v>81.081081081081081</v>
      </c>
      <c r="CD87" s="25">
        <v>0</v>
      </c>
      <c r="CE87" s="25">
        <v>0</v>
      </c>
      <c r="CF87" s="25">
        <v>0</v>
      </c>
      <c r="CG87" s="25">
        <v>0</v>
      </c>
      <c r="CH87" s="25">
        <v>0</v>
      </c>
    </row>
    <row r="88" spans="1:86" ht="15.75" x14ac:dyDescent="0.25">
      <c r="A88" s="2">
        <v>86</v>
      </c>
      <c r="B88" s="2" t="s">
        <v>10</v>
      </c>
      <c r="C88" s="2" t="s">
        <v>11</v>
      </c>
      <c r="D88" s="12">
        <v>2018</v>
      </c>
      <c r="E88" s="13">
        <v>43328</v>
      </c>
      <c r="F88" s="14" t="str">
        <f t="shared" si="1"/>
        <v>18228</v>
      </c>
      <c r="G88" s="32">
        <v>16</v>
      </c>
      <c r="H88" s="32">
        <v>8.07</v>
      </c>
      <c r="I88" s="32">
        <v>11.17</v>
      </c>
      <c r="J88" s="25">
        <v>283</v>
      </c>
      <c r="K88" s="25">
        <v>353</v>
      </c>
      <c r="L88" s="25">
        <v>384</v>
      </c>
      <c r="M88" s="25">
        <v>1020</v>
      </c>
      <c r="N88" s="25">
        <v>0</v>
      </c>
      <c r="O88" s="25">
        <v>1.675</v>
      </c>
      <c r="P88" s="25">
        <v>1.6749999999999998</v>
      </c>
      <c r="Q88" s="25">
        <v>2.375</v>
      </c>
      <c r="R88" s="25">
        <v>1.9083333333333332</v>
      </c>
      <c r="S88" s="25">
        <v>0.52743568877835878</v>
      </c>
      <c r="T88" s="25">
        <v>0.22999999999999998</v>
      </c>
      <c r="U88" s="25">
        <v>0.21600000000000003</v>
      </c>
      <c r="V88" s="25">
        <v>0.26285714285714284</v>
      </c>
      <c r="W88" s="25">
        <v>0.23941176470588238</v>
      </c>
      <c r="X88" s="25">
        <v>7.8583720130308898E-2</v>
      </c>
      <c r="Y88" s="25">
        <v>0.3</v>
      </c>
      <c r="Z88" s="25">
        <v>0.3</v>
      </c>
      <c r="AA88" s="25">
        <v>0.38</v>
      </c>
      <c r="AB88" s="25">
        <v>0.38</v>
      </c>
      <c r="AC88" s="25">
        <v>7.9709254709254695</v>
      </c>
      <c r="AD88" s="25">
        <v>2.9411764705882351</v>
      </c>
      <c r="AE88" s="25">
        <v>50</v>
      </c>
      <c r="AF88" s="25">
        <v>8.8235294117647065</v>
      </c>
      <c r="AG88" s="25">
        <v>61.764705882352942</v>
      </c>
      <c r="AH88" s="25">
        <v>14.705882352941178</v>
      </c>
      <c r="AI88" s="25">
        <v>23.52941176470588</v>
      </c>
      <c r="AJ88" s="25">
        <v>0</v>
      </c>
      <c r="AK88" s="25">
        <v>38.235294117647058</v>
      </c>
      <c r="AL88" s="25">
        <v>50</v>
      </c>
      <c r="AM88" s="25">
        <v>6.7777777777777784E-2</v>
      </c>
      <c r="AN88" s="25">
        <v>0.15333333333333332</v>
      </c>
      <c r="AO88" s="25">
        <v>4.4615384615384626E-2</v>
      </c>
      <c r="AP88" s="25">
        <v>8.5882352941176465E-2</v>
      </c>
      <c r="AQ88" s="25">
        <v>0.11297942014417534</v>
      </c>
      <c r="AR88" s="25">
        <v>0.18</v>
      </c>
      <c r="AS88" s="25">
        <v>0.57999999999999996</v>
      </c>
      <c r="AT88" s="25">
        <v>0.17</v>
      </c>
      <c r="AU88" s="25">
        <v>0.57999999999999996</v>
      </c>
      <c r="AV88" s="25">
        <v>8.3333333333333321</v>
      </c>
      <c r="AW88" s="25">
        <v>0.41666666666666669</v>
      </c>
      <c r="AX88" s="25">
        <v>37.5</v>
      </c>
      <c r="AY88" s="25">
        <v>37.5</v>
      </c>
      <c r="AZ88" s="25">
        <v>75</v>
      </c>
      <c r="BA88" s="25">
        <v>50</v>
      </c>
      <c r="BB88" s="25">
        <v>41.666666666666671</v>
      </c>
      <c r="BC88" s="25">
        <v>0.16666666666666666</v>
      </c>
      <c r="BD88" s="25">
        <v>8.3333333333333321</v>
      </c>
      <c r="BE88" s="25">
        <v>0.125</v>
      </c>
      <c r="BF88" s="25">
        <v>0.125</v>
      </c>
      <c r="BG88" s="25">
        <v>0</v>
      </c>
      <c r="BH88" s="25">
        <v>8.3333333333333329E-2</v>
      </c>
      <c r="BI88" s="25">
        <v>8.3333333333333329E-2</v>
      </c>
      <c r="BJ88" s="25">
        <v>1.25</v>
      </c>
      <c r="BK88" s="25">
        <v>2.5</v>
      </c>
      <c r="BL88" s="25">
        <v>1.75</v>
      </c>
      <c r="BM88" s="25">
        <v>1.8333333333333333</v>
      </c>
      <c r="BN88" s="25">
        <v>0</v>
      </c>
      <c r="BO88" s="25">
        <v>0</v>
      </c>
      <c r="BP88" s="25">
        <v>0</v>
      </c>
      <c r="BQ88" s="25">
        <v>0</v>
      </c>
      <c r="BR88" s="25">
        <v>1.75</v>
      </c>
      <c r="BS88" s="25">
        <v>2.25</v>
      </c>
      <c r="BT88" s="25">
        <v>2.5</v>
      </c>
      <c r="BU88" s="25">
        <v>2.1666666666666665</v>
      </c>
      <c r="BV88" s="25">
        <v>0</v>
      </c>
      <c r="BW88" s="25">
        <v>66.666666666666657</v>
      </c>
      <c r="BX88" s="25">
        <v>33.333333333333329</v>
      </c>
      <c r="BY88" s="25">
        <v>47.083333333333336</v>
      </c>
      <c r="BZ88" s="25">
        <v>0.41666666666666669</v>
      </c>
      <c r="CA88" s="25">
        <v>43.693693693693696</v>
      </c>
      <c r="CB88" s="25">
        <v>10.294222384073194</v>
      </c>
      <c r="CC88" s="25">
        <v>56.306306306306304</v>
      </c>
      <c r="CD88" s="25">
        <v>0</v>
      </c>
      <c r="CE88" s="25">
        <v>0</v>
      </c>
      <c r="CF88" s="25">
        <v>0</v>
      </c>
      <c r="CG88" s="25">
        <v>0</v>
      </c>
      <c r="CH88" s="25">
        <v>0</v>
      </c>
    </row>
    <row r="89" spans="1:86" ht="15.75" x14ac:dyDescent="0.25">
      <c r="A89" s="2">
        <v>87</v>
      </c>
      <c r="B89" s="2" t="s">
        <v>10</v>
      </c>
      <c r="C89" s="2">
        <v>24</v>
      </c>
      <c r="D89" s="12">
        <v>2018</v>
      </c>
      <c r="E89" s="13">
        <v>43326</v>
      </c>
      <c r="F89" s="14" t="str">
        <f t="shared" si="1"/>
        <v>18226</v>
      </c>
      <c r="G89" s="32">
        <v>14.9</v>
      </c>
      <c r="H89" s="32">
        <v>7.69</v>
      </c>
      <c r="I89" s="32">
        <v>10.23</v>
      </c>
      <c r="J89" s="25">
        <v>868</v>
      </c>
      <c r="K89" s="25">
        <v>520</v>
      </c>
      <c r="L89" s="25">
        <v>488</v>
      </c>
      <c r="M89" s="25">
        <v>1876</v>
      </c>
      <c r="N89" s="25">
        <v>0.89552238805970152</v>
      </c>
      <c r="O89" s="25">
        <v>3.2875000000000001</v>
      </c>
      <c r="P89" s="25">
        <v>3.7</v>
      </c>
      <c r="Q89" s="25">
        <v>3.45</v>
      </c>
      <c r="R89" s="25">
        <v>3.4791666666666674</v>
      </c>
      <c r="S89" s="25">
        <v>0.89295755128997722</v>
      </c>
      <c r="T89" s="25">
        <v>0.28000000000000008</v>
      </c>
      <c r="U89" s="25">
        <v>0.15076923076923079</v>
      </c>
      <c r="V89" s="25">
        <v>0.29428571428571432</v>
      </c>
      <c r="W89" s="25">
        <v>0.24476190476190482</v>
      </c>
      <c r="X89" s="25">
        <v>0.14913143810219801</v>
      </c>
      <c r="Y89" s="25">
        <v>0.6</v>
      </c>
      <c r="Z89" s="25">
        <v>0.4</v>
      </c>
      <c r="AA89" s="25">
        <v>0.54</v>
      </c>
      <c r="AB89" s="25">
        <v>0.6</v>
      </c>
      <c r="AC89" s="25">
        <v>14.214494163424124</v>
      </c>
      <c r="AD89" s="25">
        <v>2.5</v>
      </c>
      <c r="AE89" s="25">
        <v>5</v>
      </c>
      <c r="AF89" s="25">
        <v>0</v>
      </c>
      <c r="AG89" s="25">
        <v>7.5</v>
      </c>
      <c r="AH89" s="25">
        <v>5</v>
      </c>
      <c r="AI89" s="25">
        <v>85</v>
      </c>
      <c r="AJ89" s="25">
        <v>2.5</v>
      </c>
      <c r="AK89" s="25">
        <v>92.5</v>
      </c>
      <c r="AL89" s="25">
        <v>85</v>
      </c>
      <c r="AM89" s="25">
        <v>0.11600000000000002</v>
      </c>
      <c r="AN89" s="25">
        <v>0.19916666666666669</v>
      </c>
      <c r="AO89" s="25">
        <v>0.12153846153846154</v>
      </c>
      <c r="AP89" s="25">
        <v>0.14619047619047612</v>
      </c>
      <c r="AQ89" s="25">
        <v>0.14573534952854356</v>
      </c>
      <c r="AR89" s="25">
        <v>0.31</v>
      </c>
      <c r="AS89" s="25">
        <v>0.44</v>
      </c>
      <c r="AT89" s="25">
        <v>0.69</v>
      </c>
      <c r="AU89" s="25">
        <v>0.69</v>
      </c>
      <c r="AV89" s="25">
        <v>29.166666666666668</v>
      </c>
      <c r="AW89" s="25">
        <v>0.33333333333333331</v>
      </c>
      <c r="AX89" s="25">
        <v>50</v>
      </c>
      <c r="AY89" s="25">
        <v>0</v>
      </c>
      <c r="AZ89" s="25">
        <v>62.5</v>
      </c>
      <c r="BA89" s="25">
        <v>37.5</v>
      </c>
      <c r="BB89" s="25">
        <v>33.333333333333329</v>
      </c>
      <c r="BC89" s="25">
        <v>1.25</v>
      </c>
      <c r="BD89" s="25">
        <v>41.666666666666671</v>
      </c>
      <c r="BE89" s="25">
        <v>0.125</v>
      </c>
      <c r="BF89" s="25">
        <v>0</v>
      </c>
      <c r="BG89" s="25">
        <v>0.375</v>
      </c>
      <c r="BH89" s="25">
        <v>0.16666666666666666</v>
      </c>
      <c r="BI89" s="25">
        <v>0.95833333333333337</v>
      </c>
      <c r="BJ89" s="25">
        <v>1.25</v>
      </c>
      <c r="BK89" s="25">
        <v>0.5</v>
      </c>
      <c r="BL89" s="25">
        <v>1.5</v>
      </c>
      <c r="BM89" s="25">
        <v>1.0833333333333333</v>
      </c>
      <c r="BN89" s="25">
        <v>0.5</v>
      </c>
      <c r="BO89" s="25">
        <v>1</v>
      </c>
      <c r="BP89" s="25">
        <v>0</v>
      </c>
      <c r="BQ89" s="25">
        <v>0.5</v>
      </c>
      <c r="BR89" s="25">
        <v>1.75</v>
      </c>
      <c r="BS89" s="25">
        <v>0.25</v>
      </c>
      <c r="BT89" s="25">
        <v>2.75</v>
      </c>
      <c r="BU89" s="25">
        <v>1.5833333333333333</v>
      </c>
      <c r="BV89" s="25">
        <v>8.3333333333333321</v>
      </c>
      <c r="BW89" s="25">
        <v>62.5</v>
      </c>
      <c r="BX89" s="25">
        <v>29.166666666666668</v>
      </c>
      <c r="BY89" s="25">
        <v>37.708333333333336</v>
      </c>
      <c r="BZ89" s="25">
        <v>0.83333333333333337</v>
      </c>
      <c r="CA89" s="25">
        <v>7.8828828828828827</v>
      </c>
      <c r="CB89" s="25">
        <v>8.0191734522419988</v>
      </c>
      <c r="CC89" s="25">
        <v>92.117117117117118</v>
      </c>
      <c r="CD89" s="25">
        <v>0</v>
      </c>
      <c r="CE89" s="25">
        <v>0</v>
      </c>
      <c r="CF89" s="25">
        <v>0</v>
      </c>
      <c r="CG89" s="25">
        <v>0</v>
      </c>
      <c r="CH89" s="25">
        <v>0</v>
      </c>
    </row>
    <row r="90" spans="1:86" ht="15.75" x14ac:dyDescent="0.25">
      <c r="A90" s="2">
        <v>88</v>
      </c>
      <c r="B90" s="2" t="s">
        <v>10</v>
      </c>
      <c r="C90" s="2">
        <v>61</v>
      </c>
      <c r="D90" s="12">
        <v>2018</v>
      </c>
      <c r="E90" s="13">
        <v>43314</v>
      </c>
      <c r="F90" s="14" t="str">
        <f t="shared" si="1"/>
        <v>18214</v>
      </c>
      <c r="G90" s="32">
        <v>22.2</v>
      </c>
      <c r="H90" s="32">
        <v>8.6</v>
      </c>
      <c r="I90" s="32">
        <v>12.61</v>
      </c>
      <c r="J90" s="25">
        <v>1875</v>
      </c>
      <c r="K90" s="25">
        <v>1456</v>
      </c>
      <c r="L90" s="25">
        <v>1552</v>
      </c>
      <c r="M90" s="25">
        <v>4883</v>
      </c>
      <c r="N90" s="25">
        <v>1.2287528158918698E-2</v>
      </c>
      <c r="O90" s="25">
        <v>3.2124999999999999</v>
      </c>
      <c r="P90" s="25">
        <v>4.9750000000000005</v>
      </c>
      <c r="Q90" s="25">
        <v>8.7249999999999996</v>
      </c>
      <c r="R90" s="25">
        <v>5.6375000000000002</v>
      </c>
      <c r="S90" s="25">
        <v>3.0394239299720849</v>
      </c>
      <c r="T90" s="25">
        <v>0.33799999999999997</v>
      </c>
      <c r="U90" s="25">
        <v>0.23374999999999996</v>
      </c>
      <c r="V90" s="25">
        <v>0.32133333333333336</v>
      </c>
      <c r="W90" s="25">
        <v>0.296304347826087</v>
      </c>
      <c r="X90" s="25">
        <v>0.18657567658134697</v>
      </c>
      <c r="Y90" s="25">
        <v>0.64</v>
      </c>
      <c r="Z90" s="25">
        <v>0.52</v>
      </c>
      <c r="AA90" s="25">
        <v>1.08</v>
      </c>
      <c r="AB90" s="25">
        <v>1.08</v>
      </c>
      <c r="AC90" s="25">
        <v>19.026045487894347</v>
      </c>
      <c r="AD90" s="25">
        <v>2.1739130434782608</v>
      </c>
      <c r="AE90" s="25">
        <v>8.695652173913043</v>
      </c>
      <c r="AF90" s="25">
        <v>8.695652173913043</v>
      </c>
      <c r="AG90" s="25">
        <v>19.565217391304348</v>
      </c>
      <c r="AH90" s="25">
        <v>0</v>
      </c>
      <c r="AI90" s="25">
        <v>73.91304347826086</v>
      </c>
      <c r="AJ90" s="25">
        <v>6.5217391304347823</v>
      </c>
      <c r="AK90" s="25">
        <v>80.434782608695642</v>
      </c>
      <c r="AL90" s="25">
        <v>73.91304347826086</v>
      </c>
      <c r="AM90" s="25">
        <v>0.15642857142857142</v>
      </c>
      <c r="AN90" s="25">
        <v>0.28600000000000009</v>
      </c>
      <c r="AO90" s="25">
        <v>0.1242857142857143</v>
      </c>
      <c r="AP90" s="25">
        <v>0.18108695652173909</v>
      </c>
      <c r="AQ90" s="25">
        <v>0.18876473612373879</v>
      </c>
      <c r="AR90" s="25">
        <v>0.69</v>
      </c>
      <c r="AS90" s="25">
        <v>0.78</v>
      </c>
      <c r="AT90" s="25">
        <v>0.41</v>
      </c>
      <c r="AU90" s="25">
        <v>0.78</v>
      </c>
      <c r="AV90" s="25">
        <v>25</v>
      </c>
      <c r="AW90" s="25">
        <v>0.41666666666666669</v>
      </c>
      <c r="AX90" s="25">
        <v>25</v>
      </c>
      <c r="AY90" s="25">
        <v>12.5</v>
      </c>
      <c r="AZ90" s="25">
        <v>62.5</v>
      </c>
      <c r="BA90" s="25">
        <v>33.333333333333329</v>
      </c>
      <c r="BB90" s="25">
        <v>41.666666666666671</v>
      </c>
      <c r="BC90" s="25">
        <v>2.3333333333333335</v>
      </c>
      <c r="BD90" s="25">
        <v>66.666666666666657</v>
      </c>
      <c r="BE90" s="25">
        <v>0.125</v>
      </c>
      <c r="BF90" s="25">
        <v>0.25</v>
      </c>
      <c r="BG90" s="25">
        <v>0</v>
      </c>
      <c r="BH90" s="25">
        <v>0.125</v>
      </c>
      <c r="BI90" s="25">
        <v>0.625</v>
      </c>
      <c r="BJ90" s="25">
        <v>0.75</v>
      </c>
      <c r="BK90" s="25">
        <v>0.25</v>
      </c>
      <c r="BL90" s="25">
        <v>0</v>
      </c>
      <c r="BM90" s="25">
        <v>0.33333333333333331</v>
      </c>
      <c r="BN90" s="25">
        <v>1</v>
      </c>
      <c r="BO90" s="25">
        <v>3</v>
      </c>
      <c r="BP90" s="25">
        <v>1.5</v>
      </c>
      <c r="BQ90" s="25">
        <v>1.8333333333333333</v>
      </c>
      <c r="BR90" s="25">
        <v>1.25</v>
      </c>
      <c r="BS90" s="25">
        <v>0.5</v>
      </c>
      <c r="BT90" s="25">
        <v>0.75</v>
      </c>
      <c r="BU90" s="25">
        <v>0.83333333333333337</v>
      </c>
      <c r="BV90" s="25">
        <v>33.333333333333329</v>
      </c>
      <c r="BW90" s="25">
        <v>58.333333333333336</v>
      </c>
      <c r="BX90" s="25">
        <v>8.3333333333333321</v>
      </c>
      <c r="BY90" s="25">
        <v>29.166666666666668</v>
      </c>
      <c r="BZ90" s="25">
        <v>0.625</v>
      </c>
      <c r="CA90" s="25">
        <v>33.108108108108105</v>
      </c>
      <c r="CB90" s="25">
        <v>15.224744895821971</v>
      </c>
      <c r="CC90" s="25">
        <v>66.891891891891902</v>
      </c>
      <c r="CD90" s="25">
        <v>0</v>
      </c>
      <c r="CE90" s="25">
        <v>0</v>
      </c>
      <c r="CF90" s="25">
        <v>0</v>
      </c>
      <c r="CG90" s="25">
        <v>0</v>
      </c>
      <c r="CH90" s="25">
        <v>0</v>
      </c>
    </row>
  </sheetData>
  <pageMargins left="0.7" right="0.7" top="0.75" bottom="0.75" header="0.3" footer="0.3"/>
  <pageSetup orientation="portrait" horizontalDpi="4294967295" verticalDpi="4294967295"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K250"/>
  <sheetViews>
    <sheetView topLeftCell="A212" zoomScaleNormal="100" workbookViewId="0">
      <pane xSplit="1" topLeftCell="BL1" activePane="topRight" state="frozen"/>
      <selection pane="topRight" activeCell="B250" sqref="B250:CK250"/>
    </sheetView>
  </sheetViews>
  <sheetFormatPr defaultRowHeight="15" x14ac:dyDescent="0.25"/>
  <cols>
    <col min="1" max="1" width="13.28515625" customWidth="1"/>
    <col min="2" max="2" width="10.42578125" customWidth="1"/>
    <col min="3" max="3" width="12.7109375" customWidth="1"/>
    <col min="47" max="47" width="11.42578125" customWidth="1"/>
    <col min="48" max="48" width="13.42578125" customWidth="1"/>
  </cols>
  <sheetData>
    <row r="1" spans="1:89" x14ac:dyDescent="0.25">
      <c r="B1" s="17">
        <v>1</v>
      </c>
      <c r="C1" s="17">
        <v>8</v>
      </c>
      <c r="D1" s="17">
        <v>10</v>
      </c>
      <c r="E1" s="17">
        <v>11</v>
      </c>
      <c r="F1" s="17">
        <v>12</v>
      </c>
      <c r="G1" s="17">
        <v>13</v>
      </c>
      <c r="H1" s="17">
        <v>14</v>
      </c>
      <c r="I1" s="17">
        <v>16</v>
      </c>
      <c r="J1" s="17">
        <v>18</v>
      </c>
      <c r="K1" s="17">
        <v>22</v>
      </c>
      <c r="L1" s="17">
        <v>26</v>
      </c>
      <c r="M1" s="17">
        <v>27</v>
      </c>
      <c r="N1" s="17">
        <v>29</v>
      </c>
      <c r="O1" s="17">
        <v>32</v>
      </c>
      <c r="P1" s="17">
        <v>34</v>
      </c>
      <c r="Q1" s="17">
        <v>35</v>
      </c>
      <c r="R1" s="17">
        <v>36</v>
      </c>
      <c r="S1" s="17">
        <v>38</v>
      </c>
      <c r="T1" s="17">
        <v>41</v>
      </c>
      <c r="U1" s="17">
        <v>48</v>
      </c>
      <c r="V1" s="17">
        <v>57</v>
      </c>
      <c r="W1" s="17">
        <v>61</v>
      </c>
      <c r="X1" s="17">
        <v>75</v>
      </c>
      <c r="Y1" s="17">
        <v>84</v>
      </c>
      <c r="Z1" s="17">
        <v>85</v>
      </c>
      <c r="AA1" s="17">
        <v>86</v>
      </c>
      <c r="AB1" s="17">
        <v>93</v>
      </c>
      <c r="AC1" s="17">
        <v>96</v>
      </c>
      <c r="AD1" s="17">
        <v>108</v>
      </c>
      <c r="AE1" s="17">
        <v>109</v>
      </c>
      <c r="AF1" s="17">
        <v>117</v>
      </c>
      <c r="AG1" s="17">
        <v>118</v>
      </c>
      <c r="AH1" s="17">
        <v>123</v>
      </c>
      <c r="AI1" s="17">
        <v>128</v>
      </c>
      <c r="AJ1" s="17">
        <v>130</v>
      </c>
      <c r="AK1" s="17">
        <v>135</v>
      </c>
      <c r="AL1" s="17">
        <v>149</v>
      </c>
      <c r="AM1" s="17">
        <v>154</v>
      </c>
      <c r="AN1" s="17">
        <v>156</v>
      </c>
      <c r="AO1" s="17">
        <v>157</v>
      </c>
      <c r="AP1" s="17">
        <v>163</v>
      </c>
      <c r="AQ1" s="17">
        <v>170</v>
      </c>
      <c r="AR1" s="17" t="s">
        <v>4</v>
      </c>
      <c r="AS1" s="17" t="s">
        <v>5</v>
      </c>
      <c r="AT1" s="17" t="s">
        <v>6</v>
      </c>
      <c r="AU1" s="17" t="s">
        <v>7</v>
      </c>
      <c r="AV1" s="17" t="s">
        <v>8</v>
      </c>
      <c r="AW1" s="18">
        <v>1</v>
      </c>
      <c r="AX1" s="18">
        <v>4</v>
      </c>
      <c r="AY1" s="18">
        <v>17</v>
      </c>
      <c r="AZ1" s="18">
        <v>20</v>
      </c>
      <c r="BA1" s="18">
        <v>25</v>
      </c>
      <c r="BB1" s="18">
        <v>29</v>
      </c>
      <c r="BC1" s="18">
        <v>33</v>
      </c>
      <c r="BD1" s="18">
        <v>36</v>
      </c>
      <c r="BE1" s="18">
        <v>39</v>
      </c>
      <c r="BF1" s="18">
        <v>40</v>
      </c>
      <c r="BG1" s="18">
        <v>41</v>
      </c>
      <c r="BH1" s="18">
        <v>52</v>
      </c>
      <c r="BI1" s="18">
        <v>56</v>
      </c>
      <c r="BJ1" s="18">
        <v>57</v>
      </c>
      <c r="BK1" s="18">
        <v>65</v>
      </c>
      <c r="BL1" s="18">
        <v>73</v>
      </c>
      <c r="BM1" s="18">
        <v>77</v>
      </c>
      <c r="BN1" s="18">
        <v>80</v>
      </c>
      <c r="BO1" s="18">
        <v>82</v>
      </c>
      <c r="BP1" s="18">
        <v>101</v>
      </c>
      <c r="BQ1" s="18">
        <v>103</v>
      </c>
      <c r="BR1" s="18">
        <v>105</v>
      </c>
      <c r="BS1" s="18">
        <v>113</v>
      </c>
      <c r="BT1" s="18">
        <v>119</v>
      </c>
      <c r="BU1" s="18">
        <v>120</v>
      </c>
      <c r="BV1" s="18">
        <v>129</v>
      </c>
      <c r="BW1" s="18">
        <v>150</v>
      </c>
      <c r="BX1" s="18">
        <v>161</v>
      </c>
      <c r="BY1" s="18">
        <v>178</v>
      </c>
      <c r="BZ1" s="18">
        <v>193</v>
      </c>
      <c r="CA1" s="18">
        <v>201</v>
      </c>
      <c r="CB1" s="18">
        <v>202</v>
      </c>
      <c r="CC1" s="18">
        <v>203</v>
      </c>
      <c r="CD1" s="18">
        <v>204</v>
      </c>
      <c r="CE1" s="19">
        <v>5</v>
      </c>
      <c r="CF1" s="19">
        <v>8</v>
      </c>
      <c r="CG1" s="19">
        <v>10</v>
      </c>
      <c r="CH1" s="19">
        <v>17</v>
      </c>
      <c r="CI1" s="19" t="s">
        <v>11</v>
      </c>
      <c r="CJ1" s="19">
        <v>24</v>
      </c>
      <c r="CK1" s="19">
        <v>61</v>
      </c>
    </row>
    <row r="2" spans="1:89" x14ac:dyDescent="0.25">
      <c r="A2" s="20" t="s">
        <v>97</v>
      </c>
      <c r="B2">
        <v>2.4</v>
      </c>
      <c r="C2">
        <v>7.6</v>
      </c>
      <c r="D2">
        <v>4.3</v>
      </c>
      <c r="E2">
        <v>2.2000000000000002</v>
      </c>
      <c r="F2">
        <v>1</v>
      </c>
      <c r="G2">
        <v>4.5</v>
      </c>
      <c r="H2">
        <v>3.6</v>
      </c>
      <c r="I2">
        <v>2.4</v>
      </c>
      <c r="J2">
        <v>3.8</v>
      </c>
      <c r="K2">
        <v>1.9</v>
      </c>
      <c r="L2">
        <v>4</v>
      </c>
      <c r="M2">
        <v>5</v>
      </c>
      <c r="N2">
        <v>2.2999999999999998</v>
      </c>
      <c r="O2">
        <v>2.8</v>
      </c>
      <c r="P2">
        <v>3</v>
      </c>
      <c r="Q2">
        <v>13</v>
      </c>
      <c r="R2">
        <v>1.6</v>
      </c>
      <c r="S2">
        <v>2.4</v>
      </c>
      <c r="T2">
        <v>3</v>
      </c>
      <c r="U2">
        <v>1.8</v>
      </c>
      <c r="V2">
        <v>1.1000000000000001</v>
      </c>
      <c r="W2">
        <v>1.4</v>
      </c>
      <c r="X2">
        <v>1.6</v>
      </c>
      <c r="Y2">
        <v>2</v>
      </c>
      <c r="Z2">
        <v>2.2999999999999998</v>
      </c>
      <c r="AA2">
        <v>2.2999999999999998</v>
      </c>
      <c r="AB2">
        <v>0.9</v>
      </c>
      <c r="AC2">
        <v>7</v>
      </c>
      <c r="AD2">
        <v>2.1</v>
      </c>
      <c r="AE2">
        <v>2.9</v>
      </c>
      <c r="AF2">
        <v>4.5</v>
      </c>
      <c r="AG2">
        <v>7.2</v>
      </c>
      <c r="AH2">
        <v>4.3</v>
      </c>
      <c r="AI2">
        <v>3.6</v>
      </c>
      <c r="AJ2">
        <v>3.9</v>
      </c>
      <c r="AK2">
        <v>1.8</v>
      </c>
      <c r="AL2">
        <v>2.2000000000000002</v>
      </c>
      <c r="AM2">
        <v>3.4</v>
      </c>
      <c r="AN2">
        <v>5.5</v>
      </c>
      <c r="AO2">
        <v>11</v>
      </c>
      <c r="AP2">
        <v>8</v>
      </c>
      <c r="AQ2">
        <v>2.6</v>
      </c>
      <c r="AR2">
        <v>2.2999999999999998</v>
      </c>
      <c r="AS2">
        <v>1.7</v>
      </c>
      <c r="AT2">
        <v>1.6</v>
      </c>
      <c r="AU2">
        <v>5.2</v>
      </c>
      <c r="AV2">
        <v>1.8</v>
      </c>
      <c r="AW2">
        <v>4.2</v>
      </c>
      <c r="AX2">
        <v>2.8</v>
      </c>
      <c r="AY2">
        <v>2</v>
      </c>
      <c r="AZ2">
        <v>4.2</v>
      </c>
      <c r="BA2">
        <v>1.5</v>
      </c>
      <c r="BB2">
        <v>0.9</v>
      </c>
      <c r="BC2">
        <v>1.6</v>
      </c>
      <c r="BD2">
        <v>1.1000000000000001</v>
      </c>
      <c r="BE2">
        <v>0.9</v>
      </c>
      <c r="BF2">
        <v>8.9</v>
      </c>
      <c r="BG2">
        <v>4</v>
      </c>
      <c r="BH2">
        <v>0.9</v>
      </c>
      <c r="BI2">
        <v>4.5999999999999996</v>
      </c>
      <c r="BJ2">
        <v>1.4</v>
      </c>
      <c r="BK2">
        <v>1.5</v>
      </c>
      <c r="BL2">
        <v>1.8</v>
      </c>
      <c r="BM2">
        <v>1.8</v>
      </c>
      <c r="BN2">
        <v>1.9</v>
      </c>
      <c r="BO2">
        <v>2.6</v>
      </c>
      <c r="BP2">
        <v>1.6</v>
      </c>
      <c r="BQ2">
        <v>2</v>
      </c>
      <c r="BR2">
        <v>3.5</v>
      </c>
      <c r="BS2">
        <v>1.3</v>
      </c>
      <c r="BT2">
        <v>3.4</v>
      </c>
      <c r="BU2">
        <v>5.2</v>
      </c>
      <c r="BV2">
        <v>1.3</v>
      </c>
      <c r="BW2">
        <v>2.4</v>
      </c>
      <c r="BX2">
        <v>1.9</v>
      </c>
      <c r="BY2">
        <v>6.5</v>
      </c>
      <c r="BZ2">
        <v>6.5</v>
      </c>
      <c r="CA2">
        <v>3</v>
      </c>
      <c r="CB2">
        <v>0.5</v>
      </c>
      <c r="CC2">
        <v>8.6999999999999993</v>
      </c>
      <c r="CD2">
        <v>6.2</v>
      </c>
      <c r="CE2">
        <v>3.4</v>
      </c>
      <c r="CF2">
        <v>2.5</v>
      </c>
      <c r="CG2">
        <v>1.6</v>
      </c>
      <c r="CH2">
        <v>5.7</v>
      </c>
      <c r="CI2">
        <v>1.4</v>
      </c>
      <c r="CJ2">
        <v>3.5</v>
      </c>
      <c r="CK2">
        <v>4.5999999999999996</v>
      </c>
    </row>
    <row r="3" spans="1:89" x14ac:dyDescent="0.25">
      <c r="A3" s="20" t="s">
        <v>98</v>
      </c>
      <c r="B3">
        <v>2.1</v>
      </c>
      <c r="C3">
        <v>7</v>
      </c>
      <c r="D3">
        <v>3.6</v>
      </c>
      <c r="E3">
        <v>1.8</v>
      </c>
      <c r="F3">
        <v>2.4</v>
      </c>
      <c r="G3">
        <v>6.5</v>
      </c>
      <c r="H3">
        <v>2.1</v>
      </c>
      <c r="I3">
        <v>2.5</v>
      </c>
      <c r="J3">
        <v>2.2000000000000002</v>
      </c>
      <c r="K3">
        <v>1.5</v>
      </c>
      <c r="L3">
        <v>8.1</v>
      </c>
      <c r="M3">
        <v>4.5999999999999996</v>
      </c>
      <c r="N3">
        <v>1.1000000000000001</v>
      </c>
      <c r="O3">
        <v>2.2999999999999998</v>
      </c>
      <c r="P3">
        <v>1.3</v>
      </c>
      <c r="Q3">
        <v>9</v>
      </c>
      <c r="R3">
        <v>4.0999999999999996</v>
      </c>
      <c r="S3">
        <v>3.2</v>
      </c>
      <c r="T3">
        <v>1.8</v>
      </c>
      <c r="U3">
        <v>5.0999999999999996</v>
      </c>
      <c r="V3">
        <v>0.8</v>
      </c>
      <c r="W3">
        <v>4</v>
      </c>
      <c r="X3">
        <v>1.5</v>
      </c>
      <c r="Y3">
        <v>1.7</v>
      </c>
      <c r="Z3">
        <v>2.2000000000000002</v>
      </c>
      <c r="AA3">
        <v>4.0999999999999996</v>
      </c>
      <c r="AB3">
        <v>1.7</v>
      </c>
      <c r="AC3">
        <v>8</v>
      </c>
      <c r="AD3">
        <v>5.2</v>
      </c>
      <c r="AE3">
        <v>2.8</v>
      </c>
      <c r="AF3">
        <v>3.2</v>
      </c>
      <c r="AG3">
        <v>5.9</v>
      </c>
      <c r="AH3">
        <v>3.7</v>
      </c>
      <c r="AI3">
        <v>3.9</v>
      </c>
      <c r="AJ3">
        <v>4.0999999999999996</v>
      </c>
      <c r="AK3">
        <v>1.3</v>
      </c>
      <c r="AL3">
        <v>6.8</v>
      </c>
      <c r="AM3">
        <v>3.2</v>
      </c>
      <c r="AN3">
        <v>5.2</v>
      </c>
      <c r="AO3">
        <v>4.3</v>
      </c>
      <c r="AP3">
        <v>4.5999999999999996</v>
      </c>
      <c r="AQ3">
        <v>1</v>
      </c>
      <c r="AR3">
        <v>1.9</v>
      </c>
      <c r="AS3">
        <v>1.8</v>
      </c>
      <c r="AT3">
        <v>3.4</v>
      </c>
      <c r="AU3">
        <v>3.9</v>
      </c>
      <c r="AV3">
        <v>2.5</v>
      </c>
      <c r="AW3">
        <v>5.3</v>
      </c>
      <c r="AX3">
        <v>1.8</v>
      </c>
      <c r="AY3">
        <v>2.1</v>
      </c>
      <c r="AZ3">
        <v>3.7</v>
      </c>
      <c r="BA3">
        <v>0.6</v>
      </c>
      <c r="BB3">
        <v>1.3</v>
      </c>
      <c r="BC3">
        <v>2.2999999999999998</v>
      </c>
      <c r="BD3">
        <v>2</v>
      </c>
      <c r="BE3">
        <v>0.7</v>
      </c>
      <c r="BF3">
        <v>7.2</v>
      </c>
      <c r="BG3">
        <v>2.8</v>
      </c>
      <c r="BH3">
        <v>1</v>
      </c>
      <c r="BI3">
        <v>4.0999999999999996</v>
      </c>
      <c r="BJ3">
        <v>1.3</v>
      </c>
      <c r="BK3">
        <v>2.2999999999999998</v>
      </c>
      <c r="BL3">
        <v>3.9</v>
      </c>
      <c r="BM3">
        <v>2.9</v>
      </c>
      <c r="BN3">
        <v>5.2</v>
      </c>
      <c r="BO3">
        <v>3</v>
      </c>
      <c r="BP3">
        <v>1.9</v>
      </c>
      <c r="BQ3">
        <v>1.7</v>
      </c>
      <c r="BR3">
        <v>2.7</v>
      </c>
      <c r="BS3">
        <v>1.1000000000000001</v>
      </c>
      <c r="BT3">
        <v>2.1</v>
      </c>
      <c r="BU3">
        <v>4.9000000000000004</v>
      </c>
      <c r="BV3">
        <v>1</v>
      </c>
      <c r="BW3">
        <v>1.1000000000000001</v>
      </c>
      <c r="BX3">
        <v>2.8</v>
      </c>
      <c r="BY3">
        <v>2.4</v>
      </c>
      <c r="BZ3">
        <v>6.4</v>
      </c>
      <c r="CA3">
        <v>2.9</v>
      </c>
      <c r="CB3">
        <v>2.2000000000000002</v>
      </c>
      <c r="CC3">
        <v>6.8</v>
      </c>
      <c r="CD3">
        <v>4.8</v>
      </c>
      <c r="CE3">
        <v>3.3</v>
      </c>
      <c r="CF3">
        <v>2.5</v>
      </c>
      <c r="CG3">
        <v>3</v>
      </c>
      <c r="CH3">
        <v>2.8</v>
      </c>
      <c r="CI3">
        <v>1.7</v>
      </c>
      <c r="CJ3">
        <v>3.4</v>
      </c>
      <c r="CK3">
        <v>2</v>
      </c>
    </row>
    <row r="4" spans="1:89" x14ac:dyDescent="0.25">
      <c r="A4" s="20" t="s">
        <v>99</v>
      </c>
      <c r="B4">
        <v>2.9</v>
      </c>
      <c r="C4">
        <v>6.5</v>
      </c>
      <c r="D4">
        <v>3.8</v>
      </c>
      <c r="E4">
        <v>1.4</v>
      </c>
      <c r="F4">
        <v>1.4</v>
      </c>
      <c r="G4">
        <v>4.9000000000000004</v>
      </c>
      <c r="H4">
        <v>1.6</v>
      </c>
      <c r="I4">
        <v>2.2999999999999998</v>
      </c>
      <c r="J4">
        <v>2.8</v>
      </c>
      <c r="K4">
        <v>2.2999999999999998</v>
      </c>
      <c r="L4">
        <v>7.9</v>
      </c>
      <c r="M4">
        <v>3.8</v>
      </c>
      <c r="N4">
        <v>1.8</v>
      </c>
      <c r="O4">
        <v>1.7</v>
      </c>
      <c r="P4">
        <v>2.5</v>
      </c>
      <c r="Q4">
        <v>6.6</v>
      </c>
      <c r="R4">
        <v>2.7</v>
      </c>
      <c r="S4">
        <v>2.4</v>
      </c>
      <c r="T4">
        <v>3.1</v>
      </c>
      <c r="U4">
        <v>5.8</v>
      </c>
      <c r="V4">
        <v>1</v>
      </c>
      <c r="W4">
        <v>2.9</v>
      </c>
      <c r="X4">
        <v>1.3</v>
      </c>
      <c r="Y4">
        <v>2</v>
      </c>
      <c r="Z4">
        <v>2.6</v>
      </c>
      <c r="AA4">
        <v>3.1</v>
      </c>
      <c r="AB4">
        <v>1.2</v>
      </c>
      <c r="AC4">
        <v>2.9</v>
      </c>
      <c r="AD4">
        <v>1.7</v>
      </c>
      <c r="AE4">
        <v>2.5</v>
      </c>
      <c r="AF4">
        <v>4.5</v>
      </c>
      <c r="AG4">
        <v>6.1</v>
      </c>
      <c r="AH4">
        <v>3.3</v>
      </c>
      <c r="AI4">
        <v>2.5</v>
      </c>
      <c r="AJ4">
        <v>2.6</v>
      </c>
      <c r="AK4">
        <v>1.7</v>
      </c>
      <c r="AL4">
        <v>4.3</v>
      </c>
      <c r="AM4">
        <v>5.7</v>
      </c>
      <c r="AN4">
        <v>4.8</v>
      </c>
      <c r="AO4">
        <v>10</v>
      </c>
      <c r="AP4">
        <v>2.4</v>
      </c>
      <c r="AQ4">
        <v>2</v>
      </c>
      <c r="AR4">
        <v>1.5</v>
      </c>
      <c r="AS4">
        <v>2.2999999999999998</v>
      </c>
      <c r="AT4">
        <v>2.8</v>
      </c>
      <c r="AU4">
        <v>2.9</v>
      </c>
      <c r="AV4">
        <v>4.3</v>
      </c>
      <c r="AW4">
        <v>5</v>
      </c>
      <c r="AX4">
        <v>3.7</v>
      </c>
      <c r="AY4">
        <v>2.2000000000000002</v>
      </c>
      <c r="AZ4">
        <v>4.8</v>
      </c>
      <c r="BA4">
        <v>0.8</v>
      </c>
      <c r="BB4">
        <v>1.6</v>
      </c>
      <c r="BC4">
        <v>2.4</v>
      </c>
      <c r="BD4">
        <v>2.2999999999999998</v>
      </c>
      <c r="BE4">
        <v>1</v>
      </c>
      <c r="BF4">
        <v>8.4</v>
      </c>
      <c r="BG4">
        <v>2.2999999999999998</v>
      </c>
      <c r="BH4">
        <v>1.5</v>
      </c>
      <c r="BI4">
        <v>4</v>
      </c>
      <c r="BJ4">
        <v>1.6</v>
      </c>
      <c r="BK4">
        <v>2.1</v>
      </c>
      <c r="BL4">
        <v>3.9</v>
      </c>
      <c r="BM4">
        <v>2.2000000000000002</v>
      </c>
      <c r="BN4">
        <v>1.5</v>
      </c>
      <c r="BO4">
        <v>4.4000000000000004</v>
      </c>
      <c r="BP4">
        <v>1.2</v>
      </c>
      <c r="BQ4">
        <v>3.8</v>
      </c>
      <c r="BR4">
        <v>2.2999999999999998</v>
      </c>
      <c r="BS4">
        <v>1.4</v>
      </c>
      <c r="BT4">
        <v>3.1</v>
      </c>
      <c r="BU4">
        <v>5.6</v>
      </c>
      <c r="BV4">
        <v>2.7</v>
      </c>
      <c r="BW4">
        <v>1.4</v>
      </c>
      <c r="BX4">
        <v>2.7</v>
      </c>
      <c r="BY4">
        <v>4.2</v>
      </c>
      <c r="BZ4">
        <v>8.1</v>
      </c>
      <c r="CA4">
        <v>5.5</v>
      </c>
      <c r="CB4">
        <v>0.9</v>
      </c>
      <c r="CC4">
        <v>7.3</v>
      </c>
      <c r="CD4">
        <v>3.9</v>
      </c>
      <c r="CE4">
        <v>1.8</v>
      </c>
      <c r="CF4">
        <v>3.5</v>
      </c>
      <c r="CG4">
        <v>3.5</v>
      </c>
      <c r="CH4">
        <v>4.4000000000000004</v>
      </c>
      <c r="CI4">
        <v>2.2000000000000002</v>
      </c>
      <c r="CJ4">
        <v>3.7</v>
      </c>
      <c r="CK4">
        <v>4.7</v>
      </c>
    </row>
    <row r="5" spans="1:89" x14ac:dyDescent="0.25">
      <c r="A5" s="20" t="s">
        <v>100</v>
      </c>
      <c r="B5">
        <v>3.4</v>
      </c>
      <c r="C5">
        <v>7.1</v>
      </c>
      <c r="D5">
        <v>3.9</v>
      </c>
      <c r="E5">
        <v>1.2</v>
      </c>
      <c r="F5">
        <v>1.6</v>
      </c>
      <c r="G5">
        <v>4.9000000000000004</v>
      </c>
      <c r="H5">
        <v>2.6</v>
      </c>
      <c r="I5">
        <v>2.5</v>
      </c>
      <c r="J5">
        <v>3.2</v>
      </c>
      <c r="K5">
        <v>1.9</v>
      </c>
      <c r="L5">
        <v>4.5</v>
      </c>
      <c r="M5">
        <v>5</v>
      </c>
      <c r="N5">
        <v>1.3</v>
      </c>
      <c r="O5">
        <v>2.1</v>
      </c>
      <c r="P5">
        <v>1.9</v>
      </c>
      <c r="Q5">
        <v>9.1999999999999993</v>
      </c>
      <c r="R5">
        <v>2.6</v>
      </c>
      <c r="S5">
        <v>2.6</v>
      </c>
      <c r="T5">
        <v>3.5</v>
      </c>
      <c r="U5">
        <v>3.5</v>
      </c>
      <c r="V5">
        <v>0.9</v>
      </c>
      <c r="W5">
        <v>4</v>
      </c>
      <c r="X5">
        <v>2.1</v>
      </c>
      <c r="Y5">
        <v>2.5</v>
      </c>
      <c r="Z5">
        <v>3.4</v>
      </c>
      <c r="AA5">
        <v>2.2000000000000002</v>
      </c>
      <c r="AB5">
        <v>1.8</v>
      </c>
      <c r="AC5">
        <v>5.8</v>
      </c>
      <c r="AD5">
        <v>2.1</v>
      </c>
      <c r="AE5">
        <v>3.6</v>
      </c>
      <c r="AF5">
        <v>4.0999999999999996</v>
      </c>
      <c r="AG5">
        <v>4.5999999999999996</v>
      </c>
      <c r="AH5">
        <v>5.6</v>
      </c>
      <c r="AI5">
        <v>3.2</v>
      </c>
      <c r="AJ5">
        <v>2.2999999999999998</v>
      </c>
      <c r="AK5">
        <v>0.6</v>
      </c>
      <c r="AL5">
        <v>6.4</v>
      </c>
      <c r="AM5">
        <v>3.4</v>
      </c>
      <c r="AN5">
        <v>3</v>
      </c>
      <c r="AO5">
        <v>10.3</v>
      </c>
      <c r="AP5">
        <v>3.3</v>
      </c>
      <c r="AQ5">
        <v>1.6</v>
      </c>
      <c r="AR5">
        <v>1.5</v>
      </c>
      <c r="AS5">
        <v>1.9</v>
      </c>
      <c r="AT5">
        <v>2.8</v>
      </c>
      <c r="AU5">
        <v>3.6</v>
      </c>
      <c r="AV5">
        <v>4.5</v>
      </c>
      <c r="AW5">
        <v>7.4</v>
      </c>
      <c r="AX5">
        <v>5.2</v>
      </c>
      <c r="AY5">
        <v>2</v>
      </c>
      <c r="AZ5">
        <v>5.0999999999999996</v>
      </c>
      <c r="BA5">
        <v>0.9</v>
      </c>
      <c r="BB5">
        <v>1.2</v>
      </c>
      <c r="BC5">
        <v>2.1</v>
      </c>
      <c r="BD5">
        <v>1.8</v>
      </c>
      <c r="BE5">
        <v>1</v>
      </c>
      <c r="BF5">
        <v>6.4</v>
      </c>
      <c r="BG5">
        <v>2.2000000000000002</v>
      </c>
      <c r="BH5">
        <v>1.8</v>
      </c>
      <c r="BI5">
        <v>4.8</v>
      </c>
      <c r="BJ5">
        <v>1.4</v>
      </c>
      <c r="BK5">
        <v>1.8</v>
      </c>
      <c r="BL5">
        <v>3</v>
      </c>
      <c r="BM5">
        <v>3.9</v>
      </c>
      <c r="BN5">
        <v>5.9</v>
      </c>
      <c r="BO5">
        <v>3.6</v>
      </c>
      <c r="BP5">
        <v>3.2</v>
      </c>
      <c r="BQ5">
        <v>2.6</v>
      </c>
      <c r="BR5">
        <v>2.5</v>
      </c>
      <c r="BS5">
        <v>1.2</v>
      </c>
      <c r="BT5">
        <v>1.9</v>
      </c>
      <c r="BU5">
        <v>6.5</v>
      </c>
      <c r="BV5">
        <v>1.1000000000000001</v>
      </c>
      <c r="BW5">
        <v>1.5</v>
      </c>
      <c r="BX5">
        <v>2</v>
      </c>
      <c r="BY5">
        <v>5.0999999999999996</v>
      </c>
      <c r="CA5">
        <v>6.2</v>
      </c>
      <c r="CB5">
        <v>0.8</v>
      </c>
      <c r="CC5">
        <v>7.4</v>
      </c>
      <c r="CD5">
        <v>8</v>
      </c>
      <c r="CE5">
        <v>2.1</v>
      </c>
      <c r="CF5">
        <v>3.1</v>
      </c>
      <c r="CG5">
        <v>2.2999999999999998</v>
      </c>
      <c r="CH5">
        <v>3.4</v>
      </c>
      <c r="CI5">
        <v>1.8</v>
      </c>
      <c r="CJ5">
        <v>2</v>
      </c>
      <c r="CK5">
        <v>3.8</v>
      </c>
    </row>
    <row r="6" spans="1:89" x14ac:dyDescent="0.25">
      <c r="A6" s="20" t="s">
        <v>101</v>
      </c>
      <c r="B6">
        <v>4</v>
      </c>
      <c r="C6">
        <v>5.9</v>
      </c>
      <c r="D6">
        <v>4.5</v>
      </c>
      <c r="E6">
        <v>1.1000000000000001</v>
      </c>
      <c r="F6">
        <v>3.1</v>
      </c>
      <c r="G6">
        <v>2.8</v>
      </c>
      <c r="H6">
        <v>3.3</v>
      </c>
      <c r="I6">
        <v>2.4</v>
      </c>
      <c r="J6">
        <v>2.2000000000000002</v>
      </c>
      <c r="K6">
        <v>1.7</v>
      </c>
      <c r="L6">
        <v>4.4000000000000004</v>
      </c>
      <c r="M6">
        <v>3.2</v>
      </c>
      <c r="N6">
        <v>1.5</v>
      </c>
      <c r="O6">
        <v>2</v>
      </c>
      <c r="P6">
        <v>4.5</v>
      </c>
      <c r="Q6">
        <v>3</v>
      </c>
      <c r="R6">
        <v>4.3</v>
      </c>
      <c r="S6">
        <v>2.1</v>
      </c>
      <c r="T6">
        <v>0.8</v>
      </c>
      <c r="U6">
        <v>4.3</v>
      </c>
      <c r="V6">
        <v>1.2</v>
      </c>
      <c r="W6">
        <v>1.5</v>
      </c>
      <c r="X6">
        <v>1.1000000000000001</v>
      </c>
      <c r="Y6">
        <v>2</v>
      </c>
      <c r="Z6">
        <v>3.1</v>
      </c>
      <c r="AA6">
        <v>1.9</v>
      </c>
      <c r="AB6">
        <v>1.9</v>
      </c>
      <c r="AC6">
        <v>4.4000000000000004</v>
      </c>
      <c r="AD6">
        <v>2.4</v>
      </c>
      <c r="AE6">
        <v>5.0999999999999996</v>
      </c>
      <c r="AF6">
        <v>2.4</v>
      </c>
      <c r="AG6">
        <v>5.0999999999999996</v>
      </c>
      <c r="AH6">
        <v>3.9</v>
      </c>
      <c r="AI6">
        <v>4.8</v>
      </c>
      <c r="AJ6">
        <v>2.1</v>
      </c>
      <c r="AK6">
        <v>1.2</v>
      </c>
      <c r="AL6">
        <v>2.2000000000000002</v>
      </c>
      <c r="AM6">
        <v>4.0999999999999996</v>
      </c>
      <c r="AN6">
        <v>6.7</v>
      </c>
      <c r="AO6">
        <v>7.7</v>
      </c>
      <c r="AP6">
        <v>6.2</v>
      </c>
      <c r="AQ6">
        <v>1.1000000000000001</v>
      </c>
      <c r="AR6">
        <v>1.7</v>
      </c>
      <c r="AS6">
        <v>2.1</v>
      </c>
      <c r="AT6">
        <v>2.2000000000000002</v>
      </c>
      <c r="AU6">
        <v>4.0999999999999996</v>
      </c>
      <c r="AV6">
        <v>3.9</v>
      </c>
      <c r="AW6">
        <v>7.7</v>
      </c>
      <c r="AX6">
        <v>1.7</v>
      </c>
      <c r="AY6">
        <v>2.2999999999999998</v>
      </c>
      <c r="AZ6">
        <v>6.6</v>
      </c>
      <c r="BA6">
        <v>1.4</v>
      </c>
      <c r="BB6">
        <v>4</v>
      </c>
      <c r="BC6">
        <v>3.2</v>
      </c>
      <c r="BD6">
        <v>1.3</v>
      </c>
      <c r="BE6">
        <v>0.8</v>
      </c>
      <c r="BF6">
        <v>7</v>
      </c>
      <c r="BG6">
        <v>2.4</v>
      </c>
      <c r="BH6">
        <v>1.6</v>
      </c>
      <c r="BI6">
        <v>1.8</v>
      </c>
      <c r="BJ6">
        <v>1.7</v>
      </c>
      <c r="BK6">
        <v>2.2000000000000002</v>
      </c>
      <c r="BL6">
        <v>2.9</v>
      </c>
      <c r="BM6">
        <v>2.7</v>
      </c>
      <c r="BN6">
        <v>3.2</v>
      </c>
      <c r="BO6">
        <v>5.8</v>
      </c>
      <c r="BP6">
        <v>2.7</v>
      </c>
      <c r="BQ6">
        <v>4.4000000000000004</v>
      </c>
      <c r="BR6">
        <v>1.4</v>
      </c>
      <c r="BS6">
        <v>1.9</v>
      </c>
      <c r="BT6">
        <v>2.8</v>
      </c>
      <c r="BU6">
        <v>6.3</v>
      </c>
      <c r="BV6">
        <v>1.1000000000000001</v>
      </c>
      <c r="BW6">
        <v>1.6</v>
      </c>
      <c r="BX6">
        <v>2.2999999999999998</v>
      </c>
      <c r="BY6">
        <v>6</v>
      </c>
      <c r="BZ6">
        <v>14.7</v>
      </c>
      <c r="CA6">
        <v>3.1</v>
      </c>
      <c r="CB6">
        <v>1.9</v>
      </c>
      <c r="CC6">
        <v>7.3</v>
      </c>
      <c r="CD6">
        <v>3.1</v>
      </c>
      <c r="CE6">
        <v>2.1</v>
      </c>
      <c r="CF6">
        <v>2.5</v>
      </c>
      <c r="CG6">
        <v>2.8</v>
      </c>
      <c r="CH6">
        <v>8.1</v>
      </c>
      <c r="CI6">
        <v>1.3</v>
      </c>
      <c r="CJ6">
        <v>3.2</v>
      </c>
      <c r="CK6">
        <v>3.8</v>
      </c>
    </row>
    <row r="7" spans="1:89" x14ac:dyDescent="0.25">
      <c r="A7" s="20" t="s">
        <v>102</v>
      </c>
      <c r="B7">
        <v>2.7</v>
      </c>
      <c r="C7">
        <v>7.4</v>
      </c>
      <c r="D7">
        <v>4.5</v>
      </c>
      <c r="E7">
        <v>2.9</v>
      </c>
      <c r="F7">
        <v>3.1</v>
      </c>
      <c r="G7">
        <v>2.7</v>
      </c>
      <c r="H7">
        <v>2.7</v>
      </c>
      <c r="I7">
        <v>0.9</v>
      </c>
      <c r="J7">
        <v>2.1</v>
      </c>
      <c r="K7">
        <v>2.2000000000000002</v>
      </c>
      <c r="L7">
        <v>6.4</v>
      </c>
      <c r="M7">
        <v>3.5</v>
      </c>
      <c r="N7">
        <v>2.4</v>
      </c>
      <c r="O7">
        <v>1.7</v>
      </c>
      <c r="P7">
        <v>2</v>
      </c>
      <c r="Q7">
        <v>2.2000000000000002</v>
      </c>
      <c r="R7">
        <v>2.8</v>
      </c>
      <c r="S7">
        <v>3</v>
      </c>
      <c r="T7">
        <v>3.3</v>
      </c>
      <c r="U7">
        <v>3.7</v>
      </c>
      <c r="V7">
        <v>0.7</v>
      </c>
      <c r="W7">
        <v>2.7</v>
      </c>
      <c r="X7">
        <v>0.8</v>
      </c>
      <c r="Y7">
        <v>2.6</v>
      </c>
      <c r="Z7">
        <v>3.7</v>
      </c>
      <c r="AA7">
        <v>3.4</v>
      </c>
      <c r="AB7">
        <v>1.3</v>
      </c>
      <c r="AC7">
        <v>5.6</v>
      </c>
      <c r="AD7">
        <v>2.1</v>
      </c>
      <c r="AE7">
        <v>3.9</v>
      </c>
      <c r="AF7">
        <v>3.4</v>
      </c>
      <c r="AG7">
        <v>5.5</v>
      </c>
      <c r="AH7">
        <v>1.8</v>
      </c>
      <c r="AI7">
        <v>4.4000000000000004</v>
      </c>
      <c r="AJ7">
        <v>1.5</v>
      </c>
      <c r="AK7">
        <v>1.1000000000000001</v>
      </c>
      <c r="AL7">
        <v>6.1</v>
      </c>
      <c r="AM7">
        <v>1.3</v>
      </c>
      <c r="AN7">
        <v>2.2000000000000002</v>
      </c>
      <c r="AO7">
        <v>5.2</v>
      </c>
      <c r="AP7">
        <v>4.0999999999999996</v>
      </c>
      <c r="AQ7">
        <v>2.1</v>
      </c>
      <c r="AR7">
        <v>1.3</v>
      </c>
      <c r="AS7">
        <v>2</v>
      </c>
      <c r="AT7">
        <v>3.6</v>
      </c>
      <c r="AU7">
        <v>2.1</v>
      </c>
      <c r="AV7">
        <v>3.8</v>
      </c>
      <c r="AW7">
        <v>8.1999999999999993</v>
      </c>
      <c r="AX7">
        <v>2.4</v>
      </c>
      <c r="AY7">
        <v>1.8</v>
      </c>
      <c r="AZ7">
        <v>4.9000000000000004</v>
      </c>
      <c r="BA7">
        <v>0.5</v>
      </c>
      <c r="BB7">
        <v>5.4</v>
      </c>
      <c r="BC7">
        <v>2</v>
      </c>
      <c r="BD7">
        <v>2.5</v>
      </c>
      <c r="BE7">
        <v>1</v>
      </c>
      <c r="BF7">
        <v>5.5</v>
      </c>
      <c r="BG7">
        <v>2.4</v>
      </c>
      <c r="BH7">
        <v>1.8</v>
      </c>
      <c r="BI7">
        <v>2.9</v>
      </c>
      <c r="BJ7">
        <v>1.8</v>
      </c>
      <c r="BK7">
        <v>2.1</v>
      </c>
      <c r="BL7">
        <v>2.1</v>
      </c>
      <c r="BM7">
        <v>3.1</v>
      </c>
      <c r="BN7">
        <v>2.9</v>
      </c>
      <c r="BO7">
        <v>2.6</v>
      </c>
      <c r="BP7">
        <v>2.5</v>
      </c>
      <c r="BQ7">
        <v>3.7</v>
      </c>
      <c r="BR7">
        <v>2.8</v>
      </c>
      <c r="BS7">
        <v>1.5</v>
      </c>
      <c r="BT7">
        <v>2.5</v>
      </c>
      <c r="BU7">
        <v>3.3</v>
      </c>
      <c r="BV7">
        <v>1.5</v>
      </c>
      <c r="BW7">
        <v>2.4</v>
      </c>
      <c r="BX7">
        <v>1.8</v>
      </c>
      <c r="BY7">
        <v>4.2</v>
      </c>
      <c r="BZ7">
        <v>7.6</v>
      </c>
      <c r="CA7">
        <v>4</v>
      </c>
      <c r="CB7">
        <v>1.7</v>
      </c>
      <c r="CC7">
        <v>7.7</v>
      </c>
      <c r="CD7">
        <v>6.8</v>
      </c>
      <c r="CE7">
        <v>1.7</v>
      </c>
      <c r="CF7">
        <v>3.1</v>
      </c>
      <c r="CG7">
        <v>2.2999999999999998</v>
      </c>
      <c r="CH7">
        <v>5.7</v>
      </c>
      <c r="CI7">
        <v>1.8</v>
      </c>
      <c r="CJ7">
        <v>3.4</v>
      </c>
      <c r="CK7">
        <v>4.7</v>
      </c>
    </row>
    <row r="8" spans="1:89" x14ac:dyDescent="0.25">
      <c r="A8" s="20" t="s">
        <v>103</v>
      </c>
      <c r="B8">
        <v>2.5</v>
      </c>
      <c r="C8">
        <v>7.5</v>
      </c>
      <c r="D8">
        <v>3.7</v>
      </c>
      <c r="E8">
        <v>1.6</v>
      </c>
      <c r="F8">
        <v>2.7</v>
      </c>
      <c r="G8">
        <v>1.8</v>
      </c>
      <c r="H8">
        <v>3.6</v>
      </c>
      <c r="I8">
        <v>1.8</v>
      </c>
      <c r="J8">
        <v>2.1</v>
      </c>
      <c r="K8">
        <v>2.6</v>
      </c>
      <c r="L8">
        <v>3.4</v>
      </c>
      <c r="M8">
        <v>5</v>
      </c>
      <c r="N8">
        <v>1.4</v>
      </c>
      <c r="O8">
        <v>1.2</v>
      </c>
      <c r="P8">
        <v>2.6</v>
      </c>
      <c r="Q8">
        <v>4.2</v>
      </c>
      <c r="R8">
        <v>3.3</v>
      </c>
      <c r="S8">
        <v>1.9</v>
      </c>
      <c r="T8">
        <v>2</v>
      </c>
      <c r="U8">
        <v>3.6</v>
      </c>
      <c r="V8">
        <v>0.9</v>
      </c>
      <c r="W8">
        <v>2.5</v>
      </c>
      <c r="X8">
        <v>2.2999999999999998</v>
      </c>
      <c r="Y8">
        <v>2.7</v>
      </c>
      <c r="Z8">
        <v>2.7</v>
      </c>
      <c r="AA8">
        <v>2.1</v>
      </c>
      <c r="AB8">
        <v>1.2</v>
      </c>
      <c r="AC8">
        <v>5.3</v>
      </c>
      <c r="AD8">
        <v>2.4</v>
      </c>
      <c r="AE8">
        <v>4.8</v>
      </c>
      <c r="AF8">
        <v>4.5999999999999996</v>
      </c>
      <c r="AG8">
        <v>5.5</v>
      </c>
      <c r="AH8">
        <v>5.9</v>
      </c>
      <c r="AI8">
        <v>2.8</v>
      </c>
      <c r="AJ8">
        <v>6.3</v>
      </c>
      <c r="AK8">
        <v>0.5</v>
      </c>
      <c r="AL8">
        <v>4.7</v>
      </c>
      <c r="AM8">
        <v>2.6</v>
      </c>
      <c r="AN8">
        <v>3.1</v>
      </c>
      <c r="AO8">
        <v>5.8</v>
      </c>
      <c r="AP8">
        <v>4.5</v>
      </c>
      <c r="AQ8">
        <v>1.4</v>
      </c>
      <c r="AR8">
        <v>1.4</v>
      </c>
      <c r="AS8">
        <v>1.8</v>
      </c>
      <c r="AT8">
        <v>3.2</v>
      </c>
      <c r="AU8">
        <v>4.8</v>
      </c>
      <c r="AV8">
        <v>2.1</v>
      </c>
      <c r="AW8">
        <v>4.3</v>
      </c>
      <c r="AX8">
        <v>2.2999999999999998</v>
      </c>
      <c r="AY8">
        <v>2</v>
      </c>
      <c r="AZ8">
        <v>5.6</v>
      </c>
      <c r="BA8">
        <v>0.8</v>
      </c>
      <c r="BB8">
        <v>3.1</v>
      </c>
      <c r="BC8">
        <v>2</v>
      </c>
      <c r="BD8">
        <v>2</v>
      </c>
      <c r="BE8">
        <v>0.7</v>
      </c>
      <c r="BF8">
        <v>4.0999999999999996</v>
      </c>
      <c r="BG8">
        <v>2.8</v>
      </c>
      <c r="BH8">
        <v>2.6</v>
      </c>
      <c r="BI8">
        <v>1.6</v>
      </c>
      <c r="BJ8">
        <v>1.1000000000000001</v>
      </c>
      <c r="BK8">
        <v>1.3</v>
      </c>
      <c r="BL8">
        <v>3.1</v>
      </c>
      <c r="BM8">
        <v>4.2</v>
      </c>
      <c r="BN8">
        <v>3.4</v>
      </c>
      <c r="BO8">
        <v>2.9</v>
      </c>
      <c r="BP8">
        <v>2.1</v>
      </c>
      <c r="BQ8">
        <v>2.6</v>
      </c>
      <c r="BR8">
        <v>2.8</v>
      </c>
      <c r="BS8">
        <v>1.3</v>
      </c>
      <c r="BT8">
        <v>3.8</v>
      </c>
      <c r="BU8">
        <v>4.7</v>
      </c>
      <c r="BV8">
        <v>1.2</v>
      </c>
      <c r="BW8">
        <v>1.6</v>
      </c>
      <c r="BX8">
        <v>6.4</v>
      </c>
      <c r="BY8">
        <v>2.2000000000000002</v>
      </c>
      <c r="BZ8">
        <v>5.5</v>
      </c>
      <c r="CA8">
        <v>2.4</v>
      </c>
      <c r="CB8">
        <v>1.1000000000000001</v>
      </c>
      <c r="CC8">
        <v>6.6</v>
      </c>
      <c r="CD8">
        <v>3.5</v>
      </c>
      <c r="CE8">
        <v>2.9</v>
      </c>
      <c r="CF8">
        <v>2.6</v>
      </c>
      <c r="CG8">
        <v>2.9</v>
      </c>
      <c r="CH8">
        <v>2.9</v>
      </c>
      <c r="CI8">
        <v>1.5</v>
      </c>
      <c r="CJ8">
        <v>4.4000000000000004</v>
      </c>
      <c r="CK8">
        <v>1.8</v>
      </c>
    </row>
    <row r="9" spans="1:89" x14ac:dyDescent="0.25">
      <c r="A9" s="20" t="s">
        <v>104</v>
      </c>
      <c r="B9">
        <v>4.5999999999999996</v>
      </c>
      <c r="C9">
        <v>6.3</v>
      </c>
      <c r="D9">
        <v>4.4000000000000004</v>
      </c>
      <c r="E9">
        <v>2.1</v>
      </c>
      <c r="F9">
        <v>1.1000000000000001</v>
      </c>
      <c r="G9">
        <v>1.9</v>
      </c>
      <c r="H9">
        <v>2.6</v>
      </c>
      <c r="I9">
        <v>1.4</v>
      </c>
      <c r="J9">
        <v>3.6</v>
      </c>
      <c r="K9">
        <v>2.2000000000000002</v>
      </c>
      <c r="L9">
        <v>5.9</v>
      </c>
      <c r="M9">
        <v>2.8</v>
      </c>
      <c r="N9">
        <v>1.3</v>
      </c>
      <c r="O9">
        <v>1.5</v>
      </c>
      <c r="P9">
        <v>4</v>
      </c>
      <c r="Q9">
        <v>6.7</v>
      </c>
      <c r="R9">
        <v>3.5</v>
      </c>
      <c r="S9">
        <v>2.2000000000000002</v>
      </c>
      <c r="T9">
        <v>3.3</v>
      </c>
      <c r="U9">
        <v>3.6</v>
      </c>
      <c r="V9">
        <v>1.2</v>
      </c>
      <c r="W9">
        <v>2.1</v>
      </c>
      <c r="X9">
        <v>1.7</v>
      </c>
      <c r="Y9">
        <v>1.8</v>
      </c>
      <c r="Z9">
        <v>4.8</v>
      </c>
      <c r="AA9">
        <v>3.8</v>
      </c>
      <c r="AB9">
        <v>1.1000000000000001</v>
      </c>
      <c r="AC9">
        <v>5</v>
      </c>
      <c r="AD9">
        <v>2.6</v>
      </c>
      <c r="AE9">
        <v>3.2</v>
      </c>
      <c r="AF9">
        <v>5.6</v>
      </c>
      <c r="AG9">
        <v>4.9000000000000004</v>
      </c>
      <c r="AH9">
        <v>3.9</v>
      </c>
      <c r="AI9">
        <v>3.5</v>
      </c>
      <c r="AJ9">
        <v>1</v>
      </c>
      <c r="AK9">
        <v>1.9</v>
      </c>
      <c r="AL9">
        <v>4.8</v>
      </c>
      <c r="AM9">
        <v>3.4</v>
      </c>
      <c r="AN9">
        <v>2.2000000000000002</v>
      </c>
      <c r="AO9">
        <v>4.5999999999999996</v>
      </c>
      <c r="AP9">
        <v>6.4</v>
      </c>
      <c r="AQ9">
        <v>1.9</v>
      </c>
      <c r="AR9">
        <v>2.4</v>
      </c>
      <c r="AS9">
        <v>1.9</v>
      </c>
      <c r="AT9">
        <v>3.7</v>
      </c>
      <c r="AU9">
        <v>4</v>
      </c>
      <c r="AV9">
        <v>2.9</v>
      </c>
      <c r="AW9">
        <v>5.0999999999999996</v>
      </c>
      <c r="AX9">
        <v>3.1</v>
      </c>
      <c r="AY9">
        <v>2.1</v>
      </c>
      <c r="AZ9">
        <v>2.8</v>
      </c>
      <c r="BA9">
        <v>0.9</v>
      </c>
      <c r="BB9">
        <v>2.4</v>
      </c>
      <c r="BC9">
        <v>1.8</v>
      </c>
      <c r="BD9">
        <v>1.4</v>
      </c>
      <c r="BE9">
        <v>0.8</v>
      </c>
      <c r="BF9">
        <v>3.3</v>
      </c>
      <c r="BG9">
        <v>2.1</v>
      </c>
      <c r="BH9">
        <v>1.6</v>
      </c>
      <c r="BI9">
        <v>3.6</v>
      </c>
      <c r="BJ9">
        <v>1.4</v>
      </c>
      <c r="BK9">
        <v>1.6</v>
      </c>
      <c r="BL9">
        <v>3.2</v>
      </c>
      <c r="BM9">
        <v>2.1</v>
      </c>
      <c r="BN9">
        <v>3.1</v>
      </c>
      <c r="BO9">
        <v>3.4</v>
      </c>
      <c r="BP9">
        <v>1.8</v>
      </c>
      <c r="BQ9">
        <v>1.2</v>
      </c>
      <c r="BR9">
        <v>3.3</v>
      </c>
      <c r="BS9">
        <v>1.4</v>
      </c>
      <c r="BT9">
        <v>2.8</v>
      </c>
      <c r="BU9">
        <v>3.7</v>
      </c>
      <c r="BV9">
        <v>1.1000000000000001</v>
      </c>
      <c r="BW9">
        <v>1.1000000000000001</v>
      </c>
      <c r="BX9">
        <v>4</v>
      </c>
      <c r="BY9">
        <v>5.5</v>
      </c>
      <c r="BZ9">
        <v>4.7</v>
      </c>
      <c r="CA9">
        <v>2.8</v>
      </c>
      <c r="CB9">
        <v>0.9</v>
      </c>
      <c r="CC9">
        <v>4.2</v>
      </c>
      <c r="CD9">
        <v>3.8</v>
      </c>
      <c r="CE9">
        <v>2.1</v>
      </c>
      <c r="CF9">
        <v>3.3</v>
      </c>
      <c r="CG9">
        <v>3.5</v>
      </c>
      <c r="CH9">
        <v>3</v>
      </c>
      <c r="CI9">
        <v>2</v>
      </c>
      <c r="CJ9">
        <v>2.2999999999999998</v>
      </c>
      <c r="CK9">
        <v>4.5</v>
      </c>
    </row>
    <row r="10" spans="1:89" x14ac:dyDescent="0.25">
      <c r="A10" s="20" t="s">
        <v>105</v>
      </c>
      <c r="B10">
        <v>2.4</v>
      </c>
      <c r="C10">
        <v>6.6</v>
      </c>
      <c r="D10">
        <v>3.6</v>
      </c>
      <c r="E10">
        <v>2.5</v>
      </c>
      <c r="F10">
        <v>2</v>
      </c>
      <c r="G10">
        <v>3.2</v>
      </c>
      <c r="H10">
        <v>4.2</v>
      </c>
      <c r="I10">
        <v>1.4</v>
      </c>
      <c r="J10">
        <v>2.6</v>
      </c>
      <c r="K10">
        <v>2.4</v>
      </c>
      <c r="L10">
        <v>7.9</v>
      </c>
      <c r="M10">
        <v>5.0999999999999996</v>
      </c>
      <c r="N10">
        <v>1.4</v>
      </c>
      <c r="O10">
        <v>1.5</v>
      </c>
      <c r="P10">
        <v>6.3</v>
      </c>
      <c r="Q10">
        <v>6.9</v>
      </c>
      <c r="R10">
        <v>1.4</v>
      </c>
      <c r="S10">
        <v>1.9</v>
      </c>
      <c r="T10">
        <v>3.8</v>
      </c>
      <c r="U10">
        <v>4.0999999999999996</v>
      </c>
      <c r="V10">
        <v>0.7</v>
      </c>
      <c r="W10">
        <v>2.4</v>
      </c>
      <c r="X10">
        <v>2</v>
      </c>
      <c r="Y10">
        <v>2.1</v>
      </c>
      <c r="Z10">
        <v>4</v>
      </c>
      <c r="AA10">
        <v>2.7</v>
      </c>
      <c r="AB10">
        <v>1.3</v>
      </c>
      <c r="AC10">
        <v>5.9</v>
      </c>
      <c r="AD10">
        <v>3</v>
      </c>
      <c r="AE10">
        <v>3.4</v>
      </c>
      <c r="AF10">
        <v>4.0999999999999996</v>
      </c>
      <c r="AG10">
        <v>6.7</v>
      </c>
      <c r="AH10">
        <v>5.2</v>
      </c>
      <c r="AI10">
        <v>3.4</v>
      </c>
      <c r="AJ10">
        <v>1.7</v>
      </c>
      <c r="AK10">
        <v>1.4</v>
      </c>
      <c r="AL10">
        <v>6.3</v>
      </c>
      <c r="AM10">
        <v>3.6</v>
      </c>
      <c r="AN10">
        <v>1.9</v>
      </c>
      <c r="AO10">
        <v>4.7</v>
      </c>
      <c r="AP10">
        <v>3.2</v>
      </c>
      <c r="AQ10">
        <v>0.9</v>
      </c>
      <c r="AR10">
        <v>5.2</v>
      </c>
      <c r="AS10">
        <v>2</v>
      </c>
      <c r="AT10">
        <v>3.7</v>
      </c>
      <c r="AU10">
        <v>5.5</v>
      </c>
      <c r="AV10">
        <v>1.8</v>
      </c>
      <c r="AW10">
        <v>5.5</v>
      </c>
      <c r="AX10">
        <v>2.1</v>
      </c>
      <c r="AY10">
        <v>1.9</v>
      </c>
      <c r="AZ10">
        <v>2.2000000000000002</v>
      </c>
      <c r="BA10">
        <v>0.8</v>
      </c>
      <c r="BB10">
        <v>2.6</v>
      </c>
      <c r="BC10">
        <v>1.9</v>
      </c>
      <c r="BD10">
        <v>1.4</v>
      </c>
      <c r="BE10">
        <v>1.2</v>
      </c>
      <c r="BF10">
        <v>3.7</v>
      </c>
      <c r="BG10">
        <v>2.2999999999999998</v>
      </c>
      <c r="BH10">
        <v>1.8</v>
      </c>
      <c r="BI10">
        <v>4</v>
      </c>
      <c r="BJ10">
        <v>1.6</v>
      </c>
      <c r="BK10">
        <v>2.2000000000000002</v>
      </c>
      <c r="BL10">
        <v>3.8</v>
      </c>
      <c r="BM10">
        <v>2.4</v>
      </c>
      <c r="BN10">
        <v>2.9</v>
      </c>
      <c r="BO10">
        <v>3.3</v>
      </c>
      <c r="BP10">
        <v>2</v>
      </c>
      <c r="BQ10">
        <v>3.1</v>
      </c>
      <c r="BR10">
        <v>2.7</v>
      </c>
      <c r="BS10">
        <v>1.3</v>
      </c>
      <c r="BT10">
        <v>3.6</v>
      </c>
      <c r="BU10">
        <v>4.5999999999999996</v>
      </c>
      <c r="BV10">
        <v>1.2</v>
      </c>
      <c r="BW10">
        <v>1.8</v>
      </c>
      <c r="BX10">
        <v>4.3</v>
      </c>
      <c r="BY10">
        <v>4.4000000000000004</v>
      </c>
      <c r="BZ10">
        <v>4.5</v>
      </c>
      <c r="CA10">
        <v>2</v>
      </c>
      <c r="CB10">
        <v>1.8</v>
      </c>
      <c r="CC10">
        <v>4.5</v>
      </c>
      <c r="CD10">
        <v>4.8</v>
      </c>
      <c r="CE10">
        <v>2.1</v>
      </c>
      <c r="CF10">
        <v>4</v>
      </c>
      <c r="CG10">
        <v>1.9</v>
      </c>
      <c r="CH10">
        <v>4.5</v>
      </c>
      <c r="CI10">
        <v>1.8</v>
      </c>
      <c r="CJ10">
        <v>4.3</v>
      </c>
      <c r="CK10">
        <v>7.6</v>
      </c>
    </row>
    <row r="11" spans="1:89" x14ac:dyDescent="0.25">
      <c r="A11" s="20" t="s">
        <v>106</v>
      </c>
      <c r="B11">
        <v>2.7</v>
      </c>
      <c r="C11">
        <v>7</v>
      </c>
      <c r="D11">
        <v>3.5</v>
      </c>
      <c r="E11">
        <v>2.5</v>
      </c>
      <c r="F11">
        <v>1</v>
      </c>
      <c r="G11">
        <v>5.9</v>
      </c>
      <c r="H11">
        <v>1.6</v>
      </c>
      <c r="I11">
        <v>0.6</v>
      </c>
      <c r="J11">
        <v>3.2</v>
      </c>
      <c r="K11">
        <v>2.2999999999999998</v>
      </c>
      <c r="L11">
        <v>8.8000000000000007</v>
      </c>
      <c r="M11">
        <v>5.2</v>
      </c>
      <c r="N11">
        <v>2.1</v>
      </c>
      <c r="O11">
        <v>1.6</v>
      </c>
      <c r="P11">
        <v>4.4000000000000004</v>
      </c>
      <c r="Q11">
        <v>5.2</v>
      </c>
      <c r="R11">
        <v>2.2999999999999998</v>
      </c>
      <c r="S11">
        <v>1.8</v>
      </c>
      <c r="T11">
        <v>3.7</v>
      </c>
      <c r="U11">
        <v>2.7</v>
      </c>
      <c r="V11">
        <v>0.7</v>
      </c>
      <c r="W11">
        <v>2.2999999999999998</v>
      </c>
      <c r="X11">
        <v>1.6</v>
      </c>
      <c r="Y11">
        <v>2.2999999999999998</v>
      </c>
      <c r="Z11">
        <v>4</v>
      </c>
      <c r="AA11">
        <v>2</v>
      </c>
      <c r="AB11">
        <v>0.6</v>
      </c>
      <c r="AC11">
        <v>4.3</v>
      </c>
      <c r="AD11">
        <v>2</v>
      </c>
      <c r="AE11">
        <v>2.4</v>
      </c>
      <c r="AF11">
        <v>2.2999999999999998</v>
      </c>
      <c r="AG11">
        <v>5.5</v>
      </c>
      <c r="AH11">
        <v>2.7</v>
      </c>
      <c r="AI11">
        <v>2.1</v>
      </c>
      <c r="AJ11">
        <v>1.4</v>
      </c>
      <c r="AK11">
        <v>1.8</v>
      </c>
      <c r="AL11">
        <v>7.3</v>
      </c>
      <c r="AM11">
        <v>2.2999999999999998</v>
      </c>
      <c r="AN11">
        <v>3.2</v>
      </c>
      <c r="AO11">
        <v>3.7</v>
      </c>
      <c r="AP11">
        <v>5.5</v>
      </c>
      <c r="AQ11">
        <v>3.5</v>
      </c>
      <c r="AR11">
        <v>2.7</v>
      </c>
      <c r="AS11">
        <v>1.6</v>
      </c>
      <c r="AT11">
        <v>3.6</v>
      </c>
      <c r="AU11">
        <v>4.5</v>
      </c>
      <c r="AV11">
        <v>2.2999999999999998</v>
      </c>
      <c r="AW11">
        <v>5.9</v>
      </c>
      <c r="AX11">
        <v>2.6</v>
      </c>
      <c r="AY11">
        <v>2.6</v>
      </c>
      <c r="AZ11">
        <v>3.9</v>
      </c>
      <c r="BA11">
        <v>0.9</v>
      </c>
      <c r="BB11">
        <v>3.9</v>
      </c>
      <c r="BC11">
        <v>1.3</v>
      </c>
      <c r="BD11">
        <v>1.4</v>
      </c>
      <c r="BE11">
        <v>0.9</v>
      </c>
      <c r="BF11">
        <v>6.5</v>
      </c>
      <c r="BG11">
        <v>4.5</v>
      </c>
      <c r="BH11">
        <v>2</v>
      </c>
      <c r="BI11">
        <v>3.6</v>
      </c>
      <c r="BJ11">
        <v>1.2</v>
      </c>
      <c r="BK11">
        <v>1.2</v>
      </c>
      <c r="BL11">
        <v>2.9</v>
      </c>
      <c r="BM11">
        <v>2.5</v>
      </c>
      <c r="BN11">
        <v>2.2999999999999998</v>
      </c>
      <c r="BO11">
        <v>4.8</v>
      </c>
      <c r="BP11">
        <v>1.9</v>
      </c>
      <c r="BQ11">
        <v>1.6</v>
      </c>
      <c r="BR11">
        <v>2.5</v>
      </c>
      <c r="BS11">
        <v>1.2</v>
      </c>
      <c r="BT11">
        <v>2.1</v>
      </c>
      <c r="BU11">
        <v>4.7</v>
      </c>
      <c r="BV11">
        <v>0.8</v>
      </c>
      <c r="BW11">
        <v>1.2</v>
      </c>
      <c r="BX11">
        <v>3.2</v>
      </c>
      <c r="BY11">
        <v>4.4000000000000004</v>
      </c>
      <c r="BZ11">
        <v>10.7</v>
      </c>
      <c r="CA11">
        <v>1.7</v>
      </c>
      <c r="CB11">
        <v>1.7</v>
      </c>
      <c r="CC11">
        <v>6</v>
      </c>
      <c r="CD11">
        <v>4.8</v>
      </c>
      <c r="CE11">
        <v>3.1</v>
      </c>
      <c r="CF11">
        <v>3.8</v>
      </c>
      <c r="CG11">
        <v>1.1000000000000001</v>
      </c>
      <c r="CH11">
        <v>2</v>
      </c>
      <c r="CI11">
        <v>2.8</v>
      </c>
      <c r="CJ11">
        <v>3.5</v>
      </c>
      <c r="CK11">
        <v>5.8</v>
      </c>
    </row>
    <row r="12" spans="1:89" x14ac:dyDescent="0.25">
      <c r="A12" s="20" t="s">
        <v>107</v>
      </c>
      <c r="B12">
        <v>3.9</v>
      </c>
      <c r="C12">
        <v>6.4</v>
      </c>
      <c r="D12">
        <v>4.2</v>
      </c>
      <c r="E12">
        <v>2</v>
      </c>
      <c r="F12">
        <v>1.1000000000000001</v>
      </c>
      <c r="G12">
        <v>2.7</v>
      </c>
      <c r="H12">
        <v>2</v>
      </c>
      <c r="I12">
        <v>1.7</v>
      </c>
      <c r="J12">
        <v>3.1</v>
      </c>
      <c r="K12">
        <v>2.2000000000000002</v>
      </c>
      <c r="L12">
        <v>4.0999999999999996</v>
      </c>
      <c r="M12">
        <v>3.7</v>
      </c>
      <c r="N12">
        <v>1</v>
      </c>
      <c r="O12">
        <v>1.4</v>
      </c>
      <c r="P12">
        <v>5.6</v>
      </c>
      <c r="Q12">
        <v>6.4</v>
      </c>
      <c r="R12">
        <v>0.9</v>
      </c>
      <c r="S12">
        <v>2.2999999999999998</v>
      </c>
      <c r="T12">
        <v>3.2</v>
      </c>
      <c r="U12">
        <v>2.2999999999999998</v>
      </c>
      <c r="V12">
        <v>1.1000000000000001</v>
      </c>
      <c r="W12">
        <v>1.4</v>
      </c>
      <c r="X12">
        <v>2.1</v>
      </c>
      <c r="Y12">
        <v>2</v>
      </c>
      <c r="Z12">
        <v>4.4000000000000004</v>
      </c>
      <c r="AA12">
        <v>2.9</v>
      </c>
      <c r="AB12">
        <v>2.2999999999999998</v>
      </c>
      <c r="AC12">
        <v>4.4000000000000004</v>
      </c>
      <c r="AD12">
        <v>3</v>
      </c>
      <c r="AE12">
        <v>3.9</v>
      </c>
      <c r="AF12">
        <v>4.0999999999999996</v>
      </c>
      <c r="AG12">
        <v>5.2</v>
      </c>
      <c r="AH12">
        <v>3.9</v>
      </c>
      <c r="AI12">
        <v>2.5</v>
      </c>
      <c r="AJ12">
        <v>3.9</v>
      </c>
      <c r="AK12">
        <v>0.9</v>
      </c>
      <c r="AL12">
        <v>7.5</v>
      </c>
      <c r="AM12">
        <v>2.7</v>
      </c>
      <c r="AN12">
        <v>2.1</v>
      </c>
      <c r="AO12">
        <v>3.9</v>
      </c>
      <c r="AP12">
        <v>3.4</v>
      </c>
      <c r="AQ12">
        <v>1.6</v>
      </c>
      <c r="AR12">
        <v>3.8</v>
      </c>
      <c r="AS12">
        <v>2.4</v>
      </c>
      <c r="AT12">
        <v>2.9</v>
      </c>
      <c r="AU12">
        <v>7.4</v>
      </c>
      <c r="AV12">
        <v>1.7</v>
      </c>
      <c r="AW12">
        <v>6.6</v>
      </c>
      <c r="AX12">
        <v>0.5</v>
      </c>
      <c r="AY12">
        <v>1.7</v>
      </c>
      <c r="AZ12">
        <v>6</v>
      </c>
      <c r="BA12">
        <v>0.7</v>
      </c>
      <c r="BB12">
        <v>2.2999999999999998</v>
      </c>
      <c r="BC12">
        <v>2.9</v>
      </c>
      <c r="BD12">
        <v>2.2000000000000002</v>
      </c>
      <c r="BE12">
        <v>1.3</v>
      </c>
      <c r="BF12">
        <v>6.5</v>
      </c>
      <c r="BG12">
        <v>3.6</v>
      </c>
      <c r="BH12">
        <v>2.1</v>
      </c>
      <c r="BI12">
        <v>2.2000000000000002</v>
      </c>
      <c r="BJ12">
        <v>0.9</v>
      </c>
      <c r="BK12">
        <v>1.7</v>
      </c>
      <c r="BL12">
        <v>2.6</v>
      </c>
      <c r="BM12">
        <v>2.2000000000000002</v>
      </c>
      <c r="BN12">
        <v>2.4</v>
      </c>
      <c r="BO12">
        <v>4</v>
      </c>
      <c r="BP12">
        <v>1.4</v>
      </c>
      <c r="BQ12">
        <v>3.3</v>
      </c>
      <c r="BR12">
        <v>3.4</v>
      </c>
      <c r="BS12">
        <v>1.8</v>
      </c>
      <c r="BT12">
        <v>4.5999999999999996</v>
      </c>
      <c r="BU12">
        <v>2.7</v>
      </c>
      <c r="BV12">
        <v>1</v>
      </c>
      <c r="BW12">
        <v>1.4</v>
      </c>
      <c r="BX12">
        <v>2.7</v>
      </c>
      <c r="BY12">
        <v>4.5999999999999996</v>
      </c>
      <c r="BZ12">
        <v>11.7</v>
      </c>
      <c r="CA12">
        <v>2.2000000000000002</v>
      </c>
      <c r="CB12">
        <v>1.6</v>
      </c>
      <c r="CC12">
        <v>6.3</v>
      </c>
      <c r="CD12">
        <v>2.6</v>
      </c>
      <c r="CE12">
        <v>5</v>
      </c>
      <c r="CF12">
        <v>3.1</v>
      </c>
      <c r="CG12">
        <v>3.4</v>
      </c>
      <c r="CH12">
        <v>3</v>
      </c>
      <c r="CI12">
        <v>2.7</v>
      </c>
      <c r="CJ12">
        <v>2.1</v>
      </c>
      <c r="CK12">
        <v>9.9</v>
      </c>
    </row>
    <row r="13" spans="1:89" x14ac:dyDescent="0.25">
      <c r="A13" s="20" t="s">
        <v>108</v>
      </c>
      <c r="B13">
        <v>5.3</v>
      </c>
      <c r="C13">
        <v>7.2</v>
      </c>
      <c r="D13">
        <v>3.8</v>
      </c>
      <c r="E13">
        <v>3</v>
      </c>
      <c r="F13">
        <v>4.0999999999999996</v>
      </c>
      <c r="G13">
        <v>4.5</v>
      </c>
      <c r="H13">
        <v>2.6</v>
      </c>
      <c r="I13">
        <v>1</v>
      </c>
      <c r="J13">
        <v>3.5</v>
      </c>
      <c r="K13">
        <v>1.7</v>
      </c>
      <c r="L13">
        <v>3.9</v>
      </c>
      <c r="M13">
        <v>4.4000000000000004</v>
      </c>
      <c r="N13">
        <v>0.9</v>
      </c>
      <c r="O13">
        <v>1.6</v>
      </c>
      <c r="P13">
        <v>2.9</v>
      </c>
      <c r="Q13">
        <v>6.6</v>
      </c>
      <c r="R13">
        <v>2.2000000000000002</v>
      </c>
      <c r="S13">
        <v>2</v>
      </c>
      <c r="T13">
        <v>3.3</v>
      </c>
      <c r="U13">
        <v>2.4</v>
      </c>
      <c r="V13">
        <v>0.4</v>
      </c>
      <c r="W13">
        <v>1.8</v>
      </c>
      <c r="X13">
        <v>2.4</v>
      </c>
      <c r="Y13">
        <v>2.2000000000000002</v>
      </c>
      <c r="Z13">
        <v>4.5</v>
      </c>
      <c r="AA13">
        <v>4.5</v>
      </c>
      <c r="AB13">
        <v>1.5</v>
      </c>
      <c r="AC13">
        <v>4</v>
      </c>
      <c r="AD13">
        <v>2.2000000000000002</v>
      </c>
      <c r="AE13">
        <v>3.9</v>
      </c>
      <c r="AF13">
        <v>2.9</v>
      </c>
      <c r="AG13">
        <v>3.9</v>
      </c>
      <c r="AH13">
        <v>4.5</v>
      </c>
      <c r="AI13">
        <v>2.6</v>
      </c>
      <c r="AJ13">
        <v>6</v>
      </c>
      <c r="AK13">
        <v>1.6</v>
      </c>
      <c r="AL13">
        <v>7.5</v>
      </c>
      <c r="AM13">
        <v>5</v>
      </c>
      <c r="AN13">
        <v>2.6</v>
      </c>
      <c r="AO13">
        <v>3.7</v>
      </c>
      <c r="AP13">
        <v>5.8</v>
      </c>
      <c r="AQ13">
        <v>0.9</v>
      </c>
      <c r="AR13">
        <v>2.4</v>
      </c>
      <c r="AS13">
        <v>1.5</v>
      </c>
      <c r="AT13">
        <v>4.2</v>
      </c>
      <c r="AU13">
        <v>6.2</v>
      </c>
      <c r="AV13">
        <v>3</v>
      </c>
      <c r="AW13">
        <v>7.5</v>
      </c>
      <c r="AX13">
        <v>2</v>
      </c>
      <c r="AY13">
        <v>3</v>
      </c>
      <c r="AZ13">
        <v>3.3</v>
      </c>
      <c r="BA13">
        <v>1.1000000000000001</v>
      </c>
      <c r="BB13">
        <v>2.2000000000000002</v>
      </c>
      <c r="BC13">
        <v>1</v>
      </c>
      <c r="BD13">
        <v>3.1</v>
      </c>
      <c r="BE13">
        <v>1.3</v>
      </c>
      <c r="BF13">
        <v>6.6</v>
      </c>
      <c r="BH13">
        <v>2.2999999999999998</v>
      </c>
      <c r="BI13">
        <v>2.4</v>
      </c>
      <c r="BJ13">
        <v>0.9</v>
      </c>
      <c r="BK13">
        <v>1.5</v>
      </c>
      <c r="BL13">
        <v>3</v>
      </c>
      <c r="BM13">
        <v>2.2999999999999998</v>
      </c>
      <c r="BN13">
        <v>2.7</v>
      </c>
      <c r="BO13">
        <v>3.2</v>
      </c>
      <c r="BP13">
        <v>2.1</v>
      </c>
      <c r="BQ13">
        <v>3.4</v>
      </c>
      <c r="BR13">
        <v>3.2</v>
      </c>
      <c r="BS13">
        <v>1.4</v>
      </c>
      <c r="BT13">
        <v>3.1</v>
      </c>
      <c r="BU13">
        <v>4.4000000000000004</v>
      </c>
      <c r="BV13">
        <v>1.1000000000000001</v>
      </c>
      <c r="BW13">
        <v>1.9</v>
      </c>
      <c r="BX13">
        <v>1.9</v>
      </c>
      <c r="BY13">
        <v>5.3</v>
      </c>
      <c r="BZ13">
        <v>4</v>
      </c>
      <c r="CA13">
        <v>1.6</v>
      </c>
      <c r="CB13">
        <v>2.2999999999999998</v>
      </c>
      <c r="CC13">
        <v>6.9</v>
      </c>
      <c r="CD13">
        <v>4.9000000000000004</v>
      </c>
      <c r="CE13">
        <v>4.2</v>
      </c>
      <c r="CF13">
        <v>2.4</v>
      </c>
      <c r="CG13">
        <v>3.1</v>
      </c>
      <c r="CH13">
        <v>4</v>
      </c>
      <c r="CI13">
        <v>1.4</v>
      </c>
      <c r="CJ13">
        <v>3.2</v>
      </c>
      <c r="CK13">
        <v>12.6</v>
      </c>
    </row>
    <row r="14" spans="1:89" x14ac:dyDescent="0.25">
      <c r="A14" s="20" t="s">
        <v>109</v>
      </c>
      <c r="B14">
        <v>2.2000000000000002</v>
      </c>
      <c r="C14">
        <v>7.7</v>
      </c>
      <c r="D14">
        <v>4.0999999999999996</v>
      </c>
      <c r="E14">
        <v>2.2999999999999998</v>
      </c>
      <c r="F14">
        <v>1.3</v>
      </c>
      <c r="G14">
        <v>4.5999999999999996</v>
      </c>
      <c r="H14">
        <v>2.8</v>
      </c>
      <c r="I14">
        <v>0.6</v>
      </c>
      <c r="J14">
        <v>3.9</v>
      </c>
      <c r="K14">
        <v>2.5</v>
      </c>
      <c r="L14">
        <v>6</v>
      </c>
      <c r="M14">
        <v>3.7</v>
      </c>
      <c r="N14">
        <v>1.4</v>
      </c>
      <c r="O14">
        <v>1.3</v>
      </c>
      <c r="P14">
        <v>4.5999999999999996</v>
      </c>
      <c r="Q14">
        <v>11.5</v>
      </c>
      <c r="R14">
        <v>2.4</v>
      </c>
      <c r="S14">
        <v>2.2000000000000002</v>
      </c>
      <c r="T14">
        <v>1.9</v>
      </c>
      <c r="U14">
        <v>4</v>
      </c>
      <c r="V14">
        <v>0.8</v>
      </c>
      <c r="W14">
        <v>1.1000000000000001</v>
      </c>
      <c r="X14">
        <v>0.9</v>
      </c>
      <c r="Y14">
        <v>1.8</v>
      </c>
      <c r="Z14">
        <v>2.7</v>
      </c>
      <c r="AA14">
        <v>2.9</v>
      </c>
      <c r="AB14">
        <v>1.8</v>
      </c>
      <c r="AC14">
        <v>5</v>
      </c>
      <c r="AD14">
        <v>3.8</v>
      </c>
      <c r="AE14">
        <v>4.0999999999999996</v>
      </c>
      <c r="AF14">
        <v>4.5999999999999996</v>
      </c>
      <c r="AG14">
        <v>5.7</v>
      </c>
      <c r="AH14">
        <v>6.6</v>
      </c>
      <c r="AI14">
        <v>3.9</v>
      </c>
      <c r="AJ14">
        <v>4.2</v>
      </c>
      <c r="AK14">
        <v>1.5</v>
      </c>
      <c r="AL14">
        <v>4.2</v>
      </c>
      <c r="AM14">
        <v>3.9</v>
      </c>
      <c r="AN14">
        <v>3.4</v>
      </c>
      <c r="AO14">
        <v>6</v>
      </c>
      <c r="AP14">
        <v>5.4</v>
      </c>
      <c r="AQ14">
        <v>2.8</v>
      </c>
      <c r="AR14">
        <v>2.6</v>
      </c>
      <c r="AS14">
        <v>2.2999999999999998</v>
      </c>
      <c r="AT14">
        <v>1.2</v>
      </c>
      <c r="AU14">
        <v>4.9000000000000004</v>
      </c>
      <c r="AV14">
        <v>2.7</v>
      </c>
      <c r="AW14">
        <v>6.7</v>
      </c>
      <c r="AX14">
        <v>2.4</v>
      </c>
      <c r="AY14">
        <v>2.1</v>
      </c>
      <c r="AZ14">
        <v>3.7</v>
      </c>
      <c r="BA14">
        <v>0.8</v>
      </c>
      <c r="BB14">
        <v>1.4</v>
      </c>
      <c r="BC14">
        <v>0.5</v>
      </c>
      <c r="BD14">
        <v>1.5</v>
      </c>
      <c r="BE14">
        <v>1</v>
      </c>
      <c r="BF14">
        <v>7.9</v>
      </c>
      <c r="BG14">
        <v>5</v>
      </c>
      <c r="BH14">
        <v>1.3</v>
      </c>
      <c r="BI14">
        <v>4</v>
      </c>
      <c r="BJ14">
        <v>1.4</v>
      </c>
      <c r="BK14">
        <v>2.2999999999999998</v>
      </c>
      <c r="BL14">
        <v>2.9</v>
      </c>
      <c r="BM14">
        <v>2.4</v>
      </c>
      <c r="BN14">
        <v>2.1</v>
      </c>
      <c r="BO14">
        <v>3.9</v>
      </c>
      <c r="BP14">
        <v>2.2999999999999998</v>
      </c>
      <c r="BQ14">
        <v>3.3</v>
      </c>
      <c r="BR14">
        <v>2.7</v>
      </c>
      <c r="BS14">
        <v>0.9</v>
      </c>
      <c r="BT14">
        <v>4.4000000000000004</v>
      </c>
      <c r="BU14">
        <v>5.9</v>
      </c>
      <c r="BV14">
        <v>0.9</v>
      </c>
      <c r="BW14">
        <v>2.1</v>
      </c>
      <c r="BX14">
        <v>3.2</v>
      </c>
      <c r="BY14">
        <v>2.1</v>
      </c>
      <c r="BZ14">
        <v>4.8</v>
      </c>
      <c r="CA14">
        <v>3.3</v>
      </c>
      <c r="CB14">
        <v>2.4</v>
      </c>
      <c r="CC14">
        <v>6.1</v>
      </c>
      <c r="CD14">
        <v>5.8</v>
      </c>
      <c r="CE14">
        <v>2.1</v>
      </c>
      <c r="CF14">
        <v>1.8</v>
      </c>
      <c r="CG14">
        <v>4.2</v>
      </c>
      <c r="CH14">
        <v>5</v>
      </c>
      <c r="CI14">
        <v>1.4</v>
      </c>
      <c r="CJ14">
        <v>3.3</v>
      </c>
      <c r="CK14">
        <v>4.8</v>
      </c>
    </row>
    <row r="15" spans="1:89" x14ac:dyDescent="0.25">
      <c r="A15" s="20" t="s">
        <v>110</v>
      </c>
      <c r="B15">
        <v>3</v>
      </c>
      <c r="C15">
        <v>6.3</v>
      </c>
      <c r="D15">
        <v>3.9</v>
      </c>
      <c r="E15">
        <v>1.9</v>
      </c>
      <c r="F15">
        <v>1.8</v>
      </c>
      <c r="G15">
        <v>5.3</v>
      </c>
      <c r="H15">
        <v>2.1</v>
      </c>
      <c r="I15">
        <v>0.7</v>
      </c>
      <c r="J15">
        <v>2.2999999999999998</v>
      </c>
      <c r="K15">
        <v>1.5</v>
      </c>
      <c r="L15">
        <v>7.9</v>
      </c>
      <c r="M15">
        <v>2.4</v>
      </c>
      <c r="N15">
        <v>1.5</v>
      </c>
      <c r="O15">
        <v>1.2</v>
      </c>
      <c r="P15">
        <v>2.1</v>
      </c>
      <c r="Q15">
        <v>7</v>
      </c>
      <c r="R15">
        <v>1.7</v>
      </c>
      <c r="S15">
        <v>2.9</v>
      </c>
      <c r="T15">
        <v>2.5</v>
      </c>
      <c r="U15">
        <v>5.9</v>
      </c>
      <c r="V15">
        <v>1.2</v>
      </c>
      <c r="W15">
        <v>1.3</v>
      </c>
      <c r="X15">
        <v>1.8</v>
      </c>
      <c r="Y15">
        <v>1.7</v>
      </c>
      <c r="Z15">
        <v>2.2000000000000002</v>
      </c>
      <c r="AA15">
        <v>2.4</v>
      </c>
      <c r="AB15">
        <v>1.7</v>
      </c>
      <c r="AC15">
        <v>3.4</v>
      </c>
      <c r="AD15">
        <v>4.4000000000000004</v>
      </c>
      <c r="AE15">
        <v>1.4</v>
      </c>
      <c r="AF15">
        <v>3.9</v>
      </c>
      <c r="AG15">
        <v>5.8</v>
      </c>
      <c r="AH15">
        <v>3.5</v>
      </c>
      <c r="AI15">
        <v>3.5</v>
      </c>
      <c r="AJ15">
        <v>2.1</v>
      </c>
      <c r="AK15">
        <v>1.7</v>
      </c>
      <c r="AL15">
        <v>5.3</v>
      </c>
      <c r="AM15">
        <v>1.4</v>
      </c>
      <c r="AN15">
        <v>5.4</v>
      </c>
      <c r="AO15">
        <v>8</v>
      </c>
      <c r="AP15">
        <v>3.6</v>
      </c>
      <c r="AQ15">
        <v>1.7</v>
      </c>
      <c r="AR15">
        <v>1.8</v>
      </c>
      <c r="AS15">
        <v>2</v>
      </c>
      <c r="AT15">
        <v>2.4</v>
      </c>
      <c r="AU15">
        <v>4.7</v>
      </c>
      <c r="AV15">
        <v>4.5999999999999996</v>
      </c>
      <c r="AW15">
        <v>5.0999999999999996</v>
      </c>
      <c r="AX15">
        <v>2.8</v>
      </c>
      <c r="AY15">
        <v>2.5</v>
      </c>
      <c r="AZ15">
        <v>3.2</v>
      </c>
      <c r="BA15">
        <v>1.6</v>
      </c>
      <c r="BB15">
        <v>1.8</v>
      </c>
      <c r="BC15">
        <v>2.1</v>
      </c>
      <c r="BD15">
        <v>2.7</v>
      </c>
      <c r="BE15">
        <v>0.8</v>
      </c>
      <c r="BF15">
        <v>8.6</v>
      </c>
      <c r="BG15">
        <v>3.2</v>
      </c>
      <c r="BH15">
        <v>1.2</v>
      </c>
      <c r="BI15">
        <v>3.4</v>
      </c>
      <c r="BJ15">
        <v>1.5</v>
      </c>
      <c r="BK15">
        <v>2.7</v>
      </c>
      <c r="BL15">
        <v>3.6</v>
      </c>
      <c r="BM15">
        <v>2.2999999999999998</v>
      </c>
      <c r="BN15">
        <v>4.5</v>
      </c>
      <c r="BO15">
        <v>3.9</v>
      </c>
      <c r="BP15">
        <v>2.5</v>
      </c>
      <c r="BQ15">
        <v>3.1</v>
      </c>
      <c r="BR15">
        <v>2.1</v>
      </c>
      <c r="BS15">
        <v>1.3</v>
      </c>
      <c r="BT15">
        <v>2.7</v>
      </c>
      <c r="BU15">
        <v>5.6</v>
      </c>
      <c r="BV15">
        <v>1.3</v>
      </c>
      <c r="BW15">
        <v>1.7</v>
      </c>
      <c r="BX15">
        <v>2</v>
      </c>
      <c r="BY15">
        <v>3.9</v>
      </c>
      <c r="BZ15">
        <v>10.3</v>
      </c>
      <c r="CA15">
        <v>2</v>
      </c>
      <c r="CB15">
        <v>0.9</v>
      </c>
      <c r="CC15">
        <v>4.5</v>
      </c>
      <c r="CD15">
        <v>2.9</v>
      </c>
      <c r="CE15">
        <v>2.9</v>
      </c>
      <c r="CF15">
        <v>2.9</v>
      </c>
      <c r="CG15">
        <v>4</v>
      </c>
      <c r="CH15">
        <v>8.6</v>
      </c>
      <c r="CI15">
        <v>1.1000000000000001</v>
      </c>
      <c r="CJ15">
        <v>3.7</v>
      </c>
      <c r="CK15">
        <v>2.9</v>
      </c>
    </row>
    <row r="16" spans="1:89" x14ac:dyDescent="0.25">
      <c r="A16" s="20" t="s">
        <v>111</v>
      </c>
      <c r="B16">
        <v>2.9</v>
      </c>
      <c r="C16">
        <v>6.6</v>
      </c>
      <c r="D16">
        <v>4.2</v>
      </c>
      <c r="E16">
        <v>2.2999999999999998</v>
      </c>
      <c r="F16">
        <v>1.7</v>
      </c>
      <c r="G16">
        <v>4.2</v>
      </c>
      <c r="H16">
        <v>3</v>
      </c>
      <c r="I16">
        <v>2.1</v>
      </c>
      <c r="J16">
        <v>2.9</v>
      </c>
      <c r="K16">
        <v>1.3</v>
      </c>
      <c r="L16">
        <v>5.4</v>
      </c>
      <c r="M16">
        <v>3.8</v>
      </c>
      <c r="N16">
        <v>1</v>
      </c>
      <c r="O16">
        <v>1.7</v>
      </c>
      <c r="P16">
        <v>2.2999999999999998</v>
      </c>
      <c r="Q16">
        <v>6</v>
      </c>
      <c r="R16">
        <v>2.1</v>
      </c>
      <c r="S16">
        <v>2.5</v>
      </c>
      <c r="T16">
        <v>3.6</v>
      </c>
      <c r="U16">
        <v>2.4</v>
      </c>
      <c r="V16">
        <v>0.6</v>
      </c>
      <c r="W16">
        <v>4.3</v>
      </c>
      <c r="X16">
        <v>1.6</v>
      </c>
      <c r="Y16">
        <v>1.2</v>
      </c>
      <c r="Z16">
        <v>4.3</v>
      </c>
      <c r="AA16">
        <v>2.2999999999999998</v>
      </c>
      <c r="AB16">
        <v>1</v>
      </c>
      <c r="AC16">
        <v>4.4000000000000004</v>
      </c>
      <c r="AD16">
        <v>6</v>
      </c>
      <c r="AE16">
        <v>8.6999999999999993</v>
      </c>
      <c r="AF16">
        <v>3.6</v>
      </c>
      <c r="AG16">
        <v>5.0999999999999996</v>
      </c>
      <c r="AH16">
        <v>5</v>
      </c>
      <c r="AI16">
        <v>2.5</v>
      </c>
      <c r="AJ16">
        <v>3.7</v>
      </c>
      <c r="AK16">
        <v>1.6</v>
      </c>
      <c r="AL16">
        <v>2.2000000000000002</v>
      </c>
      <c r="AM16">
        <v>9.6999999999999993</v>
      </c>
      <c r="AN16">
        <v>2.6</v>
      </c>
      <c r="AO16">
        <v>3.6</v>
      </c>
      <c r="AP16">
        <v>3</v>
      </c>
      <c r="AQ16">
        <v>1.8</v>
      </c>
      <c r="AR16">
        <v>1.4</v>
      </c>
      <c r="AS16">
        <v>2</v>
      </c>
      <c r="AT16">
        <v>2.9</v>
      </c>
      <c r="AU16">
        <v>5.6</v>
      </c>
      <c r="AV16">
        <v>3.7</v>
      </c>
      <c r="AW16">
        <v>4.7</v>
      </c>
      <c r="AX16">
        <v>3.3</v>
      </c>
      <c r="AY16">
        <v>1.9</v>
      </c>
      <c r="AZ16">
        <v>4.8</v>
      </c>
      <c r="BA16">
        <v>1.3</v>
      </c>
      <c r="BB16">
        <v>1.6</v>
      </c>
      <c r="BC16">
        <v>2.2000000000000002</v>
      </c>
      <c r="BD16">
        <v>2.7</v>
      </c>
      <c r="BE16">
        <v>1.2</v>
      </c>
      <c r="BF16">
        <v>8.1</v>
      </c>
      <c r="BG16">
        <v>2.5</v>
      </c>
      <c r="BH16">
        <v>1.7</v>
      </c>
      <c r="BI16">
        <v>2.7</v>
      </c>
      <c r="BJ16">
        <v>1.4</v>
      </c>
      <c r="BK16">
        <v>1.8</v>
      </c>
      <c r="BL16">
        <v>3.5</v>
      </c>
      <c r="BM16">
        <v>2.5</v>
      </c>
      <c r="BN16">
        <v>6.3</v>
      </c>
      <c r="BO16">
        <v>5</v>
      </c>
      <c r="BP16">
        <v>1.9</v>
      </c>
      <c r="BQ16">
        <v>2</v>
      </c>
      <c r="BR16">
        <v>2.9</v>
      </c>
      <c r="BS16">
        <v>1.1000000000000001</v>
      </c>
      <c r="BT16">
        <v>2.1</v>
      </c>
      <c r="BU16">
        <v>3.1</v>
      </c>
      <c r="BV16">
        <v>1.3</v>
      </c>
      <c r="BW16">
        <v>2.2000000000000002</v>
      </c>
      <c r="BX16">
        <v>3.4</v>
      </c>
      <c r="BY16">
        <v>4.4000000000000004</v>
      </c>
      <c r="BZ16">
        <v>8.4</v>
      </c>
      <c r="CA16">
        <v>1.7</v>
      </c>
      <c r="CB16">
        <v>0.9</v>
      </c>
      <c r="CC16">
        <v>7.1</v>
      </c>
      <c r="CD16">
        <v>2.5</v>
      </c>
      <c r="CE16">
        <v>2.1</v>
      </c>
      <c r="CF16">
        <v>3.1</v>
      </c>
      <c r="CG16">
        <v>2.4</v>
      </c>
      <c r="CH16">
        <v>4.2</v>
      </c>
      <c r="CI16">
        <v>1.9</v>
      </c>
      <c r="CJ16">
        <v>4</v>
      </c>
      <c r="CK16">
        <v>0.5</v>
      </c>
    </row>
    <row r="17" spans="1:89" x14ac:dyDescent="0.25">
      <c r="A17" s="20" t="s">
        <v>112</v>
      </c>
      <c r="B17">
        <v>3.4</v>
      </c>
      <c r="C17">
        <v>6.7</v>
      </c>
      <c r="D17">
        <v>3.9</v>
      </c>
      <c r="E17">
        <v>1.2</v>
      </c>
      <c r="F17">
        <v>2</v>
      </c>
      <c r="G17">
        <v>3.7</v>
      </c>
      <c r="H17">
        <v>2.9</v>
      </c>
      <c r="I17">
        <v>1.4</v>
      </c>
      <c r="J17">
        <v>2.8</v>
      </c>
      <c r="K17">
        <v>2.4</v>
      </c>
      <c r="L17">
        <v>4.3</v>
      </c>
      <c r="M17">
        <v>3.3</v>
      </c>
      <c r="N17">
        <v>2.2000000000000002</v>
      </c>
      <c r="O17">
        <v>1.9</v>
      </c>
      <c r="P17">
        <v>2.4</v>
      </c>
      <c r="Q17">
        <v>4</v>
      </c>
      <c r="R17">
        <v>1.5</v>
      </c>
      <c r="S17">
        <v>3.1</v>
      </c>
      <c r="T17">
        <v>3.4</v>
      </c>
      <c r="U17">
        <v>4</v>
      </c>
      <c r="V17">
        <v>0.9</v>
      </c>
      <c r="W17">
        <v>2.2999999999999998</v>
      </c>
      <c r="X17">
        <v>1.9</v>
      </c>
      <c r="Y17">
        <v>2.2999999999999998</v>
      </c>
      <c r="Z17">
        <v>3.2</v>
      </c>
      <c r="AA17">
        <v>2.1</v>
      </c>
      <c r="AB17">
        <v>1.1000000000000001</v>
      </c>
      <c r="AC17">
        <v>4.3</v>
      </c>
      <c r="AD17">
        <v>2.1</v>
      </c>
      <c r="AE17">
        <v>4</v>
      </c>
      <c r="AF17">
        <v>3.2</v>
      </c>
      <c r="AG17">
        <v>4.3</v>
      </c>
      <c r="AH17">
        <v>3.7</v>
      </c>
      <c r="AI17">
        <v>4</v>
      </c>
      <c r="AJ17">
        <v>3.3</v>
      </c>
      <c r="AK17">
        <v>0.7</v>
      </c>
      <c r="AL17">
        <v>5.5</v>
      </c>
      <c r="AM17">
        <v>2.5</v>
      </c>
      <c r="AN17">
        <v>5.3</v>
      </c>
      <c r="AO17">
        <v>8</v>
      </c>
      <c r="AP17">
        <v>2.4</v>
      </c>
      <c r="AQ17">
        <v>1.3</v>
      </c>
      <c r="AR17">
        <v>1.8</v>
      </c>
      <c r="AS17">
        <v>2.1</v>
      </c>
      <c r="AT17">
        <v>2</v>
      </c>
      <c r="AU17">
        <v>7.1</v>
      </c>
      <c r="AV17">
        <v>4</v>
      </c>
      <c r="AW17">
        <v>7.1</v>
      </c>
      <c r="AX17">
        <v>3.9</v>
      </c>
      <c r="AY17">
        <v>1.7</v>
      </c>
      <c r="AZ17">
        <v>5.6</v>
      </c>
      <c r="BA17">
        <v>0.8</v>
      </c>
      <c r="BB17">
        <v>2.8</v>
      </c>
      <c r="BC17">
        <v>2.5</v>
      </c>
      <c r="BD17">
        <v>2.2000000000000002</v>
      </c>
      <c r="BE17">
        <v>1</v>
      </c>
      <c r="BF17">
        <v>5</v>
      </c>
      <c r="BG17">
        <v>2.6</v>
      </c>
      <c r="BH17">
        <v>1.9</v>
      </c>
      <c r="BI17">
        <v>2.9</v>
      </c>
      <c r="BJ17">
        <v>2.2999999999999998</v>
      </c>
      <c r="BK17">
        <v>1.5</v>
      </c>
      <c r="BL17">
        <v>3.2</v>
      </c>
      <c r="BM17">
        <v>2.1</v>
      </c>
      <c r="BN17">
        <v>4.9000000000000004</v>
      </c>
      <c r="BO17">
        <v>2.5</v>
      </c>
      <c r="BP17">
        <v>1.4</v>
      </c>
      <c r="BQ17">
        <v>1.3</v>
      </c>
      <c r="BR17">
        <v>2.6</v>
      </c>
      <c r="BS17">
        <v>1.2</v>
      </c>
      <c r="BT17">
        <v>1.4</v>
      </c>
      <c r="BU17">
        <v>6.4</v>
      </c>
      <c r="BV17">
        <v>1.2</v>
      </c>
      <c r="BW17">
        <v>1.4</v>
      </c>
      <c r="BX17">
        <v>3.2</v>
      </c>
      <c r="BY17">
        <v>5.3</v>
      </c>
      <c r="CA17">
        <v>1.4</v>
      </c>
      <c r="CB17">
        <v>2</v>
      </c>
      <c r="CC17">
        <v>6.7</v>
      </c>
      <c r="CD17">
        <v>5.9</v>
      </c>
      <c r="CE17">
        <v>1.9</v>
      </c>
      <c r="CF17">
        <v>2.6</v>
      </c>
      <c r="CG17">
        <v>3.9</v>
      </c>
      <c r="CH17">
        <v>8.1999999999999993</v>
      </c>
      <c r="CI17">
        <v>1.9</v>
      </c>
      <c r="CJ17">
        <v>2.7</v>
      </c>
      <c r="CK17">
        <v>2.4</v>
      </c>
    </row>
    <row r="18" spans="1:89" x14ac:dyDescent="0.25">
      <c r="A18" s="20" t="s">
        <v>113</v>
      </c>
      <c r="B18">
        <v>2</v>
      </c>
      <c r="C18">
        <v>7</v>
      </c>
      <c r="D18">
        <v>4.2</v>
      </c>
      <c r="E18">
        <v>2.2999999999999998</v>
      </c>
      <c r="F18">
        <v>3.2</v>
      </c>
      <c r="G18">
        <v>4.2</v>
      </c>
      <c r="H18">
        <v>2.1</v>
      </c>
      <c r="I18">
        <v>1.8</v>
      </c>
      <c r="J18">
        <v>1.6</v>
      </c>
      <c r="K18">
        <v>3.4</v>
      </c>
      <c r="L18">
        <v>4.4000000000000004</v>
      </c>
      <c r="M18">
        <v>4.4000000000000004</v>
      </c>
      <c r="N18">
        <v>2.6</v>
      </c>
      <c r="O18">
        <v>1.8</v>
      </c>
      <c r="P18">
        <v>1.8</v>
      </c>
      <c r="Q18">
        <v>3.8</v>
      </c>
      <c r="R18">
        <v>2.4</v>
      </c>
      <c r="S18">
        <v>3.3</v>
      </c>
      <c r="T18">
        <v>1.9</v>
      </c>
      <c r="U18">
        <v>3.2</v>
      </c>
      <c r="V18">
        <v>1.4</v>
      </c>
      <c r="W18">
        <v>2.6</v>
      </c>
      <c r="X18">
        <v>0.7</v>
      </c>
      <c r="Y18">
        <v>1.7</v>
      </c>
      <c r="Z18">
        <v>4.5</v>
      </c>
      <c r="AA18">
        <v>2.7</v>
      </c>
      <c r="AB18">
        <v>2.2000000000000002</v>
      </c>
      <c r="AC18">
        <v>3.3</v>
      </c>
      <c r="AD18">
        <v>3.3</v>
      </c>
      <c r="AE18">
        <v>4.5</v>
      </c>
      <c r="AF18">
        <v>2.7</v>
      </c>
      <c r="AG18">
        <v>5.4</v>
      </c>
      <c r="AH18">
        <v>3</v>
      </c>
      <c r="AI18">
        <v>4.4000000000000004</v>
      </c>
      <c r="AJ18">
        <v>1.7</v>
      </c>
      <c r="AK18">
        <v>2.2999999999999998</v>
      </c>
      <c r="AL18">
        <v>3.8</v>
      </c>
      <c r="AM18">
        <v>3.7</v>
      </c>
      <c r="AN18">
        <v>3.9</v>
      </c>
      <c r="AO18">
        <v>7</v>
      </c>
      <c r="AP18">
        <v>3</v>
      </c>
      <c r="AQ18">
        <v>2.4</v>
      </c>
      <c r="AR18">
        <v>1.3</v>
      </c>
      <c r="AS18">
        <v>2.2000000000000002</v>
      </c>
      <c r="AT18">
        <v>3</v>
      </c>
      <c r="AU18">
        <v>6.1</v>
      </c>
      <c r="AV18">
        <v>2</v>
      </c>
      <c r="AW18">
        <v>6.7</v>
      </c>
      <c r="AX18">
        <v>1.8</v>
      </c>
      <c r="AY18">
        <v>1.8</v>
      </c>
      <c r="AZ18">
        <v>5.9</v>
      </c>
      <c r="BA18">
        <v>1</v>
      </c>
      <c r="BB18">
        <v>4.5</v>
      </c>
      <c r="BC18">
        <v>2.9</v>
      </c>
      <c r="BD18">
        <v>1.3</v>
      </c>
      <c r="BE18">
        <v>0.5</v>
      </c>
      <c r="BF18">
        <v>7.3</v>
      </c>
      <c r="BG18">
        <v>2.4</v>
      </c>
      <c r="BH18">
        <v>1.8</v>
      </c>
      <c r="BI18">
        <v>2.1</v>
      </c>
      <c r="BJ18">
        <v>1.6</v>
      </c>
      <c r="BK18">
        <v>1.5</v>
      </c>
      <c r="BL18">
        <v>2</v>
      </c>
      <c r="BM18">
        <v>2.4</v>
      </c>
      <c r="BN18">
        <v>2.2999999999999998</v>
      </c>
      <c r="BO18">
        <v>5.3</v>
      </c>
      <c r="BP18">
        <v>1.6</v>
      </c>
      <c r="BQ18">
        <v>2</v>
      </c>
      <c r="BR18">
        <v>2.1</v>
      </c>
      <c r="BS18">
        <v>1.3</v>
      </c>
      <c r="BT18">
        <v>2.8</v>
      </c>
      <c r="BU18">
        <v>4</v>
      </c>
      <c r="BV18">
        <v>1.4</v>
      </c>
      <c r="BW18">
        <v>6.5</v>
      </c>
      <c r="BX18">
        <v>2.8</v>
      </c>
      <c r="BY18">
        <v>4</v>
      </c>
      <c r="BZ18">
        <v>8.9</v>
      </c>
      <c r="CA18">
        <v>4.4000000000000004</v>
      </c>
      <c r="CB18">
        <v>1</v>
      </c>
      <c r="CC18">
        <v>7.8</v>
      </c>
      <c r="CD18">
        <v>6.2</v>
      </c>
      <c r="CE18">
        <v>4</v>
      </c>
      <c r="CF18">
        <v>2.9</v>
      </c>
      <c r="CG18">
        <v>2.8</v>
      </c>
      <c r="CH18">
        <v>6.6</v>
      </c>
      <c r="CI18">
        <v>2.1</v>
      </c>
      <c r="CJ18">
        <v>2</v>
      </c>
      <c r="CK18">
        <v>9.4</v>
      </c>
    </row>
    <row r="19" spans="1:89" x14ac:dyDescent="0.25">
      <c r="A19" s="20" t="s">
        <v>114</v>
      </c>
      <c r="B19">
        <v>4.4000000000000004</v>
      </c>
      <c r="C19">
        <v>7.9</v>
      </c>
      <c r="D19">
        <v>3.8</v>
      </c>
      <c r="E19">
        <v>1.4</v>
      </c>
      <c r="F19">
        <v>1.7</v>
      </c>
      <c r="G19">
        <v>2.6</v>
      </c>
      <c r="H19">
        <v>3.5</v>
      </c>
      <c r="I19">
        <v>1.9</v>
      </c>
      <c r="J19">
        <v>2.4</v>
      </c>
      <c r="K19">
        <v>2.5</v>
      </c>
      <c r="L19">
        <v>4</v>
      </c>
      <c r="M19">
        <v>4.82</v>
      </c>
      <c r="N19">
        <v>2</v>
      </c>
      <c r="O19">
        <v>2.4</v>
      </c>
      <c r="P19">
        <v>1.7</v>
      </c>
      <c r="Q19">
        <v>1.5</v>
      </c>
      <c r="R19">
        <v>1.5</v>
      </c>
      <c r="S19">
        <v>2.2000000000000002</v>
      </c>
      <c r="T19">
        <v>2.2000000000000002</v>
      </c>
      <c r="U19">
        <v>3.5</v>
      </c>
      <c r="V19">
        <v>1.5</v>
      </c>
      <c r="W19">
        <v>2.8</v>
      </c>
      <c r="X19">
        <v>2.6</v>
      </c>
      <c r="Y19">
        <v>2.2000000000000002</v>
      </c>
      <c r="Z19">
        <v>2.6</v>
      </c>
      <c r="AA19">
        <v>4.5</v>
      </c>
      <c r="AB19">
        <v>1.5</v>
      </c>
      <c r="AC19">
        <v>5</v>
      </c>
      <c r="AD19">
        <v>2.2000000000000002</v>
      </c>
      <c r="AE19">
        <v>5.6</v>
      </c>
      <c r="AF19">
        <v>3.5</v>
      </c>
      <c r="AG19">
        <v>5.6</v>
      </c>
      <c r="AH19">
        <v>7.5</v>
      </c>
      <c r="AI19">
        <v>3</v>
      </c>
      <c r="AJ19">
        <v>2.1</v>
      </c>
      <c r="AK19">
        <v>1.1000000000000001</v>
      </c>
      <c r="AL19">
        <v>6.5</v>
      </c>
      <c r="AM19">
        <v>3.1</v>
      </c>
      <c r="AN19">
        <v>3.2</v>
      </c>
      <c r="AO19">
        <v>6.7</v>
      </c>
      <c r="AP19">
        <v>5.4</v>
      </c>
      <c r="AQ19">
        <v>0.9</v>
      </c>
      <c r="AR19">
        <v>1.5</v>
      </c>
      <c r="AS19">
        <v>2.2999999999999998</v>
      </c>
      <c r="AT19">
        <v>3.5</v>
      </c>
      <c r="AU19">
        <v>2.4</v>
      </c>
      <c r="AV19">
        <v>3.3</v>
      </c>
      <c r="AW19">
        <v>5.3</v>
      </c>
      <c r="AX19">
        <v>1.4</v>
      </c>
      <c r="AY19">
        <v>2.2000000000000002</v>
      </c>
      <c r="AZ19">
        <v>4.5</v>
      </c>
      <c r="BA19">
        <v>0.8</v>
      </c>
      <c r="BB19">
        <v>4.4000000000000004</v>
      </c>
      <c r="BC19">
        <v>1.9</v>
      </c>
      <c r="BD19">
        <v>1.2</v>
      </c>
      <c r="BE19">
        <v>0.6</v>
      </c>
      <c r="BF19">
        <v>6.7</v>
      </c>
      <c r="BG19">
        <v>3.3</v>
      </c>
      <c r="BH19">
        <v>2.4</v>
      </c>
      <c r="BI19">
        <v>2</v>
      </c>
      <c r="BJ19">
        <v>1.8</v>
      </c>
      <c r="BK19">
        <v>1.8</v>
      </c>
      <c r="BL19">
        <v>2.4</v>
      </c>
      <c r="BM19">
        <v>4.3</v>
      </c>
      <c r="BN19">
        <v>3.2</v>
      </c>
      <c r="BO19">
        <v>5.8</v>
      </c>
      <c r="BP19">
        <v>2.6</v>
      </c>
      <c r="BQ19">
        <v>2.4</v>
      </c>
      <c r="BR19">
        <v>1.4</v>
      </c>
      <c r="BS19">
        <v>1.1000000000000001</v>
      </c>
      <c r="BT19">
        <v>7.9</v>
      </c>
      <c r="BU19">
        <v>6.7</v>
      </c>
      <c r="BV19">
        <v>1.3</v>
      </c>
      <c r="BW19">
        <v>1.6</v>
      </c>
      <c r="BX19">
        <v>4</v>
      </c>
      <c r="BY19">
        <v>3.7</v>
      </c>
      <c r="BZ19">
        <v>8</v>
      </c>
      <c r="CA19">
        <v>1.7</v>
      </c>
      <c r="CB19">
        <v>0.8</v>
      </c>
      <c r="CC19">
        <v>6.8</v>
      </c>
      <c r="CD19">
        <v>5.9</v>
      </c>
      <c r="CE19">
        <v>4.2</v>
      </c>
      <c r="CF19">
        <v>2.2000000000000002</v>
      </c>
      <c r="CG19">
        <v>3.3</v>
      </c>
      <c r="CH19">
        <v>5.2</v>
      </c>
      <c r="CI19">
        <v>1.7</v>
      </c>
      <c r="CJ19">
        <v>4.2</v>
      </c>
      <c r="CK19">
        <v>3.6</v>
      </c>
    </row>
    <row r="20" spans="1:89" x14ac:dyDescent="0.25">
      <c r="A20" s="20" t="s">
        <v>115</v>
      </c>
      <c r="B20">
        <v>4</v>
      </c>
      <c r="C20">
        <v>7</v>
      </c>
      <c r="D20">
        <v>3</v>
      </c>
      <c r="E20">
        <v>1.3</v>
      </c>
      <c r="F20">
        <v>1.2</v>
      </c>
      <c r="G20">
        <v>1.3</v>
      </c>
      <c r="H20">
        <v>2.4</v>
      </c>
      <c r="I20">
        <v>1.4</v>
      </c>
      <c r="J20">
        <v>3.9</v>
      </c>
      <c r="K20">
        <v>2.5</v>
      </c>
      <c r="L20">
        <v>6</v>
      </c>
      <c r="M20">
        <v>3.8</v>
      </c>
      <c r="N20">
        <v>1.9</v>
      </c>
      <c r="O20">
        <v>2.1</v>
      </c>
      <c r="P20">
        <v>3.1</v>
      </c>
      <c r="Q20">
        <v>4.3</v>
      </c>
      <c r="R20">
        <v>1.6</v>
      </c>
      <c r="S20">
        <v>2.5</v>
      </c>
      <c r="T20">
        <v>1.5</v>
      </c>
      <c r="U20">
        <v>3.3</v>
      </c>
      <c r="V20">
        <v>0.8</v>
      </c>
      <c r="W20">
        <v>1.2</v>
      </c>
      <c r="X20">
        <v>1.4</v>
      </c>
      <c r="Y20">
        <v>2.4</v>
      </c>
      <c r="Z20">
        <v>2.2000000000000002</v>
      </c>
      <c r="AA20">
        <v>2.2000000000000002</v>
      </c>
      <c r="AB20">
        <v>1.3</v>
      </c>
      <c r="AC20">
        <v>4.8</v>
      </c>
      <c r="AD20">
        <v>3</v>
      </c>
      <c r="AE20">
        <v>3.9</v>
      </c>
      <c r="AF20">
        <v>1.4</v>
      </c>
      <c r="AG20">
        <v>3.9</v>
      </c>
      <c r="AH20">
        <v>4.9000000000000004</v>
      </c>
      <c r="AI20">
        <v>3.6</v>
      </c>
      <c r="AJ20">
        <v>2.2000000000000002</v>
      </c>
      <c r="AK20">
        <v>1.7</v>
      </c>
      <c r="AL20">
        <v>3.8</v>
      </c>
      <c r="AM20">
        <v>4.9000000000000004</v>
      </c>
      <c r="AN20">
        <v>1.2</v>
      </c>
      <c r="AO20">
        <v>4</v>
      </c>
      <c r="AP20">
        <v>3.2</v>
      </c>
      <c r="AQ20">
        <v>0.8</v>
      </c>
      <c r="AR20">
        <v>1.9</v>
      </c>
      <c r="AS20">
        <v>2.4</v>
      </c>
      <c r="AT20">
        <v>2</v>
      </c>
      <c r="AU20">
        <v>4.8</v>
      </c>
      <c r="AV20">
        <v>2</v>
      </c>
      <c r="AW20">
        <v>4.2</v>
      </c>
      <c r="AX20">
        <v>2.2999999999999998</v>
      </c>
      <c r="AY20">
        <v>1.4</v>
      </c>
      <c r="AZ20">
        <v>3</v>
      </c>
      <c r="BA20">
        <v>1</v>
      </c>
      <c r="BB20">
        <v>3.3</v>
      </c>
      <c r="BC20">
        <v>2.4</v>
      </c>
      <c r="BD20">
        <v>1.7</v>
      </c>
      <c r="BE20">
        <v>0.5</v>
      </c>
      <c r="BF20">
        <v>3.2</v>
      </c>
      <c r="BG20">
        <v>2.7</v>
      </c>
      <c r="BH20">
        <v>2.1</v>
      </c>
      <c r="BI20">
        <v>3.9</v>
      </c>
      <c r="BJ20">
        <v>1.6</v>
      </c>
      <c r="BK20">
        <v>1.6</v>
      </c>
      <c r="BL20">
        <v>2.4</v>
      </c>
      <c r="BM20">
        <v>5.0999999999999996</v>
      </c>
      <c r="BN20">
        <v>3.9</v>
      </c>
      <c r="BO20">
        <v>3.7</v>
      </c>
      <c r="BP20">
        <v>1</v>
      </c>
      <c r="BQ20">
        <v>2.2999999999999998</v>
      </c>
      <c r="BR20">
        <v>3.6</v>
      </c>
      <c r="BS20">
        <v>1.3</v>
      </c>
      <c r="BT20">
        <v>2.7</v>
      </c>
      <c r="BU20">
        <v>2.2999999999999998</v>
      </c>
      <c r="BV20">
        <v>1.1000000000000001</v>
      </c>
      <c r="BW20">
        <v>1.7</v>
      </c>
      <c r="BX20">
        <v>5.0999999999999996</v>
      </c>
      <c r="BY20">
        <v>5.7</v>
      </c>
      <c r="BZ20">
        <v>4.3</v>
      </c>
      <c r="CA20">
        <v>2.7</v>
      </c>
      <c r="CB20">
        <v>2.2999999999999998</v>
      </c>
      <c r="CC20">
        <v>5.2</v>
      </c>
      <c r="CD20">
        <v>4.0999999999999996</v>
      </c>
      <c r="CE20">
        <v>2.9</v>
      </c>
      <c r="CF20">
        <v>1.4</v>
      </c>
      <c r="CG20">
        <v>2.6</v>
      </c>
      <c r="CH20">
        <v>4.4000000000000004</v>
      </c>
      <c r="CI20">
        <v>1.7</v>
      </c>
      <c r="CJ20">
        <v>5.7</v>
      </c>
      <c r="CK20">
        <v>6.4</v>
      </c>
    </row>
    <row r="21" spans="1:89" x14ac:dyDescent="0.25">
      <c r="A21" s="20" t="s">
        <v>116</v>
      </c>
      <c r="B21">
        <v>2.1</v>
      </c>
      <c r="C21">
        <v>7.1</v>
      </c>
      <c r="D21">
        <v>3.5</v>
      </c>
      <c r="E21">
        <v>2.8</v>
      </c>
      <c r="F21">
        <v>1.4</v>
      </c>
      <c r="G21">
        <v>1.8</v>
      </c>
      <c r="H21">
        <v>2.2999999999999998</v>
      </c>
      <c r="I21">
        <v>1</v>
      </c>
      <c r="J21">
        <v>4</v>
      </c>
      <c r="K21">
        <v>2.5</v>
      </c>
      <c r="L21">
        <v>4.9000000000000004</v>
      </c>
      <c r="M21">
        <v>3.65</v>
      </c>
      <c r="N21">
        <v>1</v>
      </c>
      <c r="O21">
        <v>1.8</v>
      </c>
      <c r="P21">
        <v>3.9</v>
      </c>
      <c r="Q21">
        <v>5.6</v>
      </c>
      <c r="R21">
        <v>3.7</v>
      </c>
      <c r="S21">
        <v>1.4</v>
      </c>
      <c r="T21">
        <v>2</v>
      </c>
      <c r="U21">
        <v>2.9</v>
      </c>
      <c r="V21">
        <v>0.5</v>
      </c>
      <c r="W21">
        <v>1.7</v>
      </c>
      <c r="X21">
        <v>1.5</v>
      </c>
      <c r="Y21">
        <v>2.5</v>
      </c>
      <c r="Z21">
        <v>5</v>
      </c>
      <c r="AA21">
        <v>4.5</v>
      </c>
      <c r="AB21">
        <v>2</v>
      </c>
      <c r="AC21">
        <v>4.8</v>
      </c>
      <c r="AD21">
        <v>2.7</v>
      </c>
      <c r="AE21">
        <v>3.7</v>
      </c>
      <c r="AF21">
        <v>4</v>
      </c>
      <c r="AG21">
        <v>7</v>
      </c>
      <c r="AH21">
        <v>3</v>
      </c>
      <c r="AI21">
        <v>2.2000000000000002</v>
      </c>
      <c r="AJ21">
        <v>1.8</v>
      </c>
      <c r="AK21">
        <v>1.6</v>
      </c>
      <c r="AL21">
        <v>2.65</v>
      </c>
      <c r="AM21">
        <v>3.9</v>
      </c>
      <c r="AN21">
        <v>2.4</v>
      </c>
      <c r="AO21">
        <v>4.5999999999999996</v>
      </c>
      <c r="AP21">
        <v>3.5</v>
      </c>
      <c r="AQ21">
        <v>3</v>
      </c>
      <c r="AR21">
        <v>3.3</v>
      </c>
      <c r="AS21">
        <v>2</v>
      </c>
      <c r="AT21">
        <v>3.7</v>
      </c>
      <c r="AU21">
        <v>4.9000000000000004</v>
      </c>
      <c r="AV21">
        <v>2.5</v>
      </c>
      <c r="AW21">
        <v>5.9</v>
      </c>
      <c r="AX21">
        <v>2.5</v>
      </c>
      <c r="AY21">
        <v>2</v>
      </c>
      <c r="AZ21">
        <v>5.4</v>
      </c>
      <c r="BA21">
        <v>1</v>
      </c>
      <c r="BB21">
        <v>2.2999999999999998</v>
      </c>
      <c r="BC21">
        <v>0.3</v>
      </c>
      <c r="BD21">
        <v>1.5</v>
      </c>
      <c r="BE21">
        <v>0.6</v>
      </c>
      <c r="BF21">
        <v>4.0999999999999996</v>
      </c>
      <c r="BG21">
        <v>3.5</v>
      </c>
      <c r="BH21">
        <v>1.8</v>
      </c>
      <c r="BI21">
        <v>3.6</v>
      </c>
      <c r="BJ21">
        <v>1.2</v>
      </c>
      <c r="BK21">
        <v>1.5</v>
      </c>
      <c r="BL21">
        <v>2.5</v>
      </c>
      <c r="BM21">
        <v>2.9</v>
      </c>
      <c r="BN21">
        <v>3.7</v>
      </c>
      <c r="BO21">
        <v>2.2000000000000002</v>
      </c>
      <c r="BP21">
        <v>3</v>
      </c>
      <c r="BQ21">
        <v>2.4</v>
      </c>
      <c r="BR21">
        <v>1.5</v>
      </c>
      <c r="BS21">
        <v>1.3</v>
      </c>
      <c r="BT21">
        <v>1.6</v>
      </c>
      <c r="BU21">
        <v>2.1</v>
      </c>
      <c r="BV21">
        <v>2.1</v>
      </c>
      <c r="BW21">
        <v>2.1</v>
      </c>
      <c r="BX21">
        <v>4.8</v>
      </c>
      <c r="BY21">
        <v>5.9</v>
      </c>
      <c r="BZ21">
        <v>4.4000000000000004</v>
      </c>
      <c r="CA21">
        <v>3.4</v>
      </c>
      <c r="CB21">
        <v>0.5</v>
      </c>
      <c r="CC21">
        <v>4</v>
      </c>
      <c r="CD21">
        <v>1.5</v>
      </c>
      <c r="CE21">
        <v>1.7</v>
      </c>
      <c r="CF21">
        <v>2</v>
      </c>
      <c r="CG21">
        <v>1.5</v>
      </c>
      <c r="CH21">
        <v>3.4</v>
      </c>
      <c r="CI21">
        <v>1.3</v>
      </c>
      <c r="CJ21">
        <v>4.4000000000000004</v>
      </c>
      <c r="CK21">
        <v>5.6</v>
      </c>
    </row>
    <row r="22" spans="1:89" x14ac:dyDescent="0.25">
      <c r="A22" s="20" t="s">
        <v>117</v>
      </c>
      <c r="B22">
        <v>3.6</v>
      </c>
      <c r="C22">
        <v>7.1</v>
      </c>
      <c r="D22">
        <v>3.6</v>
      </c>
      <c r="E22">
        <v>2.7</v>
      </c>
      <c r="F22">
        <v>1.8</v>
      </c>
      <c r="G22">
        <v>1.6</v>
      </c>
      <c r="H22">
        <v>2.2000000000000002</v>
      </c>
      <c r="I22">
        <v>1.3</v>
      </c>
      <c r="J22">
        <v>3.3</v>
      </c>
      <c r="K22">
        <v>2.2000000000000002</v>
      </c>
      <c r="L22">
        <v>9.6999999999999993</v>
      </c>
      <c r="M22">
        <v>4.4000000000000004</v>
      </c>
      <c r="N22">
        <v>0.8</v>
      </c>
      <c r="O22">
        <v>2.2999999999999998</v>
      </c>
      <c r="P22">
        <v>6.2</v>
      </c>
      <c r="Q22">
        <v>4.4000000000000004</v>
      </c>
      <c r="R22">
        <v>1.9</v>
      </c>
      <c r="S22">
        <v>1.8</v>
      </c>
      <c r="T22">
        <v>4.0999999999999996</v>
      </c>
      <c r="U22">
        <v>2.7</v>
      </c>
      <c r="V22">
        <v>1.2</v>
      </c>
      <c r="W22">
        <v>1.3</v>
      </c>
      <c r="X22">
        <v>1.9</v>
      </c>
      <c r="Y22">
        <v>2.6</v>
      </c>
      <c r="Z22">
        <v>2.2999999999999998</v>
      </c>
      <c r="AA22">
        <v>2.1</v>
      </c>
      <c r="AB22">
        <v>1.9</v>
      </c>
      <c r="AC22">
        <v>2.9</v>
      </c>
      <c r="AD22">
        <v>3.9</v>
      </c>
      <c r="AE22">
        <v>2.6</v>
      </c>
      <c r="AF22">
        <v>2.4</v>
      </c>
      <c r="AG22">
        <v>5.7</v>
      </c>
      <c r="AH22">
        <v>7.5</v>
      </c>
      <c r="AI22">
        <v>2.2999999999999998</v>
      </c>
      <c r="AJ22">
        <v>1.6</v>
      </c>
      <c r="AK22">
        <v>1.3</v>
      </c>
      <c r="AL22">
        <v>7.85</v>
      </c>
      <c r="AM22">
        <v>3.8</v>
      </c>
      <c r="AN22">
        <v>1.8</v>
      </c>
      <c r="AO22">
        <v>4.7</v>
      </c>
      <c r="AP22">
        <v>4</v>
      </c>
      <c r="AQ22">
        <v>2.1</v>
      </c>
      <c r="AR22">
        <v>5.5</v>
      </c>
      <c r="AS22">
        <v>1.3</v>
      </c>
      <c r="AT22">
        <v>3.1</v>
      </c>
      <c r="AU22">
        <v>3</v>
      </c>
      <c r="AV22">
        <v>2.6</v>
      </c>
      <c r="AW22">
        <v>7</v>
      </c>
      <c r="AX22">
        <v>1.8</v>
      </c>
      <c r="AY22">
        <v>1.65</v>
      </c>
      <c r="AZ22">
        <v>5.3</v>
      </c>
      <c r="BA22">
        <v>1.2</v>
      </c>
      <c r="BB22">
        <v>2.2999999999999998</v>
      </c>
      <c r="BC22">
        <v>1.8</v>
      </c>
      <c r="BD22">
        <v>1.3</v>
      </c>
      <c r="BE22">
        <v>1.3</v>
      </c>
      <c r="BF22">
        <v>4</v>
      </c>
      <c r="BG22">
        <v>2.9</v>
      </c>
      <c r="BH22">
        <v>2.2999999999999998</v>
      </c>
      <c r="BI22">
        <v>2.2000000000000002</v>
      </c>
      <c r="BJ22">
        <v>1.3</v>
      </c>
      <c r="BK22">
        <v>2.2999999999999998</v>
      </c>
      <c r="BL22">
        <v>3</v>
      </c>
      <c r="BM22">
        <v>3</v>
      </c>
      <c r="BN22">
        <v>2.1</v>
      </c>
      <c r="BO22">
        <v>4</v>
      </c>
      <c r="BP22">
        <v>2.2000000000000002</v>
      </c>
      <c r="BQ22">
        <v>3.1</v>
      </c>
      <c r="BR22">
        <v>2.4</v>
      </c>
      <c r="BS22">
        <v>1.2</v>
      </c>
      <c r="BT22">
        <v>4</v>
      </c>
      <c r="BU22">
        <v>4.9000000000000004</v>
      </c>
      <c r="BV22">
        <v>1.1000000000000001</v>
      </c>
      <c r="BW22">
        <v>1.6</v>
      </c>
      <c r="BX22">
        <v>3.9</v>
      </c>
      <c r="BY22">
        <v>3.8</v>
      </c>
      <c r="BZ22">
        <v>9.1999999999999993</v>
      </c>
      <c r="CA22">
        <v>4.7</v>
      </c>
      <c r="CB22">
        <v>0.9</v>
      </c>
      <c r="CC22">
        <v>11.2</v>
      </c>
      <c r="CD22">
        <v>5.6</v>
      </c>
      <c r="CE22">
        <v>3.9</v>
      </c>
      <c r="CF22">
        <v>3.8</v>
      </c>
      <c r="CG22">
        <v>1</v>
      </c>
      <c r="CH22">
        <v>6.4</v>
      </c>
      <c r="CI22">
        <v>2</v>
      </c>
      <c r="CJ22">
        <v>3.7</v>
      </c>
      <c r="CK22">
        <v>9.1999999999999993</v>
      </c>
    </row>
    <row r="23" spans="1:89" x14ac:dyDescent="0.25">
      <c r="A23" s="20" t="s">
        <v>118</v>
      </c>
      <c r="B23">
        <v>3.5</v>
      </c>
      <c r="C23">
        <v>6.7</v>
      </c>
      <c r="D23">
        <v>3.3</v>
      </c>
      <c r="E23">
        <v>2.7</v>
      </c>
      <c r="F23">
        <v>1.7</v>
      </c>
      <c r="G23">
        <v>5.3</v>
      </c>
      <c r="H23">
        <v>1.5</v>
      </c>
      <c r="I23">
        <v>1.8</v>
      </c>
      <c r="J23">
        <v>3.1</v>
      </c>
      <c r="K23">
        <v>2.4</v>
      </c>
      <c r="L23">
        <v>7.1</v>
      </c>
      <c r="M23">
        <v>3.5</v>
      </c>
      <c r="N23">
        <v>0.9</v>
      </c>
      <c r="O23">
        <v>1.9</v>
      </c>
      <c r="P23">
        <v>4.3</v>
      </c>
      <c r="Q23">
        <v>4.3</v>
      </c>
      <c r="R23">
        <v>2.2999999999999998</v>
      </c>
      <c r="S23">
        <v>2.5</v>
      </c>
      <c r="T23">
        <v>3.6</v>
      </c>
      <c r="U23">
        <v>2.7</v>
      </c>
      <c r="V23">
        <v>1.4</v>
      </c>
      <c r="W23">
        <v>1.2</v>
      </c>
      <c r="X23">
        <v>2.2999999999999998</v>
      </c>
      <c r="Y23">
        <v>2.2999999999999998</v>
      </c>
      <c r="Z23">
        <v>5.6</v>
      </c>
      <c r="AA23">
        <v>2.8</v>
      </c>
      <c r="AB23">
        <v>0.8</v>
      </c>
      <c r="AC23">
        <v>4.5</v>
      </c>
      <c r="AD23">
        <v>2.7</v>
      </c>
      <c r="AE23">
        <v>3.2</v>
      </c>
      <c r="AF23">
        <v>3.9</v>
      </c>
      <c r="AG23">
        <v>5.7</v>
      </c>
      <c r="AH23">
        <v>4.7</v>
      </c>
      <c r="AI23">
        <v>2.7</v>
      </c>
      <c r="AJ23">
        <v>0.4</v>
      </c>
      <c r="AK23">
        <v>1.4</v>
      </c>
      <c r="AL23">
        <v>7.5</v>
      </c>
      <c r="AM23">
        <v>4.4000000000000004</v>
      </c>
      <c r="AN23">
        <v>2.4</v>
      </c>
      <c r="AO23">
        <v>3.7</v>
      </c>
      <c r="AP23">
        <v>6.1</v>
      </c>
      <c r="AQ23">
        <v>3.2</v>
      </c>
      <c r="AR23">
        <v>5.6</v>
      </c>
      <c r="AS23">
        <v>1.7</v>
      </c>
      <c r="AT23">
        <v>3.6</v>
      </c>
      <c r="AU23">
        <v>2.1</v>
      </c>
      <c r="AV23">
        <v>2.2999999999999998</v>
      </c>
      <c r="AW23">
        <v>5.4</v>
      </c>
      <c r="AX23">
        <v>2.9</v>
      </c>
      <c r="AY23">
        <v>3.2</v>
      </c>
      <c r="AZ23">
        <v>4</v>
      </c>
      <c r="BA23">
        <v>0.8</v>
      </c>
      <c r="BB23">
        <v>1.2</v>
      </c>
      <c r="BC23">
        <v>2</v>
      </c>
      <c r="BD23">
        <v>1.5</v>
      </c>
      <c r="BE23">
        <v>1</v>
      </c>
      <c r="BF23">
        <v>4.3</v>
      </c>
      <c r="BG23">
        <v>1.5</v>
      </c>
      <c r="BH23">
        <v>1.9</v>
      </c>
      <c r="BI23">
        <v>2.6</v>
      </c>
      <c r="BJ23">
        <v>1</v>
      </c>
      <c r="BK23">
        <v>1.4</v>
      </c>
      <c r="BL23">
        <v>2.9</v>
      </c>
      <c r="BM23">
        <v>4.7</v>
      </c>
      <c r="BN23">
        <v>4.2</v>
      </c>
      <c r="BO23">
        <v>3</v>
      </c>
      <c r="BP23">
        <v>2.2999999999999998</v>
      </c>
      <c r="BQ23">
        <v>2.6</v>
      </c>
      <c r="BR23">
        <v>3.3</v>
      </c>
      <c r="BS23">
        <v>1.4</v>
      </c>
      <c r="BT23">
        <v>2.6</v>
      </c>
      <c r="BU23">
        <v>3.8</v>
      </c>
      <c r="BV23">
        <v>1</v>
      </c>
      <c r="BW23">
        <v>0.9</v>
      </c>
      <c r="BX23">
        <v>4.2</v>
      </c>
      <c r="BY23">
        <v>4.5999999999999996</v>
      </c>
      <c r="BZ23">
        <v>11.2</v>
      </c>
      <c r="CA23">
        <v>2.2000000000000002</v>
      </c>
      <c r="CB23">
        <v>1.6</v>
      </c>
      <c r="CC23">
        <v>3.6</v>
      </c>
      <c r="CD23">
        <v>3.7</v>
      </c>
      <c r="CE23">
        <v>4.2</v>
      </c>
      <c r="CF23">
        <v>2</v>
      </c>
      <c r="CG23">
        <v>6</v>
      </c>
      <c r="CH23">
        <v>3.9</v>
      </c>
      <c r="CI23">
        <v>3</v>
      </c>
      <c r="CJ23">
        <v>2.9</v>
      </c>
      <c r="CK23">
        <v>6.2</v>
      </c>
    </row>
    <row r="24" spans="1:89" x14ac:dyDescent="0.25">
      <c r="A24" s="20" t="s">
        <v>119</v>
      </c>
      <c r="B24">
        <v>3.4</v>
      </c>
      <c r="C24">
        <v>7</v>
      </c>
      <c r="D24">
        <v>3.4</v>
      </c>
      <c r="E24">
        <v>2.6</v>
      </c>
      <c r="F24">
        <v>2.7</v>
      </c>
      <c r="G24">
        <v>2.2000000000000002</v>
      </c>
      <c r="H24">
        <v>2.8</v>
      </c>
      <c r="I24">
        <v>1.2</v>
      </c>
      <c r="J24">
        <v>3.2</v>
      </c>
      <c r="K24">
        <v>2.2999999999999998</v>
      </c>
      <c r="L24">
        <v>3.8</v>
      </c>
      <c r="M24">
        <v>3.5</v>
      </c>
      <c r="N24">
        <v>0.7</v>
      </c>
      <c r="O24">
        <v>3.4</v>
      </c>
      <c r="P24">
        <v>2.6</v>
      </c>
      <c r="Q24">
        <v>6</v>
      </c>
      <c r="R24">
        <v>2.8</v>
      </c>
      <c r="S24">
        <v>2.6</v>
      </c>
      <c r="T24">
        <v>2.8</v>
      </c>
      <c r="U24">
        <v>2.6</v>
      </c>
      <c r="V24">
        <v>0.6</v>
      </c>
      <c r="W24">
        <v>1.1000000000000001</v>
      </c>
      <c r="X24">
        <v>1.8</v>
      </c>
      <c r="Y24">
        <v>2.1</v>
      </c>
      <c r="Z24">
        <v>4.9000000000000004</v>
      </c>
      <c r="AA24">
        <v>2.4</v>
      </c>
      <c r="AB24">
        <v>4</v>
      </c>
      <c r="AC24">
        <v>6.5</v>
      </c>
      <c r="AD24">
        <v>3.6</v>
      </c>
      <c r="AE24">
        <v>2.7</v>
      </c>
      <c r="AF24">
        <v>2.9</v>
      </c>
      <c r="AG24">
        <v>5.3</v>
      </c>
      <c r="AH24">
        <v>5.6</v>
      </c>
      <c r="AI24">
        <v>2.4</v>
      </c>
      <c r="AJ24">
        <v>5.0999999999999996</v>
      </c>
      <c r="AK24">
        <v>1.5</v>
      </c>
      <c r="AL24">
        <v>7.5</v>
      </c>
      <c r="AM24">
        <v>4.8</v>
      </c>
      <c r="AN24">
        <v>1.7</v>
      </c>
      <c r="AO24">
        <v>3.7</v>
      </c>
      <c r="AP24">
        <v>4.5</v>
      </c>
      <c r="AQ24">
        <v>2.6</v>
      </c>
      <c r="AR24">
        <v>3.9</v>
      </c>
      <c r="AS24">
        <v>2.1</v>
      </c>
      <c r="AT24">
        <v>3.8</v>
      </c>
      <c r="AU24">
        <v>5.0999999999999996</v>
      </c>
      <c r="AV24">
        <v>2.1</v>
      </c>
      <c r="AW24">
        <v>5.7</v>
      </c>
      <c r="AX24">
        <v>1.1000000000000001</v>
      </c>
      <c r="AY24">
        <v>2.2999999999999998</v>
      </c>
      <c r="AZ24">
        <v>2.5</v>
      </c>
      <c r="BA24">
        <v>1.1000000000000001</v>
      </c>
      <c r="BB24">
        <v>3.1</v>
      </c>
      <c r="BC24">
        <v>3.1</v>
      </c>
      <c r="BD24">
        <v>1.6</v>
      </c>
      <c r="BE24">
        <v>0.9</v>
      </c>
      <c r="BF24">
        <v>7.6</v>
      </c>
      <c r="BG24">
        <v>3.7</v>
      </c>
      <c r="BH24">
        <v>3.4</v>
      </c>
      <c r="BI24">
        <v>2.9</v>
      </c>
      <c r="BJ24">
        <v>1</v>
      </c>
      <c r="BK24">
        <v>1.7</v>
      </c>
      <c r="BL24">
        <v>3.2</v>
      </c>
      <c r="BM24">
        <v>2.7</v>
      </c>
      <c r="BN24">
        <v>2.1</v>
      </c>
      <c r="BO24">
        <v>3.8</v>
      </c>
      <c r="BP24">
        <v>3</v>
      </c>
      <c r="BQ24">
        <v>2.9</v>
      </c>
      <c r="BR24">
        <v>1.4</v>
      </c>
      <c r="BS24">
        <v>1.5</v>
      </c>
      <c r="BT24">
        <v>1</v>
      </c>
      <c r="BU24">
        <v>3.4</v>
      </c>
      <c r="BV24">
        <v>0.9</v>
      </c>
      <c r="BW24">
        <v>1.5</v>
      </c>
      <c r="BX24">
        <v>3.1</v>
      </c>
      <c r="BY24">
        <v>9.6999999999999993</v>
      </c>
      <c r="BZ24">
        <v>7.3</v>
      </c>
      <c r="CA24">
        <v>2.4</v>
      </c>
      <c r="CB24">
        <v>2.1</v>
      </c>
      <c r="CC24">
        <v>6.7</v>
      </c>
      <c r="CD24">
        <v>4.3</v>
      </c>
      <c r="CE24">
        <v>2.5</v>
      </c>
      <c r="CF24">
        <v>3.6</v>
      </c>
      <c r="CG24">
        <v>3.6</v>
      </c>
      <c r="CH24">
        <v>3.4</v>
      </c>
      <c r="CI24">
        <v>2.5</v>
      </c>
      <c r="CJ24">
        <v>3.3</v>
      </c>
      <c r="CK24">
        <v>9.1</v>
      </c>
    </row>
    <row r="25" spans="1:89" x14ac:dyDescent="0.25">
      <c r="A25" s="20" t="s">
        <v>120</v>
      </c>
      <c r="B25">
        <v>1.6</v>
      </c>
      <c r="C25">
        <v>6.4</v>
      </c>
      <c r="D25">
        <v>3.1</v>
      </c>
      <c r="E25">
        <v>2.7</v>
      </c>
      <c r="F25">
        <v>4.3</v>
      </c>
      <c r="G25">
        <v>4.7</v>
      </c>
      <c r="H25">
        <v>1.7</v>
      </c>
      <c r="I25">
        <v>0.8</v>
      </c>
      <c r="J25">
        <v>1.8</v>
      </c>
      <c r="K25">
        <v>2</v>
      </c>
      <c r="L25">
        <v>4.7</v>
      </c>
      <c r="M25">
        <v>4.5</v>
      </c>
      <c r="N25">
        <v>1.5</v>
      </c>
      <c r="O25">
        <v>2.6</v>
      </c>
      <c r="P25">
        <v>2.2999999999999998</v>
      </c>
      <c r="Q25">
        <v>4.8</v>
      </c>
      <c r="R25">
        <v>1.4</v>
      </c>
      <c r="S25">
        <v>1.3</v>
      </c>
      <c r="T25">
        <v>1</v>
      </c>
      <c r="U25">
        <v>3</v>
      </c>
      <c r="V25">
        <v>1.2</v>
      </c>
      <c r="W25">
        <v>4.0999999999999996</v>
      </c>
      <c r="X25">
        <v>1.9</v>
      </c>
      <c r="Y25">
        <v>2.1</v>
      </c>
      <c r="AA25">
        <v>2.7</v>
      </c>
      <c r="AB25">
        <v>3.1</v>
      </c>
      <c r="AC25">
        <v>4.5999999999999996</v>
      </c>
      <c r="AD25">
        <v>2.7</v>
      </c>
      <c r="AE25">
        <v>3.7</v>
      </c>
      <c r="AF25">
        <v>2.7</v>
      </c>
      <c r="AG25">
        <v>4.9000000000000004</v>
      </c>
      <c r="AH25">
        <v>3.2</v>
      </c>
      <c r="AI25">
        <v>2.2999999999999998</v>
      </c>
      <c r="AJ25">
        <v>5.2</v>
      </c>
      <c r="AK25">
        <v>1.6</v>
      </c>
      <c r="AL25">
        <v>7.5</v>
      </c>
      <c r="AM25">
        <v>7.3</v>
      </c>
      <c r="AN25">
        <v>4.2</v>
      </c>
      <c r="AO25">
        <v>3</v>
      </c>
      <c r="AP25">
        <v>2.8</v>
      </c>
      <c r="AQ25">
        <v>1.1000000000000001</v>
      </c>
      <c r="AR25">
        <v>3</v>
      </c>
      <c r="AS25">
        <v>2.2000000000000002</v>
      </c>
      <c r="AT25">
        <v>3.3</v>
      </c>
      <c r="AU25">
        <v>6.1</v>
      </c>
      <c r="AV25">
        <v>2</v>
      </c>
      <c r="AW25">
        <v>7.4</v>
      </c>
      <c r="AX25">
        <v>1.2</v>
      </c>
      <c r="AY25">
        <v>3.8</v>
      </c>
      <c r="AZ25">
        <v>4.3</v>
      </c>
      <c r="BA25">
        <v>1</v>
      </c>
      <c r="BB25">
        <v>4</v>
      </c>
      <c r="BC25">
        <v>1.1000000000000001</v>
      </c>
      <c r="BD25">
        <v>3</v>
      </c>
      <c r="BE25">
        <v>0.9</v>
      </c>
      <c r="BF25">
        <v>6.6</v>
      </c>
      <c r="BG25">
        <v>3.8</v>
      </c>
      <c r="BH25">
        <v>2.6</v>
      </c>
      <c r="BI25">
        <v>2</v>
      </c>
      <c r="BJ25">
        <v>1.1000000000000001</v>
      </c>
      <c r="BK25">
        <v>1.5</v>
      </c>
      <c r="BL25">
        <v>2.2000000000000002</v>
      </c>
      <c r="BM25">
        <v>1.4</v>
      </c>
      <c r="BN25">
        <v>3.9</v>
      </c>
      <c r="BO25">
        <v>5.3</v>
      </c>
      <c r="BP25">
        <v>2.1</v>
      </c>
      <c r="BQ25">
        <v>1.8</v>
      </c>
      <c r="BR25">
        <v>1.9</v>
      </c>
      <c r="BS25">
        <v>1.5</v>
      </c>
      <c r="BT25">
        <v>2.1</v>
      </c>
      <c r="BU25">
        <v>3.5</v>
      </c>
      <c r="BV25">
        <v>0.7</v>
      </c>
      <c r="BW25">
        <v>1</v>
      </c>
      <c r="BX25">
        <v>2.2999999999999998</v>
      </c>
      <c r="BY25">
        <v>3.2</v>
      </c>
      <c r="BZ25">
        <v>3.8</v>
      </c>
      <c r="CA25">
        <v>2.6</v>
      </c>
      <c r="CB25">
        <v>1.2</v>
      </c>
      <c r="CC25">
        <v>5</v>
      </c>
      <c r="CD25">
        <v>3.5</v>
      </c>
      <c r="CE25">
        <v>3</v>
      </c>
      <c r="CF25">
        <v>4.7</v>
      </c>
      <c r="CG25">
        <v>2.9</v>
      </c>
      <c r="CH25">
        <v>6.4</v>
      </c>
      <c r="CI25">
        <v>2.8</v>
      </c>
      <c r="CJ25">
        <v>4.5999999999999996</v>
      </c>
      <c r="CK25">
        <v>9.4</v>
      </c>
    </row>
    <row r="26" spans="1:89" x14ac:dyDescent="0.25">
      <c r="A26" s="20" t="s">
        <v>121</v>
      </c>
      <c r="B26">
        <v>0.22</v>
      </c>
      <c r="C26">
        <v>0.38</v>
      </c>
      <c r="D26">
        <v>0.32</v>
      </c>
      <c r="F26">
        <v>0.08</v>
      </c>
      <c r="H26">
        <v>0.12</v>
      </c>
      <c r="J26">
        <v>0.1</v>
      </c>
      <c r="L26">
        <v>0.18</v>
      </c>
      <c r="O26">
        <v>0.26</v>
      </c>
      <c r="U26">
        <v>0.12</v>
      </c>
      <c r="V26">
        <v>0.2</v>
      </c>
      <c r="AA26">
        <v>0.16</v>
      </c>
      <c r="AB26">
        <v>0.28000000000000003</v>
      </c>
      <c r="AG26">
        <v>0.18</v>
      </c>
      <c r="AL26">
        <v>0.22</v>
      </c>
      <c r="AO26">
        <v>0.6</v>
      </c>
      <c r="AR26">
        <v>0.24</v>
      </c>
      <c r="AT26">
        <v>0.08</v>
      </c>
      <c r="AU26">
        <v>0.5</v>
      </c>
      <c r="AV26">
        <v>0.22</v>
      </c>
      <c r="AX26">
        <v>0.12</v>
      </c>
      <c r="BH26">
        <v>0.2</v>
      </c>
      <c r="BJ26">
        <v>0.24</v>
      </c>
      <c r="BK26">
        <v>0.12</v>
      </c>
      <c r="BL26">
        <v>0.36</v>
      </c>
      <c r="BQ26">
        <v>0.08</v>
      </c>
      <c r="BR26">
        <v>0.08</v>
      </c>
      <c r="BY26">
        <v>0.14000000000000001</v>
      </c>
      <c r="CA26">
        <v>0.48</v>
      </c>
      <c r="CF26">
        <v>0.34</v>
      </c>
      <c r="CH26">
        <v>0.12</v>
      </c>
    </row>
    <row r="27" spans="1:89" x14ac:dyDescent="0.25">
      <c r="A27" s="20"/>
      <c r="B27">
        <v>0.28000000000000003</v>
      </c>
      <c r="C27">
        <v>0.42</v>
      </c>
      <c r="D27">
        <v>0.54</v>
      </c>
      <c r="F27">
        <v>0.08</v>
      </c>
      <c r="G27">
        <v>0.32</v>
      </c>
      <c r="H27">
        <v>0.12</v>
      </c>
      <c r="I27">
        <v>0.14000000000000001</v>
      </c>
      <c r="J27">
        <v>0.21</v>
      </c>
      <c r="L27">
        <v>0.2</v>
      </c>
      <c r="M27">
        <v>0.4</v>
      </c>
      <c r="P27">
        <v>0.3</v>
      </c>
      <c r="Q27">
        <v>0.22</v>
      </c>
      <c r="S27">
        <v>0.52</v>
      </c>
      <c r="T27">
        <v>0.32</v>
      </c>
      <c r="U27">
        <v>0.08</v>
      </c>
      <c r="Y27">
        <v>0.14000000000000001</v>
      </c>
      <c r="AA27">
        <v>0.14000000000000001</v>
      </c>
      <c r="AC27">
        <v>0.18</v>
      </c>
      <c r="AD27">
        <v>0.12</v>
      </c>
      <c r="AF27">
        <v>0.36</v>
      </c>
      <c r="AG27">
        <v>0.36</v>
      </c>
      <c r="AH27">
        <v>0.32</v>
      </c>
      <c r="AI27">
        <v>0.13</v>
      </c>
      <c r="AJ27">
        <v>0.08</v>
      </c>
      <c r="AK27">
        <v>0.12</v>
      </c>
      <c r="AL27">
        <v>0.22</v>
      </c>
      <c r="AM27">
        <v>0.28000000000000003</v>
      </c>
      <c r="AN27">
        <v>0.06</v>
      </c>
      <c r="AO27">
        <v>0.42</v>
      </c>
      <c r="AP27">
        <v>0.4</v>
      </c>
      <c r="AR27">
        <v>0.24</v>
      </c>
      <c r="AT27">
        <v>0.16</v>
      </c>
      <c r="AU27">
        <v>0.28000000000000003</v>
      </c>
      <c r="AV27">
        <v>0.08</v>
      </c>
      <c r="AW27">
        <v>0.28000000000000003</v>
      </c>
      <c r="AX27">
        <v>0.06</v>
      </c>
      <c r="AZ27">
        <v>0.1</v>
      </c>
      <c r="BF27">
        <v>0.2</v>
      </c>
      <c r="BG27">
        <v>0.16</v>
      </c>
      <c r="BI27">
        <v>0.06</v>
      </c>
      <c r="BK27">
        <v>0.18</v>
      </c>
      <c r="BM27">
        <v>0.4</v>
      </c>
      <c r="BN27">
        <v>0.08</v>
      </c>
      <c r="BO27">
        <v>0.57999999999999996</v>
      </c>
      <c r="BQ27">
        <v>0.2</v>
      </c>
      <c r="BR27">
        <v>0.08</v>
      </c>
      <c r="BT27">
        <v>0.28000000000000003</v>
      </c>
      <c r="BU27">
        <v>0.1</v>
      </c>
      <c r="BW27">
        <v>0.1</v>
      </c>
      <c r="BX27">
        <v>0.12</v>
      </c>
      <c r="BY27">
        <v>0.08</v>
      </c>
      <c r="BZ27">
        <v>0.3</v>
      </c>
      <c r="CA27">
        <v>0.26</v>
      </c>
      <c r="CC27">
        <v>0.4</v>
      </c>
      <c r="CE27">
        <v>0.08</v>
      </c>
      <c r="CF27">
        <v>0.3</v>
      </c>
      <c r="CH27">
        <v>0.12</v>
      </c>
      <c r="CJ27">
        <v>0.16</v>
      </c>
      <c r="CK27">
        <v>0.36</v>
      </c>
    </row>
    <row r="28" spans="1:89" x14ac:dyDescent="0.25">
      <c r="A28" s="20"/>
      <c r="B28">
        <v>0.27</v>
      </c>
      <c r="C28">
        <v>0.48</v>
      </c>
      <c r="D28">
        <v>0.62</v>
      </c>
      <c r="F28">
        <v>0.06</v>
      </c>
      <c r="G28">
        <v>0.72</v>
      </c>
      <c r="H28">
        <v>0.36</v>
      </c>
      <c r="I28">
        <v>0.22</v>
      </c>
      <c r="J28">
        <v>0.12</v>
      </c>
      <c r="K28">
        <v>0.2</v>
      </c>
      <c r="L28">
        <v>0.08</v>
      </c>
      <c r="M28">
        <v>0.37</v>
      </c>
      <c r="N28">
        <v>0.68</v>
      </c>
      <c r="Q28">
        <v>0.18</v>
      </c>
      <c r="R28">
        <v>0.3</v>
      </c>
      <c r="W28">
        <v>0.2</v>
      </c>
      <c r="X28">
        <v>0.2</v>
      </c>
      <c r="AC28">
        <v>0.1</v>
      </c>
      <c r="AE28">
        <v>0.5</v>
      </c>
      <c r="AG28">
        <v>0.18</v>
      </c>
      <c r="AH28">
        <v>0.4</v>
      </c>
      <c r="AI28">
        <v>0.54</v>
      </c>
      <c r="AJ28">
        <v>0.28000000000000003</v>
      </c>
      <c r="AN28">
        <v>0.08</v>
      </c>
      <c r="AO28">
        <v>0.54</v>
      </c>
      <c r="AP28">
        <v>0.12</v>
      </c>
      <c r="AQ28">
        <v>0.16</v>
      </c>
      <c r="AS28">
        <v>0.38</v>
      </c>
      <c r="AW28">
        <v>0.46</v>
      </c>
      <c r="AY28">
        <v>0.3</v>
      </c>
      <c r="AZ28">
        <v>0.14000000000000001</v>
      </c>
      <c r="BA28">
        <v>0.36</v>
      </c>
      <c r="BB28">
        <v>0.26</v>
      </c>
      <c r="BC28">
        <v>0.14000000000000001</v>
      </c>
      <c r="BD28">
        <v>0.11</v>
      </c>
      <c r="BE28">
        <v>0.26</v>
      </c>
      <c r="BF28">
        <v>0.12</v>
      </c>
      <c r="BO28">
        <v>0.72</v>
      </c>
      <c r="BP28">
        <v>0.06</v>
      </c>
      <c r="BS28">
        <v>0.14000000000000001</v>
      </c>
      <c r="BT28">
        <v>0.38</v>
      </c>
      <c r="BU28">
        <v>0.13</v>
      </c>
      <c r="BV28">
        <v>0.2</v>
      </c>
      <c r="BZ28">
        <v>0.42</v>
      </c>
      <c r="CB28">
        <v>0.15</v>
      </c>
      <c r="CC28">
        <v>0.48</v>
      </c>
      <c r="CD28">
        <v>0.48</v>
      </c>
      <c r="CG28">
        <v>0.2</v>
      </c>
      <c r="CH28">
        <v>0.24</v>
      </c>
      <c r="CI28">
        <v>0.22</v>
      </c>
      <c r="CJ28">
        <v>0.2</v>
      </c>
      <c r="CK28">
        <v>0.15</v>
      </c>
    </row>
    <row r="29" spans="1:89" x14ac:dyDescent="0.25">
      <c r="A29" s="20"/>
      <c r="C29">
        <v>0.28999999999999998</v>
      </c>
      <c r="D29">
        <v>0.62</v>
      </c>
      <c r="G29">
        <v>0.78</v>
      </c>
      <c r="M29">
        <v>0.34</v>
      </c>
      <c r="P29">
        <v>0.14000000000000001</v>
      </c>
      <c r="Q29">
        <v>0.2</v>
      </c>
      <c r="S29">
        <v>0.52</v>
      </c>
      <c r="T29">
        <v>0.2</v>
      </c>
      <c r="Y29">
        <v>0.14000000000000001</v>
      </c>
      <c r="Z29">
        <v>0.21</v>
      </c>
      <c r="AC29">
        <v>0.26</v>
      </c>
      <c r="AD29">
        <v>0.1</v>
      </c>
      <c r="AF29">
        <v>0.22</v>
      </c>
      <c r="AH29">
        <v>0.2</v>
      </c>
      <c r="AI29">
        <v>0.3</v>
      </c>
      <c r="AJ29">
        <v>0.18</v>
      </c>
      <c r="AK29">
        <v>0.14000000000000001</v>
      </c>
      <c r="AM29">
        <v>0.52</v>
      </c>
      <c r="AN29">
        <v>0.14000000000000001</v>
      </c>
      <c r="AP29">
        <v>0.08</v>
      </c>
      <c r="AW29">
        <v>0.32</v>
      </c>
      <c r="AZ29">
        <v>0.15</v>
      </c>
      <c r="BF29">
        <v>0.42</v>
      </c>
      <c r="BG29">
        <v>0.06</v>
      </c>
      <c r="BI29">
        <v>0.19</v>
      </c>
      <c r="BM29">
        <v>0.34</v>
      </c>
      <c r="BN29">
        <v>0.06</v>
      </c>
      <c r="BO29">
        <v>0.74</v>
      </c>
      <c r="BT29">
        <v>0.32</v>
      </c>
      <c r="BU29">
        <v>0.14000000000000001</v>
      </c>
      <c r="BW29">
        <v>0.1</v>
      </c>
      <c r="BX29">
        <v>0.2</v>
      </c>
      <c r="BZ29">
        <v>0.55000000000000004</v>
      </c>
      <c r="CC29">
        <v>0.61</v>
      </c>
      <c r="CE29">
        <v>0.08</v>
      </c>
      <c r="CJ29">
        <v>0.2</v>
      </c>
      <c r="CK29">
        <v>0.2</v>
      </c>
    </row>
    <row r="30" spans="1:89" x14ac:dyDescent="0.25">
      <c r="A30" s="20"/>
      <c r="C30">
        <v>0.18</v>
      </c>
      <c r="D30">
        <v>0.6</v>
      </c>
      <c r="E30">
        <v>0.1</v>
      </c>
    </row>
    <row r="31" spans="1:89" x14ac:dyDescent="0.25">
      <c r="A31" s="20" t="s">
        <v>122</v>
      </c>
      <c r="B31">
        <v>0.12</v>
      </c>
      <c r="C31">
        <v>0.52</v>
      </c>
      <c r="D31">
        <v>0.42</v>
      </c>
      <c r="F31">
        <v>0.06</v>
      </c>
      <c r="H31">
        <v>0.14000000000000001</v>
      </c>
      <c r="J31">
        <v>0.12</v>
      </c>
      <c r="L31">
        <v>0.44</v>
      </c>
      <c r="O31">
        <v>0.5</v>
      </c>
      <c r="U31">
        <v>0.12</v>
      </c>
      <c r="V31">
        <v>0.06</v>
      </c>
      <c r="AA31">
        <v>0.08</v>
      </c>
      <c r="AB31">
        <v>0.06</v>
      </c>
      <c r="AG31">
        <v>0.32</v>
      </c>
      <c r="AL31">
        <v>0.26</v>
      </c>
      <c r="AO31">
        <v>0.26</v>
      </c>
      <c r="AR31">
        <v>0.22</v>
      </c>
      <c r="AT31">
        <v>0.22</v>
      </c>
      <c r="AU31">
        <v>0.2</v>
      </c>
      <c r="AV31">
        <v>0.2</v>
      </c>
      <c r="AX31">
        <v>0.06</v>
      </c>
      <c r="AZ31">
        <v>0.36</v>
      </c>
      <c r="BH31">
        <v>0.28000000000000003</v>
      </c>
      <c r="BJ31">
        <v>0.36</v>
      </c>
      <c r="BK31">
        <v>0.22</v>
      </c>
      <c r="BL31">
        <v>0.52</v>
      </c>
      <c r="BQ31">
        <v>0.12</v>
      </c>
      <c r="BR31">
        <v>0.12</v>
      </c>
      <c r="BY31">
        <v>0.38</v>
      </c>
      <c r="CA31">
        <v>0.48</v>
      </c>
      <c r="CF31">
        <v>0.08</v>
      </c>
      <c r="CH31">
        <v>0.16</v>
      </c>
    </row>
    <row r="32" spans="1:89" x14ac:dyDescent="0.25">
      <c r="A32" s="20"/>
      <c r="B32">
        <v>0.12</v>
      </c>
      <c r="C32">
        <v>0.7</v>
      </c>
      <c r="D32">
        <v>0.52</v>
      </c>
      <c r="F32">
        <v>0.1</v>
      </c>
      <c r="G32">
        <v>0.52</v>
      </c>
      <c r="H32">
        <v>0.2</v>
      </c>
      <c r="I32">
        <v>0.2</v>
      </c>
      <c r="J32">
        <v>0.06</v>
      </c>
      <c r="L32">
        <v>0.18</v>
      </c>
      <c r="M32">
        <v>0.36</v>
      </c>
      <c r="P32">
        <v>0.3</v>
      </c>
      <c r="Q32">
        <v>1.5</v>
      </c>
      <c r="R32">
        <v>0.22</v>
      </c>
      <c r="S32">
        <v>0.56000000000000005</v>
      </c>
      <c r="T32">
        <v>0.22</v>
      </c>
      <c r="U32">
        <v>0.08</v>
      </c>
      <c r="W32">
        <v>0.8</v>
      </c>
      <c r="Y32">
        <v>0.4</v>
      </c>
      <c r="AA32">
        <v>0.2</v>
      </c>
      <c r="AB32">
        <v>0.06</v>
      </c>
      <c r="AC32">
        <v>0.52</v>
      </c>
      <c r="AD32">
        <v>0.28000000000000003</v>
      </c>
      <c r="AE32">
        <v>0.18</v>
      </c>
      <c r="AF32">
        <v>0.3</v>
      </c>
      <c r="AG32">
        <v>0.52</v>
      </c>
      <c r="AH32">
        <v>0.16</v>
      </c>
      <c r="AJ32">
        <v>0.18</v>
      </c>
      <c r="AL32">
        <v>0.68</v>
      </c>
      <c r="AM32">
        <v>0.22</v>
      </c>
      <c r="AN32">
        <v>0.18</v>
      </c>
      <c r="AO32">
        <v>0.3</v>
      </c>
      <c r="AP32">
        <v>0.4</v>
      </c>
      <c r="AR32">
        <v>0.32</v>
      </c>
      <c r="AS32">
        <v>0.22</v>
      </c>
      <c r="AT32">
        <v>0.2</v>
      </c>
      <c r="AU32">
        <v>0.08</v>
      </c>
      <c r="AV32">
        <v>0.26</v>
      </c>
      <c r="AW32">
        <v>0.27</v>
      </c>
      <c r="AX32">
        <v>0.1</v>
      </c>
      <c r="AZ32">
        <v>0.28000000000000003</v>
      </c>
      <c r="BF32">
        <v>0.42</v>
      </c>
      <c r="BG32">
        <v>0.28000000000000003</v>
      </c>
      <c r="BI32">
        <v>0.5</v>
      </c>
      <c r="BK32">
        <v>0.14000000000000001</v>
      </c>
      <c r="BM32">
        <v>0.34</v>
      </c>
      <c r="BN32">
        <v>0.12</v>
      </c>
      <c r="BO32">
        <v>0.16</v>
      </c>
      <c r="BQ32">
        <v>0.1</v>
      </c>
      <c r="BR32">
        <v>0.08</v>
      </c>
      <c r="BT32">
        <v>0.54</v>
      </c>
      <c r="BU32">
        <v>0.57999999999999996</v>
      </c>
      <c r="BX32">
        <v>0.2</v>
      </c>
      <c r="BY32">
        <v>0.46</v>
      </c>
      <c r="BZ32">
        <v>0.12</v>
      </c>
      <c r="CA32">
        <v>0.22</v>
      </c>
      <c r="CC32">
        <v>0.22</v>
      </c>
      <c r="CE32">
        <v>0.12</v>
      </c>
      <c r="CF32">
        <v>0.11</v>
      </c>
      <c r="CH32">
        <v>0.4</v>
      </c>
      <c r="CJ32">
        <v>0.22</v>
      </c>
      <c r="CK32">
        <v>0.16</v>
      </c>
    </row>
    <row r="33" spans="1:89" x14ac:dyDescent="0.25">
      <c r="A33" s="20"/>
      <c r="B33">
        <v>0.2</v>
      </c>
      <c r="C33">
        <v>0.68</v>
      </c>
      <c r="D33">
        <v>0.7</v>
      </c>
      <c r="F33">
        <v>0.1</v>
      </c>
      <c r="G33">
        <v>0.4</v>
      </c>
      <c r="H33">
        <v>0.18</v>
      </c>
      <c r="I33">
        <v>0.22</v>
      </c>
      <c r="J33">
        <v>0.08</v>
      </c>
      <c r="K33">
        <v>0.28000000000000003</v>
      </c>
      <c r="L33">
        <v>0.12</v>
      </c>
      <c r="M33">
        <v>0.42</v>
      </c>
      <c r="N33">
        <v>0.18</v>
      </c>
      <c r="Q33">
        <v>0.76</v>
      </c>
      <c r="U33">
        <v>0.06</v>
      </c>
      <c r="X33">
        <v>0.24</v>
      </c>
      <c r="Z33">
        <v>0.2</v>
      </c>
      <c r="AC33">
        <v>0.84</v>
      </c>
      <c r="AD33">
        <v>0.38</v>
      </c>
      <c r="AF33">
        <v>0.3</v>
      </c>
      <c r="AG33">
        <v>0.36</v>
      </c>
      <c r="AH33">
        <v>0.34</v>
      </c>
      <c r="AI33">
        <v>0.64</v>
      </c>
      <c r="AJ33">
        <v>0.48</v>
      </c>
      <c r="AK33">
        <v>0.1</v>
      </c>
      <c r="AL33">
        <v>0.5</v>
      </c>
      <c r="AN33">
        <v>0.5</v>
      </c>
      <c r="AO33">
        <v>0.22</v>
      </c>
      <c r="AP33">
        <v>0.88</v>
      </c>
      <c r="AQ33">
        <v>0.1</v>
      </c>
      <c r="AS33">
        <v>0.18</v>
      </c>
      <c r="AW33">
        <v>0.2</v>
      </c>
      <c r="AY33">
        <v>0.34</v>
      </c>
      <c r="AZ33">
        <v>0.2</v>
      </c>
      <c r="BA33">
        <v>0.25</v>
      </c>
      <c r="BB33">
        <v>0.18</v>
      </c>
      <c r="BC33">
        <v>0.5</v>
      </c>
      <c r="BD33">
        <v>0.06</v>
      </c>
      <c r="BE33">
        <v>0.14000000000000001</v>
      </c>
      <c r="BF33">
        <v>0.48</v>
      </c>
      <c r="BO33">
        <v>0.12</v>
      </c>
      <c r="BP33">
        <v>0.08</v>
      </c>
      <c r="BS33">
        <v>0.14000000000000001</v>
      </c>
      <c r="BT33">
        <v>0.52</v>
      </c>
      <c r="BU33">
        <v>0.52</v>
      </c>
      <c r="BV33">
        <v>0.34</v>
      </c>
      <c r="BW33">
        <v>0.1</v>
      </c>
      <c r="BZ33">
        <v>0.24</v>
      </c>
      <c r="CB33">
        <v>0.3</v>
      </c>
      <c r="CC33">
        <v>0.39</v>
      </c>
      <c r="CD33">
        <v>0.22</v>
      </c>
      <c r="CG33">
        <v>0.12</v>
      </c>
      <c r="CH33">
        <v>0.31</v>
      </c>
      <c r="CI33">
        <v>0.2</v>
      </c>
      <c r="CJ33">
        <v>0.34</v>
      </c>
    </row>
    <row r="34" spans="1:89" x14ac:dyDescent="0.25">
      <c r="A34" s="20"/>
      <c r="C34">
        <v>0.68</v>
      </c>
      <c r="D34">
        <v>0.66</v>
      </c>
      <c r="G34">
        <v>0.44</v>
      </c>
      <c r="M34">
        <v>0.4</v>
      </c>
      <c r="P34">
        <v>0.22</v>
      </c>
      <c r="Q34">
        <v>0.36</v>
      </c>
      <c r="R34">
        <v>0.08</v>
      </c>
      <c r="S34">
        <v>0.42</v>
      </c>
      <c r="T34">
        <v>0.22</v>
      </c>
      <c r="W34">
        <v>0.8</v>
      </c>
      <c r="Y34">
        <v>0.48</v>
      </c>
      <c r="AC34">
        <v>0.44</v>
      </c>
      <c r="AD34">
        <v>0.18</v>
      </c>
      <c r="AE34">
        <v>0.08</v>
      </c>
      <c r="AF34">
        <v>0.18</v>
      </c>
      <c r="AH34">
        <v>0.3</v>
      </c>
      <c r="AJ34">
        <v>0.5</v>
      </c>
      <c r="AM34">
        <v>0.2</v>
      </c>
      <c r="AN34">
        <v>0.42</v>
      </c>
      <c r="AP34">
        <v>0.24</v>
      </c>
      <c r="AS34">
        <v>0.1</v>
      </c>
      <c r="AW34">
        <v>0.2</v>
      </c>
      <c r="BF34">
        <v>0.5</v>
      </c>
      <c r="BG34">
        <v>0.22</v>
      </c>
      <c r="BI34">
        <v>0.25</v>
      </c>
      <c r="BM34">
        <v>0.36</v>
      </c>
      <c r="BN34">
        <v>0.18</v>
      </c>
      <c r="BO34">
        <v>0.14000000000000001</v>
      </c>
      <c r="BT34">
        <v>0.36</v>
      </c>
      <c r="BU34">
        <v>0.18</v>
      </c>
      <c r="BX34">
        <v>0.22</v>
      </c>
      <c r="BZ34">
        <v>0.22</v>
      </c>
      <c r="CC34">
        <v>0.46</v>
      </c>
      <c r="CE34">
        <v>0.08</v>
      </c>
      <c r="CJ34">
        <v>0.32</v>
      </c>
      <c r="CK34">
        <v>0.3</v>
      </c>
    </row>
    <row r="35" spans="1:89" x14ac:dyDescent="0.25">
      <c r="A35" s="20"/>
      <c r="C35">
        <v>0.6</v>
      </c>
      <c r="D35">
        <v>0.56000000000000005</v>
      </c>
      <c r="E35">
        <v>0.1</v>
      </c>
    </row>
    <row r="36" spans="1:89" x14ac:dyDescent="0.25">
      <c r="A36" s="20" t="s">
        <v>123</v>
      </c>
      <c r="B36">
        <v>0.16</v>
      </c>
      <c r="C36">
        <v>0.14000000000000001</v>
      </c>
      <c r="D36">
        <v>0.42</v>
      </c>
      <c r="F36">
        <v>0.11</v>
      </c>
      <c r="H36">
        <v>0.22</v>
      </c>
      <c r="J36">
        <v>0.1</v>
      </c>
      <c r="L36">
        <v>0.2</v>
      </c>
      <c r="O36">
        <v>0.44</v>
      </c>
      <c r="U36">
        <v>0.08</v>
      </c>
      <c r="V36">
        <v>0.26</v>
      </c>
      <c r="AA36">
        <v>0.25</v>
      </c>
      <c r="AB36">
        <v>0.12</v>
      </c>
      <c r="AG36">
        <v>0.5</v>
      </c>
      <c r="AL36">
        <v>0.34</v>
      </c>
      <c r="AO36">
        <v>0.38</v>
      </c>
      <c r="AR36">
        <v>0.06</v>
      </c>
      <c r="AT36">
        <v>0.12</v>
      </c>
      <c r="AU36">
        <v>0.14000000000000001</v>
      </c>
      <c r="AV36">
        <v>0.42</v>
      </c>
      <c r="AX36">
        <v>0.22</v>
      </c>
      <c r="AZ36">
        <v>0.18</v>
      </c>
      <c r="BH36">
        <v>0.18</v>
      </c>
      <c r="BJ36">
        <v>0.2</v>
      </c>
      <c r="BK36">
        <v>0.16</v>
      </c>
      <c r="BL36">
        <v>0.57999999999999996</v>
      </c>
      <c r="BQ36">
        <v>0.14000000000000001</v>
      </c>
      <c r="BR36">
        <v>0.12</v>
      </c>
      <c r="BY36">
        <v>0.48</v>
      </c>
      <c r="CA36">
        <v>0.06</v>
      </c>
      <c r="CF36">
        <v>0.14000000000000001</v>
      </c>
      <c r="CH36">
        <v>0.12</v>
      </c>
    </row>
    <row r="37" spans="1:89" x14ac:dyDescent="0.25">
      <c r="A37" s="20"/>
      <c r="B37">
        <v>0.2</v>
      </c>
      <c r="C37">
        <v>0.56000000000000005</v>
      </c>
      <c r="D37">
        <v>0.54</v>
      </c>
      <c r="F37">
        <v>0.11</v>
      </c>
      <c r="G37">
        <v>0.41</v>
      </c>
      <c r="H37">
        <v>0.2</v>
      </c>
      <c r="I37">
        <v>0.4</v>
      </c>
      <c r="J37">
        <v>0.1</v>
      </c>
      <c r="K37">
        <v>0.18</v>
      </c>
      <c r="L37">
        <v>0.21</v>
      </c>
      <c r="M37">
        <v>0.12</v>
      </c>
      <c r="P37">
        <v>0.3</v>
      </c>
      <c r="Q37">
        <v>0.18</v>
      </c>
      <c r="R37">
        <v>0.26</v>
      </c>
      <c r="S37">
        <v>0.48</v>
      </c>
      <c r="T37">
        <v>0.18</v>
      </c>
      <c r="U37">
        <v>0.18</v>
      </c>
      <c r="W37">
        <v>0.06</v>
      </c>
      <c r="Y37">
        <v>0.38</v>
      </c>
      <c r="Z37">
        <v>0.06</v>
      </c>
      <c r="AA37">
        <v>0.24</v>
      </c>
      <c r="AC37">
        <v>0.1</v>
      </c>
      <c r="AD37">
        <v>0.22</v>
      </c>
      <c r="AE37">
        <v>0.06</v>
      </c>
      <c r="AF37">
        <v>0.28000000000000003</v>
      </c>
      <c r="AG37">
        <v>0.62</v>
      </c>
      <c r="AH37">
        <v>0.18</v>
      </c>
      <c r="AI37">
        <v>0.3</v>
      </c>
      <c r="AK37">
        <v>0.24</v>
      </c>
      <c r="AL37">
        <v>0.41</v>
      </c>
      <c r="AM37">
        <v>0.28000000000000003</v>
      </c>
      <c r="AN37">
        <v>0.1</v>
      </c>
      <c r="AO37">
        <v>0.22</v>
      </c>
      <c r="AP37">
        <v>0.14000000000000001</v>
      </c>
      <c r="AS37">
        <v>0.16</v>
      </c>
      <c r="AU37">
        <v>0.34</v>
      </c>
      <c r="AV37">
        <v>0.3</v>
      </c>
      <c r="AW37">
        <v>0.38</v>
      </c>
      <c r="AX37">
        <v>0.26</v>
      </c>
      <c r="AZ37">
        <v>0.22</v>
      </c>
      <c r="BF37">
        <v>0.14000000000000001</v>
      </c>
      <c r="BG37">
        <v>0.38</v>
      </c>
      <c r="BI37">
        <v>0.08</v>
      </c>
      <c r="BK37">
        <v>0.14000000000000001</v>
      </c>
      <c r="BM37">
        <v>0.32</v>
      </c>
      <c r="BO37">
        <v>0.32</v>
      </c>
      <c r="BQ37">
        <v>0.08</v>
      </c>
      <c r="BR37">
        <v>0.08</v>
      </c>
      <c r="BT37">
        <v>0.48</v>
      </c>
      <c r="BU37">
        <v>0.22</v>
      </c>
      <c r="BX37">
        <v>0.2</v>
      </c>
      <c r="BY37">
        <v>0.5</v>
      </c>
      <c r="BZ37">
        <v>0.2</v>
      </c>
      <c r="CA37">
        <v>0.5</v>
      </c>
      <c r="CC37">
        <v>0.44</v>
      </c>
      <c r="CE37">
        <v>0.06</v>
      </c>
      <c r="CF37">
        <v>0.08</v>
      </c>
      <c r="CH37">
        <v>0.19</v>
      </c>
      <c r="CI37">
        <v>0.26</v>
      </c>
      <c r="CJ37">
        <v>0.28000000000000003</v>
      </c>
      <c r="CK37">
        <v>0.38</v>
      </c>
    </row>
    <row r="38" spans="1:89" x14ac:dyDescent="0.25">
      <c r="A38" s="20"/>
      <c r="B38">
        <v>0.21</v>
      </c>
      <c r="C38">
        <v>0.59</v>
      </c>
      <c r="D38">
        <v>0.56000000000000005</v>
      </c>
      <c r="F38">
        <v>0.06</v>
      </c>
      <c r="G38">
        <v>0.52</v>
      </c>
      <c r="H38">
        <v>0.12</v>
      </c>
      <c r="J38">
        <v>0.1</v>
      </c>
      <c r="L38">
        <v>0.12</v>
      </c>
      <c r="M38">
        <v>0.46</v>
      </c>
      <c r="N38">
        <v>0.44</v>
      </c>
      <c r="Q38">
        <v>0.1</v>
      </c>
      <c r="U38">
        <v>0.26</v>
      </c>
      <c r="X38">
        <v>0.32</v>
      </c>
      <c r="AC38">
        <v>0.32</v>
      </c>
      <c r="AF38">
        <v>0.22</v>
      </c>
      <c r="AG38">
        <v>0.48</v>
      </c>
      <c r="AH38">
        <v>0.57999999999999996</v>
      </c>
      <c r="AI38">
        <v>0.4</v>
      </c>
      <c r="AJ38">
        <v>0.08</v>
      </c>
      <c r="AL38">
        <v>0.32</v>
      </c>
      <c r="AM38">
        <v>0.48</v>
      </c>
      <c r="AN38">
        <v>0.2</v>
      </c>
      <c r="AO38">
        <v>0.2</v>
      </c>
      <c r="AQ38">
        <v>0.2</v>
      </c>
      <c r="AS38">
        <v>0.2</v>
      </c>
      <c r="AW38">
        <v>0.59</v>
      </c>
      <c r="AY38">
        <v>0.36</v>
      </c>
      <c r="AZ38">
        <v>0.06</v>
      </c>
      <c r="BA38">
        <v>0.1</v>
      </c>
      <c r="BB38">
        <v>0.2</v>
      </c>
      <c r="BC38">
        <v>0.04</v>
      </c>
      <c r="BD38">
        <v>0.2</v>
      </c>
      <c r="BE38">
        <v>0.24</v>
      </c>
      <c r="BF38">
        <v>0.28000000000000003</v>
      </c>
      <c r="BN38">
        <v>0.1</v>
      </c>
      <c r="BO38">
        <v>0.12</v>
      </c>
      <c r="BP38">
        <v>0.24</v>
      </c>
      <c r="BS38">
        <v>0.12</v>
      </c>
      <c r="BT38">
        <v>0.52</v>
      </c>
      <c r="BV38">
        <v>0.3</v>
      </c>
      <c r="BW38">
        <v>0.1</v>
      </c>
      <c r="BZ38">
        <v>0.18</v>
      </c>
      <c r="CA38">
        <v>0.46</v>
      </c>
      <c r="CB38">
        <v>0.4</v>
      </c>
      <c r="CC38">
        <v>0.38</v>
      </c>
      <c r="CD38">
        <v>0.42</v>
      </c>
      <c r="CG38">
        <v>0.06</v>
      </c>
      <c r="CH38">
        <v>0.28000000000000003</v>
      </c>
      <c r="CJ38">
        <v>0.5</v>
      </c>
      <c r="CK38">
        <v>0.52</v>
      </c>
    </row>
    <row r="39" spans="1:89" x14ac:dyDescent="0.25">
      <c r="A39" s="20"/>
      <c r="C39">
        <v>0.54</v>
      </c>
      <c r="D39">
        <v>0.62</v>
      </c>
      <c r="G39">
        <v>0.5</v>
      </c>
      <c r="I39">
        <v>0.28000000000000003</v>
      </c>
      <c r="K39">
        <v>0.16</v>
      </c>
      <c r="M39">
        <v>0.4</v>
      </c>
      <c r="P39">
        <v>0.22</v>
      </c>
      <c r="Q39">
        <v>0.14000000000000001</v>
      </c>
      <c r="R39">
        <v>0.18</v>
      </c>
      <c r="S39">
        <v>0.38</v>
      </c>
      <c r="T39">
        <v>0.26</v>
      </c>
      <c r="W39">
        <v>0.06</v>
      </c>
      <c r="Y39">
        <v>0.14000000000000001</v>
      </c>
      <c r="Z39">
        <v>0.48</v>
      </c>
      <c r="AC39">
        <v>0.16</v>
      </c>
      <c r="AD39">
        <v>0.12</v>
      </c>
      <c r="AE39">
        <v>0.1</v>
      </c>
      <c r="AF39">
        <v>0.12</v>
      </c>
      <c r="AH39">
        <v>0.4</v>
      </c>
      <c r="AI39">
        <v>0.1</v>
      </c>
      <c r="AK39">
        <v>0.1</v>
      </c>
      <c r="AM39">
        <v>0.4</v>
      </c>
      <c r="AN39">
        <v>0.2</v>
      </c>
      <c r="AP39">
        <v>0.14000000000000001</v>
      </c>
      <c r="AS39">
        <v>0.08</v>
      </c>
      <c r="AW39">
        <v>0.42</v>
      </c>
      <c r="BF39">
        <v>0.22</v>
      </c>
      <c r="BG39">
        <v>0.34</v>
      </c>
      <c r="BI39">
        <v>0.1</v>
      </c>
      <c r="BM39">
        <v>0.28000000000000003</v>
      </c>
      <c r="BO39">
        <v>0.1</v>
      </c>
      <c r="BT39">
        <v>0.4</v>
      </c>
      <c r="BU39">
        <v>0.18</v>
      </c>
      <c r="BX39">
        <v>0.14000000000000001</v>
      </c>
      <c r="BZ39">
        <v>0.08</v>
      </c>
      <c r="CC39">
        <v>0.12</v>
      </c>
      <c r="CE39">
        <v>0.06</v>
      </c>
      <c r="CI39">
        <v>0.2</v>
      </c>
      <c r="CJ39">
        <v>0.6</v>
      </c>
      <c r="CK39">
        <v>0.24</v>
      </c>
    </row>
    <row r="40" spans="1:89" x14ac:dyDescent="0.25">
      <c r="A40" s="20"/>
      <c r="C40">
        <v>0.38</v>
      </c>
      <c r="D40">
        <v>0.4</v>
      </c>
      <c r="E40">
        <v>0.13</v>
      </c>
    </row>
    <row r="41" spans="1:89" x14ac:dyDescent="0.25">
      <c r="A41" s="20" t="s">
        <v>124</v>
      </c>
      <c r="B41">
        <v>0.28000000000000003</v>
      </c>
      <c r="C41">
        <v>0.4</v>
      </c>
      <c r="D41">
        <v>0.42</v>
      </c>
      <c r="F41">
        <v>0.12</v>
      </c>
      <c r="H41">
        <v>0.12</v>
      </c>
      <c r="J41">
        <v>0.06</v>
      </c>
      <c r="L41">
        <v>0.18</v>
      </c>
      <c r="O41">
        <v>0.4</v>
      </c>
      <c r="U41">
        <v>0.1</v>
      </c>
      <c r="V41">
        <v>0.34</v>
      </c>
      <c r="AA41">
        <v>0.12</v>
      </c>
      <c r="AB41">
        <v>0.12</v>
      </c>
      <c r="AG41">
        <v>0.25</v>
      </c>
      <c r="AL41">
        <v>0.08</v>
      </c>
      <c r="AO41">
        <v>0.31</v>
      </c>
      <c r="AR41">
        <v>0.24</v>
      </c>
      <c r="AT41">
        <v>0.18</v>
      </c>
      <c r="AU41">
        <v>0.14000000000000001</v>
      </c>
      <c r="AV41">
        <v>0.46</v>
      </c>
      <c r="AX41">
        <v>0.08</v>
      </c>
      <c r="AZ41">
        <v>0.5</v>
      </c>
      <c r="BH41">
        <v>0.16</v>
      </c>
      <c r="BJ41">
        <v>0.26</v>
      </c>
      <c r="BK41">
        <v>0.18</v>
      </c>
      <c r="BL41">
        <v>0.46</v>
      </c>
      <c r="BQ41">
        <v>0.28000000000000003</v>
      </c>
      <c r="BR41">
        <v>0.16</v>
      </c>
      <c r="BY41">
        <v>0.48</v>
      </c>
      <c r="CA41">
        <v>0.3</v>
      </c>
      <c r="CF41">
        <v>0.08</v>
      </c>
      <c r="CH41">
        <v>0.1</v>
      </c>
    </row>
    <row r="42" spans="1:89" x14ac:dyDescent="0.25">
      <c r="A42" s="20"/>
      <c r="B42">
        <v>0.22</v>
      </c>
      <c r="C42">
        <v>0.4</v>
      </c>
      <c r="D42">
        <v>0.57999999999999996</v>
      </c>
      <c r="F42">
        <v>0.12</v>
      </c>
      <c r="G42">
        <v>0.11</v>
      </c>
      <c r="H42">
        <v>0.2</v>
      </c>
      <c r="I42">
        <v>0.18</v>
      </c>
      <c r="J42">
        <v>0.06</v>
      </c>
      <c r="K42">
        <v>0.12</v>
      </c>
      <c r="L42">
        <v>0.34</v>
      </c>
      <c r="M42">
        <v>0.2</v>
      </c>
      <c r="P42">
        <v>0.3</v>
      </c>
      <c r="Q42">
        <v>0.22</v>
      </c>
      <c r="R42">
        <v>0.12</v>
      </c>
      <c r="S42">
        <v>0.14000000000000001</v>
      </c>
      <c r="T42">
        <v>0.32</v>
      </c>
      <c r="U42">
        <v>0.44</v>
      </c>
      <c r="W42">
        <v>0.4</v>
      </c>
      <c r="Y42">
        <v>0.18</v>
      </c>
      <c r="Z42">
        <v>0.46</v>
      </c>
      <c r="AA42">
        <v>0.2</v>
      </c>
      <c r="AC42">
        <v>0.48</v>
      </c>
      <c r="AD42">
        <v>0.2</v>
      </c>
      <c r="AE42">
        <v>0.59</v>
      </c>
      <c r="AF42">
        <v>0.06</v>
      </c>
      <c r="AG42">
        <v>0.5</v>
      </c>
      <c r="AH42">
        <v>0.12</v>
      </c>
      <c r="AI42">
        <v>0.3</v>
      </c>
      <c r="AL42">
        <v>0.08</v>
      </c>
      <c r="AM42">
        <v>0.12</v>
      </c>
      <c r="AN42">
        <v>0.22</v>
      </c>
      <c r="AO42">
        <v>0.46</v>
      </c>
      <c r="AS42">
        <v>0.18</v>
      </c>
      <c r="AT42">
        <v>0.16</v>
      </c>
      <c r="AU42">
        <v>0.14000000000000001</v>
      </c>
      <c r="AV42">
        <v>0.1</v>
      </c>
      <c r="AW42">
        <v>0.2</v>
      </c>
      <c r="AX42">
        <v>0.14000000000000001</v>
      </c>
      <c r="AY42">
        <v>0.17</v>
      </c>
      <c r="AZ42">
        <v>0.56000000000000005</v>
      </c>
      <c r="BF42">
        <v>0.2</v>
      </c>
      <c r="BG42">
        <v>0.62</v>
      </c>
      <c r="BI42">
        <v>0.74</v>
      </c>
      <c r="BK42">
        <v>0.06</v>
      </c>
      <c r="BL42">
        <v>0.42</v>
      </c>
      <c r="BM42">
        <v>0.3</v>
      </c>
      <c r="BN42">
        <v>0.38</v>
      </c>
      <c r="BO42">
        <v>0.54</v>
      </c>
      <c r="BP42">
        <v>0.06</v>
      </c>
      <c r="BQ42">
        <v>0.08</v>
      </c>
      <c r="BR42">
        <v>0.08</v>
      </c>
      <c r="BT42">
        <v>0.22</v>
      </c>
      <c r="BU42">
        <v>0.54</v>
      </c>
      <c r="BX42">
        <v>0.18</v>
      </c>
      <c r="BY42">
        <v>0.32</v>
      </c>
      <c r="CA42">
        <v>0.48</v>
      </c>
      <c r="CC42">
        <v>0.38</v>
      </c>
      <c r="CE42">
        <v>0.08</v>
      </c>
      <c r="CF42">
        <v>0.08</v>
      </c>
      <c r="CH42">
        <v>0.18</v>
      </c>
      <c r="CI42">
        <v>0.22</v>
      </c>
      <c r="CJ42">
        <v>0.22</v>
      </c>
      <c r="CK42">
        <v>0.28000000000000003</v>
      </c>
    </row>
    <row r="43" spans="1:89" x14ac:dyDescent="0.25">
      <c r="A43" s="20"/>
      <c r="B43">
        <v>0.2</v>
      </c>
      <c r="C43">
        <v>0.45</v>
      </c>
      <c r="D43">
        <v>0.55000000000000004</v>
      </c>
      <c r="F43">
        <v>0.08</v>
      </c>
      <c r="H43">
        <v>0.16</v>
      </c>
      <c r="J43">
        <v>0.06</v>
      </c>
      <c r="L43">
        <v>0.2</v>
      </c>
      <c r="M43">
        <v>0.2</v>
      </c>
      <c r="N43">
        <v>0.16</v>
      </c>
      <c r="Q43">
        <v>0.2</v>
      </c>
      <c r="U43">
        <v>0.32</v>
      </c>
      <c r="W43">
        <v>0.2</v>
      </c>
      <c r="X43">
        <v>0.36</v>
      </c>
      <c r="AC43">
        <v>0.36</v>
      </c>
      <c r="AH43">
        <v>0.14000000000000001</v>
      </c>
      <c r="AJ43">
        <v>0.3</v>
      </c>
      <c r="AK43">
        <v>0.56000000000000005</v>
      </c>
      <c r="AL43">
        <v>0.12</v>
      </c>
      <c r="AN43">
        <v>0.22</v>
      </c>
      <c r="AO43">
        <v>0.28000000000000003</v>
      </c>
      <c r="AP43">
        <v>0.22</v>
      </c>
      <c r="AQ43">
        <v>0.16</v>
      </c>
      <c r="AS43">
        <v>0.36</v>
      </c>
      <c r="AW43">
        <v>0.28000000000000003</v>
      </c>
      <c r="AZ43">
        <v>0.38</v>
      </c>
      <c r="BA43">
        <v>0.14000000000000001</v>
      </c>
      <c r="BB43">
        <v>0.2</v>
      </c>
      <c r="BC43">
        <v>0.12</v>
      </c>
      <c r="BD43">
        <v>0.08</v>
      </c>
      <c r="BE43">
        <v>0.4</v>
      </c>
      <c r="BF43">
        <v>0.26</v>
      </c>
      <c r="BM43">
        <v>0.28000000000000003</v>
      </c>
      <c r="BO43">
        <v>0.7</v>
      </c>
      <c r="BS43">
        <v>0.11</v>
      </c>
      <c r="BV43">
        <v>0.5</v>
      </c>
      <c r="BW43">
        <v>0.28000000000000003</v>
      </c>
      <c r="BZ43">
        <v>1.1000000000000001</v>
      </c>
      <c r="CA43">
        <v>0.2</v>
      </c>
      <c r="CB43">
        <v>0.5</v>
      </c>
      <c r="CC43">
        <v>0.3</v>
      </c>
      <c r="CD43">
        <v>0.86</v>
      </c>
      <c r="CG43">
        <v>0.1</v>
      </c>
      <c r="CH43">
        <v>0.12</v>
      </c>
      <c r="CK43">
        <v>0.54</v>
      </c>
    </row>
    <row r="44" spans="1:89" x14ac:dyDescent="0.25">
      <c r="A44" s="20"/>
      <c r="C44">
        <v>0.4</v>
      </c>
      <c r="D44">
        <v>0.56000000000000005</v>
      </c>
      <c r="G44">
        <v>0.32</v>
      </c>
      <c r="I44">
        <v>0.14000000000000001</v>
      </c>
      <c r="K44">
        <v>0.16</v>
      </c>
      <c r="M44">
        <v>0.16</v>
      </c>
      <c r="P44">
        <v>0.3</v>
      </c>
      <c r="Q44">
        <v>0.2</v>
      </c>
      <c r="R44">
        <v>0.22</v>
      </c>
      <c r="S44">
        <v>0.32</v>
      </c>
      <c r="T44">
        <v>0.32</v>
      </c>
      <c r="Z44">
        <v>0.57999999999999996</v>
      </c>
      <c r="AC44">
        <v>0.33</v>
      </c>
      <c r="AD44">
        <v>0.3</v>
      </c>
      <c r="AE44">
        <v>0.8</v>
      </c>
      <c r="AF44">
        <v>0.12</v>
      </c>
      <c r="AH44">
        <v>0.2</v>
      </c>
      <c r="AI44">
        <v>0.34</v>
      </c>
      <c r="AM44">
        <v>0.14000000000000001</v>
      </c>
      <c r="AN44">
        <v>0.22</v>
      </c>
      <c r="AP44">
        <v>0.3</v>
      </c>
      <c r="AS44">
        <v>0.2</v>
      </c>
      <c r="AW44">
        <v>0.2</v>
      </c>
      <c r="AY44">
        <v>0.14000000000000001</v>
      </c>
      <c r="BF44">
        <v>0.26</v>
      </c>
      <c r="BG44">
        <v>0.28000000000000003</v>
      </c>
      <c r="BI44">
        <v>0.26</v>
      </c>
      <c r="BM44">
        <v>0.24</v>
      </c>
      <c r="BN44">
        <v>0.2</v>
      </c>
      <c r="BO44">
        <v>0.44</v>
      </c>
      <c r="BP44">
        <v>0.1</v>
      </c>
      <c r="BT44">
        <v>0.48</v>
      </c>
      <c r="BU44">
        <v>0.08</v>
      </c>
      <c r="BX44">
        <v>0.2</v>
      </c>
      <c r="CC44">
        <v>0.14000000000000001</v>
      </c>
      <c r="CE44">
        <v>0.06</v>
      </c>
      <c r="CI44">
        <v>0.3</v>
      </c>
      <c r="CJ44">
        <v>0.12</v>
      </c>
      <c r="CK44">
        <v>0.26</v>
      </c>
    </row>
    <row r="45" spans="1:89" x14ac:dyDescent="0.25">
      <c r="A45" s="20"/>
      <c r="C45">
        <v>0.28000000000000003</v>
      </c>
      <c r="D45">
        <v>0.52</v>
      </c>
      <c r="E45">
        <v>0.06</v>
      </c>
    </row>
    <row r="46" spans="1:89" x14ac:dyDescent="0.25">
      <c r="A46" s="20" t="s">
        <v>125</v>
      </c>
      <c r="B46">
        <v>0.28000000000000003</v>
      </c>
      <c r="C46">
        <v>0.28000000000000003</v>
      </c>
      <c r="D46">
        <v>0.34</v>
      </c>
      <c r="F46">
        <v>0.38</v>
      </c>
      <c r="H46">
        <v>0.12</v>
      </c>
      <c r="J46">
        <v>0.12</v>
      </c>
      <c r="L46">
        <v>0.08</v>
      </c>
      <c r="O46">
        <v>0.22</v>
      </c>
      <c r="U46">
        <v>0.12</v>
      </c>
      <c r="V46">
        <v>0.14000000000000001</v>
      </c>
      <c r="AA46">
        <v>0.12</v>
      </c>
      <c r="AB46">
        <v>0.08</v>
      </c>
      <c r="AE46">
        <v>0.08</v>
      </c>
      <c r="AG46">
        <v>0.2</v>
      </c>
      <c r="AL46">
        <v>0.12</v>
      </c>
      <c r="AO46">
        <v>0.1</v>
      </c>
      <c r="AR46">
        <v>0.22</v>
      </c>
      <c r="AT46">
        <v>0.1</v>
      </c>
      <c r="AU46">
        <v>0.17</v>
      </c>
      <c r="AV46">
        <v>0.1</v>
      </c>
      <c r="AX46">
        <v>0.06</v>
      </c>
      <c r="AZ46">
        <v>0.24</v>
      </c>
      <c r="BH46">
        <v>0.1</v>
      </c>
      <c r="BJ46">
        <v>0.22</v>
      </c>
      <c r="BK46">
        <v>0.3</v>
      </c>
      <c r="BL46">
        <v>0.34</v>
      </c>
      <c r="BQ46">
        <v>0.4</v>
      </c>
      <c r="BR46">
        <v>0.12</v>
      </c>
      <c r="BY46">
        <v>0.16</v>
      </c>
      <c r="CA46">
        <v>0.08</v>
      </c>
      <c r="CF46">
        <v>0.16</v>
      </c>
      <c r="CH46">
        <v>0.12</v>
      </c>
    </row>
    <row r="47" spans="1:89" x14ac:dyDescent="0.25">
      <c r="A47" s="20"/>
      <c r="B47">
        <v>0.34</v>
      </c>
      <c r="C47">
        <v>0.34</v>
      </c>
      <c r="D47">
        <v>0.54</v>
      </c>
      <c r="F47">
        <v>0.51</v>
      </c>
      <c r="G47">
        <v>0.32</v>
      </c>
      <c r="H47">
        <v>0.12</v>
      </c>
      <c r="I47">
        <v>0.38</v>
      </c>
      <c r="J47">
        <v>0.26</v>
      </c>
      <c r="L47">
        <v>0.2</v>
      </c>
      <c r="M47">
        <v>0.32</v>
      </c>
      <c r="P47">
        <v>0.36</v>
      </c>
      <c r="Q47">
        <v>0.14000000000000001</v>
      </c>
      <c r="R47">
        <v>0.44</v>
      </c>
      <c r="S47">
        <v>0.18</v>
      </c>
      <c r="U47">
        <v>0.16</v>
      </c>
      <c r="Y47">
        <v>0.12</v>
      </c>
      <c r="AA47">
        <v>0.18</v>
      </c>
      <c r="AB47">
        <v>0.06</v>
      </c>
      <c r="AC47">
        <v>0.2</v>
      </c>
      <c r="AD47">
        <v>0.16</v>
      </c>
      <c r="AE47">
        <v>0.08</v>
      </c>
      <c r="AF47">
        <v>0.06</v>
      </c>
      <c r="AG47">
        <v>0.3</v>
      </c>
      <c r="AH47">
        <v>0.16</v>
      </c>
      <c r="AI47">
        <v>0.36</v>
      </c>
      <c r="AJ47">
        <v>0.12</v>
      </c>
      <c r="AK47">
        <v>0.2</v>
      </c>
      <c r="AL47">
        <v>0.22</v>
      </c>
      <c r="AM47">
        <v>0.38</v>
      </c>
      <c r="AN47">
        <v>0.12</v>
      </c>
      <c r="AO47">
        <v>0.1</v>
      </c>
      <c r="AP47">
        <v>0.06</v>
      </c>
      <c r="AR47">
        <v>0.14000000000000001</v>
      </c>
      <c r="AS47">
        <v>0.38</v>
      </c>
      <c r="AT47">
        <v>0.12</v>
      </c>
      <c r="AU47">
        <v>0.1</v>
      </c>
      <c r="AV47">
        <v>0.1</v>
      </c>
      <c r="AW47">
        <v>0.32</v>
      </c>
      <c r="AX47">
        <v>0.12</v>
      </c>
      <c r="AZ47">
        <v>0.16</v>
      </c>
      <c r="BB47">
        <v>0.32</v>
      </c>
      <c r="BF47">
        <v>0.18</v>
      </c>
      <c r="BG47">
        <v>0.12</v>
      </c>
      <c r="BI47">
        <v>0.18</v>
      </c>
      <c r="BK47">
        <v>0.1</v>
      </c>
      <c r="BM47">
        <v>0.3</v>
      </c>
      <c r="BN47">
        <v>0.28000000000000003</v>
      </c>
      <c r="BO47">
        <v>0.12</v>
      </c>
      <c r="BP47">
        <v>0.08</v>
      </c>
      <c r="BQ47">
        <v>0.42</v>
      </c>
      <c r="BS47">
        <v>0.06</v>
      </c>
      <c r="BT47">
        <v>0.2</v>
      </c>
      <c r="BU47">
        <v>0.18</v>
      </c>
      <c r="BX47">
        <v>0.16</v>
      </c>
      <c r="BY47">
        <v>0.74</v>
      </c>
      <c r="BZ47">
        <v>0.38</v>
      </c>
      <c r="CA47">
        <v>0.19</v>
      </c>
      <c r="CC47">
        <v>0.22</v>
      </c>
      <c r="CE47">
        <v>0.1</v>
      </c>
      <c r="CF47">
        <v>0.12</v>
      </c>
      <c r="CH47">
        <v>0.06</v>
      </c>
      <c r="CJ47">
        <v>0.16</v>
      </c>
      <c r="CK47">
        <v>0.1</v>
      </c>
    </row>
    <row r="48" spans="1:89" x14ac:dyDescent="0.25">
      <c r="A48" s="20"/>
      <c r="B48">
        <v>0.34</v>
      </c>
      <c r="C48">
        <v>0.38</v>
      </c>
      <c r="D48">
        <v>0.68</v>
      </c>
      <c r="F48">
        <v>0.22</v>
      </c>
      <c r="H48">
        <v>0.12</v>
      </c>
      <c r="J48">
        <v>0.1</v>
      </c>
      <c r="K48">
        <v>0.14000000000000001</v>
      </c>
      <c r="L48">
        <v>0.11</v>
      </c>
      <c r="M48">
        <v>0.38</v>
      </c>
      <c r="N48">
        <v>0.1</v>
      </c>
      <c r="Q48">
        <v>0.24</v>
      </c>
      <c r="T48">
        <v>0.1</v>
      </c>
      <c r="U48">
        <v>0.14000000000000001</v>
      </c>
      <c r="W48">
        <v>0.12</v>
      </c>
      <c r="X48">
        <v>0.16</v>
      </c>
      <c r="Z48">
        <v>0.06</v>
      </c>
      <c r="AC48">
        <v>0.12</v>
      </c>
      <c r="AG48">
        <v>0.22</v>
      </c>
      <c r="AH48">
        <v>0.2</v>
      </c>
      <c r="AI48">
        <v>0.24</v>
      </c>
      <c r="AJ48">
        <v>0.18</v>
      </c>
      <c r="AL48">
        <v>0.2</v>
      </c>
      <c r="AN48">
        <v>0.08</v>
      </c>
      <c r="AO48">
        <v>0.12</v>
      </c>
      <c r="AP48">
        <v>0.06</v>
      </c>
      <c r="AQ48">
        <v>0.08</v>
      </c>
      <c r="AS48">
        <v>0.3</v>
      </c>
      <c r="AW48">
        <v>0.22</v>
      </c>
      <c r="AY48">
        <v>0.22</v>
      </c>
      <c r="AZ48">
        <v>0.16</v>
      </c>
      <c r="BA48">
        <v>0.2</v>
      </c>
      <c r="BC48">
        <v>0.16</v>
      </c>
      <c r="BD48">
        <v>0.1</v>
      </c>
      <c r="BE48">
        <v>0.36</v>
      </c>
      <c r="BF48">
        <v>0.28000000000000003</v>
      </c>
      <c r="BO48">
        <v>0.06</v>
      </c>
      <c r="BT48">
        <v>0.34</v>
      </c>
      <c r="BU48">
        <v>0.34</v>
      </c>
      <c r="BV48">
        <v>0.44</v>
      </c>
      <c r="BW48">
        <v>0.08</v>
      </c>
      <c r="BZ48">
        <v>0.67</v>
      </c>
      <c r="CB48">
        <v>0.26</v>
      </c>
      <c r="CC48">
        <v>0.32</v>
      </c>
      <c r="CD48">
        <v>0.12</v>
      </c>
      <c r="CG48">
        <v>0.1</v>
      </c>
      <c r="CH48">
        <v>0.22</v>
      </c>
      <c r="CI48">
        <v>0.28999999999999998</v>
      </c>
      <c r="CK48">
        <v>0.08</v>
      </c>
    </row>
    <row r="49" spans="1:89" x14ac:dyDescent="0.25">
      <c r="A49" s="20"/>
      <c r="C49">
        <v>0.34</v>
      </c>
      <c r="D49">
        <v>0.67</v>
      </c>
      <c r="G49">
        <v>0.46</v>
      </c>
      <c r="I49">
        <v>0.22</v>
      </c>
      <c r="M49">
        <v>0.1</v>
      </c>
      <c r="P49">
        <v>0.32</v>
      </c>
      <c r="Q49">
        <v>0.12</v>
      </c>
      <c r="R49">
        <v>0.42</v>
      </c>
      <c r="S49">
        <v>0.2</v>
      </c>
      <c r="Y49">
        <v>0.2</v>
      </c>
      <c r="Z49">
        <v>0.06</v>
      </c>
      <c r="AC49">
        <v>0.06</v>
      </c>
      <c r="AD49">
        <v>0.12</v>
      </c>
      <c r="AF49">
        <v>0.14000000000000001</v>
      </c>
      <c r="AH49">
        <v>0.08</v>
      </c>
      <c r="AI49">
        <v>0.22</v>
      </c>
      <c r="AJ49">
        <v>0.14000000000000001</v>
      </c>
      <c r="AK49">
        <v>0.2</v>
      </c>
      <c r="AM49">
        <v>0.14000000000000001</v>
      </c>
      <c r="AP49">
        <v>0.12</v>
      </c>
      <c r="AS49">
        <v>0.28000000000000003</v>
      </c>
      <c r="AW49">
        <v>0.14000000000000001</v>
      </c>
      <c r="BB49">
        <v>0.36</v>
      </c>
      <c r="BF49">
        <v>0.28000000000000003</v>
      </c>
      <c r="BG49">
        <v>0.18</v>
      </c>
      <c r="BI49">
        <v>0.14000000000000001</v>
      </c>
      <c r="BM49">
        <v>0.12</v>
      </c>
      <c r="BN49">
        <v>0.3</v>
      </c>
      <c r="BO49">
        <v>0.1</v>
      </c>
      <c r="BP49">
        <v>0.16</v>
      </c>
      <c r="BS49">
        <v>0.1</v>
      </c>
      <c r="BT49">
        <v>0.2</v>
      </c>
      <c r="BU49">
        <v>0.28000000000000003</v>
      </c>
      <c r="BX49">
        <v>0.1</v>
      </c>
      <c r="BZ49">
        <v>0.86</v>
      </c>
      <c r="CC49">
        <v>0.16</v>
      </c>
      <c r="CE49">
        <v>0.1</v>
      </c>
      <c r="CJ49">
        <v>0.06</v>
      </c>
      <c r="CK49">
        <v>0.08</v>
      </c>
    </row>
    <row r="50" spans="1:89" x14ac:dyDescent="0.25">
      <c r="A50" s="20"/>
      <c r="C50">
        <v>0.3</v>
      </c>
      <c r="D50">
        <v>0.38</v>
      </c>
      <c r="E50">
        <v>0.14000000000000001</v>
      </c>
    </row>
    <row r="51" spans="1:89" x14ac:dyDescent="0.25">
      <c r="A51" s="20" t="s">
        <v>126</v>
      </c>
      <c r="B51">
        <v>0.47</v>
      </c>
      <c r="C51">
        <v>0.22</v>
      </c>
      <c r="D51">
        <v>0.28000000000000003</v>
      </c>
      <c r="E51">
        <v>0.1</v>
      </c>
      <c r="F51">
        <v>0.22</v>
      </c>
      <c r="H51">
        <v>0.06</v>
      </c>
      <c r="J51">
        <v>0.08</v>
      </c>
      <c r="L51">
        <v>0.3</v>
      </c>
      <c r="O51">
        <v>0.3</v>
      </c>
      <c r="U51">
        <v>0.22</v>
      </c>
      <c r="V51">
        <v>0.2</v>
      </c>
      <c r="AA51">
        <v>0.14000000000000001</v>
      </c>
      <c r="AB51">
        <v>0.12</v>
      </c>
      <c r="AE51">
        <v>0.06</v>
      </c>
      <c r="AG51">
        <v>0.28000000000000003</v>
      </c>
      <c r="AL51">
        <v>0.2</v>
      </c>
      <c r="AO51">
        <v>0.44</v>
      </c>
      <c r="AR51">
        <v>0.16</v>
      </c>
      <c r="AT51">
        <v>0.32</v>
      </c>
      <c r="AU51">
        <v>0.32</v>
      </c>
      <c r="AV51">
        <v>0.08</v>
      </c>
      <c r="AX51">
        <v>0.18</v>
      </c>
      <c r="AZ51">
        <v>0.12</v>
      </c>
      <c r="BH51">
        <v>0.14000000000000001</v>
      </c>
      <c r="BJ51">
        <v>0.3</v>
      </c>
      <c r="BK51">
        <v>0.24</v>
      </c>
      <c r="BL51">
        <v>0.26</v>
      </c>
      <c r="BQ51">
        <v>0.06</v>
      </c>
      <c r="BR51">
        <v>0.1</v>
      </c>
      <c r="BY51">
        <v>0.32</v>
      </c>
      <c r="CA51">
        <v>0.5</v>
      </c>
      <c r="CF51">
        <v>0.36</v>
      </c>
      <c r="CH51">
        <v>0.18</v>
      </c>
    </row>
    <row r="52" spans="1:89" x14ac:dyDescent="0.25">
      <c r="A52" s="20"/>
      <c r="B52">
        <v>0.36</v>
      </c>
      <c r="C52">
        <v>0.3</v>
      </c>
      <c r="D52">
        <v>0.64</v>
      </c>
      <c r="E52">
        <v>0.19</v>
      </c>
      <c r="F52">
        <v>0.4</v>
      </c>
      <c r="H52">
        <v>0.14000000000000001</v>
      </c>
      <c r="I52">
        <v>0.26</v>
      </c>
      <c r="J52">
        <v>0.06</v>
      </c>
      <c r="K52">
        <v>0.3</v>
      </c>
      <c r="L52">
        <v>0.56000000000000005</v>
      </c>
      <c r="M52">
        <v>0.42</v>
      </c>
      <c r="P52">
        <v>0.14000000000000001</v>
      </c>
      <c r="R52">
        <v>0.18</v>
      </c>
      <c r="S52">
        <v>0.57999999999999996</v>
      </c>
      <c r="T52">
        <v>0.14000000000000001</v>
      </c>
      <c r="U52">
        <v>0.32</v>
      </c>
      <c r="W52">
        <v>0.16</v>
      </c>
      <c r="Y52">
        <v>0.08</v>
      </c>
      <c r="Z52">
        <v>0.26</v>
      </c>
      <c r="AA52">
        <v>0.18</v>
      </c>
      <c r="AB52">
        <v>0.14000000000000001</v>
      </c>
      <c r="AC52">
        <v>0.2</v>
      </c>
      <c r="AD52">
        <v>0.5</v>
      </c>
      <c r="AE52">
        <v>0.08</v>
      </c>
      <c r="AF52">
        <v>0.36</v>
      </c>
      <c r="AG52">
        <v>0.37</v>
      </c>
      <c r="AI52">
        <v>0.16</v>
      </c>
      <c r="AJ52">
        <v>0.17</v>
      </c>
      <c r="AL52">
        <v>0.12</v>
      </c>
      <c r="AM52">
        <v>0.12</v>
      </c>
      <c r="AN52">
        <v>0.26</v>
      </c>
      <c r="AO52">
        <v>0.34</v>
      </c>
      <c r="AP52">
        <v>0.14000000000000001</v>
      </c>
      <c r="AR52">
        <v>0.26</v>
      </c>
      <c r="AS52">
        <v>0.12</v>
      </c>
      <c r="AT52">
        <v>0.28000000000000003</v>
      </c>
      <c r="AU52">
        <v>0.24</v>
      </c>
      <c r="AV52">
        <v>0.28000000000000003</v>
      </c>
      <c r="AW52">
        <v>0.4</v>
      </c>
      <c r="AX52">
        <v>0.2</v>
      </c>
      <c r="AZ52">
        <v>0.16</v>
      </c>
      <c r="BB52">
        <v>0.32</v>
      </c>
      <c r="BD52">
        <v>0.56000000000000005</v>
      </c>
      <c r="BF52">
        <v>0.24</v>
      </c>
      <c r="BG52">
        <v>0.42</v>
      </c>
      <c r="BH52">
        <v>0.12</v>
      </c>
      <c r="BI52">
        <v>0.2</v>
      </c>
      <c r="BK52">
        <v>0.3</v>
      </c>
      <c r="BM52">
        <v>0.45</v>
      </c>
      <c r="BO52">
        <v>0.2</v>
      </c>
      <c r="BP52">
        <v>0.22</v>
      </c>
      <c r="BQ52">
        <v>0.06</v>
      </c>
      <c r="BR52">
        <v>0.08</v>
      </c>
      <c r="BT52">
        <v>0.35</v>
      </c>
      <c r="BU52">
        <v>0.18</v>
      </c>
      <c r="BX52">
        <v>0.16</v>
      </c>
      <c r="BY52">
        <v>0.24</v>
      </c>
      <c r="BZ52">
        <v>0.32</v>
      </c>
      <c r="CA52">
        <v>0.46</v>
      </c>
      <c r="CC52">
        <v>0.5</v>
      </c>
      <c r="CE52">
        <v>0.1</v>
      </c>
      <c r="CF52">
        <v>0.22</v>
      </c>
      <c r="CG52">
        <v>0.19</v>
      </c>
      <c r="CH52">
        <v>0.2</v>
      </c>
      <c r="CI52">
        <v>0.2</v>
      </c>
      <c r="CJ52">
        <v>0.14000000000000001</v>
      </c>
      <c r="CK52">
        <v>0.22</v>
      </c>
    </row>
    <row r="53" spans="1:89" x14ac:dyDescent="0.25">
      <c r="A53" s="20"/>
      <c r="B53">
        <v>0.18</v>
      </c>
      <c r="C53">
        <v>0.22</v>
      </c>
      <c r="D53">
        <v>0.6</v>
      </c>
      <c r="E53">
        <v>0.24</v>
      </c>
      <c r="F53">
        <v>0.2</v>
      </c>
      <c r="H53">
        <v>0.14000000000000001</v>
      </c>
      <c r="J53">
        <v>0.06</v>
      </c>
      <c r="L53">
        <v>0.36</v>
      </c>
      <c r="M53">
        <v>0.36</v>
      </c>
      <c r="N53">
        <v>0.1</v>
      </c>
      <c r="Q53">
        <v>0.24</v>
      </c>
      <c r="U53">
        <v>0.32</v>
      </c>
      <c r="X53">
        <v>0.18</v>
      </c>
      <c r="Z53">
        <v>0.37</v>
      </c>
      <c r="AC53">
        <v>0.14000000000000001</v>
      </c>
      <c r="AF53">
        <v>0.46</v>
      </c>
      <c r="AG53">
        <v>0.36</v>
      </c>
      <c r="AH53">
        <v>0.26</v>
      </c>
      <c r="AI53">
        <v>0.26</v>
      </c>
      <c r="AK53">
        <v>0.28000000000000003</v>
      </c>
      <c r="AL53">
        <v>0.08</v>
      </c>
      <c r="AO53">
        <v>0.24</v>
      </c>
      <c r="AP53">
        <v>0.08</v>
      </c>
      <c r="AQ53">
        <v>0.2</v>
      </c>
      <c r="AS53">
        <v>0.16</v>
      </c>
      <c r="AW53">
        <v>0.5</v>
      </c>
      <c r="AY53">
        <v>0.26</v>
      </c>
      <c r="AZ53">
        <v>0.14000000000000001</v>
      </c>
      <c r="BA53">
        <v>0.14000000000000001</v>
      </c>
      <c r="BC53">
        <v>0.08</v>
      </c>
      <c r="BE53">
        <v>0.3</v>
      </c>
      <c r="BF53">
        <v>0.26</v>
      </c>
      <c r="BS53">
        <v>0.14000000000000001</v>
      </c>
      <c r="BT53">
        <v>0.32</v>
      </c>
      <c r="BV53">
        <v>0.42</v>
      </c>
      <c r="BW53">
        <v>0.1</v>
      </c>
      <c r="BZ53">
        <v>0.56000000000000005</v>
      </c>
      <c r="CA53">
        <v>0.42</v>
      </c>
      <c r="CB53">
        <v>0.38</v>
      </c>
      <c r="CC53">
        <v>0.5</v>
      </c>
      <c r="CD53">
        <v>0.6</v>
      </c>
      <c r="CK53">
        <v>0.22</v>
      </c>
    </row>
    <row r="54" spans="1:89" x14ac:dyDescent="0.25">
      <c r="A54" s="20"/>
      <c r="D54">
        <v>0.44</v>
      </c>
      <c r="G54">
        <v>0.32</v>
      </c>
      <c r="I54">
        <v>0.28000000000000003</v>
      </c>
      <c r="K54">
        <v>0.3</v>
      </c>
      <c r="M54">
        <v>0.32</v>
      </c>
      <c r="P54">
        <v>0.2</v>
      </c>
      <c r="R54">
        <v>0.18</v>
      </c>
      <c r="S54">
        <v>0.52</v>
      </c>
      <c r="T54">
        <v>0.16</v>
      </c>
      <c r="W54">
        <v>0.06</v>
      </c>
      <c r="Y54">
        <v>0.15</v>
      </c>
      <c r="Z54">
        <v>0.42</v>
      </c>
      <c r="AC54">
        <v>0.08</v>
      </c>
      <c r="AD54">
        <v>0.42</v>
      </c>
      <c r="AF54">
        <v>0.27</v>
      </c>
      <c r="AI54">
        <v>0.2</v>
      </c>
      <c r="AJ54">
        <v>0.12</v>
      </c>
      <c r="AM54">
        <v>0.2</v>
      </c>
      <c r="AN54">
        <v>0.2</v>
      </c>
      <c r="AP54">
        <v>0.1</v>
      </c>
      <c r="AS54">
        <v>0.16</v>
      </c>
      <c r="AW54">
        <v>0.52</v>
      </c>
      <c r="BB54">
        <v>0.38</v>
      </c>
      <c r="BD54">
        <v>0.86</v>
      </c>
      <c r="BF54">
        <v>0.14000000000000001</v>
      </c>
      <c r="BG54">
        <v>0.38</v>
      </c>
      <c r="BI54">
        <v>0.06</v>
      </c>
      <c r="BM54">
        <v>0.22</v>
      </c>
      <c r="BN54">
        <v>0.08</v>
      </c>
      <c r="BO54">
        <v>0.2</v>
      </c>
      <c r="BP54">
        <v>0.38</v>
      </c>
      <c r="BT54">
        <v>0.34</v>
      </c>
      <c r="BU54">
        <v>0.12</v>
      </c>
      <c r="BX54">
        <v>0.18</v>
      </c>
      <c r="BZ54">
        <v>0.36</v>
      </c>
      <c r="CC54">
        <v>0.42</v>
      </c>
      <c r="CE54">
        <v>0.12</v>
      </c>
      <c r="CG54">
        <v>0.08</v>
      </c>
      <c r="CI54">
        <v>0.24</v>
      </c>
      <c r="CJ54">
        <v>0.08</v>
      </c>
      <c r="CK54">
        <v>0.52</v>
      </c>
    </row>
    <row r="55" spans="1:89" x14ac:dyDescent="0.25">
      <c r="A55" s="20"/>
      <c r="D55">
        <v>0.34</v>
      </c>
    </row>
    <row r="56" spans="1:89" x14ac:dyDescent="0.25">
      <c r="A56" s="20" t="s">
        <v>127</v>
      </c>
      <c r="B56">
        <v>0.3</v>
      </c>
      <c r="C56">
        <v>0.38</v>
      </c>
      <c r="D56">
        <v>0.48</v>
      </c>
      <c r="F56">
        <v>0.12</v>
      </c>
      <c r="H56">
        <v>0.52</v>
      </c>
      <c r="J56">
        <v>0.06</v>
      </c>
      <c r="L56">
        <v>0.14000000000000001</v>
      </c>
      <c r="O56">
        <v>0.56000000000000005</v>
      </c>
      <c r="U56">
        <v>0.28000000000000003</v>
      </c>
      <c r="V56">
        <v>0.24</v>
      </c>
      <c r="AA56">
        <v>0.14000000000000001</v>
      </c>
      <c r="AB56">
        <v>0.08</v>
      </c>
      <c r="AE56">
        <v>0.24</v>
      </c>
      <c r="AG56">
        <v>0.42</v>
      </c>
      <c r="AL56">
        <v>0.16</v>
      </c>
      <c r="AO56">
        <v>0.32</v>
      </c>
      <c r="AR56">
        <v>0.24</v>
      </c>
      <c r="AT56">
        <v>0.12</v>
      </c>
      <c r="AU56">
        <v>0.06</v>
      </c>
      <c r="AV56">
        <v>0.2</v>
      </c>
      <c r="AX56">
        <v>0.36</v>
      </c>
      <c r="AZ56">
        <v>0.19</v>
      </c>
      <c r="BH56">
        <v>0.18</v>
      </c>
      <c r="BJ56">
        <v>0.22</v>
      </c>
      <c r="BK56">
        <v>0.14000000000000001</v>
      </c>
      <c r="BL56">
        <v>0.24</v>
      </c>
      <c r="BQ56">
        <v>0.16</v>
      </c>
      <c r="BR56">
        <v>0.08</v>
      </c>
      <c r="BY56">
        <v>0.2</v>
      </c>
      <c r="CA56">
        <v>0.22</v>
      </c>
      <c r="CF56">
        <v>0.08</v>
      </c>
      <c r="CH56">
        <v>0.22</v>
      </c>
    </row>
    <row r="57" spans="1:89" x14ac:dyDescent="0.25">
      <c r="A57" s="20"/>
      <c r="B57">
        <v>0.22</v>
      </c>
      <c r="C57">
        <v>0.34</v>
      </c>
      <c r="D57">
        <v>0.49</v>
      </c>
      <c r="F57">
        <v>0.14000000000000001</v>
      </c>
      <c r="H57">
        <v>0.6</v>
      </c>
      <c r="I57">
        <v>0.36</v>
      </c>
      <c r="J57">
        <v>0.06</v>
      </c>
      <c r="K57">
        <v>0.22</v>
      </c>
      <c r="L57">
        <v>0.14000000000000001</v>
      </c>
      <c r="M57">
        <v>0.1</v>
      </c>
      <c r="P57">
        <v>0.08</v>
      </c>
      <c r="Q57">
        <v>0.2</v>
      </c>
      <c r="R57">
        <v>0.06</v>
      </c>
      <c r="S57">
        <v>0.48</v>
      </c>
      <c r="T57">
        <v>0.2</v>
      </c>
      <c r="U57">
        <v>0.54</v>
      </c>
      <c r="Y57">
        <v>0.14000000000000001</v>
      </c>
      <c r="Z57">
        <v>0.18</v>
      </c>
      <c r="AA57">
        <v>0.14000000000000001</v>
      </c>
      <c r="AC57">
        <v>0.24</v>
      </c>
      <c r="AD57">
        <v>0.54</v>
      </c>
      <c r="AF57">
        <v>0.06</v>
      </c>
      <c r="AG57">
        <v>0.56000000000000005</v>
      </c>
      <c r="AH57">
        <v>0.22</v>
      </c>
      <c r="AI57">
        <v>0.2</v>
      </c>
      <c r="AJ57">
        <v>0.28000000000000003</v>
      </c>
      <c r="AL57">
        <v>0.22</v>
      </c>
      <c r="AM57">
        <v>0.18</v>
      </c>
      <c r="AN57">
        <v>0.12</v>
      </c>
      <c r="AO57">
        <v>0.57999999999999996</v>
      </c>
      <c r="AP57">
        <v>0.06</v>
      </c>
      <c r="AS57">
        <v>0.35</v>
      </c>
      <c r="AU57">
        <v>0.06</v>
      </c>
      <c r="AW57">
        <v>0.34</v>
      </c>
      <c r="AX57">
        <v>0.5</v>
      </c>
      <c r="AZ57">
        <v>0.08</v>
      </c>
      <c r="BB57">
        <v>0.2</v>
      </c>
      <c r="BD57">
        <v>0.06</v>
      </c>
      <c r="BF57">
        <v>0.22</v>
      </c>
      <c r="BG57">
        <v>0.18</v>
      </c>
      <c r="BK57">
        <v>0.16</v>
      </c>
      <c r="BM57">
        <v>0.62</v>
      </c>
      <c r="BN57">
        <v>0.08</v>
      </c>
      <c r="BO57">
        <v>0.4</v>
      </c>
      <c r="BP57">
        <v>0.38</v>
      </c>
      <c r="BQ57">
        <v>0.06</v>
      </c>
      <c r="BR57">
        <v>0.16</v>
      </c>
      <c r="BT57">
        <v>0.22</v>
      </c>
      <c r="BU57">
        <v>0.16</v>
      </c>
      <c r="BX57">
        <v>0.4</v>
      </c>
      <c r="BY57">
        <v>0.28000000000000003</v>
      </c>
      <c r="BZ57">
        <v>0.32</v>
      </c>
      <c r="CA57">
        <v>0.18</v>
      </c>
      <c r="CC57">
        <v>0.2</v>
      </c>
      <c r="CE57">
        <v>0.12</v>
      </c>
      <c r="CF57">
        <v>0.12</v>
      </c>
      <c r="CH57">
        <v>0.42</v>
      </c>
      <c r="CJ57">
        <v>0.1</v>
      </c>
      <c r="CK57">
        <v>0.12</v>
      </c>
    </row>
    <row r="58" spans="1:89" x14ac:dyDescent="0.25">
      <c r="A58" s="20"/>
      <c r="B58">
        <v>0.26</v>
      </c>
      <c r="C58">
        <v>0.22</v>
      </c>
      <c r="D58">
        <v>0.4</v>
      </c>
      <c r="E58">
        <v>0.18</v>
      </c>
      <c r="F58">
        <v>0.06</v>
      </c>
      <c r="H58">
        <v>0.57999999999999996</v>
      </c>
      <c r="J58">
        <v>0.08</v>
      </c>
      <c r="L58">
        <v>0.06</v>
      </c>
      <c r="M58">
        <v>0.48</v>
      </c>
      <c r="N58">
        <v>0.06</v>
      </c>
      <c r="Q58">
        <v>0.08</v>
      </c>
      <c r="U58">
        <v>0.52</v>
      </c>
      <c r="W58">
        <v>0.12</v>
      </c>
      <c r="X58">
        <v>0.5</v>
      </c>
      <c r="AC58">
        <v>0.26</v>
      </c>
      <c r="AG58">
        <v>0.34</v>
      </c>
      <c r="AH58">
        <v>0.18</v>
      </c>
      <c r="AI58">
        <v>0.18</v>
      </c>
      <c r="AJ58">
        <v>0.38</v>
      </c>
      <c r="AK58">
        <v>0.38</v>
      </c>
      <c r="AL58">
        <v>0.1</v>
      </c>
      <c r="AO58">
        <v>0.46</v>
      </c>
      <c r="AP58">
        <v>0.1</v>
      </c>
      <c r="AQ58">
        <v>0.24</v>
      </c>
      <c r="AS58">
        <v>0.34</v>
      </c>
      <c r="AW58">
        <v>0.49</v>
      </c>
      <c r="AY58">
        <v>0.44</v>
      </c>
      <c r="AZ58">
        <v>0.06</v>
      </c>
      <c r="BA58">
        <v>0.1</v>
      </c>
      <c r="BC58">
        <v>0.1</v>
      </c>
      <c r="BE58">
        <v>0.28000000000000003</v>
      </c>
      <c r="BF58">
        <v>0.26</v>
      </c>
      <c r="BI58">
        <v>0.16</v>
      </c>
      <c r="BO58">
        <v>0.62</v>
      </c>
      <c r="BS58">
        <v>0.12</v>
      </c>
      <c r="BT58">
        <v>0.26</v>
      </c>
      <c r="BU58">
        <v>0.28000000000000003</v>
      </c>
      <c r="BV58">
        <v>0.34</v>
      </c>
      <c r="BW58">
        <v>0.06</v>
      </c>
      <c r="BX58">
        <v>0.69</v>
      </c>
      <c r="BZ58">
        <v>0.42</v>
      </c>
      <c r="CB58">
        <v>0.22</v>
      </c>
      <c r="CC58">
        <v>0.2</v>
      </c>
      <c r="CD58">
        <v>0.3</v>
      </c>
      <c r="CG58">
        <v>0.1</v>
      </c>
      <c r="CH58">
        <v>0.4</v>
      </c>
      <c r="CI58">
        <v>0.28000000000000003</v>
      </c>
      <c r="CJ58">
        <v>0.06</v>
      </c>
      <c r="CK58">
        <v>0.2</v>
      </c>
    </row>
    <row r="59" spans="1:89" x14ac:dyDescent="0.25">
      <c r="A59" s="20"/>
      <c r="D59">
        <v>0.38</v>
      </c>
      <c r="G59">
        <v>0.22</v>
      </c>
      <c r="I59">
        <v>0.28000000000000003</v>
      </c>
      <c r="K59">
        <v>0.24</v>
      </c>
      <c r="M59">
        <v>0.3</v>
      </c>
      <c r="P59">
        <v>0.1</v>
      </c>
      <c r="R59">
        <v>0.2</v>
      </c>
      <c r="S59">
        <v>0.48</v>
      </c>
      <c r="T59">
        <v>0.1</v>
      </c>
      <c r="Y59">
        <v>0.08</v>
      </c>
      <c r="Z59">
        <v>0.14000000000000001</v>
      </c>
      <c r="AC59">
        <v>0.18</v>
      </c>
      <c r="AD59">
        <v>0.38</v>
      </c>
      <c r="AF59">
        <v>0.1</v>
      </c>
      <c r="AH59">
        <v>0.06</v>
      </c>
      <c r="AI59">
        <v>0.24</v>
      </c>
      <c r="AJ59">
        <v>0.2</v>
      </c>
      <c r="AM59">
        <v>0.1</v>
      </c>
      <c r="AN59">
        <v>0.14000000000000001</v>
      </c>
      <c r="AP59">
        <v>0.1</v>
      </c>
      <c r="AS59">
        <v>0.28000000000000003</v>
      </c>
      <c r="AW59">
        <v>0.28000000000000003</v>
      </c>
      <c r="BB59">
        <v>0.26</v>
      </c>
      <c r="BD59">
        <v>0.1</v>
      </c>
      <c r="BF59">
        <v>0.24</v>
      </c>
      <c r="BG59">
        <v>0.06</v>
      </c>
      <c r="BM59">
        <v>0.61</v>
      </c>
      <c r="BN59">
        <v>0.2</v>
      </c>
      <c r="BO59">
        <v>0.28000000000000003</v>
      </c>
      <c r="BP59">
        <v>0.24</v>
      </c>
      <c r="BT59">
        <v>0.22</v>
      </c>
      <c r="BU59">
        <v>0.18</v>
      </c>
      <c r="BX59">
        <v>0.56000000000000005</v>
      </c>
      <c r="BZ59">
        <v>0.16</v>
      </c>
      <c r="CC59">
        <v>0.34</v>
      </c>
      <c r="CE59">
        <v>0.1</v>
      </c>
      <c r="CJ59">
        <v>0.1</v>
      </c>
      <c r="CK59">
        <v>0.12</v>
      </c>
    </row>
    <row r="60" spans="1:89" x14ac:dyDescent="0.25">
      <c r="A60" s="20"/>
      <c r="D60">
        <v>0.3</v>
      </c>
    </row>
    <row r="61" spans="1:89" x14ac:dyDescent="0.25">
      <c r="A61" s="20" t="s">
        <v>128</v>
      </c>
      <c r="B61">
        <v>0.57999999999999996</v>
      </c>
      <c r="C61">
        <v>0.2</v>
      </c>
      <c r="D61">
        <v>0.56000000000000005</v>
      </c>
      <c r="F61">
        <v>0.08</v>
      </c>
      <c r="H61">
        <v>0.62</v>
      </c>
      <c r="J61">
        <v>0.18</v>
      </c>
      <c r="L61">
        <v>0.18</v>
      </c>
      <c r="O61">
        <v>0.42</v>
      </c>
      <c r="U61">
        <v>0.2</v>
      </c>
      <c r="V61">
        <v>0.21</v>
      </c>
      <c r="AA61">
        <v>0.22</v>
      </c>
      <c r="AB61">
        <v>0.18</v>
      </c>
      <c r="AE61">
        <v>0.12</v>
      </c>
      <c r="AG61">
        <v>0.18</v>
      </c>
      <c r="AL61">
        <v>0.3</v>
      </c>
      <c r="AO61">
        <v>0.36</v>
      </c>
      <c r="AR61">
        <v>0.06</v>
      </c>
      <c r="AT61">
        <v>0.54</v>
      </c>
      <c r="AU61">
        <v>0.06</v>
      </c>
      <c r="AV61">
        <v>0.1</v>
      </c>
      <c r="AX61">
        <v>0.18</v>
      </c>
      <c r="AZ61">
        <v>0.4</v>
      </c>
      <c r="BH61">
        <v>0.3</v>
      </c>
      <c r="BJ61">
        <v>0.34</v>
      </c>
      <c r="BK61">
        <v>0.2</v>
      </c>
      <c r="BL61">
        <v>0.5</v>
      </c>
      <c r="BQ61">
        <v>0.1</v>
      </c>
      <c r="BR61">
        <v>0.18</v>
      </c>
      <c r="BY61">
        <v>0.32</v>
      </c>
      <c r="CA61">
        <v>0.38</v>
      </c>
      <c r="CF61">
        <v>0.1</v>
      </c>
      <c r="CH61">
        <v>0.18</v>
      </c>
    </row>
    <row r="62" spans="1:89" x14ac:dyDescent="0.25">
      <c r="A62" s="20"/>
      <c r="B62">
        <v>0.57999999999999996</v>
      </c>
      <c r="C62">
        <v>0.22</v>
      </c>
      <c r="D62">
        <v>0.47</v>
      </c>
      <c r="E62">
        <v>0.16</v>
      </c>
      <c r="F62">
        <v>0.16</v>
      </c>
      <c r="H62">
        <v>0.6</v>
      </c>
      <c r="I62">
        <v>0.4</v>
      </c>
      <c r="J62">
        <v>0.2</v>
      </c>
      <c r="K62">
        <v>0.22</v>
      </c>
      <c r="L62">
        <v>0.22</v>
      </c>
      <c r="N62">
        <v>0.18</v>
      </c>
      <c r="P62">
        <v>0.16</v>
      </c>
      <c r="Q62">
        <v>0.78</v>
      </c>
      <c r="R62">
        <v>0.22</v>
      </c>
      <c r="S62">
        <v>0.7</v>
      </c>
      <c r="T62">
        <v>0.06</v>
      </c>
      <c r="U62">
        <v>0.2</v>
      </c>
      <c r="Y62">
        <v>0.14000000000000001</v>
      </c>
      <c r="Z62">
        <v>0.1</v>
      </c>
      <c r="AA62">
        <v>0.34</v>
      </c>
      <c r="AC62">
        <v>0.3</v>
      </c>
      <c r="AD62">
        <v>0.72</v>
      </c>
      <c r="AF62">
        <v>0.1</v>
      </c>
      <c r="AG62">
        <v>0.3</v>
      </c>
      <c r="AH62">
        <v>0.22</v>
      </c>
      <c r="AI62">
        <v>0.16</v>
      </c>
      <c r="AK62">
        <v>0.22</v>
      </c>
      <c r="AL62">
        <v>0.35</v>
      </c>
      <c r="AM62">
        <v>0.14000000000000001</v>
      </c>
      <c r="AN62">
        <v>0.08</v>
      </c>
      <c r="AO62">
        <v>0.48</v>
      </c>
      <c r="AP62">
        <v>0.26</v>
      </c>
      <c r="AR62">
        <v>0.08</v>
      </c>
      <c r="AS62">
        <v>0.32</v>
      </c>
      <c r="AT62">
        <v>0.38</v>
      </c>
      <c r="AU62">
        <v>0.14000000000000001</v>
      </c>
      <c r="AV62">
        <v>0.18</v>
      </c>
      <c r="AW62">
        <v>0.42</v>
      </c>
      <c r="AX62">
        <v>0.28000000000000003</v>
      </c>
      <c r="AZ62">
        <v>0.24</v>
      </c>
      <c r="BB62">
        <v>0.22</v>
      </c>
      <c r="BD62">
        <v>0.08</v>
      </c>
      <c r="BF62">
        <v>0.34</v>
      </c>
      <c r="BG62">
        <v>0.1</v>
      </c>
      <c r="BH62">
        <v>0.4</v>
      </c>
      <c r="BI62">
        <v>0.18</v>
      </c>
      <c r="BK62">
        <v>0.22</v>
      </c>
      <c r="BN62">
        <v>0.11</v>
      </c>
      <c r="BO62">
        <v>0.16</v>
      </c>
      <c r="BQ62">
        <v>0.1</v>
      </c>
      <c r="BR62">
        <v>0.3</v>
      </c>
      <c r="BT62">
        <v>0.38</v>
      </c>
      <c r="BU62">
        <v>0.44</v>
      </c>
      <c r="BV62">
        <v>0.18</v>
      </c>
      <c r="BX62">
        <v>0.22</v>
      </c>
      <c r="BY62">
        <v>0.32</v>
      </c>
      <c r="BZ62">
        <v>0.26</v>
      </c>
      <c r="CA62">
        <v>0.2</v>
      </c>
      <c r="CC62">
        <v>0.6</v>
      </c>
      <c r="CE62">
        <v>0.06</v>
      </c>
      <c r="CF62">
        <v>0.12</v>
      </c>
      <c r="CG62">
        <v>0.08</v>
      </c>
      <c r="CH62">
        <v>0.12</v>
      </c>
      <c r="CI62">
        <v>0.1</v>
      </c>
      <c r="CJ62">
        <v>0.22</v>
      </c>
      <c r="CK62">
        <v>0.34</v>
      </c>
    </row>
    <row r="63" spans="1:89" x14ac:dyDescent="0.25">
      <c r="A63" s="20"/>
      <c r="B63">
        <v>0.36</v>
      </c>
      <c r="C63">
        <v>0.2</v>
      </c>
      <c r="D63">
        <v>0.42</v>
      </c>
      <c r="E63">
        <v>0.13</v>
      </c>
      <c r="F63">
        <v>0.18</v>
      </c>
      <c r="H63">
        <v>0.56999999999999995</v>
      </c>
      <c r="J63">
        <v>0.2</v>
      </c>
      <c r="L63">
        <v>0.16</v>
      </c>
      <c r="Q63">
        <v>0.56000000000000005</v>
      </c>
      <c r="U63">
        <v>0.28000000000000003</v>
      </c>
      <c r="W63">
        <v>0.06</v>
      </c>
      <c r="X63">
        <v>0.22</v>
      </c>
      <c r="Z63">
        <v>0.18</v>
      </c>
      <c r="AC63">
        <v>0.39</v>
      </c>
      <c r="AG63">
        <v>0.18</v>
      </c>
      <c r="AH63">
        <v>0.26</v>
      </c>
      <c r="AI63">
        <v>0.2</v>
      </c>
      <c r="AJ63">
        <v>0.06</v>
      </c>
      <c r="AL63">
        <v>0.26</v>
      </c>
      <c r="AO63">
        <v>0.6</v>
      </c>
      <c r="AP63">
        <v>0.1</v>
      </c>
      <c r="AQ63">
        <v>0.06</v>
      </c>
      <c r="AS63">
        <v>0.44</v>
      </c>
      <c r="AW63">
        <v>0.6</v>
      </c>
      <c r="AY63">
        <v>0.38</v>
      </c>
      <c r="BA63">
        <v>0.32</v>
      </c>
      <c r="BC63">
        <v>0.1</v>
      </c>
      <c r="BE63">
        <v>0.2</v>
      </c>
      <c r="BF63">
        <v>0.3</v>
      </c>
      <c r="BM63">
        <v>0.28000000000000003</v>
      </c>
      <c r="BP63">
        <v>0.2</v>
      </c>
      <c r="BS63">
        <v>0.1</v>
      </c>
      <c r="BT63">
        <v>0.5</v>
      </c>
      <c r="BU63">
        <v>0.26</v>
      </c>
      <c r="BW63">
        <v>0.14000000000000001</v>
      </c>
      <c r="CB63">
        <v>0.48</v>
      </c>
      <c r="CC63">
        <v>0.3</v>
      </c>
      <c r="CD63">
        <v>0.44</v>
      </c>
      <c r="CH63">
        <v>0.12</v>
      </c>
      <c r="CK63">
        <v>0.2</v>
      </c>
    </row>
    <row r="64" spans="1:89" x14ac:dyDescent="0.25">
      <c r="A64" s="20"/>
      <c r="D64">
        <v>0.34</v>
      </c>
      <c r="E64">
        <v>0.12</v>
      </c>
      <c r="G64">
        <v>0.39</v>
      </c>
      <c r="I64">
        <v>0.36</v>
      </c>
      <c r="K64">
        <v>0.2</v>
      </c>
      <c r="N64">
        <v>0.18</v>
      </c>
      <c r="P64">
        <v>0.14000000000000001</v>
      </c>
      <c r="R64">
        <v>0.24</v>
      </c>
      <c r="S64">
        <v>0.7</v>
      </c>
      <c r="T64">
        <v>0.08</v>
      </c>
      <c r="Y64">
        <v>0.08</v>
      </c>
      <c r="Z64">
        <v>0.4</v>
      </c>
      <c r="AC64">
        <v>0.16</v>
      </c>
      <c r="AD64">
        <v>0.6</v>
      </c>
      <c r="AF64">
        <v>0.3</v>
      </c>
      <c r="AH64">
        <v>0.12</v>
      </c>
      <c r="AI64">
        <v>0.2</v>
      </c>
      <c r="AK64">
        <v>0.2</v>
      </c>
      <c r="AM64">
        <v>0.12</v>
      </c>
      <c r="AN64">
        <v>0.18</v>
      </c>
      <c r="AP64">
        <v>0.24</v>
      </c>
      <c r="AS64">
        <v>0.48</v>
      </c>
      <c r="AW64">
        <v>0.41</v>
      </c>
      <c r="BB64">
        <v>0.3</v>
      </c>
      <c r="BD64">
        <v>0.06</v>
      </c>
      <c r="BF64">
        <v>0.2</v>
      </c>
      <c r="BG64">
        <v>0.14000000000000001</v>
      </c>
      <c r="BI64">
        <v>0.17</v>
      </c>
      <c r="BN64">
        <v>0.44</v>
      </c>
      <c r="BO64">
        <v>0.17</v>
      </c>
      <c r="BT64">
        <v>0.34</v>
      </c>
      <c r="BU64">
        <v>0.16</v>
      </c>
      <c r="BV64">
        <v>0.36</v>
      </c>
      <c r="BX64">
        <v>0.14000000000000001</v>
      </c>
      <c r="BZ64">
        <v>0.26</v>
      </c>
      <c r="CC64">
        <v>0.24</v>
      </c>
      <c r="CE64">
        <v>0.12</v>
      </c>
      <c r="CG64">
        <v>0.16</v>
      </c>
      <c r="CI64">
        <v>0.12</v>
      </c>
      <c r="CJ64">
        <v>0.16</v>
      </c>
      <c r="CK64">
        <v>0.38</v>
      </c>
    </row>
    <row r="65" spans="1:89" x14ac:dyDescent="0.25">
      <c r="A65" s="20"/>
      <c r="D65">
        <v>0.32</v>
      </c>
    </row>
    <row r="66" spans="1:89" x14ac:dyDescent="0.25">
      <c r="A66" s="20" t="s">
        <v>129</v>
      </c>
      <c r="B66">
        <v>0.12</v>
      </c>
      <c r="C66">
        <v>0.28999999999999998</v>
      </c>
      <c r="D66">
        <v>0.5</v>
      </c>
      <c r="F66">
        <v>0.12</v>
      </c>
      <c r="H66">
        <v>0.22</v>
      </c>
      <c r="J66">
        <v>0.14000000000000001</v>
      </c>
      <c r="L66">
        <v>0.2</v>
      </c>
      <c r="O66">
        <v>0.24</v>
      </c>
      <c r="U66">
        <v>0.12</v>
      </c>
      <c r="V66">
        <v>0.2</v>
      </c>
      <c r="AA66">
        <v>0.1</v>
      </c>
      <c r="AB66">
        <v>0.08</v>
      </c>
      <c r="AE66">
        <v>0.18</v>
      </c>
      <c r="AG66">
        <v>0.22</v>
      </c>
      <c r="AL66">
        <v>0.48</v>
      </c>
      <c r="AO66">
        <v>0.63</v>
      </c>
      <c r="AR66">
        <v>0.4</v>
      </c>
      <c r="AT66">
        <v>0.32</v>
      </c>
      <c r="AU66">
        <v>0.26</v>
      </c>
      <c r="AV66">
        <v>0.2</v>
      </c>
      <c r="AX66">
        <v>0.12</v>
      </c>
      <c r="AZ66">
        <v>0.18</v>
      </c>
      <c r="BH66">
        <v>0.26</v>
      </c>
      <c r="BJ66">
        <v>0.4</v>
      </c>
      <c r="BK66">
        <v>0.08</v>
      </c>
      <c r="BL66">
        <v>0.28000000000000003</v>
      </c>
      <c r="BQ66">
        <v>0.16</v>
      </c>
      <c r="BR66">
        <v>0.08</v>
      </c>
      <c r="BY66">
        <v>0.24</v>
      </c>
      <c r="CA66">
        <v>0.14000000000000001</v>
      </c>
      <c r="CF66">
        <v>0.3</v>
      </c>
      <c r="CH66">
        <v>0.12</v>
      </c>
    </row>
    <row r="67" spans="1:89" x14ac:dyDescent="0.25">
      <c r="A67" s="20"/>
      <c r="B67">
        <v>0.14000000000000001</v>
      </c>
      <c r="C67">
        <v>0.38</v>
      </c>
      <c r="D67">
        <v>0.48</v>
      </c>
      <c r="F67">
        <v>0.2</v>
      </c>
      <c r="G67">
        <v>0.12</v>
      </c>
      <c r="H67">
        <v>0.22</v>
      </c>
      <c r="I67">
        <v>0.2</v>
      </c>
      <c r="J67">
        <v>0.1</v>
      </c>
      <c r="L67">
        <v>0.18</v>
      </c>
      <c r="M67">
        <v>0.28000000000000003</v>
      </c>
      <c r="P67">
        <v>0.37</v>
      </c>
      <c r="Q67">
        <v>0.1</v>
      </c>
      <c r="R67">
        <v>0.2</v>
      </c>
      <c r="T67">
        <v>0.22</v>
      </c>
      <c r="U67">
        <v>0.18</v>
      </c>
      <c r="Y67">
        <v>0.1</v>
      </c>
      <c r="Z67">
        <v>0.2</v>
      </c>
      <c r="AA67">
        <v>0.08</v>
      </c>
      <c r="AC67">
        <v>0.2</v>
      </c>
      <c r="AD67">
        <v>0.1</v>
      </c>
      <c r="AF67">
        <v>0.3</v>
      </c>
      <c r="AG67">
        <v>0.3</v>
      </c>
      <c r="AH67">
        <v>0.16</v>
      </c>
      <c r="AJ67">
        <v>0.24</v>
      </c>
      <c r="AL67">
        <v>0.36</v>
      </c>
      <c r="AM67">
        <v>0.5</v>
      </c>
      <c r="AN67">
        <v>0.14000000000000001</v>
      </c>
      <c r="AO67">
        <v>0.6</v>
      </c>
      <c r="AP67">
        <v>0.06</v>
      </c>
      <c r="AR67">
        <v>0.46</v>
      </c>
      <c r="AT67">
        <v>0.46</v>
      </c>
      <c r="AU67">
        <v>0.16</v>
      </c>
      <c r="AW67">
        <v>0.42</v>
      </c>
      <c r="AX67">
        <v>0.18</v>
      </c>
      <c r="AZ67">
        <v>0.2</v>
      </c>
      <c r="BB67">
        <v>0.17</v>
      </c>
      <c r="BD67">
        <v>0.1</v>
      </c>
      <c r="BF67">
        <v>0.14000000000000001</v>
      </c>
      <c r="BG67">
        <v>0.12</v>
      </c>
      <c r="BI67">
        <v>0.14000000000000001</v>
      </c>
      <c r="BK67">
        <v>0.12</v>
      </c>
      <c r="BL67">
        <v>0.42</v>
      </c>
      <c r="BM67">
        <v>0.1</v>
      </c>
      <c r="BN67">
        <v>0.1</v>
      </c>
      <c r="BO67">
        <v>0.1</v>
      </c>
      <c r="BP67">
        <v>0.06</v>
      </c>
      <c r="BQ67">
        <v>0.1</v>
      </c>
      <c r="BR67">
        <v>0.06</v>
      </c>
      <c r="BT67">
        <v>0.28000000000000003</v>
      </c>
      <c r="BU67">
        <v>0.14000000000000001</v>
      </c>
      <c r="BX67">
        <v>0.42</v>
      </c>
      <c r="BY67">
        <v>0.18</v>
      </c>
      <c r="BZ67">
        <v>0.1</v>
      </c>
      <c r="CA67">
        <v>0.16</v>
      </c>
      <c r="CC67">
        <v>0.57999999999999996</v>
      </c>
      <c r="CE67">
        <v>0.18</v>
      </c>
      <c r="CF67">
        <v>0.1</v>
      </c>
      <c r="CH67">
        <v>0.14000000000000001</v>
      </c>
      <c r="CI67">
        <v>0.08</v>
      </c>
      <c r="CJ67">
        <v>0.52</v>
      </c>
      <c r="CK67">
        <v>0.2</v>
      </c>
    </row>
    <row r="68" spans="1:89" x14ac:dyDescent="0.25">
      <c r="A68" s="20"/>
      <c r="C68">
        <v>0.26</v>
      </c>
      <c r="D68">
        <v>0.44</v>
      </c>
      <c r="F68">
        <v>0.18</v>
      </c>
      <c r="H68">
        <v>0.18</v>
      </c>
      <c r="J68">
        <v>0.16</v>
      </c>
      <c r="K68">
        <v>0.36</v>
      </c>
      <c r="L68">
        <v>0.1</v>
      </c>
      <c r="M68">
        <v>0.57999999999999996</v>
      </c>
      <c r="N68">
        <v>0.14000000000000001</v>
      </c>
      <c r="Q68">
        <v>0.08</v>
      </c>
      <c r="S68">
        <v>0.34</v>
      </c>
      <c r="U68">
        <v>0.16</v>
      </c>
      <c r="W68">
        <v>0.12</v>
      </c>
      <c r="X68">
        <v>0.5</v>
      </c>
      <c r="AC68">
        <v>0.36</v>
      </c>
      <c r="AG68">
        <v>0.24</v>
      </c>
      <c r="AH68">
        <v>0.16</v>
      </c>
      <c r="AI68">
        <v>0.28000000000000003</v>
      </c>
      <c r="AK68">
        <v>0.22</v>
      </c>
      <c r="AL68">
        <v>0.26</v>
      </c>
      <c r="AO68">
        <v>0.5</v>
      </c>
      <c r="AP68">
        <v>0.12</v>
      </c>
      <c r="AQ68">
        <v>0.06</v>
      </c>
      <c r="AS68">
        <v>0.24</v>
      </c>
      <c r="AW68">
        <v>0.3</v>
      </c>
      <c r="AY68">
        <v>0.24</v>
      </c>
      <c r="BA68">
        <v>0.18</v>
      </c>
      <c r="BC68">
        <v>0.26</v>
      </c>
      <c r="BE68">
        <v>2</v>
      </c>
      <c r="BF68">
        <v>0.16</v>
      </c>
      <c r="BL68">
        <v>0.3</v>
      </c>
      <c r="BO68">
        <v>0.16</v>
      </c>
      <c r="BS68">
        <v>0.1</v>
      </c>
      <c r="BT68">
        <v>0.2</v>
      </c>
      <c r="BU68">
        <v>0.14000000000000001</v>
      </c>
      <c r="BV68">
        <v>0.46</v>
      </c>
      <c r="BW68">
        <v>0.24</v>
      </c>
      <c r="BZ68">
        <v>0.16</v>
      </c>
      <c r="CB68">
        <v>0.42</v>
      </c>
      <c r="CC68">
        <v>0.82</v>
      </c>
      <c r="CD68">
        <v>0.14000000000000001</v>
      </c>
      <c r="CG68">
        <v>0.14000000000000001</v>
      </c>
      <c r="CH68">
        <v>0.12</v>
      </c>
      <c r="CJ68">
        <v>0.54</v>
      </c>
      <c r="CK68">
        <v>0.16</v>
      </c>
    </row>
    <row r="69" spans="1:89" x14ac:dyDescent="0.25">
      <c r="A69" s="20"/>
      <c r="D69">
        <v>0.46</v>
      </c>
      <c r="E69">
        <v>0.06</v>
      </c>
      <c r="I69">
        <v>0.14000000000000001</v>
      </c>
      <c r="M69">
        <v>0.32</v>
      </c>
      <c r="P69">
        <v>0.36</v>
      </c>
      <c r="Q69">
        <v>0.08</v>
      </c>
      <c r="R69">
        <v>0.2</v>
      </c>
      <c r="T69">
        <v>0.22</v>
      </c>
      <c r="Y69">
        <v>0.1</v>
      </c>
      <c r="Z69">
        <v>0.22</v>
      </c>
      <c r="AC69">
        <v>0.32</v>
      </c>
      <c r="AD69">
        <v>0.2</v>
      </c>
      <c r="AF69">
        <v>0.46</v>
      </c>
      <c r="AH69">
        <v>0.06</v>
      </c>
      <c r="AJ69">
        <v>0.14000000000000001</v>
      </c>
      <c r="AM69">
        <v>0.36</v>
      </c>
      <c r="AN69">
        <v>0.14000000000000001</v>
      </c>
      <c r="AP69">
        <v>0.08</v>
      </c>
      <c r="AW69">
        <v>0.19</v>
      </c>
      <c r="BB69">
        <v>0.08</v>
      </c>
      <c r="BD69">
        <v>0.1</v>
      </c>
      <c r="BF69">
        <v>0.16</v>
      </c>
      <c r="BG69">
        <v>0.14000000000000001</v>
      </c>
      <c r="BI69">
        <v>0.2</v>
      </c>
      <c r="BM69">
        <v>0.12</v>
      </c>
      <c r="BN69">
        <v>0.14000000000000001</v>
      </c>
      <c r="BO69">
        <v>0.18</v>
      </c>
      <c r="BP69">
        <v>0.06</v>
      </c>
      <c r="BT69">
        <v>0.2</v>
      </c>
      <c r="BU69">
        <v>0.2</v>
      </c>
      <c r="BX69">
        <v>0.28000000000000003</v>
      </c>
      <c r="BZ69">
        <v>0.18</v>
      </c>
      <c r="CC69">
        <v>0.42</v>
      </c>
      <c r="CE69">
        <v>0.14000000000000001</v>
      </c>
      <c r="CI69">
        <v>0.08</v>
      </c>
      <c r="CJ69">
        <v>0.3</v>
      </c>
      <c r="CK69">
        <v>0.14000000000000001</v>
      </c>
    </row>
    <row r="70" spans="1:89" x14ac:dyDescent="0.25">
      <c r="A70" s="20"/>
      <c r="D70">
        <v>0.2</v>
      </c>
      <c r="E70">
        <v>0.09</v>
      </c>
    </row>
    <row r="71" spans="1:89" x14ac:dyDescent="0.25">
      <c r="A71" s="20" t="s">
        <v>130</v>
      </c>
      <c r="B71">
        <v>0.34</v>
      </c>
      <c r="C71">
        <v>0.16</v>
      </c>
      <c r="D71">
        <v>0.42</v>
      </c>
      <c r="F71">
        <v>0.06</v>
      </c>
      <c r="H71">
        <v>0.2</v>
      </c>
      <c r="J71">
        <v>0.11</v>
      </c>
      <c r="L71">
        <v>0.44</v>
      </c>
      <c r="O71">
        <v>0.28000000000000003</v>
      </c>
      <c r="U71">
        <v>0.12</v>
      </c>
      <c r="V71">
        <v>0.1</v>
      </c>
      <c r="AA71">
        <v>0.16</v>
      </c>
      <c r="AB71">
        <v>0.08</v>
      </c>
      <c r="AE71">
        <v>0.1</v>
      </c>
      <c r="AG71">
        <v>0.21</v>
      </c>
      <c r="AL71">
        <v>0.36</v>
      </c>
      <c r="AO71">
        <v>0.8</v>
      </c>
      <c r="AR71">
        <v>0.6</v>
      </c>
      <c r="AT71">
        <v>0.54</v>
      </c>
      <c r="AU71">
        <v>0.1</v>
      </c>
      <c r="AV71">
        <v>0.18</v>
      </c>
      <c r="AX71">
        <v>0.12</v>
      </c>
      <c r="AZ71">
        <v>0.27</v>
      </c>
      <c r="BH71">
        <v>0.2</v>
      </c>
      <c r="BJ71">
        <v>0.42</v>
      </c>
      <c r="BK71">
        <v>0.22</v>
      </c>
      <c r="BL71">
        <v>0.3</v>
      </c>
      <c r="BQ71">
        <v>0.12</v>
      </c>
      <c r="BR71">
        <v>0.22</v>
      </c>
      <c r="BY71">
        <v>0.24</v>
      </c>
      <c r="CA71">
        <v>0.22</v>
      </c>
      <c r="CF71">
        <v>0.1</v>
      </c>
      <c r="CH71">
        <v>0.1</v>
      </c>
    </row>
    <row r="72" spans="1:89" x14ac:dyDescent="0.25">
      <c r="A72" s="20"/>
      <c r="B72">
        <v>0.38</v>
      </c>
      <c r="C72">
        <v>0.36</v>
      </c>
      <c r="D72">
        <v>0.5</v>
      </c>
      <c r="F72">
        <v>0.06</v>
      </c>
      <c r="H72">
        <v>0.2</v>
      </c>
      <c r="I72">
        <v>0.2</v>
      </c>
      <c r="J72">
        <v>0.1</v>
      </c>
      <c r="L72">
        <v>0.34</v>
      </c>
      <c r="M72">
        <v>0.38</v>
      </c>
      <c r="P72">
        <v>0.84</v>
      </c>
      <c r="Q72">
        <v>0.32</v>
      </c>
      <c r="R72">
        <v>0.17</v>
      </c>
      <c r="S72">
        <v>0.42</v>
      </c>
      <c r="T72">
        <v>0.46</v>
      </c>
      <c r="U72">
        <v>0.18</v>
      </c>
      <c r="Y72">
        <v>0.2</v>
      </c>
      <c r="Z72">
        <v>0.22</v>
      </c>
      <c r="AA72">
        <v>0.08</v>
      </c>
      <c r="AC72">
        <v>0.4</v>
      </c>
      <c r="AD72">
        <v>0.18</v>
      </c>
      <c r="AF72">
        <v>0.12</v>
      </c>
      <c r="AG72">
        <v>0.36</v>
      </c>
      <c r="AH72">
        <v>0.56000000000000005</v>
      </c>
      <c r="AK72">
        <v>0.1</v>
      </c>
      <c r="AL72">
        <v>0.82</v>
      </c>
      <c r="AM72">
        <v>0.08</v>
      </c>
      <c r="AN72">
        <v>0.22</v>
      </c>
      <c r="AO72">
        <v>0.52</v>
      </c>
      <c r="AP72">
        <v>0.14000000000000001</v>
      </c>
      <c r="AR72">
        <v>0.66</v>
      </c>
      <c r="AT72">
        <v>0.66</v>
      </c>
      <c r="AU72">
        <v>0.1</v>
      </c>
      <c r="AV72">
        <v>0.1</v>
      </c>
      <c r="AW72">
        <v>0.16</v>
      </c>
      <c r="AX72">
        <v>0.1</v>
      </c>
      <c r="AZ72">
        <v>0.24</v>
      </c>
      <c r="BB72">
        <v>0.08</v>
      </c>
      <c r="BF72">
        <v>0.12</v>
      </c>
      <c r="BG72">
        <v>0.2</v>
      </c>
      <c r="BI72">
        <v>0.22</v>
      </c>
      <c r="BK72">
        <v>0.24</v>
      </c>
      <c r="BN72">
        <v>0.12</v>
      </c>
      <c r="BO72">
        <v>0.14000000000000001</v>
      </c>
      <c r="BQ72">
        <v>0.08</v>
      </c>
      <c r="BR72">
        <v>0.08</v>
      </c>
      <c r="BT72">
        <v>0.38</v>
      </c>
      <c r="BU72">
        <v>0.54</v>
      </c>
      <c r="BX72">
        <v>0.26</v>
      </c>
      <c r="BY72">
        <v>0.28000000000000003</v>
      </c>
      <c r="BZ72">
        <v>0.18</v>
      </c>
      <c r="CA72">
        <v>0.28000000000000003</v>
      </c>
      <c r="CC72">
        <v>0.36</v>
      </c>
      <c r="CE72">
        <v>0.26</v>
      </c>
      <c r="CF72">
        <v>0.12</v>
      </c>
      <c r="CH72">
        <v>0.14000000000000001</v>
      </c>
      <c r="CI72">
        <v>0.2</v>
      </c>
      <c r="CJ72">
        <v>0.26</v>
      </c>
      <c r="CK72">
        <v>0.08</v>
      </c>
    </row>
    <row r="73" spans="1:89" x14ac:dyDescent="0.25">
      <c r="A73" s="20"/>
      <c r="C73">
        <v>0.26</v>
      </c>
      <c r="D73">
        <v>0.48</v>
      </c>
      <c r="E73">
        <v>0.06</v>
      </c>
      <c r="F73">
        <v>0.02</v>
      </c>
      <c r="G73">
        <v>0.88</v>
      </c>
      <c r="H73">
        <v>0.18</v>
      </c>
      <c r="J73">
        <v>0.1</v>
      </c>
      <c r="K73">
        <v>0.34</v>
      </c>
      <c r="L73">
        <v>0.48</v>
      </c>
      <c r="M73">
        <v>0.57999999999999996</v>
      </c>
      <c r="N73">
        <v>0.18</v>
      </c>
      <c r="Q73">
        <v>0.44</v>
      </c>
      <c r="S73">
        <v>0.4</v>
      </c>
      <c r="U73">
        <v>0.18</v>
      </c>
      <c r="W73">
        <v>0.15</v>
      </c>
      <c r="X73">
        <v>0.26</v>
      </c>
      <c r="AC73">
        <v>0.42</v>
      </c>
      <c r="AF73">
        <v>0.2</v>
      </c>
      <c r="AI73">
        <v>0.44</v>
      </c>
      <c r="AJ73">
        <v>0.08</v>
      </c>
      <c r="AL73">
        <v>0.38</v>
      </c>
      <c r="AO73">
        <v>0.52</v>
      </c>
      <c r="AP73">
        <v>0.62</v>
      </c>
      <c r="AQ73">
        <v>0.1</v>
      </c>
      <c r="AS73">
        <v>0.38</v>
      </c>
      <c r="AW73">
        <v>0.1</v>
      </c>
      <c r="AY73">
        <v>0.46</v>
      </c>
      <c r="AZ73">
        <v>0.24</v>
      </c>
      <c r="BA73">
        <v>0.12</v>
      </c>
      <c r="BC73">
        <v>0.12</v>
      </c>
      <c r="BD73">
        <v>0.06</v>
      </c>
      <c r="BE73">
        <v>0.22</v>
      </c>
      <c r="BF73">
        <v>0.1</v>
      </c>
      <c r="BM73">
        <v>0.18</v>
      </c>
      <c r="BP73">
        <v>0.14000000000000001</v>
      </c>
      <c r="BS73">
        <v>0.2</v>
      </c>
      <c r="BT73">
        <v>0.34</v>
      </c>
      <c r="BU73">
        <v>0.26</v>
      </c>
      <c r="BV73">
        <v>0.3</v>
      </c>
      <c r="BW73">
        <v>0.1</v>
      </c>
      <c r="BZ73">
        <v>0.17</v>
      </c>
      <c r="CB73">
        <v>0.36</v>
      </c>
      <c r="CC73">
        <v>0.2</v>
      </c>
      <c r="CD73">
        <v>0.84</v>
      </c>
      <c r="CG73">
        <v>0.12</v>
      </c>
      <c r="CH73">
        <v>0.12</v>
      </c>
      <c r="CI73">
        <v>0.28000000000000003</v>
      </c>
    </row>
    <row r="74" spans="1:89" x14ac:dyDescent="0.25">
      <c r="A74" s="20"/>
      <c r="D74">
        <v>0.38</v>
      </c>
      <c r="E74">
        <v>7.0000000000000007E-2</v>
      </c>
      <c r="I74">
        <v>0.18</v>
      </c>
      <c r="M74">
        <v>0.62</v>
      </c>
      <c r="P74">
        <v>0.4</v>
      </c>
      <c r="Q74">
        <v>0.34</v>
      </c>
      <c r="R74">
        <v>0.16</v>
      </c>
      <c r="S74">
        <v>0.33</v>
      </c>
      <c r="T74">
        <v>0.57999999999999996</v>
      </c>
      <c r="Y74">
        <v>0.14000000000000001</v>
      </c>
      <c r="Z74">
        <v>0.08</v>
      </c>
      <c r="AC74">
        <v>0.3</v>
      </c>
      <c r="AD74">
        <v>0.2</v>
      </c>
      <c r="AF74">
        <v>0.22</v>
      </c>
      <c r="AH74">
        <v>0.3</v>
      </c>
      <c r="AK74">
        <v>0.1</v>
      </c>
      <c r="AM74">
        <v>0.14000000000000001</v>
      </c>
      <c r="AN74">
        <v>0.08</v>
      </c>
      <c r="AP74">
        <v>0.82</v>
      </c>
      <c r="AW74">
        <v>0.12</v>
      </c>
      <c r="BB74">
        <v>0.3</v>
      </c>
      <c r="BF74">
        <v>0.12</v>
      </c>
      <c r="BG74">
        <v>0.22</v>
      </c>
      <c r="BI74">
        <v>0.2</v>
      </c>
      <c r="BN74">
        <v>0.22</v>
      </c>
      <c r="BO74">
        <v>0.26</v>
      </c>
      <c r="BT74">
        <v>0.32</v>
      </c>
      <c r="BU74">
        <v>0.12</v>
      </c>
      <c r="BX74">
        <v>0.26</v>
      </c>
      <c r="BZ74">
        <v>0.16</v>
      </c>
      <c r="CC74">
        <v>0.16</v>
      </c>
      <c r="CE74">
        <v>0.14000000000000001</v>
      </c>
      <c r="CI74">
        <v>0.28000000000000003</v>
      </c>
      <c r="CJ74">
        <v>0.28000000000000003</v>
      </c>
      <c r="CK74">
        <v>0.32</v>
      </c>
    </row>
    <row r="75" spans="1:89" x14ac:dyDescent="0.25">
      <c r="A75" s="20"/>
      <c r="D75">
        <v>0.31</v>
      </c>
      <c r="E75">
        <v>0.06</v>
      </c>
    </row>
    <row r="76" spans="1:89" x14ac:dyDescent="0.25">
      <c r="A76" s="20" t="s">
        <v>131</v>
      </c>
      <c r="B76">
        <v>0.22</v>
      </c>
      <c r="C76">
        <v>0.26</v>
      </c>
      <c r="D76">
        <v>0.23</v>
      </c>
      <c r="F76">
        <v>0.06</v>
      </c>
      <c r="H76">
        <v>0.12</v>
      </c>
      <c r="J76">
        <v>0.14000000000000001</v>
      </c>
      <c r="L76">
        <v>0.26</v>
      </c>
      <c r="O76">
        <v>0.14000000000000001</v>
      </c>
      <c r="U76">
        <v>0.18</v>
      </c>
      <c r="V76">
        <v>0.26</v>
      </c>
      <c r="AA76">
        <v>0.1</v>
      </c>
      <c r="AB76">
        <v>0.2</v>
      </c>
      <c r="AE76">
        <v>0.2</v>
      </c>
      <c r="AG76">
        <v>0.3</v>
      </c>
      <c r="AL76">
        <v>0.69</v>
      </c>
      <c r="AO76">
        <v>0.8</v>
      </c>
      <c r="AR76">
        <v>0.6</v>
      </c>
      <c r="AT76">
        <v>0.6</v>
      </c>
      <c r="AU76">
        <v>0.08</v>
      </c>
      <c r="AV76">
        <v>0.16</v>
      </c>
      <c r="AX76">
        <v>0.14000000000000001</v>
      </c>
      <c r="AZ76">
        <v>0.08</v>
      </c>
      <c r="BH76">
        <v>0.26</v>
      </c>
      <c r="BJ76">
        <v>0.28000000000000003</v>
      </c>
      <c r="BK76">
        <v>0.2</v>
      </c>
      <c r="BL76">
        <v>0.56000000000000005</v>
      </c>
      <c r="BQ76">
        <v>0.06</v>
      </c>
      <c r="BR76">
        <v>0.08</v>
      </c>
      <c r="BY76">
        <v>0.18</v>
      </c>
      <c r="CA76">
        <v>0.5</v>
      </c>
      <c r="CF76">
        <v>0.06</v>
      </c>
      <c r="CH76">
        <v>0.36</v>
      </c>
    </row>
    <row r="77" spans="1:89" x14ac:dyDescent="0.25">
      <c r="A77" s="20"/>
      <c r="B77">
        <v>0.32</v>
      </c>
      <c r="C77">
        <v>0.52</v>
      </c>
      <c r="D77">
        <v>0.34</v>
      </c>
      <c r="F77">
        <v>0.1</v>
      </c>
      <c r="H77">
        <v>0.14000000000000001</v>
      </c>
      <c r="I77">
        <v>0.42</v>
      </c>
      <c r="J77">
        <v>0.32</v>
      </c>
      <c r="K77">
        <v>0.12</v>
      </c>
      <c r="L77">
        <v>0.12</v>
      </c>
      <c r="M77">
        <v>0.46</v>
      </c>
      <c r="N77">
        <v>0.1</v>
      </c>
      <c r="P77">
        <v>0.47</v>
      </c>
      <c r="Q77">
        <v>0.44</v>
      </c>
      <c r="S77">
        <v>0.56999999999999995</v>
      </c>
      <c r="T77">
        <v>0.32</v>
      </c>
      <c r="U77">
        <v>0.2</v>
      </c>
      <c r="Y77">
        <v>0.08</v>
      </c>
      <c r="Z77">
        <v>0.2</v>
      </c>
      <c r="AA77">
        <v>0.1</v>
      </c>
      <c r="AB77">
        <v>0.2</v>
      </c>
      <c r="AC77">
        <v>0.12</v>
      </c>
      <c r="AD77">
        <v>0.5</v>
      </c>
      <c r="AF77">
        <v>0.16</v>
      </c>
      <c r="AG77">
        <v>0.46</v>
      </c>
      <c r="AH77">
        <v>0.42</v>
      </c>
      <c r="AJ77">
        <v>0.5</v>
      </c>
      <c r="AL77">
        <v>0.98</v>
      </c>
      <c r="AM77">
        <v>0.1</v>
      </c>
      <c r="AN77">
        <v>0.16</v>
      </c>
      <c r="AO77">
        <v>0.72</v>
      </c>
      <c r="AP77">
        <v>0.4</v>
      </c>
      <c r="AR77">
        <v>0.54</v>
      </c>
      <c r="AT77">
        <v>0.28000000000000003</v>
      </c>
      <c r="AU77">
        <v>0.08</v>
      </c>
      <c r="AW77">
        <v>0.18</v>
      </c>
      <c r="AZ77">
        <v>0.32</v>
      </c>
      <c r="BD77">
        <v>0.06</v>
      </c>
      <c r="BF77">
        <v>0.18</v>
      </c>
      <c r="BG77">
        <v>0.14000000000000001</v>
      </c>
      <c r="BI77">
        <v>0.08</v>
      </c>
      <c r="BK77">
        <v>0.3</v>
      </c>
      <c r="BN77">
        <v>0.08</v>
      </c>
      <c r="BO77">
        <v>0.18</v>
      </c>
      <c r="BQ77">
        <v>0.1</v>
      </c>
      <c r="BR77">
        <v>0.12</v>
      </c>
      <c r="BT77">
        <v>0.2</v>
      </c>
      <c r="BU77">
        <v>0.1</v>
      </c>
      <c r="BX77">
        <v>0.18</v>
      </c>
      <c r="BY77">
        <v>0.16</v>
      </c>
      <c r="BZ77">
        <v>0.6</v>
      </c>
      <c r="CA77">
        <v>0.5</v>
      </c>
      <c r="CC77">
        <v>0.6</v>
      </c>
      <c r="CE77">
        <v>0.1</v>
      </c>
      <c r="CF77">
        <v>0.09</v>
      </c>
      <c r="CG77">
        <v>0.16</v>
      </c>
      <c r="CH77">
        <v>0.44</v>
      </c>
      <c r="CI77">
        <v>0.28000000000000003</v>
      </c>
      <c r="CJ77">
        <v>0.2</v>
      </c>
      <c r="CK77">
        <v>0.16</v>
      </c>
    </row>
    <row r="78" spans="1:89" x14ac:dyDescent="0.25">
      <c r="A78" s="20"/>
      <c r="C78">
        <v>0.3</v>
      </c>
      <c r="D78">
        <v>0.38</v>
      </c>
      <c r="F78">
        <v>0.02</v>
      </c>
      <c r="G78">
        <v>0.24</v>
      </c>
      <c r="H78">
        <v>0.12</v>
      </c>
      <c r="J78">
        <v>0.12</v>
      </c>
      <c r="L78">
        <v>0.42</v>
      </c>
      <c r="M78">
        <v>0.5</v>
      </c>
      <c r="Q78">
        <v>0.22</v>
      </c>
      <c r="R78">
        <v>0.1</v>
      </c>
      <c r="S78">
        <v>0.57999999999999996</v>
      </c>
      <c r="U78">
        <v>0.1</v>
      </c>
      <c r="W78">
        <v>0.16</v>
      </c>
      <c r="X78">
        <v>0.5</v>
      </c>
      <c r="AC78">
        <v>0.22</v>
      </c>
      <c r="AF78">
        <v>0.2</v>
      </c>
      <c r="AG78">
        <v>0.4</v>
      </c>
      <c r="AI78">
        <v>0.32</v>
      </c>
      <c r="AJ78">
        <v>0.4</v>
      </c>
      <c r="AK78">
        <v>0.16</v>
      </c>
      <c r="AL78">
        <v>0.7</v>
      </c>
      <c r="AO78">
        <v>0.42</v>
      </c>
      <c r="AP78">
        <v>0.56000000000000005</v>
      </c>
      <c r="AQ78">
        <v>0.16</v>
      </c>
      <c r="AS78">
        <v>0.42</v>
      </c>
      <c r="AW78">
        <v>0.18</v>
      </c>
      <c r="AY78">
        <v>0.32</v>
      </c>
      <c r="AZ78">
        <v>0.3</v>
      </c>
      <c r="BA78">
        <v>0.22</v>
      </c>
      <c r="BB78">
        <v>0.22</v>
      </c>
      <c r="BC78">
        <v>0.16</v>
      </c>
      <c r="BE78">
        <v>0.26</v>
      </c>
      <c r="BF78">
        <v>0.12</v>
      </c>
      <c r="BM78">
        <v>0.26</v>
      </c>
      <c r="BP78">
        <v>0.16</v>
      </c>
      <c r="BS78">
        <v>0.1</v>
      </c>
      <c r="BT78">
        <v>0.46</v>
      </c>
      <c r="BV78">
        <v>0.4</v>
      </c>
      <c r="BW78">
        <v>0.18</v>
      </c>
      <c r="BZ78">
        <v>0.4</v>
      </c>
      <c r="CB78">
        <v>0.24</v>
      </c>
      <c r="CC78">
        <v>0.2</v>
      </c>
      <c r="CD78">
        <v>0.68</v>
      </c>
      <c r="CG78">
        <v>0.14000000000000001</v>
      </c>
      <c r="CH78">
        <v>0.4</v>
      </c>
      <c r="CI78">
        <v>0.36</v>
      </c>
      <c r="CK78">
        <v>0.34</v>
      </c>
    </row>
    <row r="79" spans="1:89" x14ac:dyDescent="0.25">
      <c r="A79" s="20"/>
      <c r="D79">
        <v>0.34</v>
      </c>
      <c r="E79">
        <v>7.0000000000000007E-2</v>
      </c>
      <c r="I79">
        <v>0.44</v>
      </c>
      <c r="K79">
        <v>0.32</v>
      </c>
      <c r="M79">
        <v>0.48</v>
      </c>
      <c r="N79">
        <v>0.12</v>
      </c>
      <c r="P79">
        <v>0.5</v>
      </c>
      <c r="Q79">
        <v>0.06</v>
      </c>
      <c r="S79">
        <v>0.56000000000000005</v>
      </c>
      <c r="T79">
        <v>0.34</v>
      </c>
      <c r="Y79">
        <v>0.08</v>
      </c>
      <c r="Z79">
        <v>0.3</v>
      </c>
      <c r="AC79">
        <v>0.11</v>
      </c>
      <c r="AD79">
        <v>0.38</v>
      </c>
      <c r="AF79">
        <v>0.14000000000000001</v>
      </c>
      <c r="AH79">
        <v>0.5</v>
      </c>
      <c r="AJ79">
        <v>0.36</v>
      </c>
      <c r="AM79">
        <v>0.12</v>
      </c>
      <c r="AN79">
        <v>0.22</v>
      </c>
      <c r="AP79">
        <v>0.36</v>
      </c>
      <c r="AW79">
        <v>0.14000000000000001</v>
      </c>
      <c r="BD79">
        <v>0.06</v>
      </c>
      <c r="BF79">
        <v>0.1</v>
      </c>
      <c r="BG79">
        <v>0.12</v>
      </c>
      <c r="BI79">
        <v>0.1</v>
      </c>
      <c r="BN79">
        <v>0.18</v>
      </c>
      <c r="BO79">
        <v>0.24</v>
      </c>
      <c r="BT79">
        <v>0.3</v>
      </c>
      <c r="BU79">
        <v>0.1</v>
      </c>
      <c r="BX79">
        <v>0.14000000000000001</v>
      </c>
      <c r="BZ79">
        <v>0.12</v>
      </c>
      <c r="CC79">
        <v>0.18</v>
      </c>
      <c r="CE79">
        <v>0.12</v>
      </c>
      <c r="CG79">
        <v>0.1</v>
      </c>
      <c r="CI79">
        <v>0.36</v>
      </c>
      <c r="CJ79">
        <v>0.22</v>
      </c>
      <c r="CK79">
        <v>0.21</v>
      </c>
    </row>
    <row r="80" spans="1:89" x14ac:dyDescent="0.25">
      <c r="A80" s="20"/>
      <c r="D80">
        <v>0.18</v>
      </c>
      <c r="E80">
        <v>0.1</v>
      </c>
    </row>
    <row r="81" spans="1:89" x14ac:dyDescent="0.25">
      <c r="A81" s="20" t="s">
        <v>132</v>
      </c>
      <c r="B81">
        <v>0.56999999999999995</v>
      </c>
      <c r="C81">
        <v>0.34</v>
      </c>
      <c r="D81">
        <v>0.36</v>
      </c>
      <c r="F81">
        <v>0.32</v>
      </c>
      <c r="H81">
        <v>0.22</v>
      </c>
      <c r="J81">
        <v>0.2</v>
      </c>
      <c r="L81">
        <v>0.16</v>
      </c>
      <c r="O81">
        <v>0.32</v>
      </c>
      <c r="U81">
        <v>0.16</v>
      </c>
      <c r="V81">
        <v>0.14000000000000001</v>
      </c>
      <c r="AA81">
        <v>0.4</v>
      </c>
      <c r="AB81">
        <v>0.28000000000000003</v>
      </c>
      <c r="AE81">
        <v>0.44</v>
      </c>
      <c r="AG81">
        <v>0.16</v>
      </c>
      <c r="AL81">
        <v>0.63</v>
      </c>
      <c r="AO81">
        <v>0.64</v>
      </c>
      <c r="AR81">
        <v>0.78</v>
      </c>
      <c r="AT81">
        <v>0.56000000000000005</v>
      </c>
      <c r="AU81">
        <v>0.12</v>
      </c>
      <c r="AV81">
        <v>0.22</v>
      </c>
      <c r="AX81">
        <v>0.06</v>
      </c>
      <c r="AZ81">
        <v>0.2</v>
      </c>
      <c r="BH81">
        <v>0.24</v>
      </c>
      <c r="BJ81">
        <v>0.17</v>
      </c>
      <c r="BK81">
        <v>0.12</v>
      </c>
      <c r="BL81">
        <v>0.64</v>
      </c>
      <c r="BQ81">
        <v>0.26</v>
      </c>
      <c r="BR81">
        <v>0.08</v>
      </c>
      <c r="BY81">
        <v>0.38</v>
      </c>
      <c r="CA81">
        <v>0.08</v>
      </c>
      <c r="CF81">
        <v>0.08</v>
      </c>
      <c r="CH81">
        <v>0.4</v>
      </c>
    </row>
    <row r="82" spans="1:89" x14ac:dyDescent="0.25">
      <c r="A82" s="20"/>
      <c r="B82">
        <v>0.92</v>
      </c>
      <c r="C82">
        <v>0.06</v>
      </c>
      <c r="D82">
        <v>0.36</v>
      </c>
      <c r="F82">
        <v>0.57999999999999996</v>
      </c>
      <c r="H82">
        <v>0.08</v>
      </c>
      <c r="I82">
        <v>0.42</v>
      </c>
      <c r="J82">
        <v>0.3</v>
      </c>
      <c r="K82">
        <v>0.4</v>
      </c>
      <c r="L82">
        <v>0.18</v>
      </c>
      <c r="M82">
        <v>0.28000000000000003</v>
      </c>
      <c r="P82">
        <v>0.38</v>
      </c>
      <c r="Q82">
        <v>0.32</v>
      </c>
      <c r="R82">
        <v>0.06</v>
      </c>
      <c r="S82">
        <v>0.28000000000000003</v>
      </c>
      <c r="T82">
        <v>0.2</v>
      </c>
      <c r="Y82">
        <v>0.08</v>
      </c>
      <c r="Z82">
        <v>0.06</v>
      </c>
      <c r="AA82">
        <v>0.44</v>
      </c>
      <c r="AB82">
        <v>0.6</v>
      </c>
      <c r="AC82">
        <v>0.2</v>
      </c>
      <c r="AD82">
        <v>0.08</v>
      </c>
      <c r="AF82">
        <v>0.12</v>
      </c>
      <c r="AG82">
        <v>0.38</v>
      </c>
      <c r="AH82">
        <v>0.26</v>
      </c>
      <c r="AJ82">
        <v>0.26</v>
      </c>
      <c r="AK82">
        <v>0.2</v>
      </c>
      <c r="AL82">
        <v>0.94</v>
      </c>
      <c r="AM82">
        <v>0.3</v>
      </c>
      <c r="AN82">
        <v>0.1</v>
      </c>
      <c r="AO82">
        <v>0.38</v>
      </c>
      <c r="AP82">
        <v>0.42</v>
      </c>
      <c r="AT82">
        <v>0.52</v>
      </c>
      <c r="AU82">
        <v>0.06</v>
      </c>
      <c r="AV82">
        <v>0.12</v>
      </c>
      <c r="AW82">
        <v>0.22</v>
      </c>
      <c r="AX82">
        <v>0.26</v>
      </c>
      <c r="AZ82">
        <v>0.16</v>
      </c>
      <c r="BB82">
        <v>0.1</v>
      </c>
      <c r="BD82">
        <v>0.4</v>
      </c>
      <c r="BF82">
        <v>0.06</v>
      </c>
      <c r="BI82">
        <v>0.38</v>
      </c>
      <c r="BK82">
        <v>0.16</v>
      </c>
      <c r="BN82">
        <v>0.12</v>
      </c>
      <c r="BO82">
        <v>0.39</v>
      </c>
      <c r="BQ82">
        <v>0.1</v>
      </c>
      <c r="BR82">
        <v>0.06</v>
      </c>
      <c r="BT82">
        <v>0.24</v>
      </c>
      <c r="BU82">
        <v>0.06</v>
      </c>
      <c r="BX82">
        <v>0.12</v>
      </c>
      <c r="BY82">
        <v>0.34</v>
      </c>
      <c r="BZ82">
        <v>0.08</v>
      </c>
      <c r="CA82">
        <v>0.1</v>
      </c>
      <c r="CC82">
        <v>0.08</v>
      </c>
      <c r="CE82">
        <v>0.26</v>
      </c>
      <c r="CF82">
        <v>0.12</v>
      </c>
      <c r="CG82">
        <v>0.08</v>
      </c>
      <c r="CH82">
        <v>0.38</v>
      </c>
      <c r="CI82">
        <v>0.28000000000000003</v>
      </c>
      <c r="CJ82">
        <v>0.1</v>
      </c>
      <c r="CK82">
        <v>0.2</v>
      </c>
    </row>
    <row r="83" spans="1:89" x14ac:dyDescent="0.25">
      <c r="A83" s="20"/>
      <c r="B83">
        <v>0.66</v>
      </c>
      <c r="C83">
        <v>0.24</v>
      </c>
      <c r="D83">
        <v>0.32</v>
      </c>
      <c r="F83">
        <v>0.5</v>
      </c>
      <c r="G83">
        <v>0.82</v>
      </c>
      <c r="J83">
        <v>0.22</v>
      </c>
      <c r="L83">
        <v>0.06</v>
      </c>
      <c r="M83">
        <v>0.38</v>
      </c>
      <c r="N83">
        <v>0.1</v>
      </c>
      <c r="Q83">
        <v>0.3</v>
      </c>
      <c r="W83">
        <v>0.08</v>
      </c>
      <c r="X83">
        <v>0.3</v>
      </c>
      <c r="AC83">
        <v>0.18</v>
      </c>
      <c r="AF83">
        <v>0.18</v>
      </c>
      <c r="AG83">
        <v>0.25</v>
      </c>
      <c r="AH83">
        <v>0.57999999999999996</v>
      </c>
      <c r="AI83">
        <v>0.28000000000000003</v>
      </c>
      <c r="AJ83">
        <v>0.78</v>
      </c>
      <c r="AL83">
        <v>0.7</v>
      </c>
      <c r="AO83">
        <v>0.42</v>
      </c>
      <c r="AQ83">
        <v>0.1</v>
      </c>
      <c r="AS83">
        <v>0.48</v>
      </c>
      <c r="AW83">
        <v>0.2</v>
      </c>
      <c r="AY83">
        <v>0.28000000000000003</v>
      </c>
      <c r="AZ83">
        <v>0.12</v>
      </c>
      <c r="BA83">
        <v>0.16</v>
      </c>
      <c r="BC83">
        <v>0.12</v>
      </c>
      <c r="BD83">
        <v>0.2</v>
      </c>
      <c r="BE83">
        <v>0.28000000000000003</v>
      </c>
      <c r="BF83">
        <v>0.2</v>
      </c>
      <c r="BG83">
        <v>0.12</v>
      </c>
      <c r="BM83">
        <v>0.22</v>
      </c>
      <c r="BO83">
        <v>0.44</v>
      </c>
      <c r="BP83">
        <v>0.42</v>
      </c>
      <c r="BS83">
        <v>0.18</v>
      </c>
      <c r="BT83">
        <v>0.18</v>
      </c>
      <c r="BU83">
        <v>0.12</v>
      </c>
      <c r="BV83">
        <v>0.46</v>
      </c>
      <c r="BW83">
        <v>0.26</v>
      </c>
      <c r="BZ83">
        <v>0.12</v>
      </c>
      <c r="CB83">
        <v>0.16</v>
      </c>
      <c r="CC83">
        <v>0.34</v>
      </c>
      <c r="CD83">
        <v>0.52</v>
      </c>
      <c r="CH83">
        <v>0.24</v>
      </c>
      <c r="CJ83">
        <v>0.2</v>
      </c>
      <c r="CK83">
        <v>0.39</v>
      </c>
    </row>
    <row r="84" spans="1:89" x14ac:dyDescent="0.25">
      <c r="A84" s="20"/>
      <c r="D84">
        <v>0.38</v>
      </c>
      <c r="E84">
        <v>0.06</v>
      </c>
      <c r="I84">
        <v>0.26</v>
      </c>
      <c r="K84">
        <v>0.22</v>
      </c>
      <c r="M84">
        <v>0.4</v>
      </c>
      <c r="P84">
        <v>0.38</v>
      </c>
      <c r="Q84">
        <v>0.2</v>
      </c>
      <c r="R84">
        <v>0.1</v>
      </c>
      <c r="S84">
        <v>0.18</v>
      </c>
      <c r="T84">
        <v>0.32</v>
      </c>
      <c r="Y84">
        <v>0.12</v>
      </c>
      <c r="Z84">
        <v>0.12</v>
      </c>
      <c r="AC84">
        <v>0.12</v>
      </c>
      <c r="AD84">
        <v>0.4</v>
      </c>
      <c r="AF84">
        <v>0.08</v>
      </c>
      <c r="AH84">
        <v>0.36</v>
      </c>
      <c r="AJ84">
        <v>0.7</v>
      </c>
      <c r="AK84">
        <v>0.18</v>
      </c>
      <c r="AM84">
        <v>0.86</v>
      </c>
      <c r="AN84">
        <v>0.1</v>
      </c>
      <c r="AP84">
        <v>0.14000000000000001</v>
      </c>
      <c r="AW84">
        <v>0.18</v>
      </c>
      <c r="BB84">
        <v>0.18</v>
      </c>
      <c r="BD84">
        <v>0.42</v>
      </c>
      <c r="BF84">
        <v>0.14000000000000001</v>
      </c>
      <c r="BI84">
        <v>0.72</v>
      </c>
      <c r="BN84">
        <v>0.2</v>
      </c>
      <c r="BO84">
        <v>0.12</v>
      </c>
      <c r="BT84">
        <v>0.25</v>
      </c>
      <c r="BU84">
        <v>0.14000000000000001</v>
      </c>
      <c r="BX84">
        <v>0.12</v>
      </c>
      <c r="BZ84">
        <v>0.22</v>
      </c>
      <c r="CC84">
        <v>0.28000000000000003</v>
      </c>
      <c r="CE84">
        <v>0.22</v>
      </c>
      <c r="CG84">
        <v>0.08</v>
      </c>
      <c r="CI84">
        <v>0.34</v>
      </c>
      <c r="CJ84">
        <v>0.06</v>
      </c>
      <c r="CK84">
        <v>0.38</v>
      </c>
    </row>
    <row r="85" spans="1:89" x14ac:dyDescent="0.25">
      <c r="A85" s="20"/>
      <c r="D85">
        <v>0.3</v>
      </c>
      <c r="E85">
        <v>0.11</v>
      </c>
    </row>
    <row r="86" spans="1:89" x14ac:dyDescent="0.25">
      <c r="A86" s="20" t="s">
        <v>133</v>
      </c>
      <c r="B86">
        <v>0.32</v>
      </c>
      <c r="C86">
        <v>0.18</v>
      </c>
      <c r="D86">
        <v>0.57999999999999996</v>
      </c>
      <c r="E86">
        <v>0.12</v>
      </c>
      <c r="F86">
        <v>0.2</v>
      </c>
      <c r="G86">
        <v>0.49</v>
      </c>
      <c r="H86">
        <v>0.22</v>
      </c>
      <c r="I86">
        <v>0.42</v>
      </c>
      <c r="J86">
        <v>0.44</v>
      </c>
      <c r="K86">
        <v>0.2</v>
      </c>
      <c r="L86">
        <v>0.54</v>
      </c>
      <c r="M86">
        <v>0.62</v>
      </c>
      <c r="N86">
        <v>0.12</v>
      </c>
      <c r="O86">
        <v>0.22</v>
      </c>
      <c r="P86">
        <v>0.68</v>
      </c>
      <c r="Q86">
        <v>0.6</v>
      </c>
      <c r="R86">
        <v>0.12</v>
      </c>
      <c r="S86">
        <v>0.24</v>
      </c>
      <c r="T86">
        <v>0.22</v>
      </c>
      <c r="U86">
        <v>0.12</v>
      </c>
      <c r="V86">
        <v>0.36</v>
      </c>
      <c r="W86">
        <v>0.1</v>
      </c>
      <c r="X86">
        <v>0.28000000000000003</v>
      </c>
      <c r="Y86">
        <v>0.14000000000000001</v>
      </c>
      <c r="Z86">
        <v>0.18</v>
      </c>
      <c r="AA86">
        <v>0.54</v>
      </c>
      <c r="AB86">
        <v>0.1</v>
      </c>
      <c r="AC86">
        <v>0.38</v>
      </c>
      <c r="AD86">
        <v>0.22</v>
      </c>
      <c r="AE86">
        <v>0.12</v>
      </c>
      <c r="AF86">
        <v>0.7</v>
      </c>
      <c r="AG86">
        <v>0.48</v>
      </c>
      <c r="AH86">
        <v>0.57999999999999996</v>
      </c>
      <c r="AI86">
        <v>0.6</v>
      </c>
      <c r="AJ86">
        <v>0.57999999999999996</v>
      </c>
      <c r="AK86">
        <v>0.18</v>
      </c>
      <c r="AL86">
        <v>0.3</v>
      </c>
      <c r="AM86">
        <v>0.6</v>
      </c>
      <c r="AN86">
        <v>0.54</v>
      </c>
      <c r="AO86">
        <v>0.2</v>
      </c>
      <c r="AP86">
        <v>0.62</v>
      </c>
      <c r="AQ86">
        <v>0.3</v>
      </c>
      <c r="AR86">
        <v>0.22</v>
      </c>
      <c r="AS86">
        <v>0.36</v>
      </c>
      <c r="AT86">
        <v>0.24</v>
      </c>
      <c r="AU86">
        <v>0.32</v>
      </c>
      <c r="AV86">
        <v>0.48</v>
      </c>
      <c r="AW86">
        <v>0.3</v>
      </c>
      <c r="AX86">
        <v>0.12</v>
      </c>
      <c r="AY86">
        <v>0.32</v>
      </c>
      <c r="AZ86">
        <v>0.18</v>
      </c>
      <c r="BA86">
        <v>0.53</v>
      </c>
      <c r="BB86">
        <v>0.3</v>
      </c>
      <c r="BC86">
        <v>0.08</v>
      </c>
      <c r="BD86">
        <v>0.24</v>
      </c>
      <c r="BE86">
        <v>0.2</v>
      </c>
      <c r="BF86">
        <v>0.48</v>
      </c>
      <c r="BG86">
        <v>0.16</v>
      </c>
      <c r="BH86">
        <v>0.22</v>
      </c>
      <c r="BI86">
        <v>0.12</v>
      </c>
      <c r="BJ86">
        <v>0.18</v>
      </c>
      <c r="BK86">
        <v>0.08</v>
      </c>
      <c r="BL86">
        <v>0.42</v>
      </c>
      <c r="BM86">
        <v>0.3</v>
      </c>
      <c r="BN86">
        <v>0.08</v>
      </c>
      <c r="BO86">
        <v>1.08</v>
      </c>
      <c r="BP86">
        <v>0.12</v>
      </c>
      <c r="BQ86">
        <v>0.12</v>
      </c>
      <c r="BR86">
        <v>0.1</v>
      </c>
      <c r="BS86">
        <v>0.18</v>
      </c>
      <c r="BT86">
        <v>0.46</v>
      </c>
      <c r="BU86">
        <v>0.14000000000000001</v>
      </c>
      <c r="BV86">
        <v>0.36</v>
      </c>
      <c r="BW86">
        <v>0.08</v>
      </c>
      <c r="BX86">
        <v>0.28000000000000003</v>
      </c>
      <c r="BY86">
        <v>0.28000000000000003</v>
      </c>
      <c r="BZ86">
        <v>1.08</v>
      </c>
      <c r="CA86">
        <v>0.48</v>
      </c>
      <c r="CB86">
        <v>0.3</v>
      </c>
      <c r="CC86">
        <v>0.6</v>
      </c>
      <c r="CD86">
        <v>0.16</v>
      </c>
      <c r="CE86">
        <v>0.3</v>
      </c>
      <c r="CF86">
        <v>0.1</v>
      </c>
      <c r="CG86">
        <v>0.24</v>
      </c>
      <c r="CH86">
        <v>0.59</v>
      </c>
      <c r="CI86">
        <v>0.24</v>
      </c>
      <c r="CJ86">
        <v>0.28000000000000003</v>
      </c>
      <c r="CK86">
        <v>0.46</v>
      </c>
    </row>
    <row r="87" spans="1:89" x14ac:dyDescent="0.25">
      <c r="A87" s="20" t="s">
        <v>134</v>
      </c>
      <c r="B87">
        <v>0.3</v>
      </c>
      <c r="C87">
        <v>0.6</v>
      </c>
      <c r="D87">
        <v>0.64</v>
      </c>
      <c r="E87">
        <v>0.06</v>
      </c>
      <c r="F87">
        <v>0.36</v>
      </c>
      <c r="G87">
        <v>0.6</v>
      </c>
      <c r="H87">
        <v>0.22</v>
      </c>
      <c r="I87">
        <v>0.24</v>
      </c>
      <c r="J87">
        <v>0.34</v>
      </c>
      <c r="K87">
        <v>0.26</v>
      </c>
      <c r="L87">
        <v>0.24</v>
      </c>
      <c r="M87">
        <v>0.28000000000000003</v>
      </c>
      <c r="N87">
        <v>0.32</v>
      </c>
      <c r="O87">
        <v>0.24</v>
      </c>
      <c r="P87">
        <v>0.18</v>
      </c>
      <c r="Q87">
        <v>0.96</v>
      </c>
      <c r="R87">
        <v>0.5</v>
      </c>
      <c r="S87">
        <v>0.24</v>
      </c>
      <c r="T87">
        <v>0.4</v>
      </c>
      <c r="U87">
        <v>0.1</v>
      </c>
      <c r="V87">
        <v>0.1</v>
      </c>
      <c r="W87">
        <v>0.06</v>
      </c>
      <c r="X87">
        <v>0.12</v>
      </c>
      <c r="Y87">
        <v>0.3</v>
      </c>
      <c r="Z87">
        <v>0.36</v>
      </c>
      <c r="AA87">
        <v>0.28000000000000003</v>
      </c>
      <c r="AB87">
        <v>0.12</v>
      </c>
      <c r="AC87">
        <v>0.42</v>
      </c>
      <c r="AD87">
        <v>1.3</v>
      </c>
      <c r="AE87">
        <v>0.18</v>
      </c>
      <c r="AF87">
        <v>0.36</v>
      </c>
      <c r="AG87">
        <v>0.48</v>
      </c>
      <c r="AH87">
        <v>0.42</v>
      </c>
      <c r="AI87">
        <v>0.64</v>
      </c>
      <c r="AJ87">
        <v>0.24</v>
      </c>
      <c r="AK87">
        <v>0.34</v>
      </c>
      <c r="AL87">
        <v>0.16</v>
      </c>
      <c r="AM87">
        <v>0.24</v>
      </c>
      <c r="AN87">
        <v>0.12</v>
      </c>
      <c r="AO87">
        <v>0.31</v>
      </c>
      <c r="AP87">
        <v>0.22</v>
      </c>
      <c r="AQ87">
        <v>0.06</v>
      </c>
      <c r="AR87">
        <v>0.46</v>
      </c>
      <c r="AS87">
        <v>0.2</v>
      </c>
      <c r="AT87">
        <v>0.08</v>
      </c>
      <c r="AU87">
        <v>0.12</v>
      </c>
      <c r="AV87">
        <v>0.12</v>
      </c>
      <c r="AW87">
        <v>0.32</v>
      </c>
      <c r="AX87">
        <v>0.2</v>
      </c>
      <c r="AY87">
        <v>0.22</v>
      </c>
      <c r="AZ87">
        <v>0.3</v>
      </c>
      <c r="BA87">
        <v>0.12</v>
      </c>
      <c r="BB87">
        <v>0.12</v>
      </c>
      <c r="BC87">
        <v>0.36</v>
      </c>
      <c r="BD87">
        <v>0.06</v>
      </c>
      <c r="BE87">
        <v>0.42</v>
      </c>
      <c r="BF87">
        <v>0.22</v>
      </c>
      <c r="BG87">
        <v>0.28000000000000003</v>
      </c>
      <c r="BH87">
        <v>0.24</v>
      </c>
      <c r="BI87">
        <v>0.52</v>
      </c>
      <c r="BJ87">
        <v>0.28000000000000003</v>
      </c>
      <c r="BK87">
        <v>0.24</v>
      </c>
      <c r="BL87">
        <v>0.54</v>
      </c>
      <c r="BM87">
        <v>0.24</v>
      </c>
      <c r="BN87">
        <v>0.54</v>
      </c>
      <c r="BO87">
        <v>0.71</v>
      </c>
      <c r="BP87">
        <v>0.18</v>
      </c>
      <c r="BQ87">
        <v>0.1</v>
      </c>
      <c r="BR87">
        <v>0.16</v>
      </c>
      <c r="BS87">
        <v>0.12</v>
      </c>
      <c r="BT87">
        <v>0.5</v>
      </c>
      <c r="BU87">
        <v>0.38</v>
      </c>
      <c r="BV87">
        <v>0.6</v>
      </c>
      <c r="BW87">
        <v>0.2</v>
      </c>
      <c r="BX87">
        <v>0.2</v>
      </c>
      <c r="BY87">
        <v>0.12</v>
      </c>
      <c r="BZ87">
        <v>0.18</v>
      </c>
      <c r="CA87">
        <v>0.6</v>
      </c>
      <c r="CB87">
        <v>0.2</v>
      </c>
      <c r="CC87">
        <v>0.46</v>
      </c>
      <c r="CD87">
        <v>0.1</v>
      </c>
      <c r="CE87">
        <v>0.2</v>
      </c>
      <c r="CF87">
        <v>0.12</v>
      </c>
      <c r="CG87">
        <v>0.22</v>
      </c>
      <c r="CH87">
        <v>0.12</v>
      </c>
      <c r="CI87">
        <v>0.16</v>
      </c>
      <c r="CJ87">
        <v>0.1</v>
      </c>
      <c r="CK87">
        <v>0.16</v>
      </c>
    </row>
    <row r="88" spans="1:89" x14ac:dyDescent="0.25">
      <c r="A88" s="20" t="s">
        <v>135</v>
      </c>
      <c r="B88">
        <v>0.21</v>
      </c>
      <c r="C88">
        <v>0.46</v>
      </c>
      <c r="D88">
        <v>0.57999999999999996</v>
      </c>
      <c r="E88">
        <v>0.08</v>
      </c>
      <c r="F88">
        <v>0.06</v>
      </c>
      <c r="G88">
        <v>0.39</v>
      </c>
      <c r="H88">
        <v>0.22</v>
      </c>
      <c r="I88">
        <v>0.36</v>
      </c>
      <c r="J88">
        <v>0.28000000000000003</v>
      </c>
      <c r="K88">
        <v>0.26</v>
      </c>
      <c r="L88">
        <v>0.3</v>
      </c>
      <c r="M88">
        <v>0.42</v>
      </c>
      <c r="N88">
        <v>0.08</v>
      </c>
      <c r="O88">
        <v>0.2</v>
      </c>
      <c r="P88">
        <v>0.2</v>
      </c>
      <c r="Q88">
        <v>0.39</v>
      </c>
      <c r="R88">
        <v>0.4</v>
      </c>
      <c r="S88">
        <v>0.3</v>
      </c>
      <c r="T88">
        <v>0.2</v>
      </c>
      <c r="U88">
        <v>0.26</v>
      </c>
      <c r="V88">
        <v>0.34</v>
      </c>
      <c r="W88">
        <v>0.26</v>
      </c>
      <c r="X88">
        <v>0.2</v>
      </c>
      <c r="Y88">
        <v>0.2</v>
      </c>
      <c r="Z88">
        <v>0.68</v>
      </c>
      <c r="AA88">
        <v>0.22</v>
      </c>
      <c r="AB88">
        <v>0.1</v>
      </c>
      <c r="AC88">
        <v>0.18</v>
      </c>
      <c r="AD88">
        <v>0.18</v>
      </c>
      <c r="AE88">
        <v>0.14000000000000001</v>
      </c>
      <c r="AF88">
        <v>0.4</v>
      </c>
      <c r="AG88">
        <v>0.35</v>
      </c>
      <c r="AH88">
        <v>0.8</v>
      </c>
      <c r="AI88">
        <v>0.34</v>
      </c>
      <c r="AJ88">
        <v>0.22</v>
      </c>
      <c r="AK88">
        <v>0.14000000000000001</v>
      </c>
      <c r="AL88">
        <v>0.3</v>
      </c>
      <c r="AM88">
        <v>0.74</v>
      </c>
      <c r="AN88">
        <v>0.32</v>
      </c>
      <c r="AO88">
        <v>0.5</v>
      </c>
      <c r="AP88">
        <v>0.2</v>
      </c>
      <c r="AQ88">
        <v>0.08</v>
      </c>
      <c r="AR88">
        <v>0.5</v>
      </c>
      <c r="AS88">
        <v>0.26</v>
      </c>
      <c r="AT88">
        <v>0.2</v>
      </c>
      <c r="AU88">
        <v>0.1</v>
      </c>
      <c r="AV88">
        <v>0.4</v>
      </c>
      <c r="AW88">
        <v>0.4</v>
      </c>
      <c r="AX88">
        <v>0.12</v>
      </c>
      <c r="AY88">
        <v>0.18</v>
      </c>
      <c r="AZ88">
        <v>0.37</v>
      </c>
      <c r="BA88">
        <v>0.18</v>
      </c>
      <c r="BB88">
        <v>0.2</v>
      </c>
      <c r="BC88">
        <v>0.14000000000000001</v>
      </c>
      <c r="BD88">
        <v>0.08</v>
      </c>
      <c r="BE88">
        <v>0.28000000000000003</v>
      </c>
      <c r="BF88">
        <v>0.2</v>
      </c>
      <c r="BG88">
        <v>0.26</v>
      </c>
      <c r="BH88">
        <v>0.2</v>
      </c>
      <c r="BI88">
        <v>0.34</v>
      </c>
      <c r="BJ88">
        <v>0.31</v>
      </c>
      <c r="BK88">
        <v>0.3</v>
      </c>
      <c r="BL88">
        <v>0.68</v>
      </c>
      <c r="BM88">
        <v>0.28000000000000003</v>
      </c>
      <c r="BN88">
        <v>0.2</v>
      </c>
      <c r="BO88">
        <v>0.32</v>
      </c>
      <c r="BP88">
        <v>0.2</v>
      </c>
      <c r="BQ88">
        <v>0.26</v>
      </c>
      <c r="BR88">
        <v>0.1</v>
      </c>
      <c r="BS88">
        <v>0.14000000000000001</v>
      </c>
      <c r="BT88">
        <v>0.34</v>
      </c>
      <c r="BU88">
        <v>0.3</v>
      </c>
      <c r="BV88">
        <v>0.2</v>
      </c>
      <c r="BW88">
        <v>0.44</v>
      </c>
      <c r="BX88">
        <v>0.55000000000000004</v>
      </c>
      <c r="BY88">
        <v>0.3</v>
      </c>
      <c r="BZ88">
        <v>0.8</v>
      </c>
      <c r="CA88">
        <v>0.18</v>
      </c>
      <c r="CB88">
        <v>0.4</v>
      </c>
      <c r="CC88">
        <v>0.6</v>
      </c>
      <c r="CD88">
        <v>0.1</v>
      </c>
      <c r="CE88">
        <v>0.2</v>
      </c>
      <c r="CF88">
        <v>0.38</v>
      </c>
      <c r="CG88">
        <v>0.1</v>
      </c>
      <c r="CH88">
        <v>0.22</v>
      </c>
      <c r="CI88">
        <v>0.22</v>
      </c>
      <c r="CJ88">
        <v>0.5</v>
      </c>
      <c r="CK88">
        <v>0.64</v>
      </c>
    </row>
    <row r="89" spans="1:89" x14ac:dyDescent="0.25">
      <c r="A89" s="20" t="s">
        <v>136</v>
      </c>
      <c r="B89">
        <v>0.25</v>
      </c>
      <c r="C89">
        <v>0.44</v>
      </c>
      <c r="D89">
        <v>0.5</v>
      </c>
      <c r="E89">
        <v>0.08</v>
      </c>
      <c r="F89">
        <v>0.06</v>
      </c>
      <c r="G89">
        <v>0.3</v>
      </c>
      <c r="H89">
        <v>0.18</v>
      </c>
      <c r="I89">
        <v>0.4</v>
      </c>
      <c r="J89">
        <v>0.18</v>
      </c>
      <c r="K89">
        <v>0.28000000000000003</v>
      </c>
      <c r="L89">
        <v>0.44</v>
      </c>
      <c r="M89">
        <v>0.6</v>
      </c>
      <c r="N89">
        <v>0.18</v>
      </c>
      <c r="O89">
        <v>0.12</v>
      </c>
      <c r="P89">
        <v>0.1</v>
      </c>
      <c r="Q89">
        <v>0.44</v>
      </c>
      <c r="R89">
        <v>0.3</v>
      </c>
      <c r="S89">
        <v>0.12</v>
      </c>
      <c r="T89">
        <v>0.4</v>
      </c>
      <c r="U89">
        <v>0.38</v>
      </c>
      <c r="V89">
        <v>0.2</v>
      </c>
      <c r="W89">
        <v>0.3</v>
      </c>
      <c r="X89">
        <v>0.5</v>
      </c>
      <c r="Y89">
        <v>0.2</v>
      </c>
      <c r="Z89">
        <v>0.32</v>
      </c>
      <c r="AA89">
        <v>0.24</v>
      </c>
      <c r="AB89">
        <v>0.14000000000000001</v>
      </c>
      <c r="AC89">
        <v>0.45</v>
      </c>
      <c r="AD89">
        <v>0.32</v>
      </c>
      <c r="AE89">
        <v>0.32</v>
      </c>
      <c r="AF89">
        <v>0.42</v>
      </c>
      <c r="AG89">
        <v>0.28000000000000003</v>
      </c>
      <c r="AH89">
        <v>0.46</v>
      </c>
      <c r="AI89">
        <v>0.36</v>
      </c>
      <c r="AJ89">
        <v>0.28000000000000003</v>
      </c>
      <c r="AK89">
        <v>0.54</v>
      </c>
      <c r="AL89">
        <v>0.44</v>
      </c>
      <c r="AM89">
        <v>0.3</v>
      </c>
      <c r="AN89">
        <v>0.2</v>
      </c>
      <c r="AO89">
        <v>0.57999999999999996</v>
      </c>
      <c r="AP89">
        <v>0.22</v>
      </c>
      <c r="AQ89">
        <v>0.06</v>
      </c>
      <c r="AR89">
        <v>0.2</v>
      </c>
      <c r="AS89">
        <v>0.22</v>
      </c>
      <c r="AT89">
        <v>0.46</v>
      </c>
      <c r="AU89">
        <v>0.2</v>
      </c>
      <c r="AV89">
        <v>0.3</v>
      </c>
      <c r="AW89">
        <v>0.4</v>
      </c>
      <c r="AX89">
        <v>0.18</v>
      </c>
      <c r="AY89">
        <v>0.3</v>
      </c>
      <c r="AZ89">
        <v>0.12</v>
      </c>
      <c r="BA89">
        <v>0.18</v>
      </c>
      <c r="BB89">
        <v>0.3</v>
      </c>
      <c r="BC89">
        <v>0.7</v>
      </c>
      <c r="BD89">
        <v>0.22</v>
      </c>
      <c r="BE89">
        <v>0.32</v>
      </c>
      <c r="BF89">
        <v>0.46</v>
      </c>
      <c r="BG89">
        <v>0.26</v>
      </c>
      <c r="BH89">
        <v>0.12</v>
      </c>
      <c r="BI89">
        <v>0.56000000000000005</v>
      </c>
      <c r="BJ89">
        <v>0.2</v>
      </c>
      <c r="BK89">
        <v>0.2</v>
      </c>
      <c r="BL89">
        <v>0.3</v>
      </c>
      <c r="BM89">
        <v>0.4</v>
      </c>
      <c r="BN89">
        <v>0.52</v>
      </c>
      <c r="BO89">
        <v>0.36</v>
      </c>
      <c r="BP89">
        <v>0.08</v>
      </c>
      <c r="BQ89">
        <v>0.12</v>
      </c>
      <c r="BR89">
        <v>0.26</v>
      </c>
      <c r="BS89">
        <v>0.13</v>
      </c>
      <c r="BT89">
        <v>0.56000000000000005</v>
      </c>
      <c r="BU89">
        <v>0.2</v>
      </c>
      <c r="BV89">
        <v>0.46</v>
      </c>
      <c r="BW89">
        <v>0.15</v>
      </c>
      <c r="BX89">
        <v>0.3</v>
      </c>
      <c r="BY89">
        <v>0.2</v>
      </c>
      <c r="BZ89">
        <v>1.1000000000000001</v>
      </c>
      <c r="CA89">
        <v>0.1</v>
      </c>
      <c r="CB89">
        <v>0.1</v>
      </c>
      <c r="CC89">
        <v>0.74</v>
      </c>
      <c r="CD89">
        <v>0.08</v>
      </c>
      <c r="CE89">
        <v>0.1</v>
      </c>
      <c r="CF89">
        <v>0.1</v>
      </c>
      <c r="CG89">
        <v>0.24</v>
      </c>
      <c r="CH89">
        <v>0.14000000000000001</v>
      </c>
      <c r="CI89">
        <v>0.28000000000000003</v>
      </c>
      <c r="CJ89">
        <v>0.16</v>
      </c>
      <c r="CK89">
        <v>0.42</v>
      </c>
    </row>
    <row r="90" spans="1:89" x14ac:dyDescent="0.25">
      <c r="A90" s="20" t="s">
        <v>137</v>
      </c>
      <c r="B90">
        <v>0.18</v>
      </c>
      <c r="C90">
        <v>0.32</v>
      </c>
      <c r="D90">
        <v>0.4</v>
      </c>
      <c r="E90">
        <v>0.12</v>
      </c>
      <c r="F90">
        <v>0.59</v>
      </c>
      <c r="G90">
        <v>0.42</v>
      </c>
      <c r="H90">
        <v>0.46</v>
      </c>
      <c r="I90">
        <v>0.5</v>
      </c>
      <c r="J90">
        <v>0.06</v>
      </c>
      <c r="K90">
        <v>0.52</v>
      </c>
      <c r="L90">
        <v>0.65</v>
      </c>
      <c r="M90">
        <v>0.36</v>
      </c>
      <c r="N90">
        <v>0.18</v>
      </c>
      <c r="O90">
        <v>0.28000000000000003</v>
      </c>
      <c r="P90">
        <v>0.14000000000000001</v>
      </c>
      <c r="Q90">
        <v>0.22</v>
      </c>
      <c r="R90">
        <v>0.3</v>
      </c>
      <c r="S90">
        <v>0.28000000000000003</v>
      </c>
      <c r="T90">
        <v>0.22</v>
      </c>
      <c r="U90">
        <v>0.32</v>
      </c>
      <c r="V90">
        <v>0.26</v>
      </c>
      <c r="W90">
        <v>0.06</v>
      </c>
      <c r="X90">
        <v>0.2</v>
      </c>
      <c r="Y90">
        <v>0.26</v>
      </c>
      <c r="Z90">
        <v>0.32</v>
      </c>
      <c r="AA90">
        <v>0.32</v>
      </c>
      <c r="AB90">
        <v>0.2</v>
      </c>
      <c r="AC90">
        <v>0.28000000000000003</v>
      </c>
      <c r="AD90">
        <v>1.2</v>
      </c>
      <c r="AE90">
        <v>0.24</v>
      </c>
      <c r="AF90">
        <v>0.1</v>
      </c>
      <c r="AG90">
        <v>0.32</v>
      </c>
      <c r="AH90">
        <v>0.16</v>
      </c>
      <c r="AI90">
        <v>0.28000000000000003</v>
      </c>
      <c r="AJ90">
        <v>0.1</v>
      </c>
      <c r="AK90">
        <v>0.26</v>
      </c>
      <c r="AL90">
        <v>0.26</v>
      </c>
      <c r="AM90">
        <v>0.57999999999999996</v>
      </c>
      <c r="AN90">
        <v>0.52</v>
      </c>
      <c r="AO90">
        <v>0.38</v>
      </c>
      <c r="AP90">
        <v>0.1</v>
      </c>
      <c r="AQ90">
        <v>0.22</v>
      </c>
      <c r="AR90">
        <v>0.2</v>
      </c>
      <c r="AS90">
        <v>0.36</v>
      </c>
      <c r="AT90">
        <v>0.48</v>
      </c>
      <c r="AU90">
        <v>0.16</v>
      </c>
      <c r="AV90">
        <v>0.08</v>
      </c>
      <c r="AW90">
        <v>0.88</v>
      </c>
      <c r="AX90">
        <v>0.24</v>
      </c>
      <c r="AY90">
        <v>0.28000000000000003</v>
      </c>
      <c r="AZ90">
        <v>0.4</v>
      </c>
      <c r="BA90">
        <v>0.16</v>
      </c>
      <c r="BB90">
        <v>0.42</v>
      </c>
      <c r="BC90">
        <v>0.14000000000000001</v>
      </c>
      <c r="BD90">
        <v>0.2</v>
      </c>
      <c r="BE90">
        <v>0.4</v>
      </c>
      <c r="BF90">
        <v>0.48</v>
      </c>
      <c r="BG90">
        <v>0.32</v>
      </c>
      <c r="BH90">
        <v>0.28000000000000003</v>
      </c>
      <c r="BI90">
        <v>0.2</v>
      </c>
      <c r="BJ90">
        <v>0.18</v>
      </c>
      <c r="BK90">
        <v>0.22</v>
      </c>
      <c r="BL90">
        <v>0.38</v>
      </c>
      <c r="BM90">
        <v>0.3</v>
      </c>
      <c r="BN90">
        <v>0.22</v>
      </c>
      <c r="BO90">
        <v>0.24</v>
      </c>
      <c r="BP90">
        <v>0.18</v>
      </c>
      <c r="BQ90">
        <v>0.4</v>
      </c>
      <c r="BR90">
        <v>0.08</v>
      </c>
      <c r="BS90">
        <v>0.18</v>
      </c>
      <c r="BT90">
        <v>0.48</v>
      </c>
      <c r="BU90">
        <v>0.22</v>
      </c>
      <c r="BV90">
        <v>0.2</v>
      </c>
      <c r="BW90">
        <v>0.06</v>
      </c>
      <c r="BX90">
        <v>0.22</v>
      </c>
      <c r="BY90">
        <v>0.14000000000000001</v>
      </c>
      <c r="BZ90">
        <v>0.81</v>
      </c>
      <c r="CA90">
        <v>0.52</v>
      </c>
      <c r="CB90">
        <v>0.14000000000000001</v>
      </c>
      <c r="CC90">
        <v>0.68</v>
      </c>
      <c r="CD90">
        <v>0.42</v>
      </c>
      <c r="CE90">
        <v>0.08</v>
      </c>
      <c r="CF90">
        <v>0.12</v>
      </c>
      <c r="CG90">
        <v>0.08</v>
      </c>
      <c r="CH90">
        <v>0.12</v>
      </c>
      <c r="CI90">
        <v>0.27</v>
      </c>
      <c r="CJ90">
        <v>0.4</v>
      </c>
      <c r="CK90">
        <v>0.36</v>
      </c>
    </row>
    <row r="91" spans="1:89" x14ac:dyDescent="0.25">
      <c r="A91" s="20" t="s">
        <v>138</v>
      </c>
      <c r="B91">
        <v>0.46</v>
      </c>
      <c r="C91">
        <v>0.28999999999999998</v>
      </c>
      <c r="D91">
        <v>0.46</v>
      </c>
      <c r="E91">
        <v>0.1</v>
      </c>
      <c r="F91">
        <v>0.3</v>
      </c>
      <c r="G91">
        <v>0.32</v>
      </c>
      <c r="H91">
        <v>0.18</v>
      </c>
      <c r="I91">
        <v>0.2</v>
      </c>
      <c r="J91">
        <v>0.14000000000000001</v>
      </c>
      <c r="K91">
        <v>0.3</v>
      </c>
      <c r="L91">
        <v>0.3</v>
      </c>
      <c r="M91">
        <v>0.34</v>
      </c>
      <c r="N91">
        <v>0.2</v>
      </c>
      <c r="O91">
        <v>0.2</v>
      </c>
      <c r="P91">
        <v>0.06</v>
      </c>
      <c r="Q91">
        <v>0.32</v>
      </c>
      <c r="R91">
        <v>0.24</v>
      </c>
      <c r="S91">
        <v>0.42</v>
      </c>
      <c r="T91">
        <v>0.08</v>
      </c>
      <c r="U91">
        <v>0.32</v>
      </c>
      <c r="V91">
        <v>0.36</v>
      </c>
      <c r="W91">
        <v>0.06</v>
      </c>
      <c r="X91">
        <v>0.12</v>
      </c>
      <c r="Y91">
        <v>0.08</v>
      </c>
      <c r="Z91">
        <v>0.16</v>
      </c>
      <c r="AA91">
        <v>0.34</v>
      </c>
      <c r="AB91">
        <v>0.16</v>
      </c>
      <c r="AC91">
        <v>0.2</v>
      </c>
      <c r="AD91">
        <v>0.54</v>
      </c>
      <c r="AE91">
        <v>0.1</v>
      </c>
      <c r="AF91">
        <v>0.3</v>
      </c>
      <c r="AG91">
        <v>0.52</v>
      </c>
      <c r="AH91">
        <v>0.12</v>
      </c>
      <c r="AI91">
        <v>0.2</v>
      </c>
      <c r="AJ91">
        <v>0.06</v>
      </c>
      <c r="AK91">
        <v>0.18</v>
      </c>
      <c r="AL91">
        <v>0.66</v>
      </c>
      <c r="AM91">
        <v>0.18</v>
      </c>
      <c r="AN91">
        <v>0.16</v>
      </c>
      <c r="AO91">
        <v>0.12</v>
      </c>
      <c r="AP91">
        <v>0.08</v>
      </c>
      <c r="AQ91">
        <v>0.06</v>
      </c>
      <c r="AR91">
        <v>0.18</v>
      </c>
      <c r="AS91">
        <v>0.4</v>
      </c>
      <c r="AT91">
        <v>0.52</v>
      </c>
      <c r="AU91">
        <v>0.06</v>
      </c>
      <c r="AV91">
        <v>0.24</v>
      </c>
      <c r="AW91">
        <v>0.42</v>
      </c>
      <c r="AX91">
        <v>0.14000000000000001</v>
      </c>
      <c r="AY91">
        <v>0.38</v>
      </c>
      <c r="AZ91">
        <v>0.12</v>
      </c>
      <c r="BA91">
        <v>0.16</v>
      </c>
      <c r="BB91">
        <v>0.28000000000000003</v>
      </c>
      <c r="BC91">
        <v>0.16</v>
      </c>
      <c r="BD91">
        <v>0.3</v>
      </c>
      <c r="BE91">
        <v>0.3</v>
      </c>
      <c r="BF91">
        <v>0.14000000000000001</v>
      </c>
      <c r="BG91">
        <v>0.12</v>
      </c>
      <c r="BH91">
        <v>0.2</v>
      </c>
      <c r="BI91">
        <v>0.2</v>
      </c>
      <c r="BJ91">
        <v>0.4</v>
      </c>
      <c r="BK91">
        <v>0.2</v>
      </c>
      <c r="BL91">
        <v>0.36</v>
      </c>
      <c r="BM91">
        <v>0.5</v>
      </c>
      <c r="BN91">
        <v>0.1</v>
      </c>
      <c r="BO91">
        <v>0.18</v>
      </c>
      <c r="BP91">
        <v>0.14000000000000001</v>
      </c>
      <c r="BQ91">
        <v>0.1</v>
      </c>
      <c r="BR91">
        <v>0.22</v>
      </c>
      <c r="BS91">
        <v>0.1</v>
      </c>
      <c r="BT91">
        <v>0.22</v>
      </c>
      <c r="BU91">
        <v>0.34</v>
      </c>
      <c r="BV91">
        <v>0.5</v>
      </c>
      <c r="BW91">
        <v>0.18</v>
      </c>
      <c r="BX91">
        <v>0.41</v>
      </c>
      <c r="BY91">
        <v>0.28000000000000003</v>
      </c>
      <c r="BZ91">
        <v>0.22</v>
      </c>
      <c r="CA91">
        <v>0.18</v>
      </c>
      <c r="CB91">
        <v>0.46</v>
      </c>
      <c r="CC91">
        <v>0.36</v>
      </c>
      <c r="CD91">
        <v>0.42</v>
      </c>
      <c r="CE91">
        <v>0.34</v>
      </c>
      <c r="CF91">
        <v>0.4</v>
      </c>
      <c r="CG91">
        <v>0.08</v>
      </c>
      <c r="CH91">
        <v>0.4</v>
      </c>
      <c r="CI91">
        <v>0.3</v>
      </c>
      <c r="CJ91">
        <v>0.08</v>
      </c>
      <c r="CK91">
        <v>0.22</v>
      </c>
    </row>
    <row r="92" spans="1:89" x14ac:dyDescent="0.25">
      <c r="A92" s="20" t="s">
        <v>139</v>
      </c>
      <c r="B92">
        <v>1</v>
      </c>
      <c r="C92">
        <v>0.46</v>
      </c>
      <c r="D92">
        <v>0.5</v>
      </c>
      <c r="E92">
        <v>0.16</v>
      </c>
      <c r="F92">
        <v>0.26</v>
      </c>
      <c r="G92">
        <v>0.24</v>
      </c>
      <c r="H92">
        <v>0.57999999999999996</v>
      </c>
      <c r="I92">
        <v>0.2</v>
      </c>
      <c r="J92">
        <v>0.18</v>
      </c>
      <c r="K92">
        <v>0.1</v>
      </c>
      <c r="L92">
        <v>1.5</v>
      </c>
      <c r="M92">
        <v>0.3</v>
      </c>
      <c r="N92">
        <v>0.28000000000000003</v>
      </c>
      <c r="O92">
        <v>0.18</v>
      </c>
      <c r="P92">
        <v>0.34</v>
      </c>
      <c r="Q92">
        <v>0.6</v>
      </c>
      <c r="R92">
        <v>0.2</v>
      </c>
      <c r="S92">
        <v>0.57999999999999996</v>
      </c>
      <c r="T92">
        <v>0.24</v>
      </c>
      <c r="U92">
        <v>0.12</v>
      </c>
      <c r="V92">
        <v>0.22</v>
      </c>
      <c r="W92">
        <v>0.1</v>
      </c>
      <c r="X92">
        <v>0.22</v>
      </c>
      <c r="Y92">
        <v>0.24</v>
      </c>
      <c r="Z92">
        <v>0.14000000000000001</v>
      </c>
      <c r="AA92">
        <v>0.32</v>
      </c>
      <c r="AB92">
        <v>0.1</v>
      </c>
      <c r="AC92">
        <v>0.32</v>
      </c>
      <c r="AD92">
        <v>0.2</v>
      </c>
      <c r="AE92">
        <v>0.24</v>
      </c>
      <c r="AF92">
        <v>0.28000000000000003</v>
      </c>
      <c r="AG92">
        <v>0.34</v>
      </c>
      <c r="AH92">
        <v>0.34</v>
      </c>
      <c r="AI92">
        <v>0.24</v>
      </c>
      <c r="AJ92">
        <v>0.34</v>
      </c>
      <c r="AK92">
        <v>0.32</v>
      </c>
      <c r="AL92">
        <v>0.34</v>
      </c>
      <c r="AM92">
        <v>0.26</v>
      </c>
      <c r="AN92">
        <v>0.3</v>
      </c>
      <c r="AO92">
        <v>0.65</v>
      </c>
      <c r="AP92">
        <v>0.2</v>
      </c>
      <c r="AQ92">
        <v>0.02</v>
      </c>
      <c r="AR92">
        <v>0.18</v>
      </c>
      <c r="AS92">
        <v>0.3</v>
      </c>
      <c r="AT92">
        <v>0.1</v>
      </c>
      <c r="AU92">
        <v>0.12</v>
      </c>
      <c r="AV92">
        <v>0.22</v>
      </c>
      <c r="AW92">
        <v>0.24</v>
      </c>
      <c r="AX92">
        <v>0.12</v>
      </c>
      <c r="AY92">
        <v>0.28000000000000003</v>
      </c>
      <c r="AZ92">
        <v>0.4</v>
      </c>
      <c r="BA92">
        <v>0.1</v>
      </c>
      <c r="BB92">
        <v>0.3</v>
      </c>
      <c r="BC92">
        <v>0.84</v>
      </c>
      <c r="BD92">
        <v>0.08</v>
      </c>
      <c r="BE92">
        <v>0.36</v>
      </c>
      <c r="BF92">
        <v>0.44</v>
      </c>
      <c r="BG92">
        <v>0.26</v>
      </c>
      <c r="BH92">
        <v>0.18</v>
      </c>
      <c r="BI92">
        <v>0.1</v>
      </c>
      <c r="BJ92">
        <v>0.2</v>
      </c>
      <c r="BK92">
        <v>0.24</v>
      </c>
      <c r="BL92">
        <v>0.36</v>
      </c>
      <c r="BM92">
        <v>0.6</v>
      </c>
      <c r="BN92">
        <v>0.5</v>
      </c>
      <c r="BO92">
        <v>0.12</v>
      </c>
      <c r="BP92">
        <v>0.12</v>
      </c>
      <c r="BQ92">
        <v>0.52</v>
      </c>
      <c r="BR92">
        <v>0.06</v>
      </c>
      <c r="BS92">
        <v>0.14000000000000001</v>
      </c>
      <c r="BT92">
        <v>0.36</v>
      </c>
      <c r="BU92">
        <v>0.2</v>
      </c>
      <c r="BV92">
        <v>0.48</v>
      </c>
      <c r="BW92">
        <v>0.16</v>
      </c>
      <c r="BX92">
        <v>0.24</v>
      </c>
      <c r="BY92">
        <v>0.24</v>
      </c>
      <c r="BZ92">
        <v>0.72</v>
      </c>
      <c r="CA92">
        <v>0.3</v>
      </c>
      <c r="CB92">
        <v>0.5</v>
      </c>
      <c r="CC92">
        <v>0.57999999999999996</v>
      </c>
      <c r="CD92">
        <v>0.38</v>
      </c>
      <c r="CE92">
        <v>0.18</v>
      </c>
      <c r="CF92">
        <v>0.12</v>
      </c>
      <c r="CG92">
        <v>0.15</v>
      </c>
      <c r="CH92">
        <v>0.12</v>
      </c>
      <c r="CI92">
        <v>0.26</v>
      </c>
      <c r="CJ92">
        <v>0.14000000000000001</v>
      </c>
      <c r="CK92">
        <v>0.28000000000000003</v>
      </c>
    </row>
    <row r="93" spans="1:89" x14ac:dyDescent="0.25">
      <c r="A93" s="20" t="s">
        <v>140</v>
      </c>
      <c r="B93">
        <v>0.12</v>
      </c>
      <c r="C93">
        <v>0.24</v>
      </c>
      <c r="D93">
        <v>0.48</v>
      </c>
      <c r="E93">
        <v>0.08</v>
      </c>
      <c r="F93">
        <v>0.19</v>
      </c>
      <c r="G93">
        <v>0.28000000000000003</v>
      </c>
      <c r="H93">
        <v>0.28000000000000003</v>
      </c>
      <c r="I93">
        <v>0.2</v>
      </c>
      <c r="J93">
        <v>0.44</v>
      </c>
      <c r="K93">
        <v>0.2</v>
      </c>
      <c r="L93">
        <v>0.46</v>
      </c>
      <c r="M93">
        <v>0.28000000000000003</v>
      </c>
      <c r="N93">
        <v>0.14000000000000001</v>
      </c>
      <c r="O93">
        <v>0.28000000000000003</v>
      </c>
      <c r="P93">
        <v>0.16</v>
      </c>
      <c r="Q93">
        <v>0.5</v>
      </c>
      <c r="R93">
        <v>0.62</v>
      </c>
      <c r="S93">
        <v>0.54</v>
      </c>
      <c r="T93">
        <v>0.16</v>
      </c>
      <c r="U93">
        <v>0.1</v>
      </c>
      <c r="V93">
        <v>0.14000000000000001</v>
      </c>
      <c r="W93">
        <v>0.08</v>
      </c>
      <c r="X93">
        <v>0.21</v>
      </c>
      <c r="Y93">
        <v>0.18</v>
      </c>
      <c r="Z93">
        <v>0.54</v>
      </c>
      <c r="AA93">
        <v>0.56000000000000005</v>
      </c>
      <c r="AB93">
        <v>0.18</v>
      </c>
      <c r="AC93">
        <v>0.38</v>
      </c>
      <c r="AD93">
        <v>0.48</v>
      </c>
      <c r="AE93">
        <v>0.16</v>
      </c>
      <c r="AF93">
        <v>0.48</v>
      </c>
      <c r="AG93">
        <v>0.22</v>
      </c>
      <c r="AH93">
        <v>0.2</v>
      </c>
      <c r="AI93">
        <v>0.1</v>
      </c>
      <c r="AJ93">
        <v>0.06</v>
      </c>
      <c r="AK93">
        <v>0.14000000000000001</v>
      </c>
      <c r="AL93">
        <v>0.14000000000000001</v>
      </c>
      <c r="AM93">
        <v>0.36</v>
      </c>
      <c r="AN93">
        <v>0.16</v>
      </c>
      <c r="AO93">
        <v>0.32</v>
      </c>
      <c r="AP93">
        <v>0.16</v>
      </c>
      <c r="AQ93">
        <v>0.06</v>
      </c>
      <c r="AR93">
        <v>0.1</v>
      </c>
      <c r="AS93">
        <v>0.48</v>
      </c>
      <c r="AT93">
        <v>0.62</v>
      </c>
      <c r="AU93">
        <v>0.14000000000000001</v>
      </c>
      <c r="AV93">
        <v>0.14000000000000001</v>
      </c>
      <c r="AW93">
        <v>0.57999999999999996</v>
      </c>
      <c r="AX93">
        <v>0.3</v>
      </c>
      <c r="AY93">
        <v>0.26</v>
      </c>
      <c r="AZ93">
        <v>0.22</v>
      </c>
      <c r="BA93">
        <v>0.24</v>
      </c>
      <c r="BB93">
        <v>0.22</v>
      </c>
      <c r="BC93">
        <v>0.12</v>
      </c>
      <c r="BD93">
        <v>0.1</v>
      </c>
      <c r="BE93">
        <v>0.24</v>
      </c>
      <c r="BF93">
        <v>0.28000000000000003</v>
      </c>
      <c r="BG93">
        <v>0.52</v>
      </c>
      <c r="BH93">
        <v>0.28000000000000003</v>
      </c>
      <c r="BI93">
        <v>0.26</v>
      </c>
      <c r="BJ93">
        <v>0.22</v>
      </c>
      <c r="BK93">
        <v>0.12</v>
      </c>
      <c r="BL93">
        <v>0.64</v>
      </c>
      <c r="BM93">
        <v>0.3</v>
      </c>
      <c r="BN93">
        <v>0.14000000000000001</v>
      </c>
      <c r="BO93">
        <v>0.24</v>
      </c>
      <c r="BP93">
        <v>0.34</v>
      </c>
      <c r="BQ93">
        <v>0.14000000000000001</v>
      </c>
      <c r="BR93">
        <v>0.16</v>
      </c>
      <c r="BS93">
        <v>0.1</v>
      </c>
      <c r="BT93">
        <v>0.46</v>
      </c>
      <c r="BU93">
        <v>0.4</v>
      </c>
      <c r="BV93">
        <v>0.52</v>
      </c>
      <c r="BW93">
        <v>0.12</v>
      </c>
      <c r="BX93">
        <v>0.2</v>
      </c>
      <c r="BY93">
        <v>0.52</v>
      </c>
      <c r="BZ93">
        <v>0.48</v>
      </c>
      <c r="CA93">
        <v>0.4</v>
      </c>
      <c r="CB93">
        <v>0.1</v>
      </c>
      <c r="CC93">
        <v>0.52</v>
      </c>
      <c r="CD93">
        <v>0.3</v>
      </c>
      <c r="CE93">
        <v>0.2</v>
      </c>
      <c r="CF93">
        <v>0.12</v>
      </c>
      <c r="CG93">
        <v>0.14000000000000001</v>
      </c>
      <c r="CH93">
        <v>0.72</v>
      </c>
      <c r="CI93">
        <v>0.1</v>
      </c>
      <c r="CJ93">
        <v>0.26</v>
      </c>
      <c r="CK93">
        <v>0.3</v>
      </c>
    </row>
    <row r="94" spans="1:89" x14ac:dyDescent="0.25">
      <c r="A94" s="20" t="s">
        <v>141</v>
      </c>
      <c r="B94">
        <v>0.36</v>
      </c>
      <c r="C94">
        <v>0.32</v>
      </c>
      <c r="D94">
        <v>0.61</v>
      </c>
      <c r="E94">
        <v>0.08</v>
      </c>
      <c r="F94">
        <v>0.11</v>
      </c>
      <c r="G94">
        <v>0.2</v>
      </c>
      <c r="H94">
        <v>0.16</v>
      </c>
      <c r="I94">
        <v>0.1</v>
      </c>
      <c r="J94">
        <v>0.32</v>
      </c>
      <c r="K94">
        <v>0.46</v>
      </c>
      <c r="L94">
        <v>0.4</v>
      </c>
      <c r="M94">
        <v>0.6</v>
      </c>
      <c r="N94">
        <v>0.18</v>
      </c>
      <c r="O94">
        <v>0.38</v>
      </c>
      <c r="P94">
        <v>0.5</v>
      </c>
      <c r="Q94">
        <v>0.42</v>
      </c>
      <c r="R94">
        <v>0.35</v>
      </c>
      <c r="S94">
        <v>0.4</v>
      </c>
      <c r="T94">
        <v>0.76</v>
      </c>
      <c r="U94">
        <v>0.32</v>
      </c>
      <c r="V94">
        <v>0.14000000000000001</v>
      </c>
      <c r="W94">
        <v>0.06</v>
      </c>
      <c r="X94">
        <v>0.28000000000000003</v>
      </c>
      <c r="Y94">
        <v>0.12</v>
      </c>
      <c r="Z94">
        <v>0.16</v>
      </c>
      <c r="AA94">
        <v>0.16</v>
      </c>
      <c r="AB94">
        <v>0.3</v>
      </c>
      <c r="AC94">
        <v>0.38</v>
      </c>
      <c r="AD94">
        <v>0.78</v>
      </c>
      <c r="AE94">
        <v>0.2</v>
      </c>
      <c r="AF94">
        <v>0.18</v>
      </c>
      <c r="AG94">
        <v>0.54</v>
      </c>
      <c r="AH94">
        <v>0.76</v>
      </c>
      <c r="AI94">
        <v>0.38</v>
      </c>
      <c r="AJ94">
        <v>0.38</v>
      </c>
      <c r="AK94">
        <v>0.24</v>
      </c>
      <c r="AL94">
        <v>0.56000000000000005</v>
      </c>
      <c r="AM94">
        <v>0.08</v>
      </c>
      <c r="AN94">
        <v>0.16</v>
      </c>
      <c r="AO94">
        <v>0.54</v>
      </c>
      <c r="AP94">
        <v>0.32</v>
      </c>
      <c r="AQ94">
        <v>0.08</v>
      </c>
      <c r="AR94">
        <v>0.76</v>
      </c>
      <c r="AS94">
        <v>0.3</v>
      </c>
      <c r="AT94">
        <v>0.77</v>
      </c>
      <c r="AU94">
        <v>0.14000000000000001</v>
      </c>
      <c r="AV94">
        <v>0.12</v>
      </c>
      <c r="AW94">
        <v>0.48</v>
      </c>
      <c r="AX94">
        <v>0.12</v>
      </c>
      <c r="AY94">
        <v>0.2</v>
      </c>
      <c r="AZ94">
        <v>0.24</v>
      </c>
      <c r="BA94">
        <v>0.2</v>
      </c>
      <c r="BB94">
        <v>0.12</v>
      </c>
      <c r="BC94">
        <v>0.32</v>
      </c>
      <c r="BD94">
        <v>0.12</v>
      </c>
      <c r="BE94">
        <v>0.2</v>
      </c>
      <c r="BF94">
        <v>0.22</v>
      </c>
      <c r="BG94">
        <v>0.5</v>
      </c>
      <c r="BH94">
        <v>0.38</v>
      </c>
      <c r="BI94">
        <v>0.46</v>
      </c>
      <c r="BJ94">
        <v>0.28000000000000003</v>
      </c>
      <c r="BK94">
        <v>0.24</v>
      </c>
      <c r="BL94">
        <v>0.66</v>
      </c>
      <c r="BM94">
        <v>0.2</v>
      </c>
      <c r="BN94">
        <v>0.2</v>
      </c>
      <c r="BO94">
        <v>0.26</v>
      </c>
      <c r="BP94">
        <v>0.3</v>
      </c>
      <c r="BQ94">
        <v>0.1</v>
      </c>
      <c r="BR94">
        <v>0.09</v>
      </c>
      <c r="BS94">
        <v>0.16</v>
      </c>
      <c r="BT94">
        <v>0.28000000000000003</v>
      </c>
      <c r="BU94">
        <v>0.1</v>
      </c>
      <c r="BV94">
        <v>0.52</v>
      </c>
      <c r="BW94">
        <v>0.28000000000000003</v>
      </c>
      <c r="BX94">
        <v>0.52</v>
      </c>
      <c r="BY94">
        <v>0.22</v>
      </c>
      <c r="BZ94">
        <v>0.18</v>
      </c>
      <c r="CA94">
        <v>1.4</v>
      </c>
      <c r="CB94">
        <v>0.06</v>
      </c>
      <c r="CC94">
        <v>1</v>
      </c>
      <c r="CD94">
        <v>0.92</v>
      </c>
      <c r="CE94">
        <v>0.12</v>
      </c>
      <c r="CF94">
        <v>0.12</v>
      </c>
      <c r="CG94">
        <v>0.18</v>
      </c>
      <c r="CH94">
        <v>0.08</v>
      </c>
      <c r="CI94">
        <v>0.2</v>
      </c>
      <c r="CJ94">
        <v>0.52</v>
      </c>
      <c r="CK94">
        <v>0.48</v>
      </c>
    </row>
    <row r="95" spans="1:89" x14ac:dyDescent="0.25">
      <c r="A95" s="20" t="s">
        <v>142</v>
      </c>
      <c r="B95">
        <v>0.86</v>
      </c>
      <c r="C95">
        <v>0.3</v>
      </c>
      <c r="D95">
        <v>0.6</v>
      </c>
      <c r="E95">
        <v>0.1</v>
      </c>
      <c r="F95">
        <v>0.09</v>
      </c>
      <c r="G95">
        <v>0.86</v>
      </c>
      <c r="H95">
        <v>0.16</v>
      </c>
      <c r="I95">
        <v>0.44</v>
      </c>
      <c r="J95">
        <v>0.16</v>
      </c>
      <c r="K95">
        <v>0.36</v>
      </c>
      <c r="L95">
        <v>0.22</v>
      </c>
      <c r="M95">
        <v>0.72</v>
      </c>
      <c r="N95">
        <v>0.12</v>
      </c>
      <c r="O95">
        <v>0.2</v>
      </c>
      <c r="P95">
        <v>0.22</v>
      </c>
      <c r="Q95">
        <v>0.26</v>
      </c>
      <c r="R95">
        <v>0.4</v>
      </c>
      <c r="S95">
        <v>0.42</v>
      </c>
      <c r="T95">
        <v>0.2</v>
      </c>
      <c r="U95">
        <v>0.18</v>
      </c>
      <c r="V95">
        <v>0.3</v>
      </c>
      <c r="W95">
        <v>0.06</v>
      </c>
      <c r="X95">
        <v>0.26</v>
      </c>
      <c r="Y95">
        <v>0.1</v>
      </c>
      <c r="Z95">
        <v>0.12</v>
      </c>
      <c r="AA95">
        <v>0.2</v>
      </c>
      <c r="AB95">
        <v>0.1</v>
      </c>
      <c r="AC95">
        <v>0.42</v>
      </c>
      <c r="AD95">
        <v>0.47</v>
      </c>
      <c r="AE95">
        <v>0.1</v>
      </c>
      <c r="AF95">
        <v>0.2</v>
      </c>
      <c r="AG95">
        <v>0.59</v>
      </c>
      <c r="AH95">
        <v>0.28000000000000003</v>
      </c>
      <c r="AI95">
        <v>0.34</v>
      </c>
      <c r="AJ95">
        <v>0.1</v>
      </c>
      <c r="AK95">
        <v>0.18</v>
      </c>
      <c r="AL95">
        <v>0.86</v>
      </c>
      <c r="AM95">
        <v>0.28000000000000003</v>
      </c>
      <c r="AN95">
        <v>0.1</v>
      </c>
      <c r="AO95">
        <v>0.52</v>
      </c>
      <c r="AP95">
        <v>0.6</v>
      </c>
      <c r="AQ95">
        <v>0.12</v>
      </c>
      <c r="AR95">
        <v>0.42</v>
      </c>
      <c r="AS95">
        <v>0.44</v>
      </c>
      <c r="AT95">
        <v>0.82</v>
      </c>
      <c r="AU95">
        <v>0.1</v>
      </c>
      <c r="AV95">
        <v>0.12</v>
      </c>
      <c r="AW95">
        <v>0.14000000000000001</v>
      </c>
      <c r="AX95">
        <v>0.14000000000000001</v>
      </c>
      <c r="AY95">
        <v>0.5</v>
      </c>
      <c r="AZ95">
        <v>0.18</v>
      </c>
      <c r="BA95">
        <v>0.36</v>
      </c>
      <c r="BB95">
        <v>0.2</v>
      </c>
      <c r="BC95">
        <v>0.14000000000000001</v>
      </c>
      <c r="BD95">
        <v>0.1</v>
      </c>
      <c r="BE95">
        <v>0.18</v>
      </c>
      <c r="BF95">
        <v>0.18</v>
      </c>
      <c r="BG95">
        <v>0.12</v>
      </c>
      <c r="BH95">
        <v>0.2</v>
      </c>
      <c r="BI95">
        <v>0.38</v>
      </c>
      <c r="BJ95">
        <v>0.32</v>
      </c>
      <c r="BK95">
        <v>0.32</v>
      </c>
      <c r="BL95">
        <v>0.42</v>
      </c>
      <c r="BM95">
        <v>0.16</v>
      </c>
      <c r="BN95">
        <v>0.38</v>
      </c>
      <c r="BO95">
        <v>0.3</v>
      </c>
      <c r="BP95">
        <v>0.1</v>
      </c>
      <c r="BQ95">
        <v>0.08</v>
      </c>
      <c r="BR95">
        <v>0.14000000000000001</v>
      </c>
      <c r="BS95">
        <v>0.14000000000000001</v>
      </c>
      <c r="BT95">
        <v>0.48</v>
      </c>
      <c r="BU95">
        <v>0.32</v>
      </c>
      <c r="BV95">
        <v>0.42</v>
      </c>
      <c r="BW95">
        <v>0.12</v>
      </c>
      <c r="BX95">
        <v>0.32</v>
      </c>
      <c r="BY95">
        <v>0.3</v>
      </c>
      <c r="BZ95">
        <v>0.21</v>
      </c>
      <c r="CA95">
        <v>0.3</v>
      </c>
      <c r="CB95">
        <v>0.3</v>
      </c>
      <c r="CC95">
        <v>0.69</v>
      </c>
      <c r="CD95">
        <v>0.86</v>
      </c>
      <c r="CE95">
        <v>0.36</v>
      </c>
      <c r="CF95">
        <v>0.16</v>
      </c>
      <c r="CG95">
        <v>0.22</v>
      </c>
      <c r="CH95">
        <v>0.57999999999999996</v>
      </c>
      <c r="CI95">
        <v>0.38</v>
      </c>
      <c r="CJ95">
        <v>0.4</v>
      </c>
      <c r="CK95">
        <v>0.1</v>
      </c>
    </row>
    <row r="96" spans="1:89" x14ac:dyDescent="0.25">
      <c r="A96" s="20" t="s">
        <v>143</v>
      </c>
      <c r="B96">
        <v>0.21</v>
      </c>
      <c r="C96">
        <v>0.54</v>
      </c>
      <c r="D96">
        <v>0.4</v>
      </c>
      <c r="E96">
        <v>0.1</v>
      </c>
      <c r="F96">
        <v>0.04</v>
      </c>
      <c r="G96">
        <v>0.44</v>
      </c>
      <c r="H96">
        <v>0.14000000000000001</v>
      </c>
      <c r="I96">
        <v>0.32</v>
      </c>
      <c r="J96">
        <v>0.32</v>
      </c>
      <c r="K96">
        <v>0.36</v>
      </c>
      <c r="L96">
        <v>0.32</v>
      </c>
      <c r="M96">
        <v>0.6</v>
      </c>
      <c r="N96">
        <v>0.06</v>
      </c>
      <c r="O96">
        <v>0.38</v>
      </c>
      <c r="P96">
        <v>0.22</v>
      </c>
      <c r="Q96">
        <v>0.46</v>
      </c>
      <c r="R96">
        <v>0.48</v>
      </c>
      <c r="S96">
        <v>0.36</v>
      </c>
      <c r="T96">
        <v>0.36</v>
      </c>
      <c r="U96">
        <v>0.32</v>
      </c>
      <c r="V96">
        <v>0.22</v>
      </c>
      <c r="W96">
        <v>0.1</v>
      </c>
      <c r="X96">
        <v>0.48</v>
      </c>
      <c r="Y96">
        <v>0.08</v>
      </c>
      <c r="Z96">
        <v>0.14000000000000001</v>
      </c>
      <c r="AA96">
        <v>0.3</v>
      </c>
      <c r="AB96">
        <v>0.68</v>
      </c>
      <c r="AC96">
        <v>0.39</v>
      </c>
      <c r="AD96">
        <v>0.1</v>
      </c>
      <c r="AE96">
        <v>0.3</v>
      </c>
      <c r="AF96">
        <v>0.2</v>
      </c>
      <c r="AG96">
        <v>0.42</v>
      </c>
      <c r="AH96">
        <v>0.18</v>
      </c>
      <c r="AI96">
        <v>0.32</v>
      </c>
      <c r="AJ96">
        <v>0.7</v>
      </c>
      <c r="AK96">
        <v>0.16</v>
      </c>
      <c r="AL96">
        <v>0.88</v>
      </c>
      <c r="AM96">
        <v>1</v>
      </c>
      <c r="AN96">
        <v>0.3</v>
      </c>
      <c r="AO96">
        <v>0.74</v>
      </c>
      <c r="AP96">
        <v>0.18</v>
      </c>
      <c r="AQ96">
        <v>0.06</v>
      </c>
      <c r="AR96">
        <v>0.62</v>
      </c>
      <c r="AS96">
        <v>0.52</v>
      </c>
      <c r="AT96">
        <v>0.52</v>
      </c>
      <c r="AU96">
        <v>0.14000000000000001</v>
      </c>
      <c r="AV96">
        <v>0.18</v>
      </c>
      <c r="AW96">
        <v>0.22</v>
      </c>
      <c r="AX96">
        <v>0.14000000000000001</v>
      </c>
      <c r="AY96">
        <v>0.36</v>
      </c>
      <c r="AZ96">
        <v>0.28000000000000003</v>
      </c>
      <c r="BA96">
        <v>0.26</v>
      </c>
      <c r="BB96">
        <v>0.22</v>
      </c>
      <c r="BC96">
        <v>0.1</v>
      </c>
      <c r="BD96">
        <v>0.1</v>
      </c>
      <c r="BE96">
        <v>0.24</v>
      </c>
      <c r="BF96">
        <v>0.12</v>
      </c>
      <c r="BG96">
        <v>0.32</v>
      </c>
      <c r="BH96">
        <v>0.38</v>
      </c>
      <c r="BI96">
        <v>0.12</v>
      </c>
      <c r="BJ96">
        <v>0.36</v>
      </c>
      <c r="BK96">
        <v>0.32</v>
      </c>
      <c r="BL96">
        <v>0.5</v>
      </c>
      <c r="BM96">
        <v>0.38</v>
      </c>
      <c r="BN96">
        <v>0.1</v>
      </c>
      <c r="BO96">
        <v>0.22</v>
      </c>
      <c r="BP96">
        <v>0.24</v>
      </c>
      <c r="BQ96">
        <v>0.1</v>
      </c>
      <c r="BR96">
        <v>0.08</v>
      </c>
      <c r="BS96">
        <v>0.2</v>
      </c>
      <c r="BT96">
        <v>0.54</v>
      </c>
      <c r="BU96">
        <v>0.23</v>
      </c>
      <c r="BV96">
        <v>0.3</v>
      </c>
      <c r="BW96">
        <v>0.14000000000000001</v>
      </c>
      <c r="BX96">
        <v>0.14000000000000001</v>
      </c>
      <c r="BY96">
        <v>0.52</v>
      </c>
      <c r="BZ96">
        <v>0.34</v>
      </c>
      <c r="CA96">
        <v>0.12</v>
      </c>
      <c r="CB96">
        <v>0.2</v>
      </c>
      <c r="CC96">
        <v>0.36</v>
      </c>
      <c r="CD96">
        <v>0.12</v>
      </c>
      <c r="CE96">
        <v>0.18</v>
      </c>
      <c r="CF96">
        <v>0.1</v>
      </c>
      <c r="CG96">
        <v>0.08</v>
      </c>
      <c r="CH96">
        <v>0.12</v>
      </c>
      <c r="CI96">
        <v>0.26</v>
      </c>
      <c r="CJ96">
        <v>0.38</v>
      </c>
      <c r="CK96">
        <v>0.57999999999999996</v>
      </c>
    </row>
    <row r="97" spans="1:89" x14ac:dyDescent="0.25">
      <c r="A97" s="20" t="s">
        <v>144</v>
      </c>
      <c r="B97">
        <v>0.28000000000000003</v>
      </c>
      <c r="C97">
        <v>0.32</v>
      </c>
      <c r="D97">
        <v>0.36</v>
      </c>
      <c r="E97">
        <v>0.15</v>
      </c>
      <c r="F97">
        <v>0.57999999999999996</v>
      </c>
      <c r="G97">
        <v>0.71</v>
      </c>
      <c r="H97">
        <v>0.28000000000000003</v>
      </c>
      <c r="I97">
        <v>0.2</v>
      </c>
      <c r="J97">
        <v>0.14000000000000001</v>
      </c>
      <c r="K97">
        <v>0.28999999999999998</v>
      </c>
      <c r="L97">
        <v>0.24</v>
      </c>
      <c r="M97">
        <v>0.56000000000000005</v>
      </c>
      <c r="N97">
        <v>0.16</v>
      </c>
      <c r="O97">
        <v>0.2</v>
      </c>
      <c r="P97">
        <v>0.74</v>
      </c>
      <c r="Q97">
        <v>0.57999999999999996</v>
      </c>
      <c r="R97">
        <v>0.3</v>
      </c>
      <c r="S97">
        <v>0.24</v>
      </c>
      <c r="T97">
        <v>0.1</v>
      </c>
      <c r="U97">
        <v>0.66</v>
      </c>
      <c r="V97">
        <v>0.18</v>
      </c>
      <c r="W97">
        <v>0.6</v>
      </c>
      <c r="X97">
        <v>0.38</v>
      </c>
      <c r="Y97">
        <v>0.08</v>
      </c>
      <c r="AA97">
        <v>0.26</v>
      </c>
      <c r="AB97">
        <v>0.16</v>
      </c>
      <c r="AC97">
        <v>0.32</v>
      </c>
      <c r="AD97">
        <v>0.14000000000000001</v>
      </c>
      <c r="AE97">
        <v>0.66</v>
      </c>
      <c r="AF97">
        <v>0.3</v>
      </c>
      <c r="AG97">
        <v>0.32</v>
      </c>
      <c r="AH97">
        <v>0.68</v>
      </c>
      <c r="AI97">
        <v>0.28000000000000003</v>
      </c>
      <c r="AJ97">
        <v>0.61</v>
      </c>
      <c r="AK97">
        <v>0.18</v>
      </c>
      <c r="AL97">
        <v>0.83</v>
      </c>
      <c r="AM97">
        <v>0.4</v>
      </c>
      <c r="AN97">
        <v>0.12</v>
      </c>
      <c r="AO97">
        <v>0.6</v>
      </c>
      <c r="AP97">
        <v>0.18</v>
      </c>
      <c r="AQ97">
        <v>0.06</v>
      </c>
      <c r="AR97">
        <v>0.5</v>
      </c>
      <c r="AS97">
        <v>0.5</v>
      </c>
      <c r="AT97">
        <v>0.66</v>
      </c>
      <c r="AU97">
        <v>0.63</v>
      </c>
      <c r="AV97">
        <v>0.22</v>
      </c>
      <c r="AW97">
        <v>0.36</v>
      </c>
      <c r="AX97">
        <v>0.1</v>
      </c>
      <c r="AY97">
        <v>0.74</v>
      </c>
      <c r="AZ97">
        <v>0.15</v>
      </c>
      <c r="BA97">
        <v>0.26</v>
      </c>
      <c r="BB97">
        <v>0.18</v>
      </c>
      <c r="BC97">
        <v>0.4</v>
      </c>
      <c r="BD97">
        <v>0.06</v>
      </c>
      <c r="BE97">
        <v>0.3</v>
      </c>
      <c r="BF97">
        <v>0.62</v>
      </c>
      <c r="BG97">
        <v>0.1</v>
      </c>
      <c r="BH97">
        <v>0.2</v>
      </c>
      <c r="BI97">
        <v>0.2</v>
      </c>
      <c r="BJ97">
        <v>0.46</v>
      </c>
      <c r="BK97">
        <v>0.22</v>
      </c>
      <c r="BL97">
        <v>0.48</v>
      </c>
      <c r="BM97">
        <v>0.32</v>
      </c>
      <c r="BN97">
        <v>0.4</v>
      </c>
      <c r="BO97">
        <v>0.2</v>
      </c>
      <c r="BP97">
        <v>0.38</v>
      </c>
      <c r="BQ97">
        <v>0.22</v>
      </c>
      <c r="BR97">
        <v>0.14000000000000001</v>
      </c>
      <c r="BS97">
        <v>0.77</v>
      </c>
      <c r="BT97">
        <v>0.5</v>
      </c>
      <c r="BU97">
        <v>0.3</v>
      </c>
      <c r="BV97">
        <v>0.38</v>
      </c>
      <c r="BW97">
        <v>0.1</v>
      </c>
      <c r="BX97">
        <v>0.1</v>
      </c>
      <c r="BY97">
        <v>0.4</v>
      </c>
      <c r="BZ97">
        <v>0.28999999999999998</v>
      </c>
      <c r="CA97">
        <v>0.22</v>
      </c>
      <c r="CB97">
        <v>0.1</v>
      </c>
      <c r="CC97">
        <v>0.72</v>
      </c>
      <c r="CD97">
        <v>0.57999999999999996</v>
      </c>
      <c r="CE97">
        <v>0.14000000000000001</v>
      </c>
      <c r="CF97">
        <v>0.12</v>
      </c>
      <c r="CG97">
        <v>0.08</v>
      </c>
      <c r="CH97">
        <v>0.4</v>
      </c>
      <c r="CI97">
        <v>0.3</v>
      </c>
      <c r="CJ97">
        <v>0.14000000000000001</v>
      </c>
      <c r="CK97">
        <v>1.08</v>
      </c>
    </row>
    <row r="98" spans="1:89" x14ac:dyDescent="0.25">
      <c r="A98" s="20" t="s">
        <v>145</v>
      </c>
      <c r="B98" t="s">
        <v>206</v>
      </c>
      <c r="C98" t="s">
        <v>227</v>
      </c>
      <c r="D98" t="s">
        <v>240</v>
      </c>
      <c r="E98" t="s">
        <v>238</v>
      </c>
      <c r="F98" t="s">
        <v>238</v>
      </c>
      <c r="G98" t="s">
        <v>240</v>
      </c>
      <c r="H98" t="s">
        <v>206</v>
      </c>
      <c r="I98" t="s">
        <v>238</v>
      </c>
      <c r="J98" t="s">
        <v>240</v>
      </c>
      <c r="K98" t="s">
        <v>240</v>
      </c>
      <c r="L98" t="s">
        <v>240</v>
      </c>
      <c r="M98" t="s">
        <v>240</v>
      </c>
      <c r="N98" t="s">
        <v>240</v>
      </c>
      <c r="O98" t="s">
        <v>240</v>
      </c>
      <c r="P98" t="s">
        <v>238</v>
      </c>
      <c r="Q98" t="s">
        <v>238</v>
      </c>
      <c r="R98" t="s">
        <v>206</v>
      </c>
      <c r="S98" t="s">
        <v>238</v>
      </c>
      <c r="T98" t="s">
        <v>240</v>
      </c>
      <c r="U98" t="s">
        <v>238</v>
      </c>
      <c r="V98" t="s">
        <v>240</v>
      </c>
      <c r="W98" t="s">
        <v>238</v>
      </c>
      <c r="X98" t="s">
        <v>238</v>
      </c>
      <c r="Y98" t="s">
        <v>206</v>
      </c>
      <c r="Z98" t="s">
        <v>238</v>
      </c>
      <c r="AA98" t="s">
        <v>238</v>
      </c>
      <c r="AB98" t="s">
        <v>238</v>
      </c>
      <c r="AC98" t="s">
        <v>240</v>
      </c>
      <c r="AD98" t="s">
        <v>238</v>
      </c>
      <c r="AE98" t="s">
        <v>238</v>
      </c>
      <c r="AF98" t="s">
        <v>240</v>
      </c>
      <c r="AG98" t="s">
        <v>238</v>
      </c>
      <c r="AH98" t="s">
        <v>238</v>
      </c>
      <c r="AI98" t="s">
        <v>240</v>
      </c>
      <c r="AJ98" t="s">
        <v>238</v>
      </c>
      <c r="AK98" t="s">
        <v>238</v>
      </c>
      <c r="AL98" t="s">
        <v>238</v>
      </c>
      <c r="AM98" t="s">
        <v>238</v>
      </c>
      <c r="AN98" t="s">
        <v>238</v>
      </c>
      <c r="AO98" t="s">
        <v>238</v>
      </c>
      <c r="AP98" t="s">
        <v>238</v>
      </c>
      <c r="AQ98" t="s">
        <v>240</v>
      </c>
      <c r="AR98" t="s">
        <v>240</v>
      </c>
      <c r="AS98" t="s">
        <v>239</v>
      </c>
      <c r="AT98" t="s">
        <v>238</v>
      </c>
      <c r="AU98" t="s">
        <v>238</v>
      </c>
      <c r="AV98" t="s">
        <v>238</v>
      </c>
      <c r="AW98" t="s">
        <v>239</v>
      </c>
      <c r="AX98" t="s">
        <v>238</v>
      </c>
      <c r="AY98" t="s">
        <v>240</v>
      </c>
      <c r="AZ98" t="s">
        <v>238</v>
      </c>
      <c r="BA98" t="s">
        <v>240</v>
      </c>
      <c r="BB98" t="s">
        <v>238</v>
      </c>
      <c r="BC98" t="s">
        <v>238</v>
      </c>
      <c r="BD98" t="s">
        <v>242</v>
      </c>
      <c r="BE98" t="s">
        <v>240</v>
      </c>
      <c r="BF98" t="s">
        <v>238</v>
      </c>
      <c r="BG98" t="s">
        <v>239</v>
      </c>
      <c r="BH98" t="s">
        <v>239</v>
      </c>
      <c r="BI98" t="s">
        <v>238</v>
      </c>
      <c r="BJ98" t="s">
        <v>239</v>
      </c>
      <c r="BK98" t="s">
        <v>238</v>
      </c>
      <c r="BL98" t="s">
        <v>238</v>
      </c>
      <c r="BM98" t="s">
        <v>238</v>
      </c>
      <c r="BN98" t="s">
        <v>238</v>
      </c>
      <c r="BO98" t="s">
        <v>238</v>
      </c>
      <c r="BP98" t="s">
        <v>238</v>
      </c>
      <c r="BQ98" t="s">
        <v>238</v>
      </c>
      <c r="BR98" t="s">
        <v>238</v>
      </c>
      <c r="BS98" t="s">
        <v>240</v>
      </c>
      <c r="BT98" t="s">
        <v>240</v>
      </c>
      <c r="BU98" t="s">
        <v>238</v>
      </c>
      <c r="BV98" t="s">
        <v>238</v>
      </c>
      <c r="BW98" t="s">
        <v>206</v>
      </c>
      <c r="BX98" t="s">
        <v>238</v>
      </c>
      <c r="BY98" t="s">
        <v>238</v>
      </c>
      <c r="BZ98" t="s">
        <v>206</v>
      </c>
      <c r="CA98" t="s">
        <v>238</v>
      </c>
      <c r="CB98" t="s">
        <v>240</v>
      </c>
      <c r="CD98" t="s">
        <v>238</v>
      </c>
      <c r="CE98" t="s">
        <v>238</v>
      </c>
      <c r="CF98" t="s">
        <v>239</v>
      </c>
      <c r="CG98" t="s">
        <v>238</v>
      </c>
      <c r="CH98" t="s">
        <v>206</v>
      </c>
      <c r="CI98" t="s">
        <v>239</v>
      </c>
      <c r="CJ98" t="s">
        <v>238</v>
      </c>
      <c r="CK98" t="s">
        <v>206</v>
      </c>
    </row>
    <row r="99" spans="1:89" x14ac:dyDescent="0.25">
      <c r="A99" s="20"/>
      <c r="B99" t="s">
        <v>206</v>
      </c>
      <c r="D99" t="s">
        <v>240</v>
      </c>
      <c r="F99" t="s">
        <v>239</v>
      </c>
      <c r="G99" t="s">
        <v>240</v>
      </c>
      <c r="H99" t="s">
        <v>206</v>
      </c>
      <c r="I99" t="s">
        <v>238</v>
      </c>
      <c r="J99" t="s">
        <v>240</v>
      </c>
      <c r="L99" t="s">
        <v>238</v>
      </c>
      <c r="M99" t="s">
        <v>240</v>
      </c>
      <c r="P99" t="s">
        <v>238</v>
      </c>
      <c r="Q99" t="s">
        <v>238</v>
      </c>
      <c r="S99" t="s">
        <v>239</v>
      </c>
      <c r="T99" t="s">
        <v>240</v>
      </c>
      <c r="U99" t="s">
        <v>238</v>
      </c>
      <c r="Y99" t="s">
        <v>238</v>
      </c>
      <c r="AA99" t="s">
        <v>238</v>
      </c>
      <c r="AC99" t="s">
        <v>238</v>
      </c>
      <c r="AD99" t="s">
        <v>238</v>
      </c>
      <c r="AF99" t="s">
        <v>240</v>
      </c>
      <c r="AG99" t="s">
        <v>238</v>
      </c>
      <c r="AH99" t="s">
        <v>238</v>
      </c>
      <c r="AI99" t="s">
        <v>240</v>
      </c>
      <c r="AJ99" t="s">
        <v>240</v>
      </c>
      <c r="AK99" t="s">
        <v>238</v>
      </c>
      <c r="AL99" t="s">
        <v>238</v>
      </c>
      <c r="AM99" t="s">
        <v>240</v>
      </c>
      <c r="AN99" t="s">
        <v>238</v>
      </c>
      <c r="AO99" t="s">
        <v>240</v>
      </c>
      <c r="AP99" t="s">
        <v>238</v>
      </c>
      <c r="AR99" t="s">
        <v>240</v>
      </c>
      <c r="AT99" t="s">
        <v>238</v>
      </c>
      <c r="AU99" t="s">
        <v>238</v>
      </c>
      <c r="AV99" t="s">
        <v>238</v>
      </c>
      <c r="AW99" t="s">
        <v>238</v>
      </c>
      <c r="AX99" t="s">
        <v>238</v>
      </c>
      <c r="AZ99" t="s">
        <v>238</v>
      </c>
      <c r="BF99" t="s">
        <v>238</v>
      </c>
      <c r="BG99" t="s">
        <v>238</v>
      </c>
      <c r="BI99" t="s">
        <v>238</v>
      </c>
      <c r="BK99" t="s">
        <v>238</v>
      </c>
      <c r="BM99" t="s">
        <v>238</v>
      </c>
      <c r="BN99" t="s">
        <v>238</v>
      </c>
      <c r="BO99" t="s">
        <v>238</v>
      </c>
      <c r="BQ99" t="s">
        <v>238</v>
      </c>
      <c r="BR99" t="s">
        <v>238</v>
      </c>
      <c r="BT99" t="s">
        <v>240</v>
      </c>
      <c r="BU99" t="s">
        <v>240</v>
      </c>
      <c r="BW99" t="s">
        <v>206</v>
      </c>
      <c r="BX99" t="s">
        <v>238</v>
      </c>
      <c r="BY99" t="s">
        <v>206</v>
      </c>
      <c r="BZ99" t="s">
        <v>238</v>
      </c>
      <c r="CA99" t="s">
        <v>238</v>
      </c>
      <c r="CC99" t="s">
        <v>206</v>
      </c>
      <c r="CE99" t="s">
        <v>238</v>
      </c>
      <c r="CF99" t="s">
        <v>240</v>
      </c>
      <c r="CH99" t="s">
        <v>238</v>
      </c>
      <c r="CJ99" t="s">
        <v>238</v>
      </c>
      <c r="CK99" t="s">
        <v>238</v>
      </c>
    </row>
    <row r="100" spans="1:89" x14ac:dyDescent="0.25">
      <c r="A100" s="20"/>
      <c r="B100" t="s">
        <v>206</v>
      </c>
      <c r="D100" t="s">
        <v>240</v>
      </c>
      <c r="F100" t="s">
        <v>239</v>
      </c>
      <c r="G100" t="s">
        <v>240</v>
      </c>
      <c r="H100" t="s">
        <v>206</v>
      </c>
      <c r="J100" t="s">
        <v>241</v>
      </c>
      <c r="L100" t="s">
        <v>238</v>
      </c>
      <c r="M100" t="s">
        <v>238</v>
      </c>
      <c r="Q100" t="s">
        <v>238</v>
      </c>
      <c r="AC100" t="s">
        <v>240</v>
      </c>
      <c r="AG100" t="s">
        <v>238</v>
      </c>
      <c r="AH100" t="s">
        <v>238</v>
      </c>
      <c r="AI100" t="s">
        <v>240</v>
      </c>
      <c r="AJ100" t="s">
        <v>238</v>
      </c>
      <c r="AN100" t="s">
        <v>238</v>
      </c>
      <c r="AO100" t="s">
        <v>240</v>
      </c>
      <c r="AP100" t="s">
        <v>238</v>
      </c>
      <c r="AW100" t="s">
        <v>241</v>
      </c>
      <c r="AZ100" t="s">
        <v>238</v>
      </c>
      <c r="BF100" t="s">
        <v>238</v>
      </c>
      <c r="BO100" t="s">
        <v>238</v>
      </c>
      <c r="BT100" t="s">
        <v>240</v>
      </c>
      <c r="BU100" t="s">
        <v>240</v>
      </c>
      <c r="BZ100" t="s">
        <v>238</v>
      </c>
      <c r="CC100" t="s">
        <v>238</v>
      </c>
      <c r="CH100" t="s">
        <v>240</v>
      </c>
      <c r="CJ100" t="s">
        <v>238</v>
      </c>
      <c r="CK100" t="s">
        <v>238</v>
      </c>
    </row>
    <row r="101" spans="1:89" x14ac:dyDescent="0.25">
      <c r="A101" s="20"/>
      <c r="D101" t="s">
        <v>240</v>
      </c>
    </row>
    <row r="102" spans="1:89" x14ac:dyDescent="0.25">
      <c r="A102" s="20"/>
      <c r="D102" t="s">
        <v>240</v>
      </c>
    </row>
    <row r="103" spans="1:89" x14ac:dyDescent="0.25">
      <c r="A103" s="20" t="s">
        <v>146</v>
      </c>
      <c r="B103" t="s">
        <v>238</v>
      </c>
      <c r="C103" t="s">
        <v>259</v>
      </c>
      <c r="D103" t="s">
        <v>241</v>
      </c>
      <c r="E103" t="s">
        <v>238</v>
      </c>
      <c r="F103" t="s">
        <v>238</v>
      </c>
      <c r="G103" t="s">
        <v>238</v>
      </c>
      <c r="H103" t="s">
        <v>239</v>
      </c>
      <c r="I103" t="s">
        <v>240</v>
      </c>
      <c r="J103" t="s">
        <v>238</v>
      </c>
      <c r="K103" t="s">
        <v>240</v>
      </c>
      <c r="L103" t="s">
        <v>240</v>
      </c>
      <c r="M103" t="s">
        <v>238</v>
      </c>
      <c r="N103" t="s">
        <v>239</v>
      </c>
      <c r="O103" t="s">
        <v>239</v>
      </c>
      <c r="P103" t="s">
        <v>238</v>
      </c>
      <c r="Q103" t="s">
        <v>240</v>
      </c>
      <c r="R103" t="s">
        <v>206</v>
      </c>
      <c r="S103" t="s">
        <v>238</v>
      </c>
      <c r="T103" t="s">
        <v>240</v>
      </c>
      <c r="U103" t="s">
        <v>239</v>
      </c>
      <c r="V103" t="s">
        <v>238</v>
      </c>
      <c r="W103" t="s">
        <v>243</v>
      </c>
      <c r="X103" t="s">
        <v>238</v>
      </c>
      <c r="Y103" t="s">
        <v>206</v>
      </c>
      <c r="Z103" t="s">
        <v>238</v>
      </c>
      <c r="AA103" t="s">
        <v>238</v>
      </c>
      <c r="AB103" t="s">
        <v>238</v>
      </c>
      <c r="AC103" t="s">
        <v>240</v>
      </c>
      <c r="AD103" t="s">
        <v>238</v>
      </c>
      <c r="AE103" t="s">
        <v>238</v>
      </c>
      <c r="AF103" t="s">
        <v>238</v>
      </c>
      <c r="AG103" t="s">
        <v>240</v>
      </c>
      <c r="AH103" t="s">
        <v>238</v>
      </c>
      <c r="AI103" t="s">
        <v>240</v>
      </c>
      <c r="AJ103" t="s">
        <v>238</v>
      </c>
      <c r="AK103" t="s">
        <v>238</v>
      </c>
      <c r="AL103" t="s">
        <v>240</v>
      </c>
      <c r="AM103" t="s">
        <v>238</v>
      </c>
      <c r="AN103" t="s">
        <v>240</v>
      </c>
      <c r="AO103" t="s">
        <v>238</v>
      </c>
      <c r="AP103" t="s">
        <v>238</v>
      </c>
      <c r="AQ103" t="s">
        <v>238</v>
      </c>
      <c r="AR103" t="s">
        <v>206</v>
      </c>
      <c r="AS103" t="s">
        <v>238</v>
      </c>
      <c r="AT103" t="s">
        <v>240</v>
      </c>
      <c r="AU103" t="s">
        <v>238</v>
      </c>
      <c r="AV103" t="s">
        <v>238</v>
      </c>
      <c r="AW103" t="s">
        <v>238</v>
      </c>
      <c r="AX103" t="s">
        <v>238</v>
      </c>
      <c r="AY103" t="s">
        <v>238</v>
      </c>
      <c r="AZ103" t="s">
        <v>238</v>
      </c>
      <c r="BA103" t="s">
        <v>238</v>
      </c>
      <c r="BB103" t="s">
        <v>238</v>
      </c>
      <c r="BC103" t="s">
        <v>238</v>
      </c>
      <c r="BD103" t="s">
        <v>238</v>
      </c>
      <c r="BE103" t="s">
        <v>240</v>
      </c>
      <c r="BF103" t="s">
        <v>240</v>
      </c>
      <c r="BG103" t="s">
        <v>238</v>
      </c>
      <c r="BH103" t="s">
        <v>239</v>
      </c>
      <c r="BI103" t="s">
        <v>238</v>
      </c>
      <c r="BJ103" t="s">
        <v>240</v>
      </c>
      <c r="BK103" t="s">
        <v>238</v>
      </c>
      <c r="BL103" t="s">
        <v>240</v>
      </c>
      <c r="BM103" t="s">
        <v>238</v>
      </c>
      <c r="BN103" t="s">
        <v>238</v>
      </c>
      <c r="BO103" t="s">
        <v>238</v>
      </c>
      <c r="BP103" t="s">
        <v>238</v>
      </c>
      <c r="BQ103" t="s">
        <v>238</v>
      </c>
      <c r="BR103" t="s">
        <v>238</v>
      </c>
      <c r="BS103" t="s">
        <v>239</v>
      </c>
      <c r="BT103" t="s">
        <v>240</v>
      </c>
      <c r="BU103" t="s">
        <v>238</v>
      </c>
      <c r="BV103" t="s">
        <v>238</v>
      </c>
      <c r="BW103" t="s">
        <v>238</v>
      </c>
      <c r="BX103" t="s">
        <v>238</v>
      </c>
      <c r="BY103" t="s">
        <v>239</v>
      </c>
      <c r="BZ103" t="s">
        <v>238</v>
      </c>
      <c r="CA103" t="s">
        <v>238</v>
      </c>
      <c r="CB103" t="s">
        <v>238</v>
      </c>
      <c r="CC103" t="s">
        <v>242</v>
      </c>
      <c r="CD103" t="s">
        <v>238</v>
      </c>
      <c r="CE103" t="s">
        <v>238</v>
      </c>
      <c r="CF103" t="s">
        <v>238</v>
      </c>
      <c r="CG103" t="s">
        <v>238</v>
      </c>
      <c r="CH103" t="s">
        <v>238</v>
      </c>
      <c r="CI103" t="s">
        <v>238</v>
      </c>
      <c r="CJ103" t="s">
        <v>247</v>
      </c>
      <c r="CK103" t="s">
        <v>238</v>
      </c>
    </row>
    <row r="104" spans="1:89" x14ac:dyDescent="0.25">
      <c r="A104" s="20"/>
      <c r="B104" t="s">
        <v>238</v>
      </c>
      <c r="D104" t="s">
        <v>240</v>
      </c>
      <c r="F104" t="s">
        <v>238</v>
      </c>
      <c r="G104" t="s">
        <v>240</v>
      </c>
      <c r="H104" t="s">
        <v>239</v>
      </c>
      <c r="I104" t="s">
        <v>240</v>
      </c>
      <c r="J104" t="s">
        <v>238</v>
      </c>
      <c r="L104" t="s">
        <v>238</v>
      </c>
      <c r="M104" t="s">
        <v>238</v>
      </c>
      <c r="P104" t="s">
        <v>241</v>
      </c>
      <c r="Q104" t="s">
        <v>239</v>
      </c>
      <c r="R104" t="s">
        <v>239</v>
      </c>
      <c r="S104" t="s">
        <v>240</v>
      </c>
      <c r="T104" t="s">
        <v>240</v>
      </c>
      <c r="U104" t="s">
        <v>239</v>
      </c>
      <c r="W104" t="s">
        <v>243</v>
      </c>
      <c r="Y104" t="s">
        <v>238</v>
      </c>
      <c r="AA104" t="s">
        <v>242</v>
      </c>
      <c r="AB104" t="s">
        <v>238</v>
      </c>
      <c r="AC104" t="s">
        <v>238</v>
      </c>
      <c r="AD104" t="s">
        <v>238</v>
      </c>
      <c r="AE104" t="s">
        <v>238</v>
      </c>
      <c r="AF104" t="s">
        <v>238</v>
      </c>
      <c r="AG104" t="s">
        <v>238</v>
      </c>
      <c r="AH104" t="s">
        <v>238</v>
      </c>
      <c r="AJ104" t="s">
        <v>238</v>
      </c>
      <c r="AL104" t="s">
        <v>238</v>
      </c>
      <c r="AM104" t="s">
        <v>238</v>
      </c>
      <c r="AN104" t="s">
        <v>238</v>
      </c>
      <c r="AO104" t="s">
        <v>238</v>
      </c>
      <c r="AP104" t="s">
        <v>238</v>
      </c>
      <c r="AR104" t="s">
        <v>206</v>
      </c>
      <c r="AS104" t="s">
        <v>238</v>
      </c>
      <c r="AT104" t="s">
        <v>240</v>
      </c>
      <c r="AU104" t="s">
        <v>238</v>
      </c>
      <c r="AV104" t="s">
        <v>238</v>
      </c>
      <c r="AW104" t="s">
        <v>238</v>
      </c>
      <c r="AX104" t="s">
        <v>238</v>
      </c>
      <c r="AZ104" t="s">
        <v>238</v>
      </c>
      <c r="BF104" t="s">
        <v>238</v>
      </c>
      <c r="BG104" t="s">
        <v>238</v>
      </c>
      <c r="BI104" t="s">
        <v>238</v>
      </c>
      <c r="BK104" t="s">
        <v>240</v>
      </c>
      <c r="BM104" t="s">
        <v>242</v>
      </c>
      <c r="BN104" t="s">
        <v>238</v>
      </c>
      <c r="BO104" t="s">
        <v>238</v>
      </c>
      <c r="BQ104" t="s">
        <v>239</v>
      </c>
      <c r="BR104" t="s">
        <v>238</v>
      </c>
      <c r="BT104" t="s">
        <v>240</v>
      </c>
      <c r="BU104" t="s">
        <v>238</v>
      </c>
      <c r="BX104" t="s">
        <v>238</v>
      </c>
      <c r="BY104" t="s">
        <v>239</v>
      </c>
      <c r="BZ104" t="s">
        <v>238</v>
      </c>
      <c r="CA104" t="s">
        <v>238</v>
      </c>
      <c r="CC104" t="s">
        <v>238</v>
      </c>
      <c r="CE104" t="s">
        <v>242</v>
      </c>
      <c r="CF104" t="s">
        <v>238</v>
      </c>
      <c r="CH104" t="s">
        <v>238</v>
      </c>
      <c r="CJ104" t="s">
        <v>247</v>
      </c>
      <c r="CK104" t="s">
        <v>238</v>
      </c>
    </row>
    <row r="105" spans="1:89" x14ac:dyDescent="0.25">
      <c r="A105" s="20"/>
      <c r="B105" t="s">
        <v>238</v>
      </c>
      <c r="D105" t="s">
        <v>240</v>
      </c>
      <c r="F105" t="s">
        <v>238</v>
      </c>
      <c r="G105" t="s">
        <v>240</v>
      </c>
      <c r="H105" t="s">
        <v>239</v>
      </c>
      <c r="J105" t="s">
        <v>238</v>
      </c>
      <c r="L105" t="s">
        <v>240</v>
      </c>
      <c r="M105" t="s">
        <v>238</v>
      </c>
      <c r="Q105" t="s">
        <v>240</v>
      </c>
      <c r="U105" t="s">
        <v>238</v>
      </c>
      <c r="AC105" t="s">
        <v>238</v>
      </c>
      <c r="AD105" t="s">
        <v>238</v>
      </c>
      <c r="AF105" t="s">
        <v>238</v>
      </c>
      <c r="AG105" t="s">
        <v>240</v>
      </c>
      <c r="AH105" t="s">
        <v>238</v>
      </c>
      <c r="AJ105" t="s">
        <v>240</v>
      </c>
      <c r="AL105" t="s">
        <v>238</v>
      </c>
      <c r="AN105" t="s">
        <v>242</v>
      </c>
      <c r="AO105" t="s">
        <v>238</v>
      </c>
      <c r="AP105" t="s">
        <v>238</v>
      </c>
      <c r="AS105" t="s">
        <v>238</v>
      </c>
      <c r="AW105" t="s">
        <v>238</v>
      </c>
      <c r="AZ105" t="s">
        <v>238</v>
      </c>
      <c r="BF105" t="s">
        <v>238</v>
      </c>
      <c r="BO105" t="s">
        <v>238</v>
      </c>
      <c r="BT105" t="s">
        <v>240</v>
      </c>
      <c r="BU105" t="s">
        <v>240</v>
      </c>
      <c r="BZ105" t="s">
        <v>238</v>
      </c>
      <c r="CC105" t="s">
        <v>239</v>
      </c>
      <c r="CH105" t="s">
        <v>238</v>
      </c>
      <c r="CJ105" t="s">
        <v>238</v>
      </c>
    </row>
    <row r="106" spans="1:89" x14ac:dyDescent="0.25">
      <c r="A106" s="20"/>
      <c r="D106" t="s">
        <v>240</v>
      </c>
    </row>
    <row r="107" spans="1:89" x14ac:dyDescent="0.25">
      <c r="A107" s="20"/>
      <c r="D107" t="s">
        <v>240</v>
      </c>
    </row>
    <row r="108" spans="1:89" x14ac:dyDescent="0.25">
      <c r="A108" s="20" t="s">
        <v>147</v>
      </c>
      <c r="B108" t="s">
        <v>239</v>
      </c>
      <c r="C108" t="s">
        <v>228</v>
      </c>
      <c r="D108" t="s">
        <v>241</v>
      </c>
      <c r="E108" t="s">
        <v>238</v>
      </c>
      <c r="F108" t="s">
        <v>238</v>
      </c>
      <c r="G108" t="s">
        <v>240</v>
      </c>
      <c r="H108" t="s">
        <v>238</v>
      </c>
      <c r="I108" t="s">
        <v>240</v>
      </c>
      <c r="J108" t="s">
        <v>238</v>
      </c>
      <c r="K108" t="s">
        <v>206</v>
      </c>
      <c r="L108" t="s">
        <v>238</v>
      </c>
      <c r="M108" t="s">
        <v>238</v>
      </c>
      <c r="N108" t="s">
        <v>238</v>
      </c>
      <c r="O108" t="s">
        <v>240</v>
      </c>
      <c r="P108" t="s">
        <v>241</v>
      </c>
      <c r="Q108" t="s">
        <v>238</v>
      </c>
      <c r="R108" t="s">
        <v>206</v>
      </c>
      <c r="S108" t="s">
        <v>239</v>
      </c>
      <c r="T108" t="s">
        <v>240</v>
      </c>
      <c r="U108" t="s">
        <v>238</v>
      </c>
      <c r="V108" t="s">
        <v>238</v>
      </c>
      <c r="W108" t="s">
        <v>238</v>
      </c>
      <c r="X108" t="s">
        <v>238</v>
      </c>
      <c r="Y108" t="s">
        <v>240</v>
      </c>
      <c r="Z108" t="s">
        <v>238</v>
      </c>
      <c r="AA108" t="s">
        <v>238</v>
      </c>
      <c r="AB108" t="s">
        <v>238</v>
      </c>
      <c r="AC108" t="s">
        <v>238</v>
      </c>
      <c r="AD108" t="s">
        <v>238</v>
      </c>
      <c r="AE108" t="s">
        <v>241</v>
      </c>
      <c r="AF108" t="s">
        <v>238</v>
      </c>
      <c r="AG108" t="s">
        <v>238</v>
      </c>
      <c r="AH108" t="s">
        <v>238</v>
      </c>
      <c r="AI108" t="s">
        <v>240</v>
      </c>
      <c r="AJ108" t="s">
        <v>238</v>
      </c>
      <c r="AK108" t="s">
        <v>238</v>
      </c>
      <c r="AL108" t="s">
        <v>242</v>
      </c>
      <c r="AM108" t="s">
        <v>238</v>
      </c>
      <c r="AN108" t="s">
        <v>206</v>
      </c>
      <c r="AO108" t="s">
        <v>238</v>
      </c>
      <c r="AP108" t="s">
        <v>238</v>
      </c>
      <c r="AQ108" t="s">
        <v>240</v>
      </c>
      <c r="AR108" t="s">
        <v>238</v>
      </c>
      <c r="AS108" t="s">
        <v>238</v>
      </c>
      <c r="AT108" t="s">
        <v>240</v>
      </c>
      <c r="AU108" t="s">
        <v>242</v>
      </c>
      <c r="AV108" t="s">
        <v>238</v>
      </c>
      <c r="AW108" t="s">
        <v>240</v>
      </c>
      <c r="AX108" t="s">
        <v>238</v>
      </c>
      <c r="AY108" t="s">
        <v>238</v>
      </c>
      <c r="AZ108" t="s">
        <v>238</v>
      </c>
      <c r="BA108" t="s">
        <v>238</v>
      </c>
      <c r="BB108" t="s">
        <v>238</v>
      </c>
      <c r="BC108" t="s">
        <v>238</v>
      </c>
      <c r="BD108" t="s">
        <v>238</v>
      </c>
      <c r="BE108" t="s">
        <v>240</v>
      </c>
      <c r="BF108" t="s">
        <v>238</v>
      </c>
      <c r="BG108" t="s">
        <v>238</v>
      </c>
      <c r="BH108" t="s">
        <v>238</v>
      </c>
      <c r="BI108" t="s">
        <v>238</v>
      </c>
      <c r="BJ108" t="s">
        <v>206</v>
      </c>
      <c r="BK108" t="s">
        <v>238</v>
      </c>
      <c r="BL108" t="s">
        <v>240</v>
      </c>
      <c r="BM108" t="s">
        <v>238</v>
      </c>
      <c r="BN108" t="s">
        <v>238</v>
      </c>
      <c r="BO108" t="s">
        <v>238</v>
      </c>
      <c r="BP108" t="s">
        <v>238</v>
      </c>
      <c r="BQ108" t="s">
        <v>238</v>
      </c>
      <c r="BR108" t="s">
        <v>238</v>
      </c>
      <c r="BS108" t="s">
        <v>239</v>
      </c>
      <c r="BT108" t="s">
        <v>240</v>
      </c>
      <c r="BU108" t="s">
        <v>206</v>
      </c>
      <c r="BV108" t="s">
        <v>238</v>
      </c>
      <c r="BW108" t="s">
        <v>238</v>
      </c>
      <c r="BX108" t="s">
        <v>238</v>
      </c>
      <c r="BY108" t="s">
        <v>206</v>
      </c>
      <c r="BZ108" t="s">
        <v>238</v>
      </c>
      <c r="CA108" t="s">
        <v>240</v>
      </c>
      <c r="CB108" t="s">
        <v>240</v>
      </c>
      <c r="CC108" t="s">
        <v>238</v>
      </c>
      <c r="CD108" t="s">
        <v>238</v>
      </c>
      <c r="CE108" t="s">
        <v>238</v>
      </c>
      <c r="CF108" t="s">
        <v>238</v>
      </c>
      <c r="CG108" t="s">
        <v>238</v>
      </c>
      <c r="CH108" t="s">
        <v>238</v>
      </c>
      <c r="CI108" t="s">
        <v>240</v>
      </c>
      <c r="CJ108" t="s">
        <v>238</v>
      </c>
      <c r="CK108" t="s">
        <v>238</v>
      </c>
    </row>
    <row r="109" spans="1:89" x14ac:dyDescent="0.25">
      <c r="A109" s="20"/>
      <c r="B109" t="s">
        <v>238</v>
      </c>
      <c r="D109" t="s">
        <v>240</v>
      </c>
      <c r="F109" t="s">
        <v>238</v>
      </c>
      <c r="G109" t="s">
        <v>240</v>
      </c>
      <c r="H109" t="s">
        <v>238</v>
      </c>
      <c r="I109" t="s">
        <v>240</v>
      </c>
      <c r="J109" t="s">
        <v>238</v>
      </c>
      <c r="K109" t="s">
        <v>206</v>
      </c>
      <c r="L109" t="s">
        <v>238</v>
      </c>
      <c r="M109" t="s">
        <v>238</v>
      </c>
      <c r="P109" t="s">
        <v>238</v>
      </c>
      <c r="Q109" t="s">
        <v>238</v>
      </c>
      <c r="R109" t="s">
        <v>239</v>
      </c>
      <c r="S109" t="s">
        <v>240</v>
      </c>
      <c r="T109" t="s">
        <v>240</v>
      </c>
      <c r="U109" t="s">
        <v>238</v>
      </c>
      <c r="W109" t="s">
        <v>238</v>
      </c>
      <c r="Y109" t="s">
        <v>240</v>
      </c>
      <c r="Z109" t="s">
        <v>238</v>
      </c>
      <c r="AA109" t="s">
        <v>238</v>
      </c>
      <c r="AC109" t="s">
        <v>238</v>
      </c>
      <c r="AD109" t="s">
        <v>238</v>
      </c>
      <c r="AE109" t="s">
        <v>238</v>
      </c>
      <c r="AF109" t="s">
        <v>240</v>
      </c>
      <c r="AG109" t="s">
        <v>206</v>
      </c>
      <c r="AH109" t="s">
        <v>238</v>
      </c>
      <c r="AI109" t="s">
        <v>240</v>
      </c>
      <c r="AK109" t="s">
        <v>238</v>
      </c>
      <c r="AL109" t="s">
        <v>238</v>
      </c>
      <c r="AM109" t="s">
        <v>238</v>
      </c>
      <c r="AN109" t="s">
        <v>206</v>
      </c>
      <c r="AO109" t="s">
        <v>238</v>
      </c>
      <c r="AP109" t="s">
        <v>238</v>
      </c>
      <c r="AS109" t="s">
        <v>238</v>
      </c>
      <c r="AU109" t="s">
        <v>238</v>
      </c>
      <c r="AV109" t="s">
        <v>240</v>
      </c>
      <c r="AW109" t="s">
        <v>238</v>
      </c>
      <c r="AX109" t="s">
        <v>238</v>
      </c>
      <c r="AZ109" t="s">
        <v>238</v>
      </c>
      <c r="BF109" t="s">
        <v>238</v>
      </c>
      <c r="BG109" t="s">
        <v>238</v>
      </c>
      <c r="BI109" t="s">
        <v>238</v>
      </c>
      <c r="BK109" t="s">
        <v>238</v>
      </c>
      <c r="BM109" t="s">
        <v>238</v>
      </c>
      <c r="BO109" t="s">
        <v>238</v>
      </c>
      <c r="BQ109" t="s">
        <v>238</v>
      </c>
      <c r="BR109" t="s">
        <v>238</v>
      </c>
      <c r="BT109" t="s">
        <v>240</v>
      </c>
      <c r="BU109" t="s">
        <v>206</v>
      </c>
      <c r="BX109" t="s">
        <v>238</v>
      </c>
      <c r="BY109" t="s">
        <v>206</v>
      </c>
      <c r="BZ109" t="s">
        <v>238</v>
      </c>
      <c r="CA109" t="s">
        <v>238</v>
      </c>
      <c r="CC109" t="s">
        <v>238</v>
      </c>
      <c r="CE109" t="s">
        <v>238</v>
      </c>
      <c r="CF109" t="s">
        <v>239</v>
      </c>
      <c r="CH109" t="s">
        <v>238</v>
      </c>
      <c r="CI109" t="s">
        <v>240</v>
      </c>
      <c r="CJ109" t="s">
        <v>238</v>
      </c>
      <c r="CK109" t="s">
        <v>238</v>
      </c>
    </row>
    <row r="110" spans="1:89" x14ac:dyDescent="0.25">
      <c r="A110" s="20"/>
      <c r="B110" t="s">
        <v>238</v>
      </c>
      <c r="D110" t="s">
        <v>240</v>
      </c>
      <c r="F110" t="s">
        <v>238</v>
      </c>
      <c r="G110" t="s">
        <v>238</v>
      </c>
      <c r="H110" t="s">
        <v>239</v>
      </c>
      <c r="J110" t="s">
        <v>238</v>
      </c>
      <c r="L110" t="s">
        <v>238</v>
      </c>
      <c r="M110" t="s">
        <v>238</v>
      </c>
      <c r="Q110" t="s">
        <v>238</v>
      </c>
      <c r="U110" t="s">
        <v>238</v>
      </c>
      <c r="AC110" t="s">
        <v>238</v>
      </c>
      <c r="AF110" t="s">
        <v>238</v>
      </c>
      <c r="AG110" t="s">
        <v>206</v>
      </c>
      <c r="AH110" t="s">
        <v>240</v>
      </c>
      <c r="AI110" t="s">
        <v>240</v>
      </c>
      <c r="AL110" t="s">
        <v>238</v>
      </c>
      <c r="AM110" t="s">
        <v>238</v>
      </c>
      <c r="AN110" t="s">
        <v>240</v>
      </c>
      <c r="AO110" t="s">
        <v>240</v>
      </c>
      <c r="AS110" t="s">
        <v>238</v>
      </c>
      <c r="AW110" t="s">
        <v>240</v>
      </c>
      <c r="AZ110" t="s">
        <v>238</v>
      </c>
      <c r="BF110" t="s">
        <v>238</v>
      </c>
      <c r="BO110" t="s">
        <v>238</v>
      </c>
      <c r="BT110" t="s">
        <v>240</v>
      </c>
      <c r="BZ110" t="s">
        <v>238</v>
      </c>
      <c r="CA110" t="s">
        <v>240</v>
      </c>
      <c r="CC110" t="s">
        <v>206</v>
      </c>
      <c r="CH110" t="s">
        <v>238</v>
      </c>
      <c r="CJ110" t="s">
        <v>238</v>
      </c>
      <c r="CK110" t="s">
        <v>238</v>
      </c>
    </row>
    <row r="111" spans="1:89" x14ac:dyDescent="0.25">
      <c r="A111" s="20"/>
      <c r="D111" t="s">
        <v>238</v>
      </c>
    </row>
    <row r="112" spans="1:89" x14ac:dyDescent="0.25">
      <c r="A112" s="20"/>
      <c r="D112" t="s">
        <v>240</v>
      </c>
    </row>
    <row r="113" spans="1:89" x14ac:dyDescent="0.25">
      <c r="A113" s="20" t="s">
        <v>148</v>
      </c>
      <c r="B113" t="s">
        <v>206</v>
      </c>
      <c r="C113" t="s">
        <v>229</v>
      </c>
      <c r="D113" t="s">
        <v>240</v>
      </c>
      <c r="E113" t="s">
        <v>238</v>
      </c>
      <c r="F113" t="s">
        <v>238</v>
      </c>
      <c r="G113" t="s">
        <v>238</v>
      </c>
      <c r="H113" t="s">
        <v>239</v>
      </c>
      <c r="I113" t="s">
        <v>238</v>
      </c>
      <c r="J113" t="s">
        <v>239</v>
      </c>
      <c r="K113" t="s">
        <v>238</v>
      </c>
      <c r="L113" t="s">
        <v>238</v>
      </c>
      <c r="M113" t="s">
        <v>238</v>
      </c>
      <c r="N113" t="s">
        <v>238</v>
      </c>
      <c r="O113" t="s">
        <v>238</v>
      </c>
      <c r="P113" t="s">
        <v>238</v>
      </c>
      <c r="Q113" t="s">
        <v>238</v>
      </c>
      <c r="R113" t="s">
        <v>206</v>
      </c>
      <c r="S113" t="s">
        <v>240</v>
      </c>
      <c r="T113" t="s">
        <v>240</v>
      </c>
      <c r="U113" t="s">
        <v>238</v>
      </c>
      <c r="V113" t="s">
        <v>240</v>
      </c>
      <c r="W113" t="s">
        <v>243</v>
      </c>
      <c r="X113" t="s">
        <v>238</v>
      </c>
      <c r="Y113" t="s">
        <v>238</v>
      </c>
      <c r="Z113" t="s">
        <v>238</v>
      </c>
      <c r="AA113" t="s">
        <v>238</v>
      </c>
      <c r="AB113" t="s">
        <v>206</v>
      </c>
      <c r="AC113" t="s">
        <v>238</v>
      </c>
      <c r="AD113" t="s">
        <v>238</v>
      </c>
      <c r="AE113" t="s">
        <v>238</v>
      </c>
      <c r="AF113" t="s">
        <v>241</v>
      </c>
      <c r="AG113" t="s">
        <v>238</v>
      </c>
      <c r="AH113" t="s">
        <v>238</v>
      </c>
      <c r="AI113" t="s">
        <v>240</v>
      </c>
      <c r="AJ113" t="s">
        <v>240</v>
      </c>
      <c r="AK113" t="s">
        <v>240</v>
      </c>
      <c r="AL113" t="s">
        <v>238</v>
      </c>
      <c r="AM113" t="s">
        <v>238</v>
      </c>
      <c r="AN113" t="s">
        <v>238</v>
      </c>
      <c r="AO113" t="s">
        <v>238</v>
      </c>
      <c r="AP113" t="s">
        <v>238</v>
      </c>
      <c r="AQ113" t="s">
        <v>238</v>
      </c>
      <c r="AR113" t="s">
        <v>239</v>
      </c>
      <c r="AS113" t="s">
        <v>238</v>
      </c>
      <c r="AT113" t="s">
        <v>246</v>
      </c>
      <c r="AU113" t="s">
        <v>238</v>
      </c>
      <c r="AV113" t="s">
        <v>238</v>
      </c>
      <c r="AW113" t="s">
        <v>206</v>
      </c>
      <c r="AX113" t="s">
        <v>238</v>
      </c>
      <c r="AY113" t="s">
        <v>238</v>
      </c>
      <c r="AZ113" t="s">
        <v>238</v>
      </c>
      <c r="BA113" t="s">
        <v>238</v>
      </c>
      <c r="BB113" t="s">
        <v>238</v>
      </c>
      <c r="BC113" t="s">
        <v>238</v>
      </c>
      <c r="BD113" t="s">
        <v>238</v>
      </c>
      <c r="BE113" t="s">
        <v>240</v>
      </c>
      <c r="BF113" t="s">
        <v>238</v>
      </c>
      <c r="BG113" t="s">
        <v>239</v>
      </c>
      <c r="BH113" t="s">
        <v>238</v>
      </c>
      <c r="BI113" t="s">
        <v>238</v>
      </c>
      <c r="BJ113" t="s">
        <v>238</v>
      </c>
      <c r="BK113" t="s">
        <v>238</v>
      </c>
      <c r="BL113" t="s">
        <v>238</v>
      </c>
      <c r="BM113" t="s">
        <v>247</v>
      </c>
      <c r="BN113" t="s">
        <v>240</v>
      </c>
      <c r="BO113" t="s">
        <v>238</v>
      </c>
      <c r="BP113" t="s">
        <v>238</v>
      </c>
      <c r="BQ113" t="s">
        <v>238</v>
      </c>
      <c r="BR113" t="s">
        <v>238</v>
      </c>
      <c r="BS113" t="s">
        <v>239</v>
      </c>
      <c r="BT113" t="s">
        <v>240</v>
      </c>
      <c r="BU113" t="s">
        <v>238</v>
      </c>
      <c r="BV113" t="s">
        <v>238</v>
      </c>
      <c r="BW113" t="s">
        <v>239</v>
      </c>
      <c r="BX113" t="s">
        <v>238</v>
      </c>
      <c r="BY113" t="s">
        <v>206</v>
      </c>
      <c r="BZ113" t="s">
        <v>238</v>
      </c>
      <c r="CA113" t="s">
        <v>239</v>
      </c>
      <c r="CB113" t="s">
        <v>240</v>
      </c>
      <c r="CC113" t="s">
        <v>238</v>
      </c>
      <c r="CD113" t="s">
        <v>238</v>
      </c>
      <c r="CE113" t="s">
        <v>238</v>
      </c>
      <c r="CF113" t="s">
        <v>238</v>
      </c>
      <c r="CG113" t="s">
        <v>238</v>
      </c>
      <c r="CH113" t="s">
        <v>238</v>
      </c>
      <c r="CI113" t="s">
        <v>240</v>
      </c>
      <c r="CJ113" t="s">
        <v>238</v>
      </c>
      <c r="CK113" t="s">
        <v>240</v>
      </c>
    </row>
    <row r="114" spans="1:89" x14ac:dyDescent="0.25">
      <c r="A114" s="20"/>
      <c r="B114" t="s">
        <v>206</v>
      </c>
      <c r="D114" t="s">
        <v>240</v>
      </c>
      <c r="F114" t="s">
        <v>238</v>
      </c>
      <c r="G114" t="s">
        <v>238</v>
      </c>
      <c r="H114" t="s">
        <v>239</v>
      </c>
      <c r="I114" t="s">
        <v>238</v>
      </c>
      <c r="J114" t="s">
        <v>238</v>
      </c>
      <c r="K114" t="s">
        <v>239</v>
      </c>
      <c r="L114" t="s">
        <v>238</v>
      </c>
      <c r="M114" t="s">
        <v>238</v>
      </c>
      <c r="P114" t="s">
        <v>238</v>
      </c>
      <c r="Q114" t="s">
        <v>238</v>
      </c>
      <c r="R114" t="s">
        <v>206</v>
      </c>
      <c r="S114" t="s">
        <v>239</v>
      </c>
      <c r="T114" t="s">
        <v>240</v>
      </c>
      <c r="U114" t="s">
        <v>238</v>
      </c>
      <c r="W114" t="s">
        <v>240</v>
      </c>
      <c r="Z114" t="s">
        <v>238</v>
      </c>
      <c r="AA114" t="s">
        <v>238</v>
      </c>
      <c r="AC114" t="s">
        <v>238</v>
      </c>
      <c r="AD114" t="s">
        <v>238</v>
      </c>
      <c r="AE114" t="s">
        <v>238</v>
      </c>
      <c r="AF114" t="s">
        <v>238</v>
      </c>
      <c r="AG114" t="s">
        <v>238</v>
      </c>
      <c r="AH114" t="s">
        <v>238</v>
      </c>
      <c r="AI114" t="s">
        <v>240</v>
      </c>
      <c r="AL114" t="s">
        <v>238</v>
      </c>
      <c r="AM114" t="s">
        <v>238</v>
      </c>
      <c r="AN114" t="s">
        <v>206</v>
      </c>
      <c r="AO114" t="s">
        <v>238</v>
      </c>
      <c r="AP114" t="s">
        <v>238</v>
      </c>
      <c r="AS114" t="s">
        <v>238</v>
      </c>
      <c r="AT114" t="s">
        <v>246</v>
      </c>
      <c r="AU114" t="s">
        <v>238</v>
      </c>
      <c r="AV114" t="s">
        <v>240</v>
      </c>
      <c r="AW114" t="s">
        <v>238</v>
      </c>
      <c r="AX114" t="s">
        <v>238</v>
      </c>
      <c r="AY114" t="s">
        <v>240</v>
      </c>
      <c r="AZ114" t="s">
        <v>241</v>
      </c>
      <c r="BF114" t="s">
        <v>238</v>
      </c>
      <c r="BG114" t="s">
        <v>238</v>
      </c>
      <c r="BI114" t="s">
        <v>238</v>
      </c>
      <c r="BK114" t="s">
        <v>238</v>
      </c>
      <c r="BL114" t="s">
        <v>239</v>
      </c>
      <c r="BM114" t="s">
        <v>238</v>
      </c>
      <c r="BN114" t="s">
        <v>240</v>
      </c>
      <c r="BO114" t="s">
        <v>240</v>
      </c>
      <c r="BP114" t="s">
        <v>239</v>
      </c>
      <c r="BQ114" t="s">
        <v>240</v>
      </c>
      <c r="BR114" t="s">
        <v>238</v>
      </c>
      <c r="BT114" t="s">
        <v>240</v>
      </c>
      <c r="BU114" t="s">
        <v>238</v>
      </c>
      <c r="BX114" t="s">
        <v>238</v>
      </c>
      <c r="BY114" t="s">
        <v>238</v>
      </c>
      <c r="CA114" t="s">
        <v>240</v>
      </c>
      <c r="CC114" t="s">
        <v>238</v>
      </c>
      <c r="CE114" t="s">
        <v>238</v>
      </c>
      <c r="CF114" t="s">
        <v>239</v>
      </c>
      <c r="CH114" t="s">
        <v>238</v>
      </c>
      <c r="CI114" t="s">
        <v>239</v>
      </c>
      <c r="CJ114" t="s">
        <v>238</v>
      </c>
      <c r="CK114" t="s">
        <v>238</v>
      </c>
    </row>
    <row r="115" spans="1:89" x14ac:dyDescent="0.25">
      <c r="A115" s="20"/>
      <c r="B115" t="s">
        <v>206</v>
      </c>
      <c r="D115" t="s">
        <v>240</v>
      </c>
      <c r="F115" t="s">
        <v>243</v>
      </c>
      <c r="H115" t="s">
        <v>206</v>
      </c>
      <c r="J115" t="s">
        <v>238</v>
      </c>
      <c r="L115" t="s">
        <v>238</v>
      </c>
      <c r="M115" t="s">
        <v>238</v>
      </c>
      <c r="Q115" t="s">
        <v>238</v>
      </c>
      <c r="U115" t="s">
        <v>238</v>
      </c>
      <c r="AC115" t="s">
        <v>240</v>
      </c>
      <c r="AH115" t="s">
        <v>238</v>
      </c>
      <c r="AL115" t="s">
        <v>238</v>
      </c>
      <c r="AN115" t="s">
        <v>238</v>
      </c>
      <c r="AO115" t="s">
        <v>240</v>
      </c>
      <c r="AS115" t="s">
        <v>240</v>
      </c>
      <c r="AW115" t="s">
        <v>240</v>
      </c>
      <c r="AZ115" t="s">
        <v>240</v>
      </c>
      <c r="BF115" t="s">
        <v>238</v>
      </c>
      <c r="BM115" t="s">
        <v>247</v>
      </c>
      <c r="BO115" t="s">
        <v>240</v>
      </c>
      <c r="CA115" t="s">
        <v>240</v>
      </c>
      <c r="CC115" t="s">
        <v>239</v>
      </c>
      <c r="CH115" t="s">
        <v>238</v>
      </c>
      <c r="CK115" t="s">
        <v>238</v>
      </c>
    </row>
    <row r="116" spans="1:89" x14ac:dyDescent="0.25">
      <c r="A116" s="20"/>
      <c r="D116" t="s">
        <v>240</v>
      </c>
    </row>
    <row r="117" spans="1:89" x14ac:dyDescent="0.25">
      <c r="A117" s="20"/>
      <c r="D117" t="s">
        <v>240</v>
      </c>
    </row>
    <row r="118" spans="1:89" x14ac:dyDescent="0.25">
      <c r="A118" s="20" t="s">
        <v>149</v>
      </c>
      <c r="B118" t="s">
        <v>240</v>
      </c>
      <c r="C118" t="s">
        <v>230</v>
      </c>
      <c r="D118" t="s">
        <v>240</v>
      </c>
      <c r="E118" t="s">
        <v>238</v>
      </c>
      <c r="F118" t="s">
        <v>240</v>
      </c>
      <c r="G118" t="s">
        <v>240</v>
      </c>
      <c r="H118" t="s">
        <v>239</v>
      </c>
      <c r="I118" t="s">
        <v>240</v>
      </c>
      <c r="J118" t="s">
        <v>238</v>
      </c>
      <c r="K118" t="s">
        <v>238</v>
      </c>
      <c r="L118" t="s">
        <v>238</v>
      </c>
      <c r="M118" t="s">
        <v>238</v>
      </c>
      <c r="N118" t="s">
        <v>238</v>
      </c>
      <c r="O118" t="s">
        <v>238</v>
      </c>
      <c r="P118" t="s">
        <v>238</v>
      </c>
      <c r="Q118" t="s">
        <v>238</v>
      </c>
      <c r="R118" t="s">
        <v>240</v>
      </c>
      <c r="S118" t="s">
        <v>238</v>
      </c>
      <c r="T118" t="s">
        <v>238</v>
      </c>
      <c r="U118" t="s">
        <v>238</v>
      </c>
      <c r="V118" t="s">
        <v>240</v>
      </c>
      <c r="W118" t="s">
        <v>247</v>
      </c>
      <c r="X118" t="s">
        <v>238</v>
      </c>
      <c r="Y118" t="s">
        <v>240</v>
      </c>
      <c r="Z118" t="s">
        <v>238</v>
      </c>
      <c r="AA118" t="s">
        <v>238</v>
      </c>
      <c r="AB118" t="s">
        <v>238</v>
      </c>
      <c r="AC118" t="s">
        <v>238</v>
      </c>
      <c r="AD118" t="s">
        <v>238</v>
      </c>
      <c r="AE118" t="s">
        <v>238</v>
      </c>
      <c r="AF118" t="s">
        <v>238</v>
      </c>
      <c r="AG118" t="s">
        <v>238</v>
      </c>
      <c r="AH118" t="s">
        <v>238</v>
      </c>
      <c r="AI118" t="s">
        <v>240</v>
      </c>
      <c r="AJ118" t="s">
        <v>240</v>
      </c>
      <c r="AK118" t="s">
        <v>240</v>
      </c>
      <c r="AL118" t="s">
        <v>238</v>
      </c>
      <c r="AM118" t="s">
        <v>238</v>
      </c>
      <c r="AN118" t="s">
        <v>238</v>
      </c>
      <c r="AO118" t="s">
        <v>238</v>
      </c>
      <c r="AP118" t="s">
        <v>238</v>
      </c>
      <c r="AQ118" t="s">
        <v>238</v>
      </c>
      <c r="AR118" t="s">
        <v>238</v>
      </c>
      <c r="AS118" t="s">
        <v>238</v>
      </c>
      <c r="AT118" t="s">
        <v>240</v>
      </c>
      <c r="AU118" t="s">
        <v>238</v>
      </c>
      <c r="AV118" t="s">
        <v>238</v>
      </c>
      <c r="AW118" t="s">
        <v>238</v>
      </c>
      <c r="AX118" t="s">
        <v>238</v>
      </c>
      <c r="AY118" t="s">
        <v>238</v>
      </c>
      <c r="AZ118" t="s">
        <v>240</v>
      </c>
      <c r="BA118" t="s">
        <v>238</v>
      </c>
      <c r="BB118" t="s">
        <v>238</v>
      </c>
      <c r="BC118" t="s">
        <v>238</v>
      </c>
      <c r="BD118" t="s">
        <v>238</v>
      </c>
      <c r="BE118" t="s">
        <v>240</v>
      </c>
      <c r="BF118" t="s">
        <v>238</v>
      </c>
      <c r="BG118" t="s">
        <v>238</v>
      </c>
      <c r="BH118" t="s">
        <v>238</v>
      </c>
      <c r="BI118" t="s">
        <v>247</v>
      </c>
      <c r="BJ118" t="s">
        <v>238</v>
      </c>
      <c r="BK118" t="s">
        <v>238</v>
      </c>
      <c r="BL118" t="s">
        <v>238</v>
      </c>
      <c r="BM118" t="s">
        <v>238</v>
      </c>
      <c r="BN118" t="s">
        <v>240</v>
      </c>
      <c r="BO118" t="s">
        <v>238</v>
      </c>
      <c r="BP118" t="s">
        <v>238</v>
      </c>
      <c r="BQ118" t="s">
        <v>206</v>
      </c>
      <c r="BR118" t="s">
        <v>238</v>
      </c>
      <c r="BS118" t="s">
        <v>239</v>
      </c>
      <c r="BT118" t="s">
        <v>240</v>
      </c>
      <c r="BU118" t="s">
        <v>206</v>
      </c>
      <c r="BV118" t="s">
        <v>238</v>
      </c>
      <c r="BW118" t="s">
        <v>238</v>
      </c>
      <c r="BX118" t="s">
        <v>238</v>
      </c>
      <c r="BY118" t="s">
        <v>238</v>
      </c>
      <c r="BZ118" t="s">
        <v>240</v>
      </c>
      <c r="CA118" t="s">
        <v>238</v>
      </c>
      <c r="CB118" t="s">
        <v>240</v>
      </c>
      <c r="CC118" t="s">
        <v>238</v>
      </c>
      <c r="CD118" t="s">
        <v>238</v>
      </c>
      <c r="CE118" t="s">
        <v>242</v>
      </c>
      <c r="CF118" t="s">
        <v>206</v>
      </c>
      <c r="CG118" t="s">
        <v>238</v>
      </c>
      <c r="CH118" t="s">
        <v>238</v>
      </c>
      <c r="CI118" t="s">
        <v>240</v>
      </c>
      <c r="CJ118" t="s">
        <v>238</v>
      </c>
      <c r="CK118" t="s">
        <v>238</v>
      </c>
    </row>
    <row r="119" spans="1:89" x14ac:dyDescent="0.25">
      <c r="A119" s="20"/>
      <c r="B119" t="s">
        <v>240</v>
      </c>
      <c r="D119" t="s">
        <v>240</v>
      </c>
      <c r="F119" t="s">
        <v>240</v>
      </c>
      <c r="G119" t="s">
        <v>240</v>
      </c>
      <c r="H119" t="s">
        <v>239</v>
      </c>
      <c r="I119" t="s">
        <v>240</v>
      </c>
      <c r="J119" t="s">
        <v>238</v>
      </c>
      <c r="L119" t="s">
        <v>238</v>
      </c>
      <c r="M119" t="s">
        <v>238</v>
      </c>
      <c r="P119" t="s">
        <v>238</v>
      </c>
      <c r="Q119" t="s">
        <v>238</v>
      </c>
      <c r="R119" t="s">
        <v>240</v>
      </c>
      <c r="S119" t="s">
        <v>238</v>
      </c>
      <c r="U119" t="s">
        <v>238</v>
      </c>
      <c r="Y119" t="s">
        <v>240</v>
      </c>
      <c r="Z119" t="s">
        <v>238</v>
      </c>
      <c r="AA119" t="s">
        <v>238</v>
      </c>
      <c r="AB119" t="s">
        <v>238</v>
      </c>
      <c r="AC119" t="s">
        <v>238</v>
      </c>
      <c r="AD119" t="s">
        <v>238</v>
      </c>
      <c r="AE119" t="s">
        <v>238</v>
      </c>
      <c r="AF119" t="s">
        <v>238</v>
      </c>
      <c r="AG119" t="s">
        <v>238</v>
      </c>
      <c r="AH119" t="s">
        <v>238</v>
      </c>
      <c r="AI119" t="s">
        <v>240</v>
      </c>
      <c r="AJ119" t="s">
        <v>238</v>
      </c>
      <c r="AK119" t="s">
        <v>240</v>
      </c>
      <c r="AL119" t="s">
        <v>238</v>
      </c>
      <c r="AM119" t="s">
        <v>238</v>
      </c>
      <c r="AN119" t="s">
        <v>238</v>
      </c>
      <c r="AO119" t="s">
        <v>238</v>
      </c>
      <c r="AP119" t="s">
        <v>238</v>
      </c>
      <c r="AR119" t="s">
        <v>239</v>
      </c>
      <c r="AS119" t="s">
        <v>240</v>
      </c>
      <c r="AT119" t="s">
        <v>238</v>
      </c>
      <c r="AU119" t="s">
        <v>238</v>
      </c>
      <c r="AV119" t="s">
        <v>238</v>
      </c>
      <c r="AW119" t="s">
        <v>239</v>
      </c>
      <c r="AX119" t="s">
        <v>238</v>
      </c>
      <c r="AZ119" t="s">
        <v>238</v>
      </c>
      <c r="BB119" t="s">
        <v>238</v>
      </c>
      <c r="BF119" t="s">
        <v>238</v>
      </c>
      <c r="BG119" t="s">
        <v>238</v>
      </c>
      <c r="BI119" t="s">
        <v>238</v>
      </c>
      <c r="BK119" t="s">
        <v>239</v>
      </c>
      <c r="BM119" t="s">
        <v>238</v>
      </c>
      <c r="BN119" t="s">
        <v>238</v>
      </c>
      <c r="BO119" t="s">
        <v>238</v>
      </c>
      <c r="BP119" t="s">
        <v>239</v>
      </c>
      <c r="BQ119" t="s">
        <v>238</v>
      </c>
      <c r="BS119" t="s">
        <v>238</v>
      </c>
      <c r="BT119" t="s">
        <v>240</v>
      </c>
      <c r="BU119" t="s">
        <v>206</v>
      </c>
      <c r="BX119" t="s">
        <v>238</v>
      </c>
      <c r="BY119" t="s">
        <v>238</v>
      </c>
      <c r="BZ119" t="s">
        <v>238</v>
      </c>
      <c r="CA119" t="s">
        <v>238</v>
      </c>
      <c r="CC119" t="s">
        <v>239</v>
      </c>
      <c r="CE119" t="s">
        <v>238</v>
      </c>
      <c r="CF119" t="s">
        <v>239</v>
      </c>
      <c r="CH119" t="s">
        <v>238</v>
      </c>
      <c r="CJ119" t="s">
        <v>238</v>
      </c>
      <c r="CK119" t="s">
        <v>238</v>
      </c>
    </row>
    <row r="120" spans="1:89" x14ac:dyDescent="0.25">
      <c r="A120" s="20"/>
      <c r="B120" t="s">
        <v>240</v>
      </c>
      <c r="D120" t="s">
        <v>238</v>
      </c>
      <c r="F120" t="s">
        <v>240</v>
      </c>
      <c r="H120" t="s">
        <v>206</v>
      </c>
      <c r="J120" t="s">
        <v>240</v>
      </c>
      <c r="L120" t="s">
        <v>238</v>
      </c>
      <c r="M120" t="s">
        <v>238</v>
      </c>
      <c r="Q120" t="s">
        <v>239</v>
      </c>
      <c r="U120" t="s">
        <v>238</v>
      </c>
      <c r="AC120" t="s">
        <v>238</v>
      </c>
      <c r="AG120" t="s">
        <v>238</v>
      </c>
      <c r="AH120" t="s">
        <v>239</v>
      </c>
      <c r="AI120" t="s">
        <v>240</v>
      </c>
      <c r="AJ120" t="s">
        <v>238</v>
      </c>
      <c r="AL120" t="s">
        <v>238</v>
      </c>
      <c r="AO120" t="s">
        <v>238</v>
      </c>
      <c r="AP120" t="s">
        <v>238</v>
      </c>
      <c r="AS120" t="s">
        <v>240</v>
      </c>
      <c r="AW120" t="s">
        <v>239</v>
      </c>
      <c r="AZ120" t="s">
        <v>238</v>
      </c>
      <c r="BF120" t="s">
        <v>238</v>
      </c>
      <c r="BO120" t="s">
        <v>238</v>
      </c>
      <c r="BT120" t="s">
        <v>240</v>
      </c>
      <c r="BU120" t="s">
        <v>206</v>
      </c>
      <c r="BZ120" t="s">
        <v>240</v>
      </c>
      <c r="CC120" t="s">
        <v>238</v>
      </c>
      <c r="CH120" t="s">
        <v>238</v>
      </c>
      <c r="CK120" t="s">
        <v>238</v>
      </c>
    </row>
    <row r="121" spans="1:89" x14ac:dyDescent="0.25">
      <c r="A121" s="20"/>
      <c r="D121" t="s">
        <v>238</v>
      </c>
    </row>
    <row r="122" spans="1:89" x14ac:dyDescent="0.25">
      <c r="A122" s="20"/>
      <c r="D122" t="s">
        <v>240</v>
      </c>
    </row>
    <row r="123" spans="1:89" x14ac:dyDescent="0.25">
      <c r="A123" s="20" t="s">
        <v>150</v>
      </c>
      <c r="B123" t="s">
        <v>240</v>
      </c>
      <c r="C123" t="s">
        <v>231</v>
      </c>
      <c r="D123" t="s">
        <v>240</v>
      </c>
      <c r="E123" t="s">
        <v>238</v>
      </c>
      <c r="F123" t="s">
        <v>240</v>
      </c>
      <c r="G123" t="s">
        <v>239</v>
      </c>
      <c r="H123" t="s">
        <v>238</v>
      </c>
      <c r="I123" t="s">
        <v>238</v>
      </c>
      <c r="J123" t="s">
        <v>238</v>
      </c>
      <c r="K123" t="s">
        <v>238</v>
      </c>
      <c r="L123" t="s">
        <v>238</v>
      </c>
      <c r="M123" t="s">
        <v>240</v>
      </c>
      <c r="N123" t="s">
        <v>240</v>
      </c>
      <c r="O123" t="s">
        <v>238</v>
      </c>
      <c r="P123" t="s">
        <v>238</v>
      </c>
      <c r="Q123" t="s">
        <v>238</v>
      </c>
      <c r="R123" t="s">
        <v>206</v>
      </c>
      <c r="S123" t="s">
        <v>239</v>
      </c>
      <c r="T123" t="s">
        <v>240</v>
      </c>
      <c r="U123" t="s">
        <v>238</v>
      </c>
      <c r="V123" t="s">
        <v>239</v>
      </c>
      <c r="W123" t="s">
        <v>247</v>
      </c>
      <c r="X123" t="s">
        <v>238</v>
      </c>
      <c r="Y123" t="s">
        <v>240</v>
      </c>
      <c r="Z123" t="s">
        <v>238</v>
      </c>
      <c r="AA123" t="s">
        <v>238</v>
      </c>
      <c r="AB123" t="s">
        <v>240</v>
      </c>
      <c r="AC123" t="s">
        <v>238</v>
      </c>
      <c r="AD123" t="s">
        <v>239</v>
      </c>
      <c r="AE123" t="s">
        <v>238</v>
      </c>
      <c r="AF123" t="s">
        <v>241</v>
      </c>
      <c r="AG123" t="s">
        <v>238</v>
      </c>
      <c r="AH123" t="s">
        <v>238</v>
      </c>
      <c r="AI123" t="s">
        <v>240</v>
      </c>
      <c r="AJ123" t="s">
        <v>238</v>
      </c>
      <c r="AK123" t="s">
        <v>240</v>
      </c>
      <c r="AL123" t="s">
        <v>238</v>
      </c>
      <c r="AM123" t="s">
        <v>238</v>
      </c>
      <c r="AN123" t="s">
        <v>238</v>
      </c>
      <c r="AO123" t="s">
        <v>238</v>
      </c>
      <c r="AP123" t="s">
        <v>238</v>
      </c>
      <c r="AQ123" t="s">
        <v>238</v>
      </c>
      <c r="AR123" t="s">
        <v>206</v>
      </c>
      <c r="AS123" t="s">
        <v>238</v>
      </c>
      <c r="AT123" t="s">
        <v>240</v>
      </c>
      <c r="AU123" t="s">
        <v>238</v>
      </c>
      <c r="AV123" t="s">
        <v>238</v>
      </c>
      <c r="AW123" t="s">
        <v>238</v>
      </c>
      <c r="AX123" t="s">
        <v>238</v>
      </c>
      <c r="AY123" t="s">
        <v>238</v>
      </c>
      <c r="AZ123" t="s">
        <v>238</v>
      </c>
      <c r="BA123" t="s">
        <v>238</v>
      </c>
      <c r="BB123" t="s">
        <v>240</v>
      </c>
      <c r="BC123" t="s">
        <v>238</v>
      </c>
      <c r="BD123" t="s">
        <v>238</v>
      </c>
      <c r="BE123" t="s">
        <v>240</v>
      </c>
      <c r="BF123" t="s">
        <v>240</v>
      </c>
      <c r="BG123" t="s">
        <v>240</v>
      </c>
      <c r="BH123" t="s">
        <v>238</v>
      </c>
      <c r="BI123" t="s">
        <v>247</v>
      </c>
      <c r="BJ123" t="s">
        <v>238</v>
      </c>
      <c r="BK123" t="s">
        <v>238</v>
      </c>
      <c r="BL123" t="s">
        <v>238</v>
      </c>
      <c r="BM123" t="s">
        <v>238</v>
      </c>
      <c r="BN123" t="s">
        <v>238</v>
      </c>
      <c r="BO123" t="s">
        <v>238</v>
      </c>
      <c r="BP123" t="s">
        <v>206</v>
      </c>
      <c r="BQ123" t="s">
        <v>238</v>
      </c>
      <c r="BR123" t="s">
        <v>238</v>
      </c>
      <c r="BS123" t="s">
        <v>239</v>
      </c>
      <c r="BT123" t="s">
        <v>240</v>
      </c>
      <c r="BU123" t="s">
        <v>238</v>
      </c>
      <c r="BV123" t="s">
        <v>238</v>
      </c>
      <c r="BW123" t="s">
        <v>238</v>
      </c>
      <c r="BX123" t="s">
        <v>238</v>
      </c>
      <c r="BY123" t="s">
        <v>238</v>
      </c>
      <c r="BZ123" t="s">
        <v>206</v>
      </c>
      <c r="CA123" t="s">
        <v>240</v>
      </c>
      <c r="CB123" t="s">
        <v>239</v>
      </c>
      <c r="CC123" t="s">
        <v>238</v>
      </c>
      <c r="CD123" t="s">
        <v>238</v>
      </c>
      <c r="CE123" t="s">
        <v>238</v>
      </c>
      <c r="CF123" t="s">
        <v>240</v>
      </c>
      <c r="CG123" t="s">
        <v>240</v>
      </c>
      <c r="CH123" t="s">
        <v>238</v>
      </c>
      <c r="CI123" t="s">
        <v>239</v>
      </c>
      <c r="CJ123" t="s">
        <v>238</v>
      </c>
      <c r="CK123" t="s">
        <v>238</v>
      </c>
    </row>
    <row r="124" spans="1:89" x14ac:dyDescent="0.25">
      <c r="A124" s="20"/>
      <c r="B124" t="s">
        <v>240</v>
      </c>
      <c r="D124" t="s">
        <v>240</v>
      </c>
      <c r="E124" t="s">
        <v>238</v>
      </c>
      <c r="F124" t="s">
        <v>238</v>
      </c>
      <c r="H124" t="s">
        <v>238</v>
      </c>
      <c r="I124" t="s">
        <v>238</v>
      </c>
      <c r="J124" t="s">
        <v>238</v>
      </c>
      <c r="K124" t="s">
        <v>238</v>
      </c>
      <c r="L124" t="s">
        <v>238</v>
      </c>
      <c r="M124" t="s">
        <v>238</v>
      </c>
      <c r="P124" t="s">
        <v>238</v>
      </c>
      <c r="R124" t="s">
        <v>206</v>
      </c>
      <c r="S124" t="s">
        <v>240</v>
      </c>
      <c r="T124" t="s">
        <v>240</v>
      </c>
      <c r="U124" t="s">
        <v>238</v>
      </c>
      <c r="W124" t="s">
        <v>247</v>
      </c>
      <c r="Y124" t="s">
        <v>240</v>
      </c>
      <c r="Z124" t="s">
        <v>238</v>
      </c>
      <c r="AA124" t="s">
        <v>238</v>
      </c>
      <c r="AB124" t="s">
        <v>239</v>
      </c>
      <c r="AC124" t="s">
        <v>238</v>
      </c>
      <c r="AD124" t="s">
        <v>239</v>
      </c>
      <c r="AE124" t="s">
        <v>238</v>
      </c>
      <c r="AF124" t="s">
        <v>238</v>
      </c>
      <c r="AG124" t="s">
        <v>238</v>
      </c>
      <c r="AI124" t="s">
        <v>240</v>
      </c>
      <c r="AJ124" t="s">
        <v>238</v>
      </c>
      <c r="AL124" t="s">
        <v>238</v>
      </c>
      <c r="AM124" t="s">
        <v>238</v>
      </c>
      <c r="AN124" t="s">
        <v>238</v>
      </c>
      <c r="AO124" t="s">
        <v>238</v>
      </c>
      <c r="AP124" t="s">
        <v>238</v>
      </c>
      <c r="AR124" t="s">
        <v>206</v>
      </c>
      <c r="AS124" t="s">
        <v>238</v>
      </c>
      <c r="AT124" t="s">
        <v>240</v>
      </c>
      <c r="AU124" t="s">
        <v>238</v>
      </c>
      <c r="AV124" t="s">
        <v>238</v>
      </c>
      <c r="AW124" t="s">
        <v>238</v>
      </c>
      <c r="AX124" t="s">
        <v>238</v>
      </c>
      <c r="AZ124" t="s">
        <v>238</v>
      </c>
      <c r="BB124" t="s">
        <v>240</v>
      </c>
      <c r="BD124" t="s">
        <v>238</v>
      </c>
      <c r="BF124" t="s">
        <v>247</v>
      </c>
      <c r="BG124" t="s">
        <v>239</v>
      </c>
      <c r="BH124" t="s">
        <v>238</v>
      </c>
      <c r="BI124" t="s">
        <v>238</v>
      </c>
      <c r="BK124" t="s">
        <v>238</v>
      </c>
      <c r="BM124" t="s">
        <v>238</v>
      </c>
      <c r="BO124" t="s">
        <v>238</v>
      </c>
      <c r="BP124" t="s">
        <v>242</v>
      </c>
      <c r="BQ124" t="s">
        <v>238</v>
      </c>
      <c r="BR124" t="s">
        <v>238</v>
      </c>
      <c r="BT124" t="s">
        <v>240</v>
      </c>
      <c r="BU124" t="s">
        <v>206</v>
      </c>
      <c r="BX124" t="s">
        <v>238</v>
      </c>
      <c r="BY124" t="s">
        <v>238</v>
      </c>
      <c r="BZ124" t="s">
        <v>238</v>
      </c>
      <c r="CA124" t="s">
        <v>240</v>
      </c>
      <c r="CC124" t="s">
        <v>239</v>
      </c>
      <c r="CE124" t="s">
        <v>238</v>
      </c>
      <c r="CF124" t="s">
        <v>239</v>
      </c>
      <c r="CG124" t="s">
        <v>238</v>
      </c>
      <c r="CH124" t="s">
        <v>241</v>
      </c>
      <c r="CI124" t="s">
        <v>240</v>
      </c>
      <c r="CJ124" t="s">
        <v>238</v>
      </c>
      <c r="CK124" t="s">
        <v>241</v>
      </c>
    </row>
    <row r="125" spans="1:89" x14ac:dyDescent="0.25">
      <c r="A125" s="20"/>
      <c r="B125" t="s">
        <v>206</v>
      </c>
      <c r="D125" t="s">
        <v>240</v>
      </c>
      <c r="E125" t="s">
        <v>240</v>
      </c>
      <c r="F125" t="s">
        <v>240</v>
      </c>
      <c r="H125" t="s">
        <v>240</v>
      </c>
      <c r="J125" t="s">
        <v>238</v>
      </c>
      <c r="L125" t="s">
        <v>238</v>
      </c>
      <c r="M125" t="s">
        <v>240</v>
      </c>
      <c r="U125" t="s">
        <v>238</v>
      </c>
      <c r="Z125" t="s">
        <v>238</v>
      </c>
      <c r="AC125" t="s">
        <v>238</v>
      </c>
      <c r="AF125" t="s">
        <v>238</v>
      </c>
      <c r="AG125" t="s">
        <v>238</v>
      </c>
      <c r="AI125" t="s">
        <v>240</v>
      </c>
      <c r="AL125" t="s">
        <v>238</v>
      </c>
      <c r="AO125" t="s">
        <v>241</v>
      </c>
      <c r="AP125" t="s">
        <v>238</v>
      </c>
      <c r="AS125" t="s">
        <v>238</v>
      </c>
      <c r="AW125" t="s">
        <v>240</v>
      </c>
      <c r="AZ125" t="s">
        <v>238</v>
      </c>
      <c r="BF125" t="s">
        <v>238</v>
      </c>
      <c r="BT125" t="s">
        <v>240</v>
      </c>
      <c r="BZ125" t="s">
        <v>238</v>
      </c>
      <c r="CA125" t="s">
        <v>240</v>
      </c>
      <c r="CC125" t="s">
        <v>242</v>
      </c>
      <c r="CK125" t="s">
        <v>238</v>
      </c>
    </row>
    <row r="126" spans="1:89" x14ac:dyDescent="0.25">
      <c r="A126" s="20"/>
      <c r="D126" t="s">
        <v>240</v>
      </c>
    </row>
    <row r="127" spans="1:89" x14ac:dyDescent="0.25">
      <c r="A127" s="20"/>
      <c r="D127" t="s">
        <v>240</v>
      </c>
    </row>
    <row r="128" spans="1:89" x14ac:dyDescent="0.25">
      <c r="A128" s="20" t="s">
        <v>151</v>
      </c>
      <c r="B128" t="s">
        <v>208</v>
      </c>
      <c r="C128" t="s">
        <v>232</v>
      </c>
      <c r="D128" t="s">
        <v>240</v>
      </c>
      <c r="E128" t="s">
        <v>242</v>
      </c>
      <c r="F128" t="s">
        <v>240</v>
      </c>
      <c r="G128" t="s">
        <v>238</v>
      </c>
      <c r="H128" t="s">
        <v>242</v>
      </c>
      <c r="I128" t="s">
        <v>238</v>
      </c>
      <c r="J128" t="s">
        <v>238</v>
      </c>
      <c r="K128" t="s">
        <v>239</v>
      </c>
      <c r="L128" t="s">
        <v>238</v>
      </c>
      <c r="M128" t="s">
        <v>238</v>
      </c>
      <c r="N128" t="s">
        <v>238</v>
      </c>
      <c r="O128" t="s">
        <v>238</v>
      </c>
      <c r="P128" t="s">
        <v>238</v>
      </c>
      <c r="Q128" t="s">
        <v>238</v>
      </c>
      <c r="R128" t="s">
        <v>239</v>
      </c>
      <c r="S128" t="s">
        <v>238</v>
      </c>
      <c r="T128" t="s">
        <v>238</v>
      </c>
      <c r="U128" t="s">
        <v>240</v>
      </c>
      <c r="V128" t="s">
        <v>239</v>
      </c>
      <c r="W128" t="s">
        <v>247</v>
      </c>
      <c r="X128" t="s">
        <v>238</v>
      </c>
      <c r="Y128" t="s">
        <v>240</v>
      </c>
      <c r="Z128" t="s">
        <v>238</v>
      </c>
      <c r="AA128" t="s">
        <v>238</v>
      </c>
      <c r="AB128" t="s">
        <v>238</v>
      </c>
      <c r="AC128" t="s">
        <v>238</v>
      </c>
      <c r="AD128" t="s">
        <v>238</v>
      </c>
      <c r="AE128" t="s">
        <v>238</v>
      </c>
      <c r="AF128" t="s">
        <v>238</v>
      </c>
      <c r="AG128" t="s">
        <v>240</v>
      </c>
      <c r="AH128" t="s">
        <v>238</v>
      </c>
      <c r="AI128" t="s">
        <v>239</v>
      </c>
      <c r="AJ128" t="s">
        <v>240</v>
      </c>
      <c r="AK128" t="s">
        <v>240</v>
      </c>
      <c r="AL128" t="s">
        <v>238</v>
      </c>
      <c r="AM128" t="s">
        <v>238</v>
      </c>
      <c r="AN128" t="s">
        <v>238</v>
      </c>
      <c r="AO128" t="s">
        <v>240</v>
      </c>
      <c r="AP128" t="s">
        <v>238</v>
      </c>
      <c r="AQ128" t="s">
        <v>240</v>
      </c>
      <c r="AR128" t="s">
        <v>238</v>
      </c>
      <c r="AS128" t="s">
        <v>238</v>
      </c>
      <c r="AT128" t="s">
        <v>238</v>
      </c>
      <c r="AU128" t="s">
        <v>238</v>
      </c>
      <c r="AV128" t="s">
        <v>238</v>
      </c>
      <c r="AW128" t="s">
        <v>206</v>
      </c>
      <c r="AX128" t="s">
        <v>238</v>
      </c>
      <c r="AY128" t="s">
        <v>238</v>
      </c>
      <c r="AZ128" t="s">
        <v>241</v>
      </c>
      <c r="BA128" t="s">
        <v>238</v>
      </c>
      <c r="BB128" t="s">
        <v>240</v>
      </c>
      <c r="BC128" t="s">
        <v>238</v>
      </c>
      <c r="BD128" t="s">
        <v>238</v>
      </c>
      <c r="BE128" t="s">
        <v>240</v>
      </c>
      <c r="BF128" t="s">
        <v>239</v>
      </c>
      <c r="BG128" t="s">
        <v>238</v>
      </c>
      <c r="BH128" t="s">
        <v>238</v>
      </c>
      <c r="BI128" t="s">
        <v>238</v>
      </c>
      <c r="BJ128" t="s">
        <v>238</v>
      </c>
      <c r="BK128" t="s">
        <v>238</v>
      </c>
      <c r="BL128" t="s">
        <v>238</v>
      </c>
      <c r="BM128" t="s">
        <v>240</v>
      </c>
      <c r="BN128" t="s">
        <v>238</v>
      </c>
      <c r="BO128" t="s">
        <v>238</v>
      </c>
      <c r="BP128" t="s">
        <v>242</v>
      </c>
      <c r="BQ128" t="s">
        <v>238</v>
      </c>
      <c r="BR128" t="s">
        <v>238</v>
      </c>
      <c r="BS128" t="s">
        <v>238</v>
      </c>
      <c r="BT128" t="s">
        <v>206</v>
      </c>
      <c r="BU128" t="s">
        <v>240</v>
      </c>
      <c r="BV128" t="s">
        <v>238</v>
      </c>
      <c r="BW128" t="s">
        <v>238</v>
      </c>
      <c r="BX128" t="s">
        <v>240</v>
      </c>
      <c r="BY128" t="s">
        <v>238</v>
      </c>
      <c r="BZ128" t="s">
        <v>206</v>
      </c>
      <c r="CA128" t="s">
        <v>238</v>
      </c>
      <c r="CB128" t="s">
        <v>240</v>
      </c>
      <c r="CC128" t="s">
        <v>238</v>
      </c>
      <c r="CD128" t="s">
        <v>238</v>
      </c>
      <c r="CE128" t="s">
        <v>240</v>
      </c>
      <c r="CF128" t="s">
        <v>238</v>
      </c>
      <c r="CG128" t="s">
        <v>238</v>
      </c>
      <c r="CH128" t="s">
        <v>238</v>
      </c>
      <c r="CI128" t="s">
        <v>238</v>
      </c>
      <c r="CJ128" t="s">
        <v>238</v>
      </c>
      <c r="CK128" t="s">
        <v>238</v>
      </c>
    </row>
    <row r="129" spans="1:89" x14ac:dyDescent="0.25">
      <c r="A129" s="20"/>
      <c r="D129" t="s">
        <v>239</v>
      </c>
      <c r="F129" t="s">
        <v>240</v>
      </c>
      <c r="H129" t="s">
        <v>243</v>
      </c>
      <c r="I129" t="s">
        <v>238</v>
      </c>
      <c r="J129" t="s">
        <v>238</v>
      </c>
      <c r="K129" t="s">
        <v>238</v>
      </c>
      <c r="L129" t="s">
        <v>238</v>
      </c>
      <c r="M129" t="s">
        <v>238</v>
      </c>
      <c r="P129" t="s">
        <v>238</v>
      </c>
      <c r="Q129" t="s">
        <v>238</v>
      </c>
      <c r="R129" t="s">
        <v>239</v>
      </c>
      <c r="S129" t="s">
        <v>240</v>
      </c>
      <c r="T129" t="s">
        <v>238</v>
      </c>
      <c r="U129" t="s">
        <v>240</v>
      </c>
      <c r="W129" t="s">
        <v>247</v>
      </c>
      <c r="Y129" t="s">
        <v>206</v>
      </c>
      <c r="Z129" t="s">
        <v>238</v>
      </c>
      <c r="AA129" t="s">
        <v>238</v>
      </c>
      <c r="AC129" t="s">
        <v>238</v>
      </c>
      <c r="AD129" t="s">
        <v>239</v>
      </c>
      <c r="AF129" t="s">
        <v>238</v>
      </c>
      <c r="AG129" t="s">
        <v>242</v>
      </c>
      <c r="AH129" t="s">
        <v>238</v>
      </c>
      <c r="AI129" t="s">
        <v>206</v>
      </c>
      <c r="AJ129" t="s">
        <v>240</v>
      </c>
      <c r="AL129" t="s">
        <v>238</v>
      </c>
      <c r="AM129" t="s">
        <v>238</v>
      </c>
      <c r="AN129" t="s">
        <v>238</v>
      </c>
      <c r="AO129" t="s">
        <v>238</v>
      </c>
      <c r="AP129" t="s">
        <v>238</v>
      </c>
      <c r="AS129" t="s">
        <v>238</v>
      </c>
      <c r="AU129" t="s">
        <v>238</v>
      </c>
      <c r="AW129" t="s">
        <v>239</v>
      </c>
      <c r="AX129" t="s">
        <v>238</v>
      </c>
      <c r="AZ129" t="s">
        <v>238</v>
      </c>
      <c r="BB129" t="s">
        <v>247</v>
      </c>
      <c r="BD129" t="s">
        <v>238</v>
      </c>
      <c r="BF129" t="s">
        <v>247</v>
      </c>
      <c r="BG129" t="s">
        <v>238</v>
      </c>
      <c r="BK129" t="s">
        <v>238</v>
      </c>
      <c r="BM129" t="s">
        <v>238</v>
      </c>
      <c r="BN129" t="s">
        <v>239</v>
      </c>
      <c r="BO129" t="s">
        <v>238</v>
      </c>
      <c r="BP129" t="s">
        <v>206</v>
      </c>
      <c r="BQ129" t="s">
        <v>238</v>
      </c>
      <c r="BR129" t="s">
        <v>238</v>
      </c>
      <c r="BT129" t="s">
        <v>206</v>
      </c>
      <c r="BU129" t="s">
        <v>206</v>
      </c>
      <c r="BX129" t="s">
        <v>240</v>
      </c>
      <c r="BY129" t="s">
        <v>238</v>
      </c>
      <c r="BZ129" t="s">
        <v>238</v>
      </c>
      <c r="CA129" t="s">
        <v>206</v>
      </c>
      <c r="CC129" t="s">
        <v>238</v>
      </c>
      <c r="CE129" t="s">
        <v>240</v>
      </c>
      <c r="CF129" t="s">
        <v>238</v>
      </c>
      <c r="CH129" t="s">
        <v>238</v>
      </c>
      <c r="CJ129" t="s">
        <v>238</v>
      </c>
      <c r="CK129" t="s">
        <v>238</v>
      </c>
    </row>
    <row r="130" spans="1:89" x14ac:dyDescent="0.25">
      <c r="A130" s="20"/>
      <c r="D130" t="s">
        <v>239</v>
      </c>
      <c r="F130" t="s">
        <v>238</v>
      </c>
      <c r="H130" t="s">
        <v>242</v>
      </c>
      <c r="J130" t="s">
        <v>238</v>
      </c>
      <c r="L130" t="s">
        <v>238</v>
      </c>
      <c r="M130" t="s">
        <v>238</v>
      </c>
      <c r="U130" t="s">
        <v>240</v>
      </c>
      <c r="AC130" t="s">
        <v>238</v>
      </c>
      <c r="AG130" t="s">
        <v>240</v>
      </c>
      <c r="AH130" t="s">
        <v>238</v>
      </c>
      <c r="AI130" t="s">
        <v>206</v>
      </c>
      <c r="AJ130" t="s">
        <v>240</v>
      </c>
      <c r="AL130" t="s">
        <v>238</v>
      </c>
      <c r="AO130" t="s">
        <v>238</v>
      </c>
      <c r="AP130" t="s">
        <v>238</v>
      </c>
      <c r="AS130" t="s">
        <v>240</v>
      </c>
      <c r="AW130" t="s">
        <v>238</v>
      </c>
      <c r="AZ130" t="s">
        <v>239</v>
      </c>
      <c r="BF130" t="s">
        <v>247</v>
      </c>
      <c r="BO130" t="s">
        <v>238</v>
      </c>
      <c r="BT130" t="s">
        <v>206</v>
      </c>
      <c r="BU130" t="s">
        <v>206</v>
      </c>
      <c r="BX130" t="s">
        <v>238</v>
      </c>
      <c r="BZ130" t="s">
        <v>238</v>
      </c>
      <c r="CC130" t="s">
        <v>238</v>
      </c>
      <c r="CH130" t="s">
        <v>243</v>
      </c>
      <c r="CJ130" t="s">
        <v>239</v>
      </c>
      <c r="CK130" t="s">
        <v>238</v>
      </c>
    </row>
    <row r="131" spans="1:89" x14ac:dyDescent="0.25">
      <c r="A131" s="20"/>
      <c r="D131" t="s">
        <v>240</v>
      </c>
    </row>
    <row r="132" spans="1:89" x14ac:dyDescent="0.25">
      <c r="A132" s="20"/>
      <c r="D132" t="s">
        <v>240</v>
      </c>
    </row>
    <row r="133" spans="1:89" x14ac:dyDescent="0.25">
      <c r="A133" s="20" t="s">
        <v>152</v>
      </c>
      <c r="B133" t="s">
        <v>210</v>
      </c>
      <c r="C133" t="s">
        <v>207</v>
      </c>
      <c r="D133" t="s">
        <v>240</v>
      </c>
      <c r="E133" t="s">
        <v>240</v>
      </c>
      <c r="F133" t="s">
        <v>238</v>
      </c>
      <c r="G133" t="s">
        <v>206</v>
      </c>
      <c r="H133" t="s">
        <v>242</v>
      </c>
      <c r="I133" t="s">
        <v>240</v>
      </c>
      <c r="J133" t="s">
        <v>240</v>
      </c>
      <c r="K133" t="s">
        <v>238</v>
      </c>
      <c r="L133" t="s">
        <v>238</v>
      </c>
      <c r="M133" t="s">
        <v>238</v>
      </c>
      <c r="N133" t="s">
        <v>238</v>
      </c>
      <c r="O133" t="s">
        <v>238</v>
      </c>
      <c r="P133" t="s">
        <v>238</v>
      </c>
      <c r="Q133" t="s">
        <v>240</v>
      </c>
      <c r="R133" t="s">
        <v>206</v>
      </c>
      <c r="S133" t="s">
        <v>240</v>
      </c>
      <c r="T133" t="s">
        <v>238</v>
      </c>
      <c r="U133" t="s">
        <v>238</v>
      </c>
      <c r="V133" t="s">
        <v>240</v>
      </c>
      <c r="W133" t="s">
        <v>247</v>
      </c>
      <c r="X133" t="s">
        <v>238</v>
      </c>
      <c r="Y133" t="s">
        <v>240</v>
      </c>
      <c r="Z133" t="s">
        <v>238</v>
      </c>
      <c r="AA133" t="s">
        <v>238</v>
      </c>
      <c r="AB133" t="s">
        <v>238</v>
      </c>
      <c r="AC133" t="s">
        <v>238</v>
      </c>
      <c r="AD133" t="s">
        <v>240</v>
      </c>
      <c r="AE133" t="s">
        <v>238</v>
      </c>
      <c r="AF133" t="s">
        <v>238</v>
      </c>
      <c r="AG133" t="s">
        <v>238</v>
      </c>
      <c r="AH133" t="s">
        <v>238</v>
      </c>
      <c r="AI133" t="s">
        <v>240</v>
      </c>
      <c r="AJ133" t="s">
        <v>238</v>
      </c>
      <c r="AK133" t="s">
        <v>240</v>
      </c>
      <c r="AL133" t="s">
        <v>238</v>
      </c>
      <c r="AM133" t="s">
        <v>238</v>
      </c>
      <c r="AN133" t="s">
        <v>238</v>
      </c>
      <c r="AO133" t="s">
        <v>240</v>
      </c>
      <c r="AP133" t="s">
        <v>238</v>
      </c>
      <c r="AQ133" t="s">
        <v>238</v>
      </c>
      <c r="AR133" t="s">
        <v>240</v>
      </c>
      <c r="AS133" t="s">
        <v>240</v>
      </c>
      <c r="AT133" t="s">
        <v>240</v>
      </c>
      <c r="AU133" t="s">
        <v>238</v>
      </c>
      <c r="AV133" t="s">
        <v>238</v>
      </c>
      <c r="AW133" t="s">
        <v>238</v>
      </c>
      <c r="AX133" t="s">
        <v>238</v>
      </c>
      <c r="AY133" t="s">
        <v>238</v>
      </c>
      <c r="AZ133" t="s">
        <v>238</v>
      </c>
      <c r="BA133" t="s">
        <v>240</v>
      </c>
      <c r="BB133" t="s">
        <v>238</v>
      </c>
      <c r="BC133" t="s">
        <v>238</v>
      </c>
      <c r="BD133" t="s">
        <v>238</v>
      </c>
      <c r="BE133" t="s">
        <v>240</v>
      </c>
      <c r="BF133" t="s">
        <v>238</v>
      </c>
      <c r="BG133" t="s">
        <v>238</v>
      </c>
      <c r="BH133" t="s">
        <v>238</v>
      </c>
      <c r="BI133" t="s">
        <v>239</v>
      </c>
      <c r="BJ133" t="s">
        <v>238</v>
      </c>
      <c r="BK133" t="s">
        <v>238</v>
      </c>
      <c r="BL133" t="s">
        <v>238</v>
      </c>
      <c r="BM133" t="s">
        <v>238</v>
      </c>
      <c r="BN133" t="s">
        <v>238</v>
      </c>
      <c r="BO133" t="s">
        <v>238</v>
      </c>
      <c r="BP133" t="s">
        <v>238</v>
      </c>
      <c r="BQ133" t="s">
        <v>238</v>
      </c>
      <c r="BR133" t="s">
        <v>238</v>
      </c>
      <c r="BS133" t="s">
        <v>238</v>
      </c>
      <c r="BT133" t="s">
        <v>206</v>
      </c>
      <c r="BU133" t="s">
        <v>240</v>
      </c>
      <c r="BV133" t="s">
        <v>238</v>
      </c>
      <c r="BW133" t="s">
        <v>238</v>
      </c>
      <c r="BX133" t="s">
        <v>239</v>
      </c>
      <c r="BY133" t="s">
        <v>238</v>
      </c>
      <c r="BZ133" t="s">
        <v>238</v>
      </c>
      <c r="CA133" t="s">
        <v>238</v>
      </c>
      <c r="CB133" t="s">
        <v>240</v>
      </c>
      <c r="CC133" t="s">
        <v>238</v>
      </c>
      <c r="CD133" t="s">
        <v>238</v>
      </c>
      <c r="CE133" t="s">
        <v>238</v>
      </c>
      <c r="CF133" t="s">
        <v>238</v>
      </c>
      <c r="CG133" t="s">
        <v>238</v>
      </c>
      <c r="CH133" t="s">
        <v>238</v>
      </c>
      <c r="CI133" t="s">
        <v>242</v>
      </c>
      <c r="CJ133" t="s">
        <v>238</v>
      </c>
      <c r="CK133" t="s">
        <v>238</v>
      </c>
    </row>
    <row r="134" spans="1:89" x14ac:dyDescent="0.25">
      <c r="A134" s="20"/>
      <c r="D134" t="s">
        <v>206</v>
      </c>
      <c r="E134" t="s">
        <v>238</v>
      </c>
      <c r="F134" t="s">
        <v>238</v>
      </c>
      <c r="H134" t="s">
        <v>238</v>
      </c>
      <c r="I134" t="s">
        <v>240</v>
      </c>
      <c r="J134" t="s">
        <v>240</v>
      </c>
      <c r="K134" t="s">
        <v>238</v>
      </c>
      <c r="L134" t="s">
        <v>238</v>
      </c>
      <c r="M134" t="s">
        <v>238</v>
      </c>
      <c r="N134" t="s">
        <v>238</v>
      </c>
      <c r="P134" t="s">
        <v>238</v>
      </c>
      <c r="Q134" t="s">
        <v>238</v>
      </c>
      <c r="R134" t="s">
        <v>206</v>
      </c>
      <c r="S134" t="s">
        <v>240</v>
      </c>
      <c r="T134" t="s">
        <v>238</v>
      </c>
      <c r="U134" t="s">
        <v>238</v>
      </c>
      <c r="Y134" t="s">
        <v>206</v>
      </c>
      <c r="Z134" t="s">
        <v>238</v>
      </c>
      <c r="AA134" t="s">
        <v>238</v>
      </c>
      <c r="AC134" t="s">
        <v>238</v>
      </c>
      <c r="AD134" t="s">
        <v>238</v>
      </c>
      <c r="AF134" t="s">
        <v>243</v>
      </c>
      <c r="AG134" t="s">
        <v>238</v>
      </c>
      <c r="AH134" t="s">
        <v>238</v>
      </c>
      <c r="AI134" t="s">
        <v>206</v>
      </c>
      <c r="AK134" t="s">
        <v>240</v>
      </c>
      <c r="AL134" t="s">
        <v>238</v>
      </c>
      <c r="AM134" t="s">
        <v>238</v>
      </c>
      <c r="AN134" t="s">
        <v>238</v>
      </c>
      <c r="AO134" t="s">
        <v>240</v>
      </c>
      <c r="AP134" t="s">
        <v>238</v>
      </c>
      <c r="AR134" t="s">
        <v>238</v>
      </c>
      <c r="AS134" t="s">
        <v>206</v>
      </c>
      <c r="AT134" t="s">
        <v>240</v>
      </c>
      <c r="AU134" t="s">
        <v>238</v>
      </c>
      <c r="AV134" t="s">
        <v>238</v>
      </c>
      <c r="AW134" t="s">
        <v>240</v>
      </c>
      <c r="AX134" t="s">
        <v>238</v>
      </c>
      <c r="AZ134" t="s">
        <v>238</v>
      </c>
      <c r="BB134" t="s">
        <v>240</v>
      </c>
      <c r="BD134" t="s">
        <v>238</v>
      </c>
      <c r="BF134" t="s">
        <v>238</v>
      </c>
      <c r="BG134" t="s">
        <v>238</v>
      </c>
      <c r="BH134" t="s">
        <v>238</v>
      </c>
      <c r="BI134" t="s">
        <v>238</v>
      </c>
      <c r="BK134" t="s">
        <v>238</v>
      </c>
      <c r="BN134" t="s">
        <v>238</v>
      </c>
      <c r="BO134" t="s">
        <v>238</v>
      </c>
      <c r="BQ134" t="s">
        <v>238</v>
      </c>
      <c r="BR134" t="s">
        <v>238</v>
      </c>
      <c r="BT134" t="s">
        <v>206</v>
      </c>
      <c r="BU134" t="s">
        <v>238</v>
      </c>
      <c r="BV134" t="s">
        <v>238</v>
      </c>
      <c r="BX134" t="s">
        <v>239</v>
      </c>
      <c r="BY134" t="s">
        <v>238</v>
      </c>
      <c r="BZ134" t="s">
        <v>238</v>
      </c>
      <c r="CA134" t="s">
        <v>238</v>
      </c>
      <c r="CC134" t="s">
        <v>238</v>
      </c>
      <c r="CE134" t="s">
        <v>238</v>
      </c>
      <c r="CF134" t="s">
        <v>238</v>
      </c>
      <c r="CG134" t="s">
        <v>238</v>
      </c>
      <c r="CH134" t="s">
        <v>238</v>
      </c>
      <c r="CI134" t="s">
        <v>239</v>
      </c>
      <c r="CJ134" t="s">
        <v>238</v>
      </c>
      <c r="CK134" t="s">
        <v>241</v>
      </c>
    </row>
    <row r="135" spans="1:89" x14ac:dyDescent="0.25">
      <c r="A135" s="20"/>
      <c r="D135" t="s">
        <v>206</v>
      </c>
      <c r="E135" t="s">
        <v>240</v>
      </c>
      <c r="F135" t="s">
        <v>238</v>
      </c>
      <c r="H135" t="s">
        <v>242</v>
      </c>
      <c r="J135" t="s">
        <v>240</v>
      </c>
      <c r="L135" t="s">
        <v>238</v>
      </c>
      <c r="M135" t="s">
        <v>238</v>
      </c>
      <c r="U135" t="s">
        <v>238</v>
      </c>
      <c r="Z135" t="s">
        <v>238</v>
      </c>
      <c r="AC135" t="s">
        <v>240</v>
      </c>
      <c r="AG135" t="s">
        <v>238</v>
      </c>
      <c r="AH135" t="s">
        <v>238</v>
      </c>
      <c r="AI135" t="s">
        <v>239</v>
      </c>
      <c r="AL135" t="s">
        <v>238</v>
      </c>
      <c r="AO135" t="s">
        <v>240</v>
      </c>
      <c r="AP135" t="s">
        <v>238</v>
      </c>
      <c r="AS135" t="s">
        <v>239</v>
      </c>
      <c r="AW135" t="s">
        <v>240</v>
      </c>
      <c r="BF135" t="s">
        <v>238</v>
      </c>
      <c r="BT135" t="s">
        <v>206</v>
      </c>
      <c r="BU135" t="s">
        <v>206</v>
      </c>
      <c r="CC135" t="s">
        <v>238</v>
      </c>
      <c r="CH135" t="s">
        <v>238</v>
      </c>
      <c r="CK135" t="s">
        <v>238</v>
      </c>
    </row>
    <row r="136" spans="1:89" x14ac:dyDescent="0.25">
      <c r="A136" s="20"/>
      <c r="D136" t="s">
        <v>206</v>
      </c>
    </row>
    <row r="137" spans="1:89" x14ac:dyDescent="0.25">
      <c r="A137" s="20"/>
      <c r="D137" t="s">
        <v>206</v>
      </c>
    </row>
    <row r="138" spans="1:89" x14ac:dyDescent="0.25">
      <c r="A138" s="20" t="s">
        <v>153</v>
      </c>
      <c r="B138" t="s">
        <v>211</v>
      </c>
      <c r="C138" t="s">
        <v>231</v>
      </c>
      <c r="D138" t="s">
        <v>240</v>
      </c>
      <c r="E138" t="s">
        <v>238</v>
      </c>
      <c r="F138" t="s">
        <v>238</v>
      </c>
      <c r="G138" t="s">
        <v>238</v>
      </c>
      <c r="H138" t="s">
        <v>206</v>
      </c>
      <c r="I138" t="s">
        <v>240</v>
      </c>
      <c r="J138" t="s">
        <v>240</v>
      </c>
      <c r="K138" t="s">
        <v>240</v>
      </c>
      <c r="L138" t="s">
        <v>238</v>
      </c>
      <c r="M138" t="s">
        <v>240</v>
      </c>
      <c r="N138" t="s">
        <v>238</v>
      </c>
      <c r="O138" t="s">
        <v>238</v>
      </c>
      <c r="P138" t="s">
        <v>240</v>
      </c>
      <c r="Q138" t="s">
        <v>238</v>
      </c>
      <c r="R138" t="s">
        <v>206</v>
      </c>
      <c r="S138" t="s">
        <v>238</v>
      </c>
      <c r="T138" t="s">
        <v>238</v>
      </c>
      <c r="U138" t="s">
        <v>238</v>
      </c>
      <c r="V138" t="s">
        <v>206</v>
      </c>
      <c r="W138" t="s">
        <v>238</v>
      </c>
      <c r="X138" t="s">
        <v>238</v>
      </c>
      <c r="Y138" t="s">
        <v>206</v>
      </c>
      <c r="Z138" t="s">
        <v>238</v>
      </c>
      <c r="AA138" t="s">
        <v>247</v>
      </c>
      <c r="AB138" t="s">
        <v>238</v>
      </c>
      <c r="AC138" t="s">
        <v>238</v>
      </c>
      <c r="AD138" t="s">
        <v>238</v>
      </c>
      <c r="AE138" t="s">
        <v>238</v>
      </c>
      <c r="AF138" t="s">
        <v>238</v>
      </c>
      <c r="AG138" t="s">
        <v>238</v>
      </c>
      <c r="AH138" t="s">
        <v>238</v>
      </c>
      <c r="AI138" t="s">
        <v>238</v>
      </c>
      <c r="AJ138" t="s">
        <v>238</v>
      </c>
      <c r="AK138" t="s">
        <v>240</v>
      </c>
      <c r="AL138" t="s">
        <v>240</v>
      </c>
      <c r="AM138" t="s">
        <v>238</v>
      </c>
      <c r="AN138" t="s">
        <v>238</v>
      </c>
      <c r="AO138" t="s">
        <v>240</v>
      </c>
      <c r="AP138" t="s">
        <v>238</v>
      </c>
      <c r="AQ138" t="s">
        <v>238</v>
      </c>
      <c r="AR138" t="s">
        <v>240</v>
      </c>
      <c r="AS138" t="s">
        <v>238</v>
      </c>
      <c r="AT138" t="s">
        <v>240</v>
      </c>
      <c r="AU138" t="s">
        <v>247</v>
      </c>
      <c r="AV138" t="s">
        <v>238</v>
      </c>
      <c r="AW138" t="s">
        <v>238</v>
      </c>
      <c r="AX138" t="s">
        <v>238</v>
      </c>
      <c r="AY138" t="s">
        <v>238</v>
      </c>
      <c r="AZ138" t="s">
        <v>238</v>
      </c>
      <c r="BA138" t="s">
        <v>238</v>
      </c>
      <c r="BB138" t="s">
        <v>238</v>
      </c>
      <c r="BC138" t="s">
        <v>238</v>
      </c>
      <c r="BD138" t="s">
        <v>239</v>
      </c>
      <c r="BE138" t="s">
        <v>240</v>
      </c>
      <c r="BF138" t="s">
        <v>238</v>
      </c>
      <c r="BG138" t="s">
        <v>238</v>
      </c>
      <c r="BH138" t="s">
        <v>240</v>
      </c>
      <c r="BI138" t="s">
        <v>238</v>
      </c>
      <c r="BJ138" t="s">
        <v>240</v>
      </c>
      <c r="BK138" t="s">
        <v>238</v>
      </c>
      <c r="BL138" t="s">
        <v>238</v>
      </c>
      <c r="BM138" t="s">
        <v>241</v>
      </c>
      <c r="BN138" t="s">
        <v>238</v>
      </c>
      <c r="BO138" t="s">
        <v>238</v>
      </c>
      <c r="BP138" t="s">
        <v>238</v>
      </c>
      <c r="BQ138" t="s">
        <v>238</v>
      </c>
      <c r="BR138" t="s">
        <v>238</v>
      </c>
      <c r="BS138" t="s">
        <v>238</v>
      </c>
      <c r="BT138" t="s">
        <v>240</v>
      </c>
      <c r="BU138" t="s">
        <v>238</v>
      </c>
      <c r="BV138" t="s">
        <v>206</v>
      </c>
      <c r="BW138" t="s">
        <v>240</v>
      </c>
      <c r="BX138" t="s">
        <v>240</v>
      </c>
      <c r="BY138" t="s">
        <v>238</v>
      </c>
      <c r="BZ138" t="s">
        <v>238</v>
      </c>
      <c r="CA138" t="s">
        <v>238</v>
      </c>
      <c r="CB138" t="s">
        <v>238</v>
      </c>
      <c r="CC138" t="s">
        <v>242</v>
      </c>
      <c r="CD138" t="s">
        <v>238</v>
      </c>
      <c r="CE138" t="s">
        <v>240</v>
      </c>
      <c r="CF138" t="s">
        <v>240</v>
      </c>
      <c r="CG138" t="s">
        <v>238</v>
      </c>
      <c r="CH138" t="s">
        <v>238</v>
      </c>
      <c r="CI138" t="s">
        <v>238</v>
      </c>
      <c r="CJ138" t="s">
        <v>238</v>
      </c>
      <c r="CK138" t="s">
        <v>238</v>
      </c>
    </row>
    <row r="139" spans="1:89" x14ac:dyDescent="0.25">
      <c r="A139" s="20"/>
      <c r="D139" t="s">
        <v>239</v>
      </c>
      <c r="E139" t="s">
        <v>238</v>
      </c>
      <c r="F139" t="s">
        <v>238</v>
      </c>
      <c r="H139" t="s">
        <v>206</v>
      </c>
      <c r="I139" t="s">
        <v>238</v>
      </c>
      <c r="J139" t="s">
        <v>240</v>
      </c>
      <c r="L139" t="s">
        <v>238</v>
      </c>
      <c r="M139" t="s">
        <v>239</v>
      </c>
      <c r="P139" t="s">
        <v>240</v>
      </c>
      <c r="Q139" t="s">
        <v>238</v>
      </c>
      <c r="R139" t="s">
        <v>206</v>
      </c>
      <c r="T139" t="s">
        <v>238</v>
      </c>
      <c r="U139" t="s">
        <v>238</v>
      </c>
      <c r="Y139" t="s">
        <v>240</v>
      </c>
      <c r="Z139" t="s">
        <v>238</v>
      </c>
      <c r="AA139" t="s">
        <v>247</v>
      </c>
      <c r="AC139" t="s">
        <v>238</v>
      </c>
      <c r="AD139" t="s">
        <v>238</v>
      </c>
      <c r="AF139" t="s">
        <v>238</v>
      </c>
      <c r="AG139" t="s">
        <v>238</v>
      </c>
      <c r="AH139" t="s">
        <v>238</v>
      </c>
      <c r="AJ139" t="s">
        <v>238</v>
      </c>
      <c r="AL139" t="s">
        <v>238</v>
      </c>
      <c r="AM139" t="s">
        <v>238</v>
      </c>
      <c r="AN139" t="s">
        <v>238</v>
      </c>
      <c r="AO139" t="s">
        <v>238</v>
      </c>
      <c r="AP139" t="s">
        <v>238</v>
      </c>
      <c r="AR139" t="s">
        <v>240</v>
      </c>
      <c r="AT139" t="s">
        <v>240</v>
      </c>
      <c r="AU139" t="s">
        <v>238</v>
      </c>
      <c r="AW139" t="s">
        <v>240</v>
      </c>
      <c r="AX139" t="s">
        <v>238</v>
      </c>
      <c r="AZ139" t="s">
        <v>238</v>
      </c>
      <c r="BB139" t="s">
        <v>238</v>
      </c>
      <c r="BD139" t="s">
        <v>238</v>
      </c>
      <c r="BF139" t="s">
        <v>238</v>
      </c>
      <c r="BG139" t="s">
        <v>242</v>
      </c>
      <c r="BI139" t="s">
        <v>238</v>
      </c>
      <c r="BK139" t="s">
        <v>238</v>
      </c>
      <c r="BL139" t="s">
        <v>238</v>
      </c>
      <c r="BM139" t="s">
        <v>241</v>
      </c>
      <c r="BN139" t="s">
        <v>238</v>
      </c>
      <c r="BO139" t="s">
        <v>238</v>
      </c>
      <c r="BP139" t="s">
        <v>238</v>
      </c>
      <c r="BQ139" t="s">
        <v>240</v>
      </c>
      <c r="BR139" t="s">
        <v>238</v>
      </c>
      <c r="BT139" t="s">
        <v>240</v>
      </c>
      <c r="BU139" t="s">
        <v>238</v>
      </c>
      <c r="BX139" t="s">
        <v>238</v>
      </c>
      <c r="BY139" t="s">
        <v>238</v>
      </c>
      <c r="BZ139" t="s">
        <v>238</v>
      </c>
      <c r="CC139" t="s">
        <v>238</v>
      </c>
      <c r="CE139" t="s">
        <v>240</v>
      </c>
      <c r="CF139" t="s">
        <v>238</v>
      </c>
      <c r="CH139" t="s">
        <v>238</v>
      </c>
      <c r="CI139" t="s">
        <v>238</v>
      </c>
      <c r="CJ139" t="s">
        <v>238</v>
      </c>
      <c r="CK139" t="s">
        <v>238</v>
      </c>
    </row>
    <row r="140" spans="1:89" x14ac:dyDescent="0.25">
      <c r="A140" s="20"/>
      <c r="D140" t="s">
        <v>206</v>
      </c>
      <c r="F140" t="s">
        <v>238</v>
      </c>
      <c r="H140" t="s">
        <v>206</v>
      </c>
      <c r="J140" t="s">
        <v>240</v>
      </c>
      <c r="L140" t="s">
        <v>240</v>
      </c>
      <c r="M140" t="s">
        <v>240</v>
      </c>
      <c r="Q140" t="s">
        <v>238</v>
      </c>
      <c r="U140" t="s">
        <v>240</v>
      </c>
      <c r="AC140" t="s">
        <v>240</v>
      </c>
      <c r="AG140" t="s">
        <v>238</v>
      </c>
      <c r="AH140" t="s">
        <v>238</v>
      </c>
      <c r="AL140" t="s">
        <v>238</v>
      </c>
      <c r="AO140" t="s">
        <v>240</v>
      </c>
      <c r="AP140" t="s">
        <v>238</v>
      </c>
      <c r="AW140" t="s">
        <v>240</v>
      </c>
      <c r="BF140" t="s">
        <v>238</v>
      </c>
      <c r="BL140" t="s">
        <v>240</v>
      </c>
      <c r="BO140" t="s">
        <v>238</v>
      </c>
      <c r="BT140" t="s">
        <v>240</v>
      </c>
      <c r="BU140" t="s">
        <v>206</v>
      </c>
      <c r="BZ140" t="s">
        <v>238</v>
      </c>
      <c r="CC140" t="s">
        <v>238</v>
      </c>
      <c r="CH140" t="s">
        <v>238</v>
      </c>
      <c r="CJ140" t="s">
        <v>240</v>
      </c>
      <c r="CK140" t="s">
        <v>241</v>
      </c>
    </row>
    <row r="141" spans="1:89" x14ac:dyDescent="0.25">
      <c r="A141" s="20"/>
      <c r="D141" t="s">
        <v>239</v>
      </c>
    </row>
    <row r="142" spans="1:89" x14ac:dyDescent="0.25">
      <c r="A142" s="20"/>
      <c r="D142" t="s">
        <v>240</v>
      </c>
    </row>
    <row r="143" spans="1:89" x14ac:dyDescent="0.25">
      <c r="A143" s="20" t="s">
        <v>154</v>
      </c>
      <c r="B143" t="s">
        <v>212</v>
      </c>
      <c r="C143" t="s">
        <v>233</v>
      </c>
      <c r="D143" t="s">
        <v>240</v>
      </c>
      <c r="E143" t="s">
        <v>238</v>
      </c>
      <c r="F143" t="s">
        <v>238</v>
      </c>
      <c r="G143" t="s">
        <v>238</v>
      </c>
      <c r="H143" t="s">
        <v>238</v>
      </c>
      <c r="I143" t="s">
        <v>240</v>
      </c>
      <c r="J143" t="s">
        <v>240</v>
      </c>
      <c r="K143" t="s">
        <v>239</v>
      </c>
      <c r="L143" t="s">
        <v>238</v>
      </c>
      <c r="M143" t="s">
        <v>240</v>
      </c>
      <c r="N143" t="s">
        <v>240</v>
      </c>
      <c r="O143" t="s">
        <v>238</v>
      </c>
      <c r="P143" t="s">
        <v>206</v>
      </c>
      <c r="Q143" t="s">
        <v>238</v>
      </c>
      <c r="R143" t="s">
        <v>238</v>
      </c>
      <c r="S143" t="s">
        <v>238</v>
      </c>
      <c r="T143" t="s">
        <v>240</v>
      </c>
      <c r="U143" t="s">
        <v>238</v>
      </c>
      <c r="V143" t="s">
        <v>206</v>
      </c>
      <c r="W143" t="s">
        <v>246</v>
      </c>
      <c r="X143" t="s">
        <v>240</v>
      </c>
      <c r="Y143" t="s">
        <v>240</v>
      </c>
      <c r="Z143" t="s">
        <v>238</v>
      </c>
      <c r="AA143" t="s">
        <v>238</v>
      </c>
      <c r="AB143" t="s">
        <v>240</v>
      </c>
      <c r="AC143" t="s">
        <v>238</v>
      </c>
      <c r="AD143" t="s">
        <v>238</v>
      </c>
      <c r="AE143" t="s">
        <v>238</v>
      </c>
      <c r="AF143" t="s">
        <v>238</v>
      </c>
      <c r="AG143" t="s">
        <v>238</v>
      </c>
      <c r="AH143" t="s">
        <v>238</v>
      </c>
      <c r="AI143" t="s">
        <v>242</v>
      </c>
      <c r="AJ143" t="s">
        <v>238</v>
      </c>
      <c r="AK143" t="s">
        <v>240</v>
      </c>
      <c r="AL143" t="s">
        <v>240</v>
      </c>
      <c r="AM143" t="s">
        <v>238</v>
      </c>
      <c r="AN143" t="s">
        <v>238</v>
      </c>
      <c r="AO143" t="s">
        <v>240</v>
      </c>
      <c r="AP143" t="s">
        <v>238</v>
      </c>
      <c r="AQ143" t="s">
        <v>240</v>
      </c>
      <c r="AR143" t="s">
        <v>240</v>
      </c>
      <c r="AS143" t="s">
        <v>238</v>
      </c>
      <c r="AT143" t="s">
        <v>240</v>
      </c>
      <c r="AU143" t="s">
        <v>247</v>
      </c>
      <c r="AV143" t="s">
        <v>238</v>
      </c>
      <c r="AW143" t="s">
        <v>238</v>
      </c>
      <c r="AX143" t="s">
        <v>240</v>
      </c>
      <c r="AY143" t="s">
        <v>240</v>
      </c>
      <c r="AZ143" t="s">
        <v>238</v>
      </c>
      <c r="BA143" t="s">
        <v>238</v>
      </c>
      <c r="BB143" t="s">
        <v>240</v>
      </c>
      <c r="BC143" t="s">
        <v>238</v>
      </c>
      <c r="BD143" t="s">
        <v>238</v>
      </c>
      <c r="BE143" t="s">
        <v>240</v>
      </c>
      <c r="BF143" t="s">
        <v>238</v>
      </c>
      <c r="BG143" t="s">
        <v>240</v>
      </c>
      <c r="BH143" t="s">
        <v>238</v>
      </c>
      <c r="BI143" t="s">
        <v>247</v>
      </c>
      <c r="BJ143" t="s">
        <v>240</v>
      </c>
      <c r="BK143" t="s">
        <v>238</v>
      </c>
      <c r="BL143" t="s">
        <v>238</v>
      </c>
      <c r="BM143" t="s">
        <v>238</v>
      </c>
      <c r="BN143" t="s">
        <v>240</v>
      </c>
      <c r="BO143" t="s">
        <v>238</v>
      </c>
      <c r="BP143" t="s">
        <v>238</v>
      </c>
      <c r="BQ143" t="s">
        <v>238</v>
      </c>
      <c r="BR143" t="s">
        <v>238</v>
      </c>
      <c r="BS143" t="s">
        <v>240</v>
      </c>
      <c r="BT143" t="s">
        <v>206</v>
      </c>
      <c r="BU143" t="s">
        <v>238</v>
      </c>
      <c r="BV143" t="s">
        <v>238</v>
      </c>
      <c r="BW143" t="s">
        <v>238</v>
      </c>
      <c r="BX143" t="s">
        <v>238</v>
      </c>
      <c r="BY143" t="s">
        <v>206</v>
      </c>
      <c r="BZ143" t="s">
        <v>238</v>
      </c>
      <c r="CA143" t="s">
        <v>238</v>
      </c>
      <c r="CB143" t="s">
        <v>240</v>
      </c>
      <c r="CC143" t="s">
        <v>238</v>
      </c>
      <c r="CD143" t="s">
        <v>240</v>
      </c>
      <c r="CE143" t="s">
        <v>238</v>
      </c>
      <c r="CF143" t="s">
        <v>238</v>
      </c>
      <c r="CG143" t="s">
        <v>238</v>
      </c>
      <c r="CH143" t="s">
        <v>238</v>
      </c>
      <c r="CI143" t="s">
        <v>240</v>
      </c>
      <c r="CJ143" t="s">
        <v>238</v>
      </c>
      <c r="CK143" t="s">
        <v>238</v>
      </c>
    </row>
    <row r="144" spans="1:89" x14ac:dyDescent="0.25">
      <c r="A144" s="20"/>
      <c r="D144" t="s">
        <v>238</v>
      </c>
      <c r="E144" t="s">
        <v>238</v>
      </c>
      <c r="F144" t="s">
        <v>238</v>
      </c>
      <c r="H144" t="s">
        <v>206</v>
      </c>
      <c r="I144" t="s">
        <v>240</v>
      </c>
      <c r="J144" t="s">
        <v>240</v>
      </c>
      <c r="L144" t="s">
        <v>238</v>
      </c>
      <c r="M144" t="s">
        <v>240</v>
      </c>
      <c r="P144" t="s">
        <v>206</v>
      </c>
      <c r="Q144" t="s">
        <v>238</v>
      </c>
      <c r="R144" t="s">
        <v>240</v>
      </c>
      <c r="S144" t="s">
        <v>239</v>
      </c>
      <c r="T144" t="s">
        <v>240</v>
      </c>
      <c r="U144" t="s">
        <v>238</v>
      </c>
      <c r="Y144" t="s">
        <v>240</v>
      </c>
      <c r="Z144" t="s">
        <v>238</v>
      </c>
      <c r="AA144" t="s">
        <v>238</v>
      </c>
      <c r="AC144" t="s">
        <v>240</v>
      </c>
      <c r="AD144" t="s">
        <v>238</v>
      </c>
      <c r="AF144" t="s">
        <v>206</v>
      </c>
      <c r="AG144" t="s">
        <v>238</v>
      </c>
      <c r="AH144" t="s">
        <v>238</v>
      </c>
      <c r="AK144" t="s">
        <v>240</v>
      </c>
      <c r="AL144" t="s">
        <v>240</v>
      </c>
      <c r="AM144" t="s">
        <v>238</v>
      </c>
      <c r="AN144" t="s">
        <v>238</v>
      </c>
      <c r="AO144" t="s">
        <v>240</v>
      </c>
      <c r="AP144" t="s">
        <v>240</v>
      </c>
      <c r="AR144" t="s">
        <v>240</v>
      </c>
      <c r="AT144" t="s">
        <v>240</v>
      </c>
      <c r="AU144" t="s">
        <v>247</v>
      </c>
      <c r="AV144" t="s">
        <v>238</v>
      </c>
      <c r="AW144" t="s">
        <v>238</v>
      </c>
      <c r="AX144" t="s">
        <v>240</v>
      </c>
      <c r="AZ144" t="s">
        <v>238</v>
      </c>
      <c r="BB144" t="s">
        <v>238</v>
      </c>
      <c r="BF144" t="s">
        <v>238</v>
      </c>
      <c r="BG144" t="s">
        <v>238</v>
      </c>
      <c r="BI144" t="s">
        <v>238</v>
      </c>
      <c r="BK144" t="s">
        <v>238</v>
      </c>
      <c r="BN144" t="s">
        <v>238</v>
      </c>
      <c r="BO144" t="s">
        <v>238</v>
      </c>
      <c r="BQ144" t="s">
        <v>206</v>
      </c>
      <c r="BR144" t="s">
        <v>238</v>
      </c>
      <c r="BT144" t="s">
        <v>240</v>
      </c>
      <c r="BU144" t="s">
        <v>206</v>
      </c>
      <c r="BX144" t="s">
        <v>238</v>
      </c>
      <c r="BY144" t="s">
        <v>238</v>
      </c>
      <c r="BZ144" t="s">
        <v>238</v>
      </c>
      <c r="CA144" t="s">
        <v>239</v>
      </c>
      <c r="CC144" t="s">
        <v>238</v>
      </c>
      <c r="CE144" t="s">
        <v>238</v>
      </c>
      <c r="CF144" t="s">
        <v>239</v>
      </c>
      <c r="CH144" t="s">
        <v>238</v>
      </c>
      <c r="CI144" t="s">
        <v>240</v>
      </c>
      <c r="CJ144" t="s">
        <v>240</v>
      </c>
      <c r="CK144" t="s">
        <v>238</v>
      </c>
    </row>
    <row r="145" spans="1:89" x14ac:dyDescent="0.25">
      <c r="A145" s="20"/>
      <c r="D145" t="s">
        <v>239</v>
      </c>
      <c r="E145" t="s">
        <v>238</v>
      </c>
      <c r="F145" t="s">
        <v>238</v>
      </c>
      <c r="H145" t="s">
        <v>206</v>
      </c>
      <c r="J145" t="s">
        <v>240</v>
      </c>
      <c r="L145" t="s">
        <v>240</v>
      </c>
      <c r="M145" t="s">
        <v>240</v>
      </c>
      <c r="Q145" t="s">
        <v>238</v>
      </c>
      <c r="S145" t="s">
        <v>240</v>
      </c>
      <c r="U145" t="s">
        <v>238</v>
      </c>
      <c r="AC145" t="s">
        <v>240</v>
      </c>
      <c r="AF145" t="s">
        <v>238</v>
      </c>
      <c r="AL145" t="s">
        <v>240</v>
      </c>
      <c r="AO145" t="s">
        <v>240</v>
      </c>
      <c r="AP145" t="s">
        <v>238</v>
      </c>
      <c r="AW145" t="s">
        <v>238</v>
      </c>
      <c r="AZ145" t="s">
        <v>240</v>
      </c>
      <c r="BF145" t="s">
        <v>238</v>
      </c>
      <c r="BT145" t="s">
        <v>240</v>
      </c>
      <c r="BU145" t="s">
        <v>206</v>
      </c>
      <c r="BZ145" t="s">
        <v>238</v>
      </c>
      <c r="CC145" t="s">
        <v>238</v>
      </c>
      <c r="CH145" t="s">
        <v>238</v>
      </c>
      <c r="CI145" t="s">
        <v>240</v>
      </c>
    </row>
    <row r="146" spans="1:89" x14ac:dyDescent="0.25">
      <c r="A146" s="20"/>
      <c r="D146" t="s">
        <v>239</v>
      </c>
    </row>
    <row r="147" spans="1:89" x14ac:dyDescent="0.25">
      <c r="A147" s="20"/>
      <c r="D147" t="s">
        <v>240</v>
      </c>
    </row>
    <row r="148" spans="1:89" x14ac:dyDescent="0.25">
      <c r="A148" s="20" t="s">
        <v>155</v>
      </c>
      <c r="B148" t="s">
        <v>213</v>
      </c>
      <c r="C148" t="s">
        <v>234</v>
      </c>
      <c r="D148" t="s">
        <v>238</v>
      </c>
      <c r="E148" t="s">
        <v>238</v>
      </c>
      <c r="F148" t="s">
        <v>238</v>
      </c>
      <c r="G148" t="s">
        <v>240</v>
      </c>
      <c r="H148" t="s">
        <v>238</v>
      </c>
      <c r="I148" t="s">
        <v>240</v>
      </c>
      <c r="J148" t="s">
        <v>240</v>
      </c>
      <c r="K148" t="s">
        <v>238</v>
      </c>
      <c r="L148" t="s">
        <v>238</v>
      </c>
      <c r="M148" t="s">
        <v>240</v>
      </c>
      <c r="N148" t="s">
        <v>238</v>
      </c>
      <c r="O148" t="s">
        <v>238</v>
      </c>
      <c r="P148" t="s">
        <v>238</v>
      </c>
      <c r="Q148" t="s">
        <v>238</v>
      </c>
      <c r="R148" t="s">
        <v>238</v>
      </c>
      <c r="S148" t="s">
        <v>240</v>
      </c>
      <c r="T148" t="s">
        <v>240</v>
      </c>
      <c r="U148" t="s">
        <v>238</v>
      </c>
      <c r="V148" t="s">
        <v>240</v>
      </c>
      <c r="W148" t="s">
        <v>247</v>
      </c>
      <c r="X148" t="s">
        <v>240</v>
      </c>
      <c r="Y148" t="s">
        <v>240</v>
      </c>
      <c r="Z148" t="s">
        <v>238</v>
      </c>
      <c r="AA148" t="s">
        <v>238</v>
      </c>
      <c r="AB148" t="s">
        <v>243</v>
      </c>
      <c r="AC148" t="s">
        <v>238</v>
      </c>
      <c r="AD148" t="s">
        <v>240</v>
      </c>
      <c r="AE148" t="s">
        <v>238</v>
      </c>
      <c r="AF148" t="s">
        <v>238</v>
      </c>
      <c r="AG148" t="s">
        <v>240</v>
      </c>
      <c r="AH148" t="s">
        <v>238</v>
      </c>
      <c r="AI148" t="s">
        <v>239</v>
      </c>
      <c r="AJ148" t="s">
        <v>240</v>
      </c>
      <c r="AK148" t="s">
        <v>240</v>
      </c>
      <c r="AL148" t="s">
        <v>240</v>
      </c>
      <c r="AM148" t="s">
        <v>238</v>
      </c>
      <c r="AN148" t="s">
        <v>238</v>
      </c>
      <c r="AO148" t="s">
        <v>240</v>
      </c>
      <c r="AP148" t="s">
        <v>240</v>
      </c>
      <c r="AQ148" t="s">
        <v>238</v>
      </c>
      <c r="AR148" t="s">
        <v>240</v>
      </c>
      <c r="AS148" t="s">
        <v>239</v>
      </c>
      <c r="AT148" t="s">
        <v>240</v>
      </c>
      <c r="AU148" t="s">
        <v>247</v>
      </c>
      <c r="AV148" t="s">
        <v>238</v>
      </c>
      <c r="AW148" t="s">
        <v>238</v>
      </c>
      <c r="AX148" t="s">
        <v>238</v>
      </c>
      <c r="AY148" t="s">
        <v>238</v>
      </c>
      <c r="AZ148" t="s">
        <v>238</v>
      </c>
      <c r="BA148" t="s">
        <v>240</v>
      </c>
      <c r="BB148" t="s">
        <v>238</v>
      </c>
      <c r="BC148" t="s">
        <v>247</v>
      </c>
      <c r="BD148" t="s">
        <v>238</v>
      </c>
      <c r="BE148" t="s">
        <v>240</v>
      </c>
      <c r="BF148" t="s">
        <v>238</v>
      </c>
      <c r="BG148" t="s">
        <v>243</v>
      </c>
      <c r="BH148" t="s">
        <v>238</v>
      </c>
      <c r="BI148" t="s">
        <v>238</v>
      </c>
      <c r="BJ148" t="s">
        <v>240</v>
      </c>
      <c r="BK148" t="s">
        <v>238</v>
      </c>
      <c r="BL148" t="s">
        <v>240</v>
      </c>
      <c r="BM148" t="s">
        <v>238</v>
      </c>
      <c r="BN148" t="s">
        <v>238</v>
      </c>
      <c r="BO148" t="s">
        <v>238</v>
      </c>
      <c r="BP148" t="s">
        <v>238</v>
      </c>
      <c r="BQ148" t="s">
        <v>238</v>
      </c>
      <c r="BR148" t="s">
        <v>238</v>
      </c>
      <c r="BS148" t="s">
        <v>238</v>
      </c>
      <c r="BT148" t="s">
        <v>240</v>
      </c>
      <c r="BU148" t="s">
        <v>238</v>
      </c>
      <c r="BV148" t="s">
        <v>240</v>
      </c>
      <c r="BW148" t="s">
        <v>238</v>
      </c>
      <c r="BX148" t="s">
        <v>238</v>
      </c>
      <c r="BY148" t="s">
        <v>238</v>
      </c>
      <c r="BZ148" t="s">
        <v>238</v>
      </c>
      <c r="CA148" t="s">
        <v>240</v>
      </c>
      <c r="CB148" t="s">
        <v>238</v>
      </c>
      <c r="CC148" t="s">
        <v>238</v>
      </c>
      <c r="CD148" t="s">
        <v>238</v>
      </c>
      <c r="CE148" t="s">
        <v>238</v>
      </c>
      <c r="CF148" t="s">
        <v>247</v>
      </c>
      <c r="CG148" t="s">
        <v>206</v>
      </c>
      <c r="CH148" t="s">
        <v>206</v>
      </c>
      <c r="CI148" t="s">
        <v>240</v>
      </c>
      <c r="CJ148" t="s">
        <v>238</v>
      </c>
      <c r="CK148" t="s">
        <v>206</v>
      </c>
    </row>
    <row r="149" spans="1:89" x14ac:dyDescent="0.25">
      <c r="A149" s="20"/>
      <c r="D149" t="s">
        <v>238</v>
      </c>
      <c r="E149" t="s">
        <v>238</v>
      </c>
      <c r="F149" t="s">
        <v>238</v>
      </c>
      <c r="H149" t="s">
        <v>239</v>
      </c>
      <c r="I149" t="s">
        <v>240</v>
      </c>
      <c r="J149" t="s">
        <v>240</v>
      </c>
      <c r="K149" t="s">
        <v>239</v>
      </c>
      <c r="L149" t="s">
        <v>238</v>
      </c>
      <c r="M149" t="s">
        <v>206</v>
      </c>
      <c r="N149" t="s">
        <v>238</v>
      </c>
      <c r="P149" t="s">
        <v>238</v>
      </c>
      <c r="Q149" t="s">
        <v>238</v>
      </c>
      <c r="S149" t="s">
        <v>240</v>
      </c>
      <c r="T149" t="s">
        <v>240</v>
      </c>
      <c r="U149" t="s">
        <v>238</v>
      </c>
      <c r="Y149" t="s">
        <v>240</v>
      </c>
      <c r="Z149" t="s">
        <v>238</v>
      </c>
      <c r="AA149" t="s">
        <v>238</v>
      </c>
      <c r="AB149" t="s">
        <v>243</v>
      </c>
      <c r="AC149" t="s">
        <v>243</v>
      </c>
      <c r="AD149" t="s">
        <v>240</v>
      </c>
      <c r="AF149" t="s">
        <v>206</v>
      </c>
      <c r="AG149" t="s">
        <v>238</v>
      </c>
      <c r="AH149" t="s">
        <v>238</v>
      </c>
      <c r="AJ149" t="s">
        <v>240</v>
      </c>
      <c r="AL149" t="s">
        <v>240</v>
      </c>
      <c r="AM149" t="s">
        <v>238</v>
      </c>
      <c r="AN149" t="s">
        <v>238</v>
      </c>
      <c r="AO149" t="s">
        <v>240</v>
      </c>
      <c r="AP149" t="s">
        <v>239</v>
      </c>
      <c r="AR149" t="s">
        <v>240</v>
      </c>
      <c r="AT149" t="s">
        <v>238</v>
      </c>
      <c r="AU149" t="s">
        <v>238</v>
      </c>
      <c r="AW149" t="s">
        <v>238</v>
      </c>
      <c r="AZ149" t="s">
        <v>240</v>
      </c>
      <c r="BD149" t="s">
        <v>238</v>
      </c>
      <c r="BF149" t="s">
        <v>238</v>
      </c>
      <c r="BG149" t="s">
        <v>238</v>
      </c>
      <c r="BI149" t="s">
        <v>238</v>
      </c>
      <c r="BK149" t="s">
        <v>238</v>
      </c>
      <c r="BN149" t="s">
        <v>238</v>
      </c>
      <c r="BO149" t="s">
        <v>238</v>
      </c>
      <c r="BQ149" t="s">
        <v>238</v>
      </c>
      <c r="BR149" t="s">
        <v>238</v>
      </c>
      <c r="BT149" t="s">
        <v>206</v>
      </c>
      <c r="BU149" t="s">
        <v>242</v>
      </c>
      <c r="BX149" t="s">
        <v>239</v>
      </c>
      <c r="BY149" t="s">
        <v>238</v>
      </c>
      <c r="BZ149" t="s">
        <v>206</v>
      </c>
      <c r="CA149" t="s">
        <v>240</v>
      </c>
      <c r="CC149" t="s">
        <v>238</v>
      </c>
      <c r="CE149" t="s">
        <v>238</v>
      </c>
      <c r="CF149" t="s">
        <v>247</v>
      </c>
      <c r="CG149" t="s">
        <v>247</v>
      </c>
      <c r="CH149" t="s">
        <v>247</v>
      </c>
      <c r="CI149" t="s">
        <v>240</v>
      </c>
      <c r="CJ149" t="s">
        <v>238</v>
      </c>
      <c r="CK149" t="s">
        <v>238</v>
      </c>
    </row>
    <row r="150" spans="1:89" x14ac:dyDescent="0.25">
      <c r="A150" s="20"/>
      <c r="D150" t="s">
        <v>238</v>
      </c>
      <c r="F150" t="s">
        <v>238</v>
      </c>
      <c r="H150" t="s">
        <v>239</v>
      </c>
      <c r="J150" t="s">
        <v>240</v>
      </c>
      <c r="L150" t="s">
        <v>240</v>
      </c>
      <c r="M150" t="s">
        <v>240</v>
      </c>
      <c r="Q150" t="s">
        <v>239</v>
      </c>
      <c r="S150" t="s">
        <v>240</v>
      </c>
      <c r="U150" t="s">
        <v>238</v>
      </c>
      <c r="AC150" t="s">
        <v>238</v>
      </c>
      <c r="AF150" t="s">
        <v>206</v>
      </c>
      <c r="AG150" t="s">
        <v>238</v>
      </c>
      <c r="AJ150" t="s">
        <v>240</v>
      </c>
      <c r="AL150" t="s">
        <v>240</v>
      </c>
      <c r="AO150" t="s">
        <v>240</v>
      </c>
      <c r="AP150" t="s">
        <v>238</v>
      </c>
      <c r="AW150" t="s">
        <v>240</v>
      </c>
      <c r="AZ150" t="s">
        <v>240</v>
      </c>
      <c r="BF150" t="s">
        <v>238</v>
      </c>
      <c r="BT150" t="s">
        <v>240</v>
      </c>
      <c r="BZ150" t="s">
        <v>238</v>
      </c>
      <c r="CC150" t="s">
        <v>238</v>
      </c>
      <c r="CG150" t="s">
        <v>247</v>
      </c>
      <c r="CH150" t="s">
        <v>247</v>
      </c>
      <c r="CI150" t="s">
        <v>206</v>
      </c>
      <c r="CK150" t="s">
        <v>206</v>
      </c>
    </row>
    <row r="151" spans="1:89" x14ac:dyDescent="0.25">
      <c r="A151" s="20"/>
      <c r="D151" t="s">
        <v>206</v>
      </c>
    </row>
    <row r="152" spans="1:89" x14ac:dyDescent="0.25">
      <c r="A152" s="20"/>
      <c r="D152" t="s">
        <v>206</v>
      </c>
    </row>
    <row r="153" spans="1:89" x14ac:dyDescent="0.25">
      <c r="A153" s="20" t="s">
        <v>156</v>
      </c>
      <c r="B153" t="s">
        <v>209</v>
      </c>
      <c r="C153" t="s">
        <v>207</v>
      </c>
      <c r="D153" t="s">
        <v>238</v>
      </c>
      <c r="E153" t="s">
        <v>238</v>
      </c>
      <c r="F153" t="s">
        <v>240</v>
      </c>
      <c r="G153" t="s">
        <v>238</v>
      </c>
      <c r="H153" t="s">
        <v>238</v>
      </c>
      <c r="I153" t="s">
        <v>240</v>
      </c>
      <c r="J153" t="s">
        <v>240</v>
      </c>
      <c r="K153" t="s">
        <v>240</v>
      </c>
      <c r="L153" t="s">
        <v>240</v>
      </c>
      <c r="M153" t="s">
        <v>240</v>
      </c>
      <c r="N153" t="s">
        <v>238</v>
      </c>
      <c r="O153" t="s">
        <v>239</v>
      </c>
      <c r="P153" t="s">
        <v>238</v>
      </c>
      <c r="Q153" t="s">
        <v>240</v>
      </c>
      <c r="R153" t="s">
        <v>239</v>
      </c>
      <c r="S153" t="s">
        <v>240</v>
      </c>
      <c r="T153" t="s">
        <v>238</v>
      </c>
      <c r="U153" t="s">
        <v>238</v>
      </c>
      <c r="V153" t="s">
        <v>239</v>
      </c>
      <c r="W153" t="s">
        <v>238</v>
      </c>
      <c r="X153" t="s">
        <v>238</v>
      </c>
      <c r="Y153" t="s">
        <v>240</v>
      </c>
      <c r="Z153" t="s">
        <v>238</v>
      </c>
      <c r="AA153" t="s">
        <v>247</v>
      </c>
      <c r="AB153" t="s">
        <v>238</v>
      </c>
      <c r="AC153" t="s">
        <v>241</v>
      </c>
      <c r="AD153" t="s">
        <v>238</v>
      </c>
      <c r="AE153" t="s">
        <v>238</v>
      </c>
      <c r="AF153" t="s">
        <v>238</v>
      </c>
      <c r="AG153" t="s">
        <v>238</v>
      </c>
      <c r="AH153" t="s">
        <v>238</v>
      </c>
      <c r="AI153" t="s">
        <v>240</v>
      </c>
      <c r="AJ153" t="s">
        <v>238</v>
      </c>
      <c r="AK153" t="s">
        <v>240</v>
      </c>
      <c r="AL153" t="s">
        <v>240</v>
      </c>
      <c r="AM153" t="s">
        <v>238</v>
      </c>
      <c r="AN153" t="s">
        <v>238</v>
      </c>
      <c r="AO153" t="s">
        <v>238</v>
      </c>
      <c r="AP153" t="s">
        <v>238</v>
      </c>
      <c r="AQ153" t="s">
        <v>238</v>
      </c>
      <c r="AR153" t="s">
        <v>240</v>
      </c>
      <c r="AS153" t="s">
        <v>238</v>
      </c>
      <c r="AT153" t="s">
        <v>240</v>
      </c>
      <c r="AU153" t="s">
        <v>241</v>
      </c>
      <c r="AV153" t="s">
        <v>238</v>
      </c>
      <c r="AW153" t="s">
        <v>238</v>
      </c>
      <c r="AX153" t="s">
        <v>240</v>
      </c>
      <c r="AY153" t="s">
        <v>240</v>
      </c>
      <c r="AZ153" t="s">
        <v>238</v>
      </c>
      <c r="BA153" t="s">
        <v>238</v>
      </c>
      <c r="BB153" t="s">
        <v>238</v>
      </c>
      <c r="BC153" t="s">
        <v>238</v>
      </c>
      <c r="BD153" t="s">
        <v>240</v>
      </c>
      <c r="BE153" t="s">
        <v>243</v>
      </c>
      <c r="BF153" t="s">
        <v>238</v>
      </c>
      <c r="BG153" t="s">
        <v>238</v>
      </c>
      <c r="BH153" t="s">
        <v>238</v>
      </c>
      <c r="BI153" t="s">
        <v>238</v>
      </c>
      <c r="BJ153" t="s">
        <v>239</v>
      </c>
      <c r="BK153" t="s">
        <v>238</v>
      </c>
      <c r="BL153" t="s">
        <v>240</v>
      </c>
      <c r="BM153" t="s">
        <v>238</v>
      </c>
      <c r="BN153" t="s">
        <v>240</v>
      </c>
      <c r="BO153" t="s">
        <v>206</v>
      </c>
      <c r="BP153" t="s">
        <v>240</v>
      </c>
      <c r="BQ153" t="s">
        <v>238</v>
      </c>
      <c r="BR153" t="s">
        <v>247</v>
      </c>
      <c r="BS153" t="s">
        <v>238</v>
      </c>
      <c r="BT153" t="s">
        <v>238</v>
      </c>
      <c r="BU153" t="s">
        <v>238</v>
      </c>
      <c r="BV153" t="s">
        <v>238</v>
      </c>
      <c r="BW153" t="s">
        <v>240</v>
      </c>
      <c r="BX153" t="s">
        <v>238</v>
      </c>
      <c r="BY153" t="s">
        <v>206</v>
      </c>
      <c r="BZ153" t="s">
        <v>238</v>
      </c>
      <c r="CA153" t="s">
        <v>238</v>
      </c>
      <c r="CB153" t="s">
        <v>238</v>
      </c>
      <c r="CC153" t="s">
        <v>238</v>
      </c>
      <c r="CD153" t="s">
        <v>240</v>
      </c>
      <c r="CE153" t="s">
        <v>238</v>
      </c>
      <c r="CF153" t="s">
        <v>247</v>
      </c>
      <c r="CG153" t="s">
        <v>239</v>
      </c>
      <c r="CH153" t="s">
        <v>206</v>
      </c>
      <c r="CI153" t="s">
        <v>240</v>
      </c>
      <c r="CJ153" t="s">
        <v>239</v>
      </c>
      <c r="CK153" t="s">
        <v>240</v>
      </c>
    </row>
    <row r="154" spans="1:89" x14ac:dyDescent="0.25">
      <c r="A154" s="20"/>
      <c r="D154" t="s">
        <v>238</v>
      </c>
      <c r="E154" t="s">
        <v>238</v>
      </c>
      <c r="F154" t="s">
        <v>240</v>
      </c>
      <c r="H154" t="s">
        <v>240</v>
      </c>
      <c r="I154" t="s">
        <v>240</v>
      </c>
      <c r="J154" t="s">
        <v>240</v>
      </c>
      <c r="K154" t="s">
        <v>240</v>
      </c>
      <c r="L154" t="s">
        <v>240</v>
      </c>
      <c r="M154" t="s">
        <v>206</v>
      </c>
      <c r="P154" t="s">
        <v>238</v>
      </c>
      <c r="Q154" t="s">
        <v>238</v>
      </c>
      <c r="R154" t="s">
        <v>239</v>
      </c>
      <c r="S154" t="s">
        <v>240</v>
      </c>
      <c r="T154" t="s">
        <v>240</v>
      </c>
      <c r="Y154" t="s">
        <v>240</v>
      </c>
      <c r="Z154" t="s">
        <v>238</v>
      </c>
      <c r="AA154" t="s">
        <v>247</v>
      </c>
      <c r="AB154" t="s">
        <v>238</v>
      </c>
      <c r="AC154" t="s">
        <v>238</v>
      </c>
      <c r="AD154" t="s">
        <v>238</v>
      </c>
      <c r="AF154" t="s">
        <v>238</v>
      </c>
      <c r="AG154" t="s">
        <v>238</v>
      </c>
      <c r="AH154" t="s">
        <v>238</v>
      </c>
      <c r="AJ154" t="s">
        <v>240</v>
      </c>
      <c r="AK154" t="s">
        <v>239</v>
      </c>
      <c r="AL154" t="s">
        <v>240</v>
      </c>
      <c r="AM154" t="s">
        <v>241</v>
      </c>
      <c r="AN154" t="s">
        <v>238</v>
      </c>
      <c r="AO154" t="s">
        <v>240</v>
      </c>
      <c r="AP154" t="s">
        <v>238</v>
      </c>
      <c r="AT154" t="s">
        <v>240</v>
      </c>
      <c r="AU154" t="s">
        <v>247</v>
      </c>
      <c r="AV154" t="s">
        <v>238</v>
      </c>
      <c r="AW154" t="s">
        <v>238</v>
      </c>
      <c r="AX154" t="s">
        <v>238</v>
      </c>
      <c r="AZ154" t="s">
        <v>239</v>
      </c>
      <c r="BB154" t="s">
        <v>238</v>
      </c>
      <c r="BD154" t="s">
        <v>241</v>
      </c>
      <c r="BF154" t="s">
        <v>238</v>
      </c>
      <c r="BI154" t="s">
        <v>250</v>
      </c>
      <c r="BK154" t="s">
        <v>238</v>
      </c>
      <c r="BN154" t="s">
        <v>240</v>
      </c>
      <c r="BO154" t="s">
        <v>238</v>
      </c>
      <c r="BQ154" t="s">
        <v>239</v>
      </c>
      <c r="BR154" t="s">
        <v>238</v>
      </c>
      <c r="BT154" t="s">
        <v>240</v>
      </c>
      <c r="BU154" t="s">
        <v>238</v>
      </c>
      <c r="BX154" t="s">
        <v>238</v>
      </c>
      <c r="BY154" t="s">
        <v>206</v>
      </c>
      <c r="BZ154" t="s">
        <v>238</v>
      </c>
      <c r="CA154" t="s">
        <v>238</v>
      </c>
      <c r="CC154" t="s">
        <v>238</v>
      </c>
      <c r="CE154" t="s">
        <v>238</v>
      </c>
      <c r="CF154" t="s">
        <v>238</v>
      </c>
      <c r="CG154" t="s">
        <v>239</v>
      </c>
      <c r="CH154" t="s">
        <v>238</v>
      </c>
      <c r="CI154" t="s">
        <v>240</v>
      </c>
      <c r="CJ154" t="s">
        <v>238</v>
      </c>
      <c r="CK154" t="s">
        <v>238</v>
      </c>
    </row>
    <row r="155" spans="1:89" x14ac:dyDescent="0.25">
      <c r="A155" s="20"/>
      <c r="D155" t="s">
        <v>238</v>
      </c>
      <c r="F155" t="s">
        <v>240</v>
      </c>
      <c r="J155" t="s">
        <v>240</v>
      </c>
      <c r="L155" t="s">
        <v>238</v>
      </c>
      <c r="M155" t="s">
        <v>238</v>
      </c>
      <c r="Q155" t="s">
        <v>238</v>
      </c>
      <c r="AC155" t="s">
        <v>240</v>
      </c>
      <c r="AF155" t="s">
        <v>238</v>
      </c>
      <c r="AG155" t="s">
        <v>238</v>
      </c>
      <c r="AH155" t="s">
        <v>238</v>
      </c>
      <c r="AJ155" t="s">
        <v>240</v>
      </c>
      <c r="AL155" t="s">
        <v>240</v>
      </c>
      <c r="AO155" t="s">
        <v>240</v>
      </c>
      <c r="AW155" t="s">
        <v>238</v>
      </c>
      <c r="AZ155" t="s">
        <v>238</v>
      </c>
      <c r="BD155" t="s">
        <v>243</v>
      </c>
      <c r="BF155" t="s">
        <v>238</v>
      </c>
      <c r="BO155" t="s">
        <v>238</v>
      </c>
      <c r="BT155" t="s">
        <v>240</v>
      </c>
      <c r="BU155" t="s">
        <v>239</v>
      </c>
      <c r="BZ155" t="s">
        <v>238</v>
      </c>
      <c r="CC155" t="s">
        <v>238</v>
      </c>
      <c r="CH155" t="s">
        <v>238</v>
      </c>
      <c r="CJ155" t="s">
        <v>242</v>
      </c>
      <c r="CK155" t="s">
        <v>240</v>
      </c>
    </row>
    <row r="156" spans="1:89" x14ac:dyDescent="0.25">
      <c r="A156" s="20"/>
      <c r="D156" t="s">
        <v>238</v>
      </c>
    </row>
    <row r="157" spans="1:89" x14ac:dyDescent="0.25">
      <c r="A157" s="20"/>
      <c r="D157" t="s">
        <v>240</v>
      </c>
    </row>
    <row r="158" spans="1:89" x14ac:dyDescent="0.25">
      <c r="A158" s="20" t="s">
        <v>157</v>
      </c>
      <c r="B158" t="s">
        <v>214</v>
      </c>
      <c r="C158" t="s">
        <v>214</v>
      </c>
      <c r="D158" t="s">
        <v>240</v>
      </c>
      <c r="E158" t="s">
        <v>238</v>
      </c>
      <c r="F158" t="s">
        <v>239</v>
      </c>
      <c r="G158" t="s">
        <v>240</v>
      </c>
      <c r="H158" t="s">
        <v>238</v>
      </c>
      <c r="I158" t="s">
        <v>215</v>
      </c>
      <c r="J158" t="s">
        <v>215</v>
      </c>
      <c r="K158" t="s">
        <v>216</v>
      </c>
      <c r="L158" t="s">
        <v>215</v>
      </c>
      <c r="M158" t="s">
        <v>214</v>
      </c>
      <c r="N158" t="s">
        <v>214</v>
      </c>
      <c r="O158" t="s">
        <v>235</v>
      </c>
      <c r="P158" t="s">
        <v>245</v>
      </c>
      <c r="Q158" t="s">
        <v>215</v>
      </c>
      <c r="R158" t="s">
        <v>235</v>
      </c>
      <c r="S158" t="s">
        <v>214</v>
      </c>
      <c r="T158" t="s">
        <v>215</v>
      </c>
      <c r="U158" t="s">
        <v>214</v>
      </c>
      <c r="V158" t="s">
        <v>240</v>
      </c>
      <c r="W158" t="s">
        <v>214</v>
      </c>
      <c r="X158" t="s">
        <v>214</v>
      </c>
      <c r="Y158" t="s">
        <v>214</v>
      </c>
      <c r="Z158" t="s">
        <v>235</v>
      </c>
      <c r="AA158" t="s">
        <v>238</v>
      </c>
      <c r="AB158" t="s">
        <v>238</v>
      </c>
      <c r="AC158" t="s">
        <v>214</v>
      </c>
      <c r="AD158" t="s">
        <v>214</v>
      </c>
      <c r="AE158" t="s">
        <v>235</v>
      </c>
      <c r="AF158" t="s">
        <v>240</v>
      </c>
      <c r="AG158" t="s">
        <v>239</v>
      </c>
      <c r="AH158" t="s">
        <v>214</v>
      </c>
      <c r="AI158" t="s">
        <v>215</v>
      </c>
      <c r="AJ158" t="s">
        <v>215</v>
      </c>
      <c r="AK158" t="s">
        <v>215</v>
      </c>
      <c r="AL158" t="s">
        <v>238</v>
      </c>
      <c r="AM158" t="s">
        <v>214</v>
      </c>
      <c r="AN158" t="s">
        <v>214</v>
      </c>
      <c r="AO158" t="s">
        <v>214</v>
      </c>
      <c r="AP158" t="s">
        <v>215</v>
      </c>
      <c r="AQ158" t="s">
        <v>215</v>
      </c>
      <c r="AR158" t="s">
        <v>206</v>
      </c>
      <c r="AS158" t="s">
        <v>235</v>
      </c>
      <c r="AT158" t="s">
        <v>215</v>
      </c>
      <c r="AU158" t="s">
        <v>238</v>
      </c>
      <c r="AV158" t="s">
        <v>238</v>
      </c>
      <c r="AW158" t="s">
        <v>214</v>
      </c>
      <c r="AX158" t="s">
        <v>214</v>
      </c>
      <c r="AY158" t="s">
        <v>214</v>
      </c>
      <c r="AZ158" t="s">
        <v>214</v>
      </c>
      <c r="BA158" t="s">
        <v>235</v>
      </c>
      <c r="BB158" t="s">
        <v>215</v>
      </c>
      <c r="BC158" t="s">
        <v>214</v>
      </c>
      <c r="BD158" t="s">
        <v>248</v>
      </c>
      <c r="BE158" t="s">
        <v>215</v>
      </c>
      <c r="BF158" t="s">
        <v>214</v>
      </c>
      <c r="BG158" t="s">
        <v>214</v>
      </c>
      <c r="BH158" t="s">
        <v>235</v>
      </c>
      <c r="BI158" t="s">
        <v>214</v>
      </c>
      <c r="BJ158" t="s">
        <v>214</v>
      </c>
      <c r="BK158" t="s">
        <v>214</v>
      </c>
      <c r="BL158" t="s">
        <v>235</v>
      </c>
      <c r="BM158" t="s">
        <v>214</v>
      </c>
      <c r="BN158" t="s">
        <v>214</v>
      </c>
      <c r="BO158" t="s">
        <v>214</v>
      </c>
      <c r="BP158" t="s">
        <v>214</v>
      </c>
      <c r="BQ158" t="s">
        <v>238</v>
      </c>
      <c r="BR158" t="s">
        <v>214</v>
      </c>
      <c r="BS158" t="s">
        <v>215</v>
      </c>
      <c r="BT158" t="s">
        <v>215</v>
      </c>
      <c r="BU158" t="s">
        <v>215</v>
      </c>
      <c r="BV158" t="s">
        <v>214</v>
      </c>
      <c r="BW158" t="s">
        <v>214</v>
      </c>
      <c r="BX158" t="s">
        <v>214</v>
      </c>
      <c r="BY158" t="s">
        <v>238</v>
      </c>
      <c r="BZ158" t="s">
        <v>214</v>
      </c>
      <c r="CA158" t="s">
        <v>214</v>
      </c>
      <c r="CB158" t="s">
        <v>214</v>
      </c>
      <c r="CC158" t="s">
        <v>235</v>
      </c>
      <c r="CD158" t="s">
        <v>214</v>
      </c>
      <c r="CE158" t="s">
        <v>215</v>
      </c>
      <c r="CF158" t="s">
        <v>238</v>
      </c>
      <c r="CG158" t="s">
        <v>215</v>
      </c>
      <c r="CH158" t="s">
        <v>240</v>
      </c>
      <c r="CI158" t="s">
        <v>215</v>
      </c>
      <c r="CJ158" t="s">
        <v>244</v>
      </c>
      <c r="CK158" t="s">
        <v>217</v>
      </c>
    </row>
    <row r="159" spans="1:89" x14ac:dyDescent="0.25">
      <c r="A159" s="20" t="s">
        <v>158</v>
      </c>
      <c r="B159" t="s">
        <v>214</v>
      </c>
      <c r="C159" t="s">
        <v>214</v>
      </c>
      <c r="D159" t="s">
        <v>240</v>
      </c>
      <c r="E159" t="s">
        <v>238</v>
      </c>
      <c r="F159" t="s">
        <v>238</v>
      </c>
      <c r="G159" t="s">
        <v>238</v>
      </c>
      <c r="H159" t="s">
        <v>238</v>
      </c>
      <c r="I159" t="s">
        <v>214</v>
      </c>
      <c r="J159" t="s">
        <v>216</v>
      </c>
      <c r="K159" t="s">
        <v>215</v>
      </c>
      <c r="L159" t="s">
        <v>214</v>
      </c>
      <c r="M159" t="s">
        <v>214</v>
      </c>
      <c r="N159" t="s">
        <v>235</v>
      </c>
      <c r="O159" t="s">
        <v>235</v>
      </c>
      <c r="P159" t="s">
        <v>214</v>
      </c>
      <c r="Q159" t="s">
        <v>244</v>
      </c>
      <c r="R159" t="s">
        <v>216</v>
      </c>
      <c r="S159" t="s">
        <v>235</v>
      </c>
      <c r="T159" t="s">
        <v>214</v>
      </c>
      <c r="U159" t="s">
        <v>214</v>
      </c>
      <c r="V159" t="s">
        <v>238</v>
      </c>
      <c r="W159" t="s">
        <v>214</v>
      </c>
      <c r="X159" t="s">
        <v>214</v>
      </c>
      <c r="Y159" t="s">
        <v>215</v>
      </c>
      <c r="Z159" t="s">
        <v>214</v>
      </c>
      <c r="AA159" t="s">
        <v>238</v>
      </c>
      <c r="AB159" t="s">
        <v>238</v>
      </c>
      <c r="AC159" t="s">
        <v>214</v>
      </c>
      <c r="AD159" t="s">
        <v>214</v>
      </c>
      <c r="AE159" t="s">
        <v>214</v>
      </c>
      <c r="AF159" t="s">
        <v>238</v>
      </c>
      <c r="AG159" t="s">
        <v>206</v>
      </c>
      <c r="AH159" t="s">
        <v>214</v>
      </c>
      <c r="AI159" t="s">
        <v>215</v>
      </c>
      <c r="AJ159" t="s">
        <v>214</v>
      </c>
      <c r="AK159" t="s">
        <v>215</v>
      </c>
      <c r="AL159" t="s">
        <v>238</v>
      </c>
      <c r="AM159" t="s">
        <v>214</v>
      </c>
      <c r="AN159" t="s">
        <v>214</v>
      </c>
      <c r="AO159" t="s">
        <v>214</v>
      </c>
      <c r="AP159" t="s">
        <v>214</v>
      </c>
      <c r="AQ159" t="s">
        <v>214</v>
      </c>
      <c r="AR159" t="s">
        <v>239</v>
      </c>
      <c r="AS159" t="s">
        <v>214</v>
      </c>
      <c r="AT159" t="s">
        <v>216</v>
      </c>
      <c r="AU159" t="s">
        <v>238</v>
      </c>
      <c r="AV159" t="s">
        <v>238</v>
      </c>
      <c r="AW159" t="s">
        <v>214</v>
      </c>
      <c r="AX159" t="s">
        <v>214</v>
      </c>
      <c r="AY159" t="s">
        <v>214</v>
      </c>
      <c r="AZ159" t="s">
        <v>214</v>
      </c>
      <c r="BA159" t="s">
        <v>214</v>
      </c>
      <c r="BB159" t="s">
        <v>214</v>
      </c>
      <c r="BC159" t="s">
        <v>214</v>
      </c>
      <c r="BD159" t="s">
        <v>214</v>
      </c>
      <c r="BE159" t="s">
        <v>215</v>
      </c>
      <c r="BF159" t="s">
        <v>214</v>
      </c>
      <c r="BG159" t="s">
        <v>214</v>
      </c>
      <c r="BH159" t="s">
        <v>235</v>
      </c>
      <c r="BI159" t="s">
        <v>214</v>
      </c>
      <c r="BJ159" t="s">
        <v>214</v>
      </c>
      <c r="BK159" t="s">
        <v>214</v>
      </c>
      <c r="BL159" t="s">
        <v>214</v>
      </c>
      <c r="BM159" t="s">
        <v>214</v>
      </c>
      <c r="BN159" t="s">
        <v>214</v>
      </c>
      <c r="BO159" t="s">
        <v>214</v>
      </c>
      <c r="BP159" t="s">
        <v>235</v>
      </c>
      <c r="BQ159" t="s">
        <v>238</v>
      </c>
      <c r="BR159" t="s">
        <v>214</v>
      </c>
      <c r="BS159" t="s">
        <v>215</v>
      </c>
      <c r="BT159" t="s">
        <v>215</v>
      </c>
      <c r="BU159" t="s">
        <v>215</v>
      </c>
      <c r="BV159" t="s">
        <v>214</v>
      </c>
      <c r="BW159" t="s">
        <v>214</v>
      </c>
      <c r="BX159" t="s">
        <v>214</v>
      </c>
      <c r="BY159" t="s">
        <v>238</v>
      </c>
      <c r="BZ159" t="s">
        <v>214</v>
      </c>
      <c r="CA159" t="s">
        <v>214</v>
      </c>
      <c r="CB159" t="s">
        <v>235</v>
      </c>
      <c r="CC159" t="s">
        <v>214</v>
      </c>
      <c r="CD159" t="s">
        <v>214</v>
      </c>
      <c r="CE159" t="s">
        <v>214</v>
      </c>
      <c r="CF159" t="s">
        <v>238</v>
      </c>
      <c r="CG159" t="s">
        <v>215</v>
      </c>
      <c r="CH159" t="s">
        <v>238</v>
      </c>
      <c r="CI159" t="s">
        <v>214</v>
      </c>
      <c r="CJ159" t="s">
        <v>214</v>
      </c>
      <c r="CK159" t="s">
        <v>214</v>
      </c>
    </row>
    <row r="160" spans="1:89" x14ac:dyDescent="0.25">
      <c r="A160" s="20" t="s">
        <v>159</v>
      </c>
      <c r="B160" t="s">
        <v>214</v>
      </c>
      <c r="C160" t="s">
        <v>214</v>
      </c>
      <c r="D160" t="s">
        <v>240</v>
      </c>
      <c r="E160" t="s">
        <v>238</v>
      </c>
      <c r="F160" t="s">
        <v>238</v>
      </c>
      <c r="G160" t="s">
        <v>238</v>
      </c>
      <c r="H160" t="s">
        <v>206</v>
      </c>
      <c r="I160" t="s">
        <v>215</v>
      </c>
      <c r="J160" t="s">
        <v>214</v>
      </c>
      <c r="K160" t="s">
        <v>235</v>
      </c>
      <c r="L160" t="s">
        <v>214</v>
      </c>
      <c r="M160" t="s">
        <v>214</v>
      </c>
      <c r="N160" t="s">
        <v>214</v>
      </c>
      <c r="O160" t="s">
        <v>214</v>
      </c>
      <c r="P160" t="s">
        <v>214</v>
      </c>
      <c r="Q160" t="s">
        <v>214</v>
      </c>
      <c r="R160" t="s">
        <v>216</v>
      </c>
      <c r="S160" t="s">
        <v>214</v>
      </c>
      <c r="T160" t="s">
        <v>215</v>
      </c>
      <c r="U160" t="s">
        <v>214</v>
      </c>
      <c r="V160" t="s">
        <v>240</v>
      </c>
      <c r="W160" t="s">
        <v>248</v>
      </c>
      <c r="X160" t="s">
        <v>214</v>
      </c>
      <c r="Y160" t="s">
        <v>214</v>
      </c>
      <c r="Z160" t="s">
        <v>214</v>
      </c>
      <c r="AA160" t="s">
        <v>238</v>
      </c>
      <c r="AB160" t="s">
        <v>239</v>
      </c>
      <c r="AC160" t="s">
        <v>214</v>
      </c>
      <c r="AD160" t="s">
        <v>214</v>
      </c>
      <c r="AE160" t="s">
        <v>214</v>
      </c>
      <c r="AF160" t="s">
        <v>238</v>
      </c>
      <c r="AG160" t="s">
        <v>238</v>
      </c>
      <c r="AH160" t="s">
        <v>214</v>
      </c>
      <c r="AI160" t="s">
        <v>215</v>
      </c>
      <c r="AJ160" t="s">
        <v>214</v>
      </c>
      <c r="AK160" t="s">
        <v>214</v>
      </c>
      <c r="AL160" t="s">
        <v>238</v>
      </c>
      <c r="AM160" t="s">
        <v>214</v>
      </c>
      <c r="AN160" t="s">
        <v>214</v>
      </c>
      <c r="AO160" t="s">
        <v>214</v>
      </c>
      <c r="AP160" t="s">
        <v>214</v>
      </c>
      <c r="AQ160" t="s">
        <v>214</v>
      </c>
      <c r="AR160" t="s">
        <v>206</v>
      </c>
      <c r="AS160" t="s">
        <v>214</v>
      </c>
      <c r="AT160" t="s">
        <v>215</v>
      </c>
      <c r="AU160" t="s">
        <v>238</v>
      </c>
      <c r="AV160" t="s">
        <v>240</v>
      </c>
      <c r="AW160" t="s">
        <v>214</v>
      </c>
      <c r="AX160" t="s">
        <v>214</v>
      </c>
      <c r="AY160" t="s">
        <v>214</v>
      </c>
      <c r="AZ160" t="s">
        <v>214</v>
      </c>
      <c r="BA160" t="s">
        <v>214</v>
      </c>
      <c r="BB160" t="s">
        <v>214</v>
      </c>
      <c r="BC160" t="s">
        <v>214</v>
      </c>
      <c r="BD160" t="s">
        <v>214</v>
      </c>
      <c r="BE160" t="s">
        <v>215</v>
      </c>
      <c r="BF160" t="s">
        <v>214</v>
      </c>
      <c r="BG160" t="s">
        <v>214</v>
      </c>
      <c r="BH160" t="s">
        <v>214</v>
      </c>
      <c r="BI160" t="s">
        <v>214</v>
      </c>
      <c r="BJ160" t="s">
        <v>215</v>
      </c>
      <c r="BK160" t="s">
        <v>214</v>
      </c>
      <c r="BL160" t="s">
        <v>215</v>
      </c>
      <c r="BM160" t="s">
        <v>214</v>
      </c>
      <c r="BN160" t="s">
        <v>214</v>
      </c>
      <c r="BO160" t="s">
        <v>214</v>
      </c>
      <c r="BP160" t="s">
        <v>214</v>
      </c>
      <c r="BQ160" t="s">
        <v>206</v>
      </c>
      <c r="BR160" t="s">
        <v>214</v>
      </c>
      <c r="BS160" t="s">
        <v>215</v>
      </c>
      <c r="BT160" t="s">
        <v>215</v>
      </c>
      <c r="BU160" t="s">
        <v>214</v>
      </c>
      <c r="BV160" t="s">
        <v>214</v>
      </c>
      <c r="BW160" t="s">
        <v>214</v>
      </c>
      <c r="BX160" t="s">
        <v>214</v>
      </c>
      <c r="BY160" t="s">
        <v>206</v>
      </c>
      <c r="BZ160" t="s">
        <v>215</v>
      </c>
      <c r="CA160" t="s">
        <v>214</v>
      </c>
      <c r="CB160" t="s">
        <v>215</v>
      </c>
      <c r="CC160" t="s">
        <v>214</v>
      </c>
      <c r="CD160" t="s">
        <v>214</v>
      </c>
      <c r="CE160" t="s">
        <v>214</v>
      </c>
      <c r="CF160" t="s">
        <v>238</v>
      </c>
      <c r="CG160" t="s">
        <v>214</v>
      </c>
      <c r="CH160" t="s">
        <v>238</v>
      </c>
      <c r="CI160" t="s">
        <v>215</v>
      </c>
      <c r="CJ160" t="s">
        <v>214</v>
      </c>
      <c r="CK160" t="s">
        <v>214</v>
      </c>
    </row>
    <row r="161" spans="1:89" x14ac:dyDescent="0.25">
      <c r="A161" s="20" t="s">
        <v>160</v>
      </c>
      <c r="B161" t="s">
        <v>214</v>
      </c>
      <c r="C161" t="s">
        <v>235</v>
      </c>
      <c r="D161" t="s">
        <v>240</v>
      </c>
      <c r="E161" t="s">
        <v>238</v>
      </c>
      <c r="F161" t="s">
        <v>238</v>
      </c>
      <c r="G161" t="s">
        <v>238</v>
      </c>
      <c r="H161" t="s">
        <v>206</v>
      </c>
      <c r="I161" t="s">
        <v>235</v>
      </c>
      <c r="J161" t="s">
        <v>235</v>
      </c>
      <c r="K161" t="s">
        <v>235</v>
      </c>
      <c r="L161" t="s">
        <v>244</v>
      </c>
      <c r="M161" t="s">
        <v>214</v>
      </c>
      <c r="N161" t="s">
        <v>214</v>
      </c>
      <c r="O161" t="s">
        <v>214</v>
      </c>
      <c r="P161" t="s">
        <v>214</v>
      </c>
      <c r="Q161" t="s">
        <v>214</v>
      </c>
      <c r="R161" t="s">
        <v>214</v>
      </c>
      <c r="S161" t="s">
        <v>215</v>
      </c>
      <c r="T161" t="s">
        <v>215</v>
      </c>
      <c r="U161" t="s">
        <v>214</v>
      </c>
      <c r="V161" t="s">
        <v>240</v>
      </c>
      <c r="W161" t="s">
        <v>248</v>
      </c>
      <c r="X161" t="s">
        <v>214</v>
      </c>
      <c r="Y161" t="s">
        <v>215</v>
      </c>
      <c r="Z161" t="s">
        <v>214</v>
      </c>
      <c r="AA161" t="s">
        <v>238</v>
      </c>
      <c r="AB161" t="s">
        <v>206</v>
      </c>
      <c r="AC161" t="s">
        <v>214</v>
      </c>
      <c r="AD161" t="s">
        <v>214</v>
      </c>
      <c r="AE161" t="s">
        <v>214</v>
      </c>
      <c r="AF161" t="s">
        <v>238</v>
      </c>
      <c r="AG161" t="s">
        <v>238</v>
      </c>
      <c r="AH161" t="s">
        <v>214</v>
      </c>
      <c r="AI161" t="s">
        <v>215</v>
      </c>
      <c r="AJ161" t="s">
        <v>215</v>
      </c>
      <c r="AK161" t="s">
        <v>215</v>
      </c>
      <c r="AL161" t="s">
        <v>238</v>
      </c>
      <c r="AM161" t="s">
        <v>214</v>
      </c>
      <c r="AN161" t="s">
        <v>235</v>
      </c>
      <c r="AO161" t="s">
        <v>214</v>
      </c>
      <c r="AP161" t="s">
        <v>214</v>
      </c>
      <c r="AQ161" t="s">
        <v>214</v>
      </c>
      <c r="AR161" t="s">
        <v>238</v>
      </c>
      <c r="AS161" t="s">
        <v>214</v>
      </c>
      <c r="AT161" t="s">
        <v>215</v>
      </c>
      <c r="AU161" t="s">
        <v>241</v>
      </c>
      <c r="AV161" t="s">
        <v>238</v>
      </c>
      <c r="AW161" t="s">
        <v>214</v>
      </c>
      <c r="AX161" t="s">
        <v>214</v>
      </c>
      <c r="AY161" t="s">
        <v>214</v>
      </c>
      <c r="AZ161" t="s">
        <v>214</v>
      </c>
      <c r="BA161" t="s">
        <v>214</v>
      </c>
      <c r="BB161" t="s">
        <v>214</v>
      </c>
      <c r="BC161" t="s">
        <v>214</v>
      </c>
      <c r="BD161" t="s">
        <v>214</v>
      </c>
      <c r="BE161" t="s">
        <v>215</v>
      </c>
      <c r="BF161" t="s">
        <v>214</v>
      </c>
      <c r="BG161" t="s">
        <v>214</v>
      </c>
      <c r="BH161" t="s">
        <v>214</v>
      </c>
      <c r="BI161" t="s">
        <v>214</v>
      </c>
      <c r="BJ161" t="s">
        <v>214</v>
      </c>
      <c r="BK161" t="s">
        <v>214</v>
      </c>
      <c r="BL161" t="s">
        <v>214</v>
      </c>
      <c r="BM161" t="s">
        <v>214</v>
      </c>
      <c r="BN161" t="s">
        <v>215</v>
      </c>
      <c r="BO161" t="s">
        <v>214</v>
      </c>
      <c r="BP161" t="s">
        <v>214</v>
      </c>
      <c r="BQ161" t="s">
        <v>238</v>
      </c>
      <c r="BR161" t="s">
        <v>214</v>
      </c>
      <c r="BS161" t="s">
        <v>214</v>
      </c>
      <c r="BT161" t="s">
        <v>215</v>
      </c>
      <c r="BU161" t="s">
        <v>214</v>
      </c>
      <c r="BV161" t="s">
        <v>214</v>
      </c>
      <c r="BW161" t="s">
        <v>214</v>
      </c>
      <c r="BX161" t="s">
        <v>214</v>
      </c>
      <c r="BY161" t="s">
        <v>238</v>
      </c>
      <c r="BZ161" t="s">
        <v>214</v>
      </c>
      <c r="CA161" t="s">
        <v>214</v>
      </c>
      <c r="CB161" t="s">
        <v>215</v>
      </c>
      <c r="CC161" t="s">
        <v>214</v>
      </c>
      <c r="CD161" t="s">
        <v>214</v>
      </c>
      <c r="CE161" t="s">
        <v>214</v>
      </c>
      <c r="CF161" t="s">
        <v>238</v>
      </c>
      <c r="CG161" t="s">
        <v>216</v>
      </c>
      <c r="CH161" t="s">
        <v>238</v>
      </c>
      <c r="CI161" t="s">
        <v>214</v>
      </c>
      <c r="CJ161" t="s">
        <v>214</v>
      </c>
      <c r="CK161" t="s">
        <v>214</v>
      </c>
    </row>
    <row r="162" spans="1:89" x14ac:dyDescent="0.25">
      <c r="A162" s="20" t="s">
        <v>161</v>
      </c>
      <c r="B162" t="s">
        <v>214</v>
      </c>
      <c r="C162" t="s">
        <v>214</v>
      </c>
      <c r="D162" t="s">
        <v>240</v>
      </c>
      <c r="E162" t="s">
        <v>238</v>
      </c>
      <c r="F162" t="s">
        <v>240</v>
      </c>
      <c r="G162" t="s">
        <v>240</v>
      </c>
      <c r="H162" t="s">
        <v>206</v>
      </c>
      <c r="I162" t="s">
        <v>214</v>
      </c>
      <c r="J162" t="s">
        <v>214</v>
      </c>
      <c r="K162" t="s">
        <v>214</v>
      </c>
      <c r="L162" t="s">
        <v>214</v>
      </c>
      <c r="M162" t="s">
        <v>214</v>
      </c>
      <c r="N162" t="s">
        <v>215</v>
      </c>
      <c r="O162" t="s">
        <v>214</v>
      </c>
      <c r="P162" t="s">
        <v>214</v>
      </c>
      <c r="Q162" t="s">
        <v>214</v>
      </c>
      <c r="R162" t="s">
        <v>216</v>
      </c>
      <c r="S162" t="s">
        <v>214</v>
      </c>
      <c r="T162" t="s">
        <v>214</v>
      </c>
      <c r="U162" t="s">
        <v>235</v>
      </c>
      <c r="V162" t="s">
        <v>240</v>
      </c>
      <c r="W162" t="s">
        <v>249</v>
      </c>
      <c r="X162" t="s">
        <v>214</v>
      </c>
      <c r="Y162" t="s">
        <v>215</v>
      </c>
      <c r="Z162" t="s">
        <v>214</v>
      </c>
      <c r="AA162" t="s">
        <v>238</v>
      </c>
      <c r="AB162" t="s">
        <v>240</v>
      </c>
      <c r="AC162" t="s">
        <v>241</v>
      </c>
      <c r="AD162" t="s">
        <v>214</v>
      </c>
      <c r="AE162" t="s">
        <v>214</v>
      </c>
      <c r="AF162" t="s">
        <v>238</v>
      </c>
      <c r="AG162" t="s">
        <v>238</v>
      </c>
      <c r="AH162" t="s">
        <v>214</v>
      </c>
      <c r="AI162" t="s">
        <v>215</v>
      </c>
      <c r="AJ162" t="s">
        <v>214</v>
      </c>
      <c r="AK162" t="s">
        <v>215</v>
      </c>
      <c r="AL162" t="s">
        <v>238</v>
      </c>
      <c r="AM162" t="s">
        <v>214</v>
      </c>
      <c r="AN162" t="s">
        <v>214</v>
      </c>
      <c r="AO162" t="s">
        <v>214</v>
      </c>
      <c r="AP162" t="s">
        <v>214</v>
      </c>
      <c r="AQ162" t="s">
        <v>215</v>
      </c>
      <c r="AR162" t="s">
        <v>238</v>
      </c>
      <c r="AS162" t="s">
        <v>214</v>
      </c>
      <c r="AT162" t="s">
        <v>215</v>
      </c>
      <c r="AU162" t="s">
        <v>238</v>
      </c>
      <c r="AV162" t="s">
        <v>238</v>
      </c>
      <c r="AW162" t="s">
        <v>214</v>
      </c>
      <c r="AX162" t="s">
        <v>214</v>
      </c>
      <c r="AY162" t="s">
        <v>214</v>
      </c>
      <c r="AZ162" t="s">
        <v>235</v>
      </c>
      <c r="BA162" t="s">
        <v>214</v>
      </c>
      <c r="BB162" t="s">
        <v>214</v>
      </c>
      <c r="BC162" t="s">
        <v>214</v>
      </c>
      <c r="BD162" t="s">
        <v>214</v>
      </c>
      <c r="BE162" t="s">
        <v>215</v>
      </c>
      <c r="BF162" t="s">
        <v>214</v>
      </c>
      <c r="BG162" t="s">
        <v>235</v>
      </c>
      <c r="BH162" t="s">
        <v>214</v>
      </c>
      <c r="BI162" t="s">
        <v>249</v>
      </c>
      <c r="BJ162" t="s">
        <v>214</v>
      </c>
      <c r="BK162" t="s">
        <v>214</v>
      </c>
      <c r="BL162" t="s">
        <v>214</v>
      </c>
      <c r="BM162" t="s">
        <v>214</v>
      </c>
      <c r="BN162" t="s">
        <v>214</v>
      </c>
      <c r="BO162" t="s">
        <v>214</v>
      </c>
      <c r="BP162" t="s">
        <v>214</v>
      </c>
      <c r="BQ162" t="s">
        <v>238</v>
      </c>
      <c r="BR162" t="s">
        <v>214</v>
      </c>
      <c r="BS162" t="s">
        <v>215</v>
      </c>
      <c r="BT162" t="s">
        <v>216</v>
      </c>
      <c r="BU162" t="s">
        <v>216</v>
      </c>
      <c r="BV162" t="s">
        <v>214</v>
      </c>
      <c r="BW162" t="s">
        <v>235</v>
      </c>
      <c r="BX162" t="s">
        <v>214</v>
      </c>
      <c r="BY162" t="s">
        <v>238</v>
      </c>
      <c r="BZ162" t="s">
        <v>214</v>
      </c>
      <c r="CA162" t="s">
        <v>215</v>
      </c>
      <c r="CB162" t="s">
        <v>235</v>
      </c>
      <c r="CC162" t="s">
        <v>214</v>
      </c>
      <c r="CD162" t="s">
        <v>214</v>
      </c>
      <c r="CE162" t="s">
        <v>214</v>
      </c>
      <c r="CF162" t="s">
        <v>238</v>
      </c>
      <c r="CG162" t="s">
        <v>214</v>
      </c>
      <c r="CH162" t="s">
        <v>238</v>
      </c>
      <c r="CI162" t="s">
        <v>215</v>
      </c>
      <c r="CJ162" t="s">
        <v>214</v>
      </c>
      <c r="CK162" t="s">
        <v>214</v>
      </c>
    </row>
    <row r="163" spans="1:89" x14ac:dyDescent="0.25">
      <c r="A163" s="20" t="s">
        <v>162</v>
      </c>
      <c r="B163" t="s">
        <v>215</v>
      </c>
      <c r="C163" t="s">
        <v>235</v>
      </c>
      <c r="D163" t="s">
        <v>240</v>
      </c>
      <c r="E163" t="s">
        <v>238</v>
      </c>
      <c r="F163" t="s">
        <v>238</v>
      </c>
      <c r="G163" t="s">
        <v>206</v>
      </c>
      <c r="H163" t="s">
        <v>238</v>
      </c>
      <c r="I163" t="s">
        <v>214</v>
      </c>
      <c r="J163" t="s">
        <v>214</v>
      </c>
      <c r="K163" t="s">
        <v>235</v>
      </c>
      <c r="L163" t="s">
        <v>214</v>
      </c>
      <c r="M163" t="s">
        <v>214</v>
      </c>
      <c r="N163" t="s">
        <v>214</v>
      </c>
      <c r="O163" t="s">
        <v>214</v>
      </c>
      <c r="P163" t="s">
        <v>214</v>
      </c>
      <c r="Q163" t="s">
        <v>214</v>
      </c>
      <c r="R163" t="s">
        <v>214</v>
      </c>
      <c r="S163" t="s">
        <v>214</v>
      </c>
      <c r="T163" t="s">
        <v>214</v>
      </c>
      <c r="U163" t="s">
        <v>214</v>
      </c>
      <c r="V163" t="s">
        <v>240</v>
      </c>
      <c r="W163" t="s">
        <v>249</v>
      </c>
      <c r="X163" t="s">
        <v>214</v>
      </c>
      <c r="Y163" t="s">
        <v>214</v>
      </c>
      <c r="Z163" t="s">
        <v>214</v>
      </c>
      <c r="AA163" t="s">
        <v>206</v>
      </c>
      <c r="AB163" t="s">
        <v>239</v>
      </c>
      <c r="AC163" t="s">
        <v>214</v>
      </c>
      <c r="AD163" t="s">
        <v>214</v>
      </c>
      <c r="AE163" t="s">
        <v>214</v>
      </c>
      <c r="AF163" t="s">
        <v>238</v>
      </c>
      <c r="AG163" t="s">
        <v>206</v>
      </c>
      <c r="AH163" t="s">
        <v>214</v>
      </c>
      <c r="AI163" t="s">
        <v>235</v>
      </c>
      <c r="AJ163" t="s">
        <v>214</v>
      </c>
      <c r="AK163" t="s">
        <v>215</v>
      </c>
      <c r="AL163" t="s">
        <v>243</v>
      </c>
      <c r="AM163" t="s">
        <v>214</v>
      </c>
      <c r="AN163" t="s">
        <v>214</v>
      </c>
      <c r="AO163" t="s">
        <v>244</v>
      </c>
      <c r="AP163" t="s">
        <v>214</v>
      </c>
      <c r="AQ163" t="s">
        <v>214</v>
      </c>
      <c r="AR163" t="s">
        <v>238</v>
      </c>
      <c r="AS163" t="s">
        <v>214</v>
      </c>
      <c r="AT163" t="s">
        <v>215</v>
      </c>
      <c r="AU163" t="s">
        <v>247</v>
      </c>
      <c r="AV163" t="s">
        <v>206</v>
      </c>
      <c r="AW163" t="s">
        <v>214</v>
      </c>
      <c r="AX163" t="s">
        <v>214</v>
      </c>
      <c r="AY163" t="s">
        <v>215</v>
      </c>
      <c r="AZ163" t="s">
        <v>214</v>
      </c>
      <c r="BA163" t="s">
        <v>214</v>
      </c>
      <c r="BB163" t="s">
        <v>214</v>
      </c>
      <c r="BC163" t="s">
        <v>214</v>
      </c>
      <c r="BD163" t="s">
        <v>249</v>
      </c>
      <c r="BE163" t="s">
        <v>215</v>
      </c>
      <c r="BF163" t="s">
        <v>249</v>
      </c>
      <c r="BG163" t="s">
        <v>214</v>
      </c>
      <c r="BH163" t="s">
        <v>214</v>
      </c>
      <c r="BI163" t="s">
        <v>214</v>
      </c>
      <c r="BJ163" t="s">
        <v>216</v>
      </c>
      <c r="BK163" t="s">
        <v>214</v>
      </c>
      <c r="BL163" t="s">
        <v>214</v>
      </c>
      <c r="BM163" t="s">
        <v>214</v>
      </c>
      <c r="BN163" t="s">
        <v>214</v>
      </c>
      <c r="BO163" t="s">
        <v>214</v>
      </c>
      <c r="BP163" t="s">
        <v>235</v>
      </c>
      <c r="BQ163" t="s">
        <v>238</v>
      </c>
      <c r="BR163" t="s">
        <v>214</v>
      </c>
      <c r="BS163" t="s">
        <v>214</v>
      </c>
      <c r="BT163" t="s">
        <v>216</v>
      </c>
      <c r="BU163" t="s">
        <v>214</v>
      </c>
      <c r="BV163" t="s">
        <v>214</v>
      </c>
      <c r="BW163" t="s">
        <v>235</v>
      </c>
      <c r="BX163" t="s">
        <v>215</v>
      </c>
      <c r="BY163" t="s">
        <v>238</v>
      </c>
      <c r="BZ163" t="s">
        <v>214</v>
      </c>
      <c r="CA163" t="s">
        <v>214</v>
      </c>
      <c r="CB163" t="s">
        <v>215</v>
      </c>
      <c r="CC163" t="s">
        <v>214</v>
      </c>
      <c r="CD163" t="s">
        <v>215</v>
      </c>
      <c r="CE163" t="s">
        <v>214</v>
      </c>
      <c r="CF163" t="s">
        <v>239</v>
      </c>
      <c r="CG163" t="s">
        <v>214</v>
      </c>
      <c r="CH163" t="s">
        <v>240</v>
      </c>
      <c r="CI163" t="s">
        <v>216</v>
      </c>
      <c r="CJ163" t="s">
        <v>214</v>
      </c>
      <c r="CK163" t="s">
        <v>214</v>
      </c>
    </row>
    <row r="164" spans="1:89" x14ac:dyDescent="0.25">
      <c r="A164" s="20" t="s">
        <v>163</v>
      </c>
      <c r="B164" t="s">
        <v>216</v>
      </c>
      <c r="C164" t="s">
        <v>216</v>
      </c>
      <c r="D164" t="s">
        <v>206</v>
      </c>
      <c r="E164" t="s">
        <v>238</v>
      </c>
      <c r="F164" t="s">
        <v>238</v>
      </c>
      <c r="G164" t="s">
        <v>239</v>
      </c>
      <c r="H164" t="s">
        <v>239</v>
      </c>
      <c r="I164" t="s">
        <v>214</v>
      </c>
      <c r="J164" t="s">
        <v>214</v>
      </c>
      <c r="K164" t="s">
        <v>214</v>
      </c>
      <c r="L164" t="s">
        <v>215</v>
      </c>
      <c r="M164" t="s">
        <v>214</v>
      </c>
      <c r="N164" t="s">
        <v>214</v>
      </c>
      <c r="O164" t="s">
        <v>214</v>
      </c>
      <c r="P164" t="s">
        <v>214</v>
      </c>
      <c r="Q164" t="s">
        <v>214</v>
      </c>
      <c r="R164" t="s">
        <v>214</v>
      </c>
      <c r="S164" t="s">
        <v>214</v>
      </c>
      <c r="T164" t="s">
        <v>215</v>
      </c>
      <c r="U164" t="s">
        <v>214</v>
      </c>
      <c r="V164" t="s">
        <v>240</v>
      </c>
      <c r="W164" t="s">
        <v>249</v>
      </c>
      <c r="X164" t="s">
        <v>214</v>
      </c>
      <c r="Y164" t="s">
        <v>216</v>
      </c>
      <c r="Z164" t="s">
        <v>214</v>
      </c>
      <c r="AA164" t="s">
        <v>206</v>
      </c>
      <c r="AB164" t="s">
        <v>238</v>
      </c>
      <c r="AC164" t="s">
        <v>214</v>
      </c>
      <c r="AD164" t="s">
        <v>214</v>
      </c>
      <c r="AE164" t="s">
        <v>214</v>
      </c>
      <c r="AF164" t="s">
        <v>240</v>
      </c>
      <c r="AG164" t="s">
        <v>238</v>
      </c>
      <c r="AH164" t="s">
        <v>214</v>
      </c>
      <c r="AI164" t="s">
        <v>216</v>
      </c>
      <c r="AJ164" t="s">
        <v>215</v>
      </c>
      <c r="AK164" t="s">
        <v>215</v>
      </c>
      <c r="AL164" t="s">
        <v>241</v>
      </c>
      <c r="AM164" t="s">
        <v>214</v>
      </c>
      <c r="AN164" t="s">
        <v>214</v>
      </c>
      <c r="AO164" t="s">
        <v>215</v>
      </c>
      <c r="AP164" t="s">
        <v>214</v>
      </c>
      <c r="AQ164" t="s">
        <v>214</v>
      </c>
      <c r="AR164" t="s">
        <v>238</v>
      </c>
      <c r="AS164" t="s">
        <v>214</v>
      </c>
      <c r="AT164" t="s">
        <v>214</v>
      </c>
      <c r="AU164" t="s">
        <v>238</v>
      </c>
      <c r="AV164" t="s">
        <v>238</v>
      </c>
      <c r="AW164" t="s">
        <v>214</v>
      </c>
      <c r="AX164" t="s">
        <v>214</v>
      </c>
      <c r="AY164" t="s">
        <v>214</v>
      </c>
      <c r="AZ164" t="s">
        <v>214</v>
      </c>
      <c r="BA164" t="s">
        <v>214</v>
      </c>
      <c r="BB164" t="s">
        <v>249</v>
      </c>
      <c r="BC164" t="s">
        <v>215</v>
      </c>
      <c r="BD164" t="s">
        <v>214</v>
      </c>
      <c r="BE164" t="s">
        <v>215</v>
      </c>
      <c r="BF164" t="s">
        <v>214</v>
      </c>
      <c r="BG164" t="s">
        <v>214</v>
      </c>
      <c r="BH164" t="s">
        <v>214</v>
      </c>
      <c r="BI164" t="s">
        <v>214</v>
      </c>
      <c r="BJ164" t="s">
        <v>214</v>
      </c>
      <c r="BK164" t="s">
        <v>214</v>
      </c>
      <c r="BL164" t="s">
        <v>214</v>
      </c>
      <c r="BM164" t="s">
        <v>214</v>
      </c>
      <c r="BN164" t="s">
        <v>215</v>
      </c>
      <c r="BO164" t="s">
        <v>214</v>
      </c>
      <c r="BP164" t="s">
        <v>214</v>
      </c>
      <c r="BQ164" t="s">
        <v>238</v>
      </c>
      <c r="BR164" t="s">
        <v>214</v>
      </c>
      <c r="BS164" t="s">
        <v>214</v>
      </c>
      <c r="BT164" t="s">
        <v>216</v>
      </c>
      <c r="BU164" t="s">
        <v>214</v>
      </c>
      <c r="BV164" t="s">
        <v>214</v>
      </c>
      <c r="BW164" t="s">
        <v>214</v>
      </c>
      <c r="BX164" t="s">
        <v>214</v>
      </c>
      <c r="BY164" t="s">
        <v>238</v>
      </c>
      <c r="BZ164" t="s">
        <v>217</v>
      </c>
      <c r="CA164" t="s">
        <v>214</v>
      </c>
      <c r="CB164" t="s">
        <v>215</v>
      </c>
      <c r="CC164" t="s">
        <v>214</v>
      </c>
      <c r="CD164" t="s">
        <v>214</v>
      </c>
      <c r="CE164" t="s">
        <v>214</v>
      </c>
      <c r="CF164" t="s">
        <v>239</v>
      </c>
      <c r="CG164" t="s">
        <v>216</v>
      </c>
      <c r="CH164" t="s">
        <v>238</v>
      </c>
      <c r="CI164" t="s">
        <v>216</v>
      </c>
      <c r="CJ164" t="s">
        <v>214</v>
      </c>
      <c r="CK164" t="s">
        <v>214</v>
      </c>
    </row>
    <row r="165" spans="1:89" x14ac:dyDescent="0.25">
      <c r="A165" s="20" t="s">
        <v>164</v>
      </c>
      <c r="B165" t="s">
        <v>214</v>
      </c>
      <c r="C165" t="s">
        <v>214</v>
      </c>
      <c r="D165" t="s">
        <v>206</v>
      </c>
      <c r="E165" t="s">
        <v>238</v>
      </c>
      <c r="F165" t="s">
        <v>238</v>
      </c>
      <c r="G165" t="s">
        <v>238</v>
      </c>
      <c r="H165" t="s">
        <v>238</v>
      </c>
      <c r="I165" t="s">
        <v>215</v>
      </c>
      <c r="J165" t="s">
        <v>215</v>
      </c>
      <c r="K165" t="s">
        <v>214</v>
      </c>
      <c r="L165" t="s">
        <v>214</v>
      </c>
      <c r="M165" t="s">
        <v>214</v>
      </c>
      <c r="N165" t="s">
        <v>214</v>
      </c>
      <c r="O165" t="s">
        <v>214</v>
      </c>
      <c r="P165" t="s">
        <v>214</v>
      </c>
      <c r="Q165" t="s">
        <v>215</v>
      </c>
      <c r="R165" t="s">
        <v>214</v>
      </c>
      <c r="S165" t="s">
        <v>214</v>
      </c>
      <c r="T165" t="s">
        <v>214</v>
      </c>
      <c r="U165" t="s">
        <v>214</v>
      </c>
      <c r="V165" t="s">
        <v>206</v>
      </c>
      <c r="W165" t="s">
        <v>235</v>
      </c>
      <c r="X165" t="s">
        <v>214</v>
      </c>
      <c r="Y165" t="s">
        <v>215</v>
      </c>
      <c r="Z165" t="s">
        <v>214</v>
      </c>
      <c r="AA165" t="s">
        <v>238</v>
      </c>
      <c r="AB165" t="s">
        <v>240</v>
      </c>
      <c r="AC165" t="s">
        <v>214</v>
      </c>
      <c r="AD165" t="s">
        <v>214</v>
      </c>
      <c r="AE165" t="s">
        <v>214</v>
      </c>
      <c r="AF165" t="s">
        <v>238</v>
      </c>
      <c r="AG165" t="s">
        <v>238</v>
      </c>
      <c r="AH165" t="s">
        <v>214</v>
      </c>
      <c r="AI165" t="s">
        <v>214</v>
      </c>
      <c r="AJ165" t="s">
        <v>214</v>
      </c>
      <c r="AK165" t="s">
        <v>215</v>
      </c>
      <c r="AL165" t="s">
        <v>238</v>
      </c>
      <c r="AM165" t="s">
        <v>214</v>
      </c>
      <c r="AN165" t="s">
        <v>214</v>
      </c>
      <c r="AO165" t="s">
        <v>214</v>
      </c>
      <c r="AP165" t="s">
        <v>214</v>
      </c>
      <c r="AQ165" t="s">
        <v>215</v>
      </c>
      <c r="AR165" t="s">
        <v>238</v>
      </c>
      <c r="AS165" t="s">
        <v>235</v>
      </c>
      <c r="AT165" t="s">
        <v>215</v>
      </c>
      <c r="AU165" t="s">
        <v>238</v>
      </c>
      <c r="AV165" t="s">
        <v>238</v>
      </c>
      <c r="AW165" t="s">
        <v>215</v>
      </c>
      <c r="AX165" t="s">
        <v>214</v>
      </c>
      <c r="AY165" t="s">
        <v>214</v>
      </c>
      <c r="AZ165" t="s">
        <v>214</v>
      </c>
      <c r="BA165" t="s">
        <v>214</v>
      </c>
      <c r="BB165" t="s">
        <v>214</v>
      </c>
      <c r="BC165" t="s">
        <v>214</v>
      </c>
      <c r="BD165" t="s">
        <v>214</v>
      </c>
      <c r="BE165" t="s">
        <v>215</v>
      </c>
      <c r="BF165" t="s">
        <v>214</v>
      </c>
      <c r="BG165" t="s">
        <v>214</v>
      </c>
      <c r="BH165" t="s">
        <v>214</v>
      </c>
      <c r="BI165" t="s">
        <v>214</v>
      </c>
      <c r="BJ165" t="s">
        <v>214</v>
      </c>
      <c r="BK165" t="s">
        <v>214</v>
      </c>
      <c r="BL165" t="s">
        <v>214</v>
      </c>
      <c r="BM165" t="s">
        <v>214</v>
      </c>
      <c r="BN165" t="s">
        <v>214</v>
      </c>
      <c r="BO165" t="s">
        <v>214</v>
      </c>
      <c r="BP165" t="s">
        <v>216</v>
      </c>
      <c r="BQ165" t="s">
        <v>238</v>
      </c>
      <c r="BR165" t="s">
        <v>214</v>
      </c>
      <c r="BS165" t="s">
        <v>214</v>
      </c>
      <c r="BT165" t="s">
        <v>235</v>
      </c>
      <c r="BU165" t="s">
        <v>214</v>
      </c>
      <c r="BV165" t="s">
        <v>235</v>
      </c>
      <c r="BW165" t="s">
        <v>214</v>
      </c>
      <c r="BX165" t="s">
        <v>235</v>
      </c>
      <c r="BY165" t="s">
        <v>239</v>
      </c>
      <c r="BZ165" t="s">
        <v>214</v>
      </c>
      <c r="CA165" t="s">
        <v>215</v>
      </c>
      <c r="CB165" t="s">
        <v>235</v>
      </c>
      <c r="CC165" t="s">
        <v>217</v>
      </c>
      <c r="CD165" t="s">
        <v>214</v>
      </c>
      <c r="CE165" t="s">
        <v>235</v>
      </c>
      <c r="CF165" t="s">
        <v>238</v>
      </c>
      <c r="CG165" t="s">
        <v>214</v>
      </c>
      <c r="CH165" t="s">
        <v>240</v>
      </c>
      <c r="CI165" t="s">
        <v>214</v>
      </c>
      <c r="CJ165" t="s">
        <v>214</v>
      </c>
      <c r="CK165" t="s">
        <v>214</v>
      </c>
    </row>
    <row r="166" spans="1:89" x14ac:dyDescent="0.25">
      <c r="A166" s="20" t="s">
        <v>165</v>
      </c>
      <c r="B166" t="s">
        <v>214</v>
      </c>
      <c r="C166" t="s">
        <v>214</v>
      </c>
      <c r="D166" t="s">
        <v>238</v>
      </c>
      <c r="E166" t="s">
        <v>238</v>
      </c>
      <c r="F166" t="s">
        <v>238</v>
      </c>
      <c r="G166" t="s">
        <v>238</v>
      </c>
      <c r="H166" t="s">
        <v>206</v>
      </c>
      <c r="I166" t="s">
        <v>215</v>
      </c>
      <c r="J166" t="s">
        <v>215</v>
      </c>
      <c r="K166" t="s">
        <v>214</v>
      </c>
      <c r="L166" t="s">
        <v>214</v>
      </c>
      <c r="M166" t="s">
        <v>215</v>
      </c>
      <c r="N166" t="s">
        <v>214</v>
      </c>
      <c r="O166" t="s">
        <v>215</v>
      </c>
      <c r="P166" t="s">
        <v>215</v>
      </c>
      <c r="Q166" t="s">
        <v>214</v>
      </c>
      <c r="R166" t="s">
        <v>216</v>
      </c>
      <c r="S166" t="s">
        <v>215</v>
      </c>
      <c r="T166" t="s">
        <v>215</v>
      </c>
      <c r="U166" t="s">
        <v>214</v>
      </c>
      <c r="V166" t="s">
        <v>206</v>
      </c>
      <c r="W166" t="s">
        <v>214</v>
      </c>
      <c r="X166" t="s">
        <v>215</v>
      </c>
      <c r="Y166" t="s">
        <v>215</v>
      </c>
      <c r="Z166" t="s">
        <v>214</v>
      </c>
      <c r="AA166" t="s">
        <v>238</v>
      </c>
      <c r="AB166" t="s">
        <v>238</v>
      </c>
      <c r="AC166" t="s">
        <v>214</v>
      </c>
      <c r="AD166" t="s">
        <v>214</v>
      </c>
      <c r="AE166" t="s">
        <v>214</v>
      </c>
      <c r="AF166" t="s">
        <v>238</v>
      </c>
      <c r="AG166" t="s">
        <v>238</v>
      </c>
      <c r="AH166" t="s">
        <v>216</v>
      </c>
      <c r="AI166" t="s">
        <v>217</v>
      </c>
      <c r="AJ166" t="s">
        <v>214</v>
      </c>
      <c r="AK166" t="s">
        <v>215</v>
      </c>
      <c r="AL166" t="s">
        <v>238</v>
      </c>
      <c r="AM166" t="s">
        <v>214</v>
      </c>
      <c r="AN166" t="s">
        <v>214</v>
      </c>
      <c r="AO166" t="s">
        <v>215</v>
      </c>
      <c r="AP166" t="s">
        <v>214</v>
      </c>
      <c r="AQ166" t="s">
        <v>214</v>
      </c>
      <c r="AR166" t="s">
        <v>240</v>
      </c>
      <c r="AS166" t="s">
        <v>214</v>
      </c>
      <c r="AT166" t="s">
        <v>215</v>
      </c>
      <c r="AU166" t="s">
        <v>247</v>
      </c>
      <c r="AV166" t="s">
        <v>238</v>
      </c>
      <c r="AW166" t="s">
        <v>214</v>
      </c>
      <c r="AX166" t="s">
        <v>214</v>
      </c>
      <c r="AY166" t="s">
        <v>214</v>
      </c>
      <c r="AZ166" t="s">
        <v>215</v>
      </c>
      <c r="BA166" t="s">
        <v>214</v>
      </c>
      <c r="BB166" t="s">
        <v>214</v>
      </c>
      <c r="BC166" t="s">
        <v>214</v>
      </c>
      <c r="BD166" t="s">
        <v>217</v>
      </c>
      <c r="BE166" t="s">
        <v>215</v>
      </c>
      <c r="BF166" t="s">
        <v>214</v>
      </c>
      <c r="BG166" t="s">
        <v>214</v>
      </c>
      <c r="BH166" t="s">
        <v>215</v>
      </c>
      <c r="BI166" t="s">
        <v>214</v>
      </c>
      <c r="BJ166" t="s">
        <v>235</v>
      </c>
      <c r="BK166" t="s">
        <v>214</v>
      </c>
      <c r="BL166" t="s">
        <v>214</v>
      </c>
      <c r="BM166" t="s">
        <v>214</v>
      </c>
      <c r="BN166" t="s">
        <v>215</v>
      </c>
      <c r="BO166" t="s">
        <v>214</v>
      </c>
      <c r="BP166" t="s">
        <v>214</v>
      </c>
      <c r="BQ166" t="s">
        <v>238</v>
      </c>
      <c r="BR166" t="s">
        <v>214</v>
      </c>
      <c r="BS166" t="s">
        <v>214</v>
      </c>
      <c r="BT166" t="s">
        <v>216</v>
      </c>
      <c r="BU166" t="s">
        <v>214</v>
      </c>
      <c r="BV166" t="s">
        <v>214</v>
      </c>
      <c r="BW166" t="s">
        <v>215</v>
      </c>
      <c r="BX166" t="s">
        <v>214</v>
      </c>
      <c r="BY166" t="s">
        <v>238</v>
      </c>
      <c r="BZ166" t="s">
        <v>214</v>
      </c>
      <c r="CA166" t="s">
        <v>215</v>
      </c>
      <c r="CB166" t="s">
        <v>214</v>
      </c>
      <c r="CC166" t="s">
        <v>214</v>
      </c>
      <c r="CD166" t="s">
        <v>215</v>
      </c>
      <c r="CE166" t="s">
        <v>214</v>
      </c>
      <c r="CF166" t="s">
        <v>239</v>
      </c>
      <c r="CG166" t="s">
        <v>214</v>
      </c>
      <c r="CH166" t="s">
        <v>238</v>
      </c>
      <c r="CI166" t="s">
        <v>214</v>
      </c>
      <c r="CJ166" t="s">
        <v>214</v>
      </c>
      <c r="CK166" t="s">
        <v>215</v>
      </c>
    </row>
    <row r="167" spans="1:89" x14ac:dyDescent="0.25">
      <c r="A167" s="20" t="s">
        <v>166</v>
      </c>
      <c r="B167" t="s">
        <v>216</v>
      </c>
      <c r="C167" t="s">
        <v>214</v>
      </c>
      <c r="D167" t="s">
        <v>206</v>
      </c>
      <c r="E167" t="s">
        <v>238</v>
      </c>
      <c r="F167" t="s">
        <v>238</v>
      </c>
      <c r="G167" t="s">
        <v>238</v>
      </c>
      <c r="H167" t="s">
        <v>238</v>
      </c>
      <c r="I167" t="s">
        <v>215</v>
      </c>
      <c r="J167" t="s">
        <v>215</v>
      </c>
      <c r="K167" t="s">
        <v>215</v>
      </c>
      <c r="L167" t="s">
        <v>214</v>
      </c>
      <c r="M167" t="s">
        <v>215</v>
      </c>
      <c r="N167" t="s">
        <v>214</v>
      </c>
      <c r="O167" t="s">
        <v>235</v>
      </c>
      <c r="P167" t="s">
        <v>235</v>
      </c>
      <c r="Q167" t="s">
        <v>214</v>
      </c>
      <c r="R167" t="s">
        <v>235</v>
      </c>
      <c r="S167" t="s">
        <v>235</v>
      </c>
      <c r="T167" t="s">
        <v>214</v>
      </c>
      <c r="U167" t="s">
        <v>214</v>
      </c>
      <c r="V167" t="s">
        <v>240</v>
      </c>
      <c r="W167" t="s">
        <v>249</v>
      </c>
      <c r="X167" t="s">
        <v>215</v>
      </c>
      <c r="Y167" t="s">
        <v>215</v>
      </c>
      <c r="Z167" t="s">
        <v>214</v>
      </c>
      <c r="AA167" t="s">
        <v>238</v>
      </c>
      <c r="AB167" t="s">
        <v>238</v>
      </c>
      <c r="AC167" t="s">
        <v>216</v>
      </c>
      <c r="AD167" t="s">
        <v>216</v>
      </c>
      <c r="AE167" t="s">
        <v>214</v>
      </c>
      <c r="AF167" t="s">
        <v>206</v>
      </c>
      <c r="AG167" t="s">
        <v>238</v>
      </c>
      <c r="AH167" t="s">
        <v>216</v>
      </c>
      <c r="AI167" t="s">
        <v>215</v>
      </c>
      <c r="AJ167" t="s">
        <v>248</v>
      </c>
      <c r="AK167" t="s">
        <v>215</v>
      </c>
      <c r="AL167" t="s">
        <v>240</v>
      </c>
      <c r="AM167" t="s">
        <v>214</v>
      </c>
      <c r="AN167" t="s">
        <v>214</v>
      </c>
      <c r="AO167" t="s">
        <v>215</v>
      </c>
      <c r="AP167" t="s">
        <v>215</v>
      </c>
      <c r="AQ167" t="s">
        <v>215</v>
      </c>
      <c r="AR167" t="s">
        <v>240</v>
      </c>
      <c r="AS167" t="s">
        <v>215</v>
      </c>
      <c r="AT167" t="s">
        <v>215</v>
      </c>
      <c r="AU167" t="s">
        <v>247</v>
      </c>
      <c r="AV167" t="s">
        <v>238</v>
      </c>
      <c r="AW167" t="s">
        <v>214</v>
      </c>
      <c r="AX167" t="s">
        <v>215</v>
      </c>
      <c r="AY167" t="s">
        <v>214</v>
      </c>
      <c r="AZ167" t="s">
        <v>214</v>
      </c>
      <c r="BA167" t="s">
        <v>214</v>
      </c>
      <c r="BB167" t="s">
        <v>214</v>
      </c>
      <c r="BC167" t="s">
        <v>214</v>
      </c>
      <c r="BD167" t="s">
        <v>214</v>
      </c>
      <c r="BE167" t="s">
        <v>215</v>
      </c>
      <c r="BF167" t="s">
        <v>214</v>
      </c>
      <c r="BG167" t="s">
        <v>214</v>
      </c>
      <c r="BH167" t="s">
        <v>235</v>
      </c>
      <c r="BI167" t="s">
        <v>214</v>
      </c>
      <c r="BJ167" t="s">
        <v>215</v>
      </c>
      <c r="BK167" t="s">
        <v>214</v>
      </c>
      <c r="BL167" t="s">
        <v>235</v>
      </c>
      <c r="BM167" t="s">
        <v>214</v>
      </c>
      <c r="BN167" t="s">
        <v>215</v>
      </c>
      <c r="BO167" t="s">
        <v>214</v>
      </c>
      <c r="BP167" t="s">
        <v>214</v>
      </c>
      <c r="BQ167" t="s">
        <v>238</v>
      </c>
      <c r="BR167" t="s">
        <v>214</v>
      </c>
      <c r="BS167" t="s">
        <v>214</v>
      </c>
      <c r="BT167" t="s">
        <v>215</v>
      </c>
      <c r="BU167" t="s">
        <v>215</v>
      </c>
      <c r="BV167" t="s">
        <v>214</v>
      </c>
      <c r="BW167" t="s">
        <v>214</v>
      </c>
      <c r="BX167" t="s">
        <v>235</v>
      </c>
      <c r="BY167" t="s">
        <v>238</v>
      </c>
      <c r="BZ167" t="s">
        <v>214</v>
      </c>
      <c r="CA167" t="s">
        <v>214</v>
      </c>
      <c r="CB167" t="s">
        <v>235</v>
      </c>
      <c r="CC167" t="s">
        <v>214</v>
      </c>
      <c r="CD167" t="s">
        <v>215</v>
      </c>
      <c r="CE167" t="s">
        <v>214</v>
      </c>
      <c r="CF167" t="s">
        <v>238</v>
      </c>
      <c r="CG167" t="s">
        <v>214</v>
      </c>
      <c r="CH167" t="s">
        <v>247</v>
      </c>
      <c r="CI167" t="s">
        <v>215</v>
      </c>
      <c r="CJ167" t="s">
        <v>214</v>
      </c>
      <c r="CK167" t="s">
        <v>214</v>
      </c>
    </row>
    <row r="168" spans="1:89" x14ac:dyDescent="0.25">
      <c r="A168" s="20" t="s">
        <v>167</v>
      </c>
      <c r="B168" t="s">
        <v>215</v>
      </c>
      <c r="C168" t="s">
        <v>214</v>
      </c>
      <c r="D168" t="s">
        <v>242</v>
      </c>
      <c r="E168" t="s">
        <v>238</v>
      </c>
      <c r="F168" t="s">
        <v>240</v>
      </c>
      <c r="G168" t="s">
        <v>238</v>
      </c>
      <c r="H168" t="s">
        <v>206</v>
      </c>
      <c r="I168" t="s">
        <v>215</v>
      </c>
      <c r="J168" t="s">
        <v>215</v>
      </c>
      <c r="K168" t="s">
        <v>214</v>
      </c>
      <c r="L168" t="s">
        <v>214</v>
      </c>
      <c r="M168" t="s">
        <v>235</v>
      </c>
      <c r="N168" t="s">
        <v>214</v>
      </c>
      <c r="O168" t="s">
        <v>215</v>
      </c>
      <c r="P168" t="s">
        <v>214</v>
      </c>
      <c r="Q168" t="s">
        <v>214</v>
      </c>
      <c r="R168" t="s">
        <v>216</v>
      </c>
      <c r="S168" t="s">
        <v>215</v>
      </c>
      <c r="T168" t="s">
        <v>215</v>
      </c>
      <c r="U168" t="s">
        <v>215</v>
      </c>
      <c r="V168" t="s">
        <v>240</v>
      </c>
      <c r="W168" t="s">
        <v>214</v>
      </c>
      <c r="X168" t="s">
        <v>215</v>
      </c>
      <c r="Y168" t="s">
        <v>215</v>
      </c>
      <c r="Z168" t="s">
        <v>235</v>
      </c>
      <c r="AA168" t="s">
        <v>247</v>
      </c>
      <c r="AB168" t="s">
        <v>238</v>
      </c>
      <c r="AC168" t="s">
        <v>214</v>
      </c>
      <c r="AD168" t="s">
        <v>214</v>
      </c>
      <c r="AE168" t="s">
        <v>214</v>
      </c>
      <c r="AF168" t="s">
        <v>238</v>
      </c>
      <c r="AG168" t="s">
        <v>238</v>
      </c>
      <c r="AH168" t="s">
        <v>214</v>
      </c>
      <c r="AI168" t="s">
        <v>217</v>
      </c>
      <c r="AJ168" t="s">
        <v>215</v>
      </c>
      <c r="AK168" t="s">
        <v>215</v>
      </c>
      <c r="AL168" t="s">
        <v>240</v>
      </c>
      <c r="AM168" t="s">
        <v>214</v>
      </c>
      <c r="AN168" t="s">
        <v>214</v>
      </c>
      <c r="AO168" t="s">
        <v>214</v>
      </c>
      <c r="AP168" t="s">
        <v>214</v>
      </c>
      <c r="AQ168" t="s">
        <v>214</v>
      </c>
      <c r="AR168" t="s">
        <v>240</v>
      </c>
      <c r="AS168" t="s">
        <v>235</v>
      </c>
      <c r="AT168" t="s">
        <v>215</v>
      </c>
      <c r="AU168" t="s">
        <v>247</v>
      </c>
      <c r="AV168" t="s">
        <v>238</v>
      </c>
      <c r="AW168" t="s">
        <v>214</v>
      </c>
      <c r="AX168" t="s">
        <v>214</v>
      </c>
      <c r="AY168" t="s">
        <v>215</v>
      </c>
      <c r="AZ168" t="s">
        <v>214</v>
      </c>
      <c r="BA168" t="s">
        <v>235</v>
      </c>
      <c r="BB168" t="s">
        <v>214</v>
      </c>
      <c r="BC168" t="s">
        <v>214</v>
      </c>
      <c r="BD168" t="s">
        <v>214</v>
      </c>
      <c r="BE168" t="s">
        <v>215</v>
      </c>
      <c r="BF168" t="s">
        <v>214</v>
      </c>
      <c r="BG168" t="s">
        <v>235</v>
      </c>
      <c r="BH168" t="s">
        <v>215</v>
      </c>
      <c r="BI168" t="s">
        <v>214</v>
      </c>
      <c r="BJ168" t="s">
        <v>215</v>
      </c>
      <c r="BK168" t="s">
        <v>214</v>
      </c>
      <c r="BL168" t="s">
        <v>215</v>
      </c>
      <c r="BM168" t="s">
        <v>214</v>
      </c>
      <c r="BN168" t="s">
        <v>214</v>
      </c>
      <c r="BO168" t="s">
        <v>214</v>
      </c>
      <c r="BP168" t="s">
        <v>214</v>
      </c>
      <c r="BQ168" t="s">
        <v>238</v>
      </c>
      <c r="BR168" t="s">
        <v>249</v>
      </c>
      <c r="BS168" t="s">
        <v>214</v>
      </c>
      <c r="BT168" t="s">
        <v>214</v>
      </c>
      <c r="BU168" t="s">
        <v>214</v>
      </c>
      <c r="BV168" t="s">
        <v>214</v>
      </c>
      <c r="BW168" t="s">
        <v>235</v>
      </c>
      <c r="BX168" t="s">
        <v>235</v>
      </c>
      <c r="BY168" t="s">
        <v>240</v>
      </c>
      <c r="BZ168" t="s">
        <v>214</v>
      </c>
      <c r="CA168" t="s">
        <v>214</v>
      </c>
      <c r="CB168" t="s">
        <v>214</v>
      </c>
      <c r="CC168" t="s">
        <v>214</v>
      </c>
      <c r="CD168" t="s">
        <v>214</v>
      </c>
      <c r="CE168" t="s">
        <v>214</v>
      </c>
      <c r="CF168" t="s">
        <v>247</v>
      </c>
      <c r="CG168" t="s">
        <v>214</v>
      </c>
      <c r="CH168" t="s">
        <v>238</v>
      </c>
      <c r="CI168" t="s">
        <v>235</v>
      </c>
      <c r="CJ168" t="s">
        <v>214</v>
      </c>
      <c r="CK168" t="s">
        <v>216</v>
      </c>
    </row>
    <row r="169" spans="1:89" x14ac:dyDescent="0.25">
      <c r="A169" s="20" t="s">
        <v>168</v>
      </c>
      <c r="B169" t="s">
        <v>217</v>
      </c>
      <c r="C169" t="s">
        <v>214</v>
      </c>
      <c r="D169" t="s">
        <v>238</v>
      </c>
      <c r="E169" t="s">
        <v>238</v>
      </c>
      <c r="F169" t="s">
        <v>240</v>
      </c>
      <c r="G169" t="s">
        <v>238</v>
      </c>
      <c r="H169" t="s">
        <v>206</v>
      </c>
      <c r="I169" t="s">
        <v>215</v>
      </c>
      <c r="J169" t="s">
        <v>214</v>
      </c>
      <c r="K169" t="s">
        <v>235</v>
      </c>
      <c r="L169" t="s">
        <v>214</v>
      </c>
      <c r="M169" t="s">
        <v>214</v>
      </c>
      <c r="N169" t="s">
        <v>215</v>
      </c>
      <c r="O169" t="s">
        <v>214</v>
      </c>
      <c r="P169" t="s">
        <v>214</v>
      </c>
      <c r="Q169" t="s">
        <v>244</v>
      </c>
      <c r="R169" t="s">
        <v>215</v>
      </c>
      <c r="S169" t="s">
        <v>214</v>
      </c>
      <c r="T169" t="s">
        <v>214</v>
      </c>
      <c r="U169" t="s">
        <v>214</v>
      </c>
      <c r="V169" t="s">
        <v>206</v>
      </c>
      <c r="W169" t="s">
        <v>215</v>
      </c>
      <c r="X169" t="s">
        <v>214</v>
      </c>
      <c r="Y169" t="s">
        <v>215</v>
      </c>
      <c r="AA169" t="s">
        <v>247</v>
      </c>
      <c r="AB169" t="s">
        <v>238</v>
      </c>
      <c r="AC169" t="s">
        <v>214</v>
      </c>
      <c r="AD169" t="s">
        <v>214</v>
      </c>
      <c r="AF169" t="s">
        <v>238</v>
      </c>
      <c r="AG169" t="s">
        <v>238</v>
      </c>
      <c r="AH169" t="s">
        <v>214</v>
      </c>
      <c r="AI169" t="s">
        <v>216</v>
      </c>
      <c r="AJ169" t="s">
        <v>215</v>
      </c>
      <c r="AK169" t="s">
        <v>215</v>
      </c>
      <c r="AL169" t="s">
        <v>240</v>
      </c>
      <c r="AM169" t="s">
        <v>214</v>
      </c>
      <c r="AN169" t="s">
        <v>214</v>
      </c>
      <c r="AO169" t="s">
        <v>215</v>
      </c>
      <c r="AP169" t="s">
        <v>214</v>
      </c>
      <c r="AQ169" t="s">
        <v>214</v>
      </c>
      <c r="AR169" t="s">
        <v>240</v>
      </c>
      <c r="AS169" t="s">
        <v>214</v>
      </c>
      <c r="AT169" t="s">
        <v>215</v>
      </c>
      <c r="AU169" t="s">
        <v>241</v>
      </c>
      <c r="AV169" t="s">
        <v>238</v>
      </c>
      <c r="AW169" t="s">
        <v>214</v>
      </c>
      <c r="AX169" t="s">
        <v>214</v>
      </c>
      <c r="AY169" t="s">
        <v>215</v>
      </c>
      <c r="AZ169" t="s">
        <v>235</v>
      </c>
      <c r="BA169" t="s">
        <v>214</v>
      </c>
      <c r="BB169" t="s">
        <v>214</v>
      </c>
      <c r="BC169" t="s">
        <v>214</v>
      </c>
      <c r="BD169" t="s">
        <v>214</v>
      </c>
      <c r="BE169" t="s">
        <v>248</v>
      </c>
      <c r="BF169" t="s">
        <v>214</v>
      </c>
      <c r="BG169" t="s">
        <v>214</v>
      </c>
      <c r="BH169" t="s">
        <v>214</v>
      </c>
      <c r="BI169" t="s">
        <v>214</v>
      </c>
      <c r="BJ169" t="s">
        <v>214</v>
      </c>
      <c r="BK169" t="s">
        <v>214</v>
      </c>
      <c r="BL169" t="s">
        <v>215</v>
      </c>
      <c r="BM169" t="s">
        <v>214</v>
      </c>
      <c r="BN169" t="s">
        <v>215</v>
      </c>
      <c r="BO169" t="s">
        <v>214</v>
      </c>
      <c r="BP169" t="s">
        <v>214</v>
      </c>
      <c r="BQ169" t="s">
        <v>238</v>
      </c>
      <c r="BR169" t="s">
        <v>214</v>
      </c>
      <c r="BS169" t="s">
        <v>214</v>
      </c>
      <c r="BT169" t="s">
        <v>214</v>
      </c>
      <c r="BU169" t="s">
        <v>214</v>
      </c>
      <c r="BV169" t="s">
        <v>214</v>
      </c>
      <c r="BW169" t="s">
        <v>214</v>
      </c>
      <c r="BX169" t="s">
        <v>214</v>
      </c>
      <c r="BY169" t="s">
        <v>238</v>
      </c>
      <c r="BZ169" t="s">
        <v>214</v>
      </c>
      <c r="CA169" t="s">
        <v>214</v>
      </c>
      <c r="CB169" t="s">
        <v>214</v>
      </c>
      <c r="CC169" t="s">
        <v>214</v>
      </c>
      <c r="CD169" t="s">
        <v>215</v>
      </c>
      <c r="CE169" t="s">
        <v>214</v>
      </c>
      <c r="CF169" t="s">
        <v>238</v>
      </c>
      <c r="CG169" t="s">
        <v>214</v>
      </c>
      <c r="CH169" t="s">
        <v>247</v>
      </c>
      <c r="CI169" t="s">
        <v>215</v>
      </c>
      <c r="CJ169" t="s">
        <v>214</v>
      </c>
      <c r="CK169" t="s">
        <v>214</v>
      </c>
    </row>
    <row r="170" spans="1:89" x14ac:dyDescent="0.25">
      <c r="A170" s="20" t="s">
        <v>169</v>
      </c>
      <c r="B170" t="s">
        <v>218</v>
      </c>
      <c r="C170" t="s">
        <v>218</v>
      </c>
      <c r="D170" t="s">
        <v>218</v>
      </c>
      <c r="E170" t="s">
        <v>219</v>
      </c>
      <c r="F170" t="s">
        <v>219</v>
      </c>
      <c r="G170" t="s">
        <v>220</v>
      </c>
      <c r="H170" t="s">
        <v>218</v>
      </c>
      <c r="I170" t="s">
        <v>218</v>
      </c>
      <c r="J170" t="s">
        <v>224</v>
      </c>
      <c r="K170" t="s">
        <v>218</v>
      </c>
      <c r="L170" t="s">
        <v>223</v>
      </c>
      <c r="M170" t="s">
        <v>221</v>
      </c>
      <c r="N170" t="s">
        <v>224</v>
      </c>
      <c r="O170" t="s">
        <v>218</v>
      </c>
      <c r="P170" t="s">
        <v>225</v>
      </c>
      <c r="Q170" t="s">
        <v>218</v>
      </c>
      <c r="R170" t="s">
        <v>218</v>
      </c>
      <c r="S170" t="s">
        <v>218</v>
      </c>
      <c r="T170" t="s">
        <v>224</v>
      </c>
      <c r="U170" t="s">
        <v>223</v>
      </c>
      <c r="V170" t="s">
        <v>218</v>
      </c>
      <c r="W170" t="s">
        <v>223</v>
      </c>
      <c r="X170" t="s">
        <v>218</v>
      </c>
      <c r="Y170" t="s">
        <v>223</v>
      </c>
      <c r="Z170" t="s">
        <v>223</v>
      </c>
      <c r="AA170" t="s">
        <v>218</v>
      </c>
      <c r="AB170" t="s">
        <v>218</v>
      </c>
      <c r="AC170" t="s">
        <v>218</v>
      </c>
      <c r="AD170" t="s">
        <v>223</v>
      </c>
      <c r="AE170" t="s">
        <v>218</v>
      </c>
      <c r="AF170" t="s">
        <v>221</v>
      </c>
      <c r="AG170" t="s">
        <v>218</v>
      </c>
      <c r="AH170" t="s">
        <v>218</v>
      </c>
      <c r="AI170" t="s">
        <v>225</v>
      </c>
      <c r="AJ170" t="s">
        <v>224</v>
      </c>
      <c r="AK170" t="s">
        <v>218</v>
      </c>
      <c r="AL170" t="s">
        <v>219</v>
      </c>
      <c r="AM170" t="s">
        <v>224</v>
      </c>
      <c r="AN170" t="s">
        <v>223</v>
      </c>
      <c r="AO170" t="s">
        <v>220</v>
      </c>
      <c r="AP170" t="s">
        <v>225</v>
      </c>
      <c r="AQ170" t="s">
        <v>224</v>
      </c>
      <c r="AR170" t="s">
        <v>218</v>
      </c>
      <c r="AS170" t="s">
        <v>218</v>
      </c>
      <c r="AT170" t="s">
        <v>218</v>
      </c>
      <c r="AU170" t="s">
        <v>220</v>
      </c>
      <c r="AV170" t="s">
        <v>219</v>
      </c>
      <c r="AW170" t="s">
        <v>218</v>
      </c>
      <c r="AX170" t="s">
        <v>223</v>
      </c>
      <c r="AY170" t="s">
        <v>218</v>
      </c>
      <c r="AZ170" t="s">
        <v>223</v>
      </c>
      <c r="BA170" t="s">
        <v>225</v>
      </c>
      <c r="BB170" t="s">
        <v>218</v>
      </c>
      <c r="BC170" t="s">
        <v>218</v>
      </c>
      <c r="BD170" t="s">
        <v>218</v>
      </c>
      <c r="BE170" t="s">
        <v>218</v>
      </c>
      <c r="BF170" t="s">
        <v>218</v>
      </c>
      <c r="BG170" t="s">
        <v>218</v>
      </c>
      <c r="BH170" t="s">
        <v>218</v>
      </c>
      <c r="BI170" t="s">
        <v>218</v>
      </c>
      <c r="BJ170" t="s">
        <v>223</v>
      </c>
      <c r="BK170" t="s">
        <v>218</v>
      </c>
      <c r="BL170" t="s">
        <v>218</v>
      </c>
      <c r="BM170" t="s">
        <v>218</v>
      </c>
      <c r="BN170" t="s">
        <v>219</v>
      </c>
      <c r="BO170" t="s">
        <v>224</v>
      </c>
      <c r="BP170" t="s">
        <v>223</v>
      </c>
      <c r="BQ170" t="s">
        <v>218</v>
      </c>
      <c r="BR170" t="s">
        <v>223</v>
      </c>
      <c r="BS170" t="s">
        <v>218</v>
      </c>
      <c r="BT170" t="s">
        <v>218</v>
      </c>
      <c r="BU170" t="s">
        <v>218</v>
      </c>
      <c r="BV170" t="s">
        <v>218</v>
      </c>
      <c r="BW170" t="s">
        <v>218</v>
      </c>
      <c r="BX170" t="s">
        <v>223</v>
      </c>
      <c r="BY170" t="s">
        <v>218</v>
      </c>
      <c r="BZ170" t="s">
        <v>224</v>
      </c>
      <c r="CA170" t="s">
        <v>221</v>
      </c>
      <c r="CB170" t="s">
        <v>218</v>
      </c>
      <c r="CC170" t="s">
        <v>218</v>
      </c>
      <c r="CD170" t="s">
        <v>224</v>
      </c>
      <c r="CE170" t="s">
        <v>223</v>
      </c>
      <c r="CF170" t="s">
        <v>221</v>
      </c>
      <c r="CG170" t="s">
        <v>218</v>
      </c>
      <c r="CH170" t="s">
        <v>218</v>
      </c>
      <c r="CI170" t="s">
        <v>218</v>
      </c>
      <c r="CJ170" t="s">
        <v>218</v>
      </c>
      <c r="CK170" t="s">
        <v>218</v>
      </c>
    </row>
    <row r="171" spans="1:89" x14ac:dyDescent="0.25">
      <c r="A171" s="20" t="s">
        <v>170</v>
      </c>
      <c r="B171" t="s">
        <v>219</v>
      </c>
      <c r="C171" t="s">
        <v>220</v>
      </c>
      <c r="D171" t="s">
        <v>218</v>
      </c>
      <c r="E171" t="s">
        <v>219</v>
      </c>
      <c r="F171" t="s">
        <v>219</v>
      </c>
      <c r="G171" t="s">
        <v>220</v>
      </c>
      <c r="H171" t="s">
        <v>219</v>
      </c>
      <c r="I171" t="s">
        <v>218</v>
      </c>
      <c r="J171" t="s">
        <v>223</v>
      </c>
      <c r="K171" t="s">
        <v>218</v>
      </c>
      <c r="L171" t="s">
        <v>223</v>
      </c>
      <c r="M171" t="s">
        <v>218</v>
      </c>
      <c r="N171" t="s">
        <v>218</v>
      </c>
      <c r="O171" t="s">
        <v>218</v>
      </c>
      <c r="P171" t="s">
        <v>218</v>
      </c>
      <c r="Q171" t="s">
        <v>224</v>
      </c>
      <c r="R171" t="s">
        <v>218</v>
      </c>
      <c r="S171" t="s">
        <v>218</v>
      </c>
      <c r="T171" t="s">
        <v>218</v>
      </c>
      <c r="U171" t="s">
        <v>223</v>
      </c>
      <c r="V171" t="s">
        <v>219</v>
      </c>
      <c r="W171" t="s">
        <v>224</v>
      </c>
      <c r="X171" t="s">
        <v>218</v>
      </c>
      <c r="Y171" t="s">
        <v>224</v>
      </c>
      <c r="Z171" t="s">
        <v>218</v>
      </c>
      <c r="AA171" t="s">
        <v>219</v>
      </c>
      <c r="AB171" t="s">
        <v>219</v>
      </c>
      <c r="AC171" t="s">
        <v>220</v>
      </c>
      <c r="AD171" t="s">
        <v>218</v>
      </c>
      <c r="AE171" t="s">
        <v>223</v>
      </c>
      <c r="AF171" t="s">
        <v>218</v>
      </c>
      <c r="AG171" t="s">
        <v>218</v>
      </c>
      <c r="AH171" t="s">
        <v>218</v>
      </c>
      <c r="AI171" t="s">
        <v>220</v>
      </c>
      <c r="AJ171" t="s">
        <v>224</v>
      </c>
      <c r="AK171" t="s">
        <v>223</v>
      </c>
      <c r="AL171" t="s">
        <v>220</v>
      </c>
      <c r="AM171" t="s">
        <v>223</v>
      </c>
      <c r="AN171" t="s">
        <v>224</v>
      </c>
      <c r="AO171" t="s">
        <v>219</v>
      </c>
      <c r="AP171" t="s">
        <v>224</v>
      </c>
      <c r="AQ171" t="s">
        <v>218</v>
      </c>
      <c r="AR171" t="s">
        <v>218</v>
      </c>
      <c r="AS171" t="s">
        <v>218</v>
      </c>
      <c r="AT171" t="s">
        <v>218</v>
      </c>
      <c r="AU171" t="s">
        <v>218</v>
      </c>
      <c r="AV171" t="s">
        <v>219</v>
      </c>
      <c r="AW171" t="s">
        <v>223</v>
      </c>
      <c r="AX171" t="s">
        <v>223</v>
      </c>
      <c r="AY171" t="s">
        <v>218</v>
      </c>
      <c r="AZ171" t="s">
        <v>218</v>
      </c>
      <c r="BA171" t="s">
        <v>218</v>
      </c>
      <c r="BB171" t="s">
        <v>218</v>
      </c>
      <c r="BC171" t="s">
        <v>224</v>
      </c>
      <c r="BD171" t="s">
        <v>218</v>
      </c>
      <c r="BE171" t="s">
        <v>218</v>
      </c>
      <c r="BF171" t="s">
        <v>218</v>
      </c>
      <c r="BG171" t="s">
        <v>218</v>
      </c>
      <c r="BH171" t="s">
        <v>218</v>
      </c>
      <c r="BI171" t="s">
        <v>218</v>
      </c>
      <c r="BJ171" t="s">
        <v>218</v>
      </c>
      <c r="BK171" t="s">
        <v>221</v>
      </c>
      <c r="BL171" t="s">
        <v>218</v>
      </c>
      <c r="BM171" t="s">
        <v>223</v>
      </c>
      <c r="BN171" t="s">
        <v>221</v>
      </c>
      <c r="BO171" t="s">
        <v>223</v>
      </c>
      <c r="BP171" t="s">
        <v>223</v>
      </c>
      <c r="BQ171" t="s">
        <v>219</v>
      </c>
      <c r="BR171" t="s">
        <v>223</v>
      </c>
      <c r="BS171" t="s">
        <v>218</v>
      </c>
      <c r="BT171" t="s">
        <v>218</v>
      </c>
      <c r="BU171" t="s">
        <v>224</v>
      </c>
      <c r="BV171" t="s">
        <v>218</v>
      </c>
      <c r="BW171" t="s">
        <v>223</v>
      </c>
      <c r="BX171" t="s">
        <v>218</v>
      </c>
      <c r="BY171" t="s">
        <v>218</v>
      </c>
      <c r="BZ171" t="s">
        <v>223</v>
      </c>
      <c r="CA171" t="s">
        <v>220</v>
      </c>
      <c r="CB171" t="s">
        <v>224</v>
      </c>
      <c r="CC171" t="s">
        <v>223</v>
      </c>
      <c r="CD171" t="s">
        <v>218</v>
      </c>
      <c r="CE171" t="s">
        <v>218</v>
      </c>
      <c r="CF171" t="s">
        <v>219</v>
      </c>
      <c r="CG171" t="s">
        <v>218</v>
      </c>
      <c r="CH171" t="s">
        <v>220</v>
      </c>
      <c r="CI171" t="s">
        <v>218</v>
      </c>
      <c r="CJ171" t="s">
        <v>224</v>
      </c>
      <c r="CK171" t="s">
        <v>223</v>
      </c>
    </row>
    <row r="172" spans="1:89" x14ac:dyDescent="0.25">
      <c r="A172" s="20" t="s">
        <v>171</v>
      </c>
      <c r="B172" t="s">
        <v>218</v>
      </c>
      <c r="C172" t="s">
        <v>218</v>
      </c>
      <c r="D172" t="s">
        <v>218</v>
      </c>
      <c r="E172" t="s">
        <v>219</v>
      </c>
      <c r="F172" t="s">
        <v>218</v>
      </c>
      <c r="G172" t="s">
        <v>221</v>
      </c>
      <c r="H172" t="s">
        <v>219</v>
      </c>
      <c r="I172" t="s">
        <v>218</v>
      </c>
      <c r="J172" t="s">
        <v>218</v>
      </c>
      <c r="K172" t="s">
        <v>218</v>
      </c>
      <c r="L172" t="s">
        <v>223</v>
      </c>
      <c r="M172" t="s">
        <v>218</v>
      </c>
      <c r="N172" t="s">
        <v>224</v>
      </c>
      <c r="O172" t="s">
        <v>218</v>
      </c>
      <c r="P172" t="s">
        <v>225</v>
      </c>
      <c r="Q172" t="s">
        <v>223</v>
      </c>
      <c r="R172" t="s">
        <v>218</v>
      </c>
      <c r="S172" t="s">
        <v>218</v>
      </c>
      <c r="T172" t="s">
        <v>224</v>
      </c>
      <c r="U172" t="s">
        <v>218</v>
      </c>
      <c r="V172" t="s">
        <v>221</v>
      </c>
      <c r="W172" t="s">
        <v>223</v>
      </c>
      <c r="X172" t="s">
        <v>218</v>
      </c>
      <c r="Y172" t="s">
        <v>221</v>
      </c>
      <c r="Z172" t="s">
        <v>223</v>
      </c>
      <c r="AA172" t="s">
        <v>221</v>
      </c>
      <c r="AB172" t="s">
        <v>219</v>
      </c>
      <c r="AC172" t="s">
        <v>223</v>
      </c>
      <c r="AD172" t="s">
        <v>218</v>
      </c>
      <c r="AE172" t="s">
        <v>223</v>
      </c>
      <c r="AF172" t="s">
        <v>221</v>
      </c>
      <c r="AG172" t="s">
        <v>218</v>
      </c>
      <c r="AH172" t="s">
        <v>218</v>
      </c>
      <c r="AI172" t="s">
        <v>218</v>
      </c>
      <c r="AJ172" t="s">
        <v>225</v>
      </c>
      <c r="AK172" t="s">
        <v>223</v>
      </c>
      <c r="AL172" t="s">
        <v>220</v>
      </c>
      <c r="AM172" t="s">
        <v>224</v>
      </c>
      <c r="AN172" t="s">
        <v>218</v>
      </c>
      <c r="AO172" t="s">
        <v>218</v>
      </c>
      <c r="AP172" t="s">
        <v>218</v>
      </c>
      <c r="AQ172" t="s">
        <v>224</v>
      </c>
      <c r="AR172" t="s">
        <v>219</v>
      </c>
      <c r="AS172" t="s">
        <v>223</v>
      </c>
      <c r="AT172" t="s">
        <v>218</v>
      </c>
      <c r="AU172" t="s">
        <v>218</v>
      </c>
      <c r="AV172" t="s">
        <v>218</v>
      </c>
      <c r="AW172" t="s">
        <v>218</v>
      </c>
      <c r="AX172" t="s">
        <v>218</v>
      </c>
      <c r="AY172" t="s">
        <v>218</v>
      </c>
      <c r="AZ172" t="s">
        <v>218</v>
      </c>
      <c r="BA172" t="s">
        <v>223</v>
      </c>
      <c r="BB172" t="s">
        <v>218</v>
      </c>
      <c r="BC172" t="s">
        <v>223</v>
      </c>
      <c r="BD172" t="s">
        <v>218</v>
      </c>
      <c r="BE172" t="s">
        <v>218</v>
      </c>
      <c r="BF172" t="s">
        <v>223</v>
      </c>
      <c r="BG172" t="s">
        <v>218</v>
      </c>
      <c r="BH172" t="s">
        <v>219</v>
      </c>
      <c r="BI172" t="s">
        <v>223</v>
      </c>
      <c r="BJ172" t="s">
        <v>218</v>
      </c>
      <c r="BK172" t="s">
        <v>219</v>
      </c>
      <c r="BL172" t="s">
        <v>218</v>
      </c>
      <c r="BM172" t="s">
        <v>223</v>
      </c>
      <c r="BN172" t="s">
        <v>219</v>
      </c>
      <c r="BO172" t="s">
        <v>218</v>
      </c>
      <c r="BP172" t="s">
        <v>218</v>
      </c>
      <c r="BQ172" t="s">
        <v>218</v>
      </c>
      <c r="BR172" t="s">
        <v>223</v>
      </c>
      <c r="BS172" t="s">
        <v>218</v>
      </c>
      <c r="BT172" t="s">
        <v>218</v>
      </c>
      <c r="BU172" t="s">
        <v>218</v>
      </c>
      <c r="BV172" t="s">
        <v>224</v>
      </c>
      <c r="BW172" t="s">
        <v>218</v>
      </c>
      <c r="BX172" t="s">
        <v>218</v>
      </c>
      <c r="BY172" t="s">
        <v>220</v>
      </c>
      <c r="BZ172" t="s">
        <v>223</v>
      </c>
      <c r="CA172" t="s">
        <v>220</v>
      </c>
      <c r="CB172" t="s">
        <v>224</v>
      </c>
      <c r="CC172" t="s">
        <v>223</v>
      </c>
      <c r="CD172" t="s">
        <v>224</v>
      </c>
      <c r="CE172" t="s">
        <v>218</v>
      </c>
      <c r="CF172" t="s">
        <v>219</v>
      </c>
      <c r="CG172" t="s">
        <v>223</v>
      </c>
      <c r="CH172" t="s">
        <v>221</v>
      </c>
      <c r="CI172" t="s">
        <v>224</v>
      </c>
      <c r="CJ172" t="s">
        <v>224</v>
      </c>
      <c r="CK172" t="s">
        <v>225</v>
      </c>
    </row>
    <row r="173" spans="1:89" x14ac:dyDescent="0.25">
      <c r="A173" s="20" t="s">
        <v>172</v>
      </c>
      <c r="B173" t="s">
        <v>218</v>
      </c>
      <c r="C173" t="s">
        <v>221</v>
      </c>
      <c r="D173" t="s">
        <v>218</v>
      </c>
      <c r="E173" t="s">
        <v>219</v>
      </c>
      <c r="F173" t="s">
        <v>219</v>
      </c>
      <c r="G173" t="s">
        <v>219</v>
      </c>
      <c r="H173" t="s">
        <v>218</v>
      </c>
      <c r="I173" t="s">
        <v>218</v>
      </c>
      <c r="J173" t="s">
        <v>223</v>
      </c>
      <c r="K173" t="s">
        <v>223</v>
      </c>
      <c r="L173" t="s">
        <v>218</v>
      </c>
      <c r="M173" t="s">
        <v>223</v>
      </c>
      <c r="N173" t="s">
        <v>225</v>
      </c>
      <c r="O173" t="s">
        <v>218</v>
      </c>
      <c r="P173" t="s">
        <v>218</v>
      </c>
      <c r="Q173" t="s">
        <v>218</v>
      </c>
      <c r="R173" t="s">
        <v>218</v>
      </c>
      <c r="S173" t="s">
        <v>218</v>
      </c>
      <c r="T173" t="s">
        <v>224</v>
      </c>
      <c r="U173" t="s">
        <v>218</v>
      </c>
      <c r="V173" t="s">
        <v>218</v>
      </c>
      <c r="W173" t="s">
        <v>224</v>
      </c>
      <c r="X173" t="s">
        <v>218</v>
      </c>
      <c r="Y173" t="s">
        <v>218</v>
      </c>
      <c r="Z173" t="s">
        <v>224</v>
      </c>
      <c r="AA173" t="s">
        <v>219</v>
      </c>
      <c r="AB173" t="s">
        <v>218</v>
      </c>
      <c r="AC173" t="s">
        <v>225</v>
      </c>
      <c r="AD173" t="s">
        <v>218</v>
      </c>
      <c r="AE173" t="s">
        <v>220</v>
      </c>
      <c r="AF173" t="s">
        <v>219</v>
      </c>
      <c r="AG173" t="s">
        <v>218</v>
      </c>
      <c r="AH173" t="s">
        <v>223</v>
      </c>
      <c r="AI173" t="s">
        <v>218</v>
      </c>
      <c r="AJ173" t="s">
        <v>225</v>
      </c>
      <c r="AK173" t="s">
        <v>224</v>
      </c>
      <c r="AL173" t="s">
        <v>219</v>
      </c>
      <c r="AM173" t="s">
        <v>218</v>
      </c>
      <c r="AN173" t="s">
        <v>223</v>
      </c>
      <c r="AO173" t="s">
        <v>218</v>
      </c>
      <c r="AP173" t="s">
        <v>225</v>
      </c>
      <c r="AQ173" t="s">
        <v>224</v>
      </c>
      <c r="AR173" t="s">
        <v>218</v>
      </c>
      <c r="AS173" t="s">
        <v>218</v>
      </c>
      <c r="AT173" t="s">
        <v>218</v>
      </c>
      <c r="AU173" t="s">
        <v>219</v>
      </c>
      <c r="AV173" t="s">
        <v>218</v>
      </c>
      <c r="AW173" t="s">
        <v>218</v>
      </c>
      <c r="AX173" t="s">
        <v>218</v>
      </c>
      <c r="AY173" t="s">
        <v>218</v>
      </c>
      <c r="AZ173" t="s">
        <v>220</v>
      </c>
      <c r="BA173" t="s">
        <v>218</v>
      </c>
      <c r="BB173" t="s">
        <v>219</v>
      </c>
      <c r="BC173" t="s">
        <v>223</v>
      </c>
      <c r="BD173" t="s">
        <v>223</v>
      </c>
      <c r="BE173" t="s">
        <v>218</v>
      </c>
      <c r="BF173" t="s">
        <v>223</v>
      </c>
      <c r="BG173" t="s">
        <v>218</v>
      </c>
      <c r="BH173" t="s">
        <v>219</v>
      </c>
      <c r="BI173" t="s">
        <v>224</v>
      </c>
      <c r="BJ173" t="s">
        <v>218</v>
      </c>
      <c r="BK173" t="s">
        <v>219</v>
      </c>
      <c r="BL173" t="s">
        <v>218</v>
      </c>
      <c r="BM173" t="s">
        <v>224</v>
      </c>
      <c r="BN173" t="s">
        <v>224</v>
      </c>
      <c r="BO173" t="s">
        <v>224</v>
      </c>
      <c r="BP173" t="s">
        <v>223</v>
      </c>
      <c r="BQ173" t="s">
        <v>221</v>
      </c>
      <c r="BR173" t="s">
        <v>218</v>
      </c>
      <c r="BS173" t="s">
        <v>218</v>
      </c>
      <c r="BT173" t="s">
        <v>218</v>
      </c>
      <c r="BU173" t="s">
        <v>223</v>
      </c>
      <c r="BV173" t="s">
        <v>218</v>
      </c>
      <c r="BW173" t="s">
        <v>218</v>
      </c>
      <c r="BX173" t="s">
        <v>218</v>
      </c>
      <c r="BY173" t="s">
        <v>220</v>
      </c>
      <c r="BZ173" t="s">
        <v>224</v>
      </c>
      <c r="CA173" t="s">
        <v>218</v>
      </c>
      <c r="CB173" t="s">
        <v>224</v>
      </c>
      <c r="CC173" t="s">
        <v>223</v>
      </c>
      <c r="CD173" t="s">
        <v>224</v>
      </c>
      <c r="CE173" t="s">
        <v>223</v>
      </c>
      <c r="CF173" t="s">
        <v>219</v>
      </c>
      <c r="CG173" t="s">
        <v>223</v>
      </c>
      <c r="CH173" t="s">
        <v>219</v>
      </c>
      <c r="CI173" t="s">
        <v>225</v>
      </c>
      <c r="CJ173" t="s">
        <v>218</v>
      </c>
      <c r="CK173" t="s">
        <v>218</v>
      </c>
    </row>
    <row r="174" spans="1:89" x14ac:dyDescent="0.25">
      <c r="A174" s="20" t="s">
        <v>173</v>
      </c>
      <c r="B174" t="s">
        <v>220</v>
      </c>
      <c r="C174" t="s">
        <v>218</v>
      </c>
      <c r="D174" t="s">
        <v>218</v>
      </c>
      <c r="E174" t="s">
        <v>219</v>
      </c>
      <c r="F174" t="s">
        <v>220</v>
      </c>
      <c r="G174" t="s">
        <v>218</v>
      </c>
      <c r="H174" t="s">
        <v>218</v>
      </c>
      <c r="I174" t="s">
        <v>218</v>
      </c>
      <c r="J174" t="s">
        <v>218</v>
      </c>
      <c r="K174" t="s">
        <v>223</v>
      </c>
      <c r="L174" t="s">
        <v>223</v>
      </c>
      <c r="M174" t="s">
        <v>218</v>
      </c>
      <c r="N174" t="s">
        <v>218</v>
      </c>
      <c r="O174" t="s">
        <v>223</v>
      </c>
      <c r="P174" t="s">
        <v>224</v>
      </c>
      <c r="Q174" t="s">
        <v>223</v>
      </c>
      <c r="R174" t="s">
        <v>224</v>
      </c>
      <c r="S174" t="s">
        <v>223</v>
      </c>
      <c r="T174" t="s">
        <v>223</v>
      </c>
      <c r="U174" t="s">
        <v>218</v>
      </c>
      <c r="V174" t="s">
        <v>218</v>
      </c>
      <c r="W174" t="s">
        <v>223</v>
      </c>
      <c r="X174" t="s">
        <v>223</v>
      </c>
      <c r="Y174" t="s">
        <v>218</v>
      </c>
      <c r="Z174" t="s">
        <v>223</v>
      </c>
      <c r="AA174" t="s">
        <v>219</v>
      </c>
      <c r="AB174" t="s">
        <v>218</v>
      </c>
      <c r="AC174" t="s">
        <v>223</v>
      </c>
      <c r="AD174" t="s">
        <v>223</v>
      </c>
      <c r="AE174" t="s">
        <v>218</v>
      </c>
      <c r="AF174" t="s">
        <v>219</v>
      </c>
      <c r="AG174" t="s">
        <v>218</v>
      </c>
      <c r="AH174" t="s">
        <v>223</v>
      </c>
      <c r="AI174" t="s">
        <v>218</v>
      </c>
      <c r="AJ174" t="s">
        <v>225</v>
      </c>
      <c r="AK174" t="s">
        <v>224</v>
      </c>
      <c r="AL174" t="s">
        <v>219</v>
      </c>
      <c r="AM174" t="s">
        <v>218</v>
      </c>
      <c r="AN174" t="s">
        <v>223</v>
      </c>
      <c r="AO174" t="s">
        <v>219</v>
      </c>
      <c r="AP174" t="s">
        <v>218</v>
      </c>
      <c r="AQ174" t="s">
        <v>218</v>
      </c>
      <c r="AR174" t="s">
        <v>218</v>
      </c>
      <c r="AS174" t="s">
        <v>218</v>
      </c>
      <c r="AT174" t="s">
        <v>223</v>
      </c>
      <c r="AU174" t="s">
        <v>219</v>
      </c>
      <c r="AV174" t="s">
        <v>219</v>
      </c>
      <c r="AW174" t="s">
        <v>218</v>
      </c>
      <c r="AX174" t="s">
        <v>223</v>
      </c>
      <c r="AY174" t="s">
        <v>218</v>
      </c>
      <c r="AZ174" t="s">
        <v>221</v>
      </c>
      <c r="BA174" t="s">
        <v>223</v>
      </c>
      <c r="BB174" t="s">
        <v>224</v>
      </c>
      <c r="BC174" t="s">
        <v>223</v>
      </c>
      <c r="BD174" t="s">
        <v>218</v>
      </c>
      <c r="BE174" t="s">
        <v>225</v>
      </c>
      <c r="BF174" t="s">
        <v>218</v>
      </c>
      <c r="BG174" t="s">
        <v>223</v>
      </c>
      <c r="BH174" t="s">
        <v>219</v>
      </c>
      <c r="BI174" t="s">
        <v>218</v>
      </c>
      <c r="BJ174" t="s">
        <v>218</v>
      </c>
      <c r="BK174" t="s">
        <v>218</v>
      </c>
      <c r="BL174" t="s">
        <v>223</v>
      </c>
      <c r="BM174" t="s">
        <v>218</v>
      </c>
      <c r="BN174" t="s">
        <v>224</v>
      </c>
      <c r="BO174" t="s">
        <v>223</v>
      </c>
      <c r="BP174" t="s">
        <v>225</v>
      </c>
      <c r="BQ174" t="s">
        <v>220</v>
      </c>
      <c r="BR174" t="s">
        <v>223</v>
      </c>
      <c r="BS174" t="s">
        <v>223</v>
      </c>
      <c r="BT174" t="s">
        <v>218</v>
      </c>
      <c r="BU174" t="s">
        <v>218</v>
      </c>
      <c r="BV174" t="s">
        <v>218</v>
      </c>
      <c r="BW174" t="s">
        <v>223</v>
      </c>
      <c r="BX174" t="s">
        <v>223</v>
      </c>
      <c r="BY174" t="s">
        <v>220</v>
      </c>
      <c r="BZ174" t="s">
        <v>224</v>
      </c>
      <c r="CA174" t="s">
        <v>219</v>
      </c>
      <c r="CB174" t="s">
        <v>224</v>
      </c>
      <c r="CC174" t="s">
        <v>218</v>
      </c>
      <c r="CD174" t="s">
        <v>218</v>
      </c>
      <c r="CE174" t="s">
        <v>224</v>
      </c>
      <c r="CF174" t="s">
        <v>218</v>
      </c>
      <c r="CG174" t="s">
        <v>223</v>
      </c>
      <c r="CH174" t="s">
        <v>219</v>
      </c>
      <c r="CI174" t="s">
        <v>218</v>
      </c>
      <c r="CJ174" t="s">
        <v>223</v>
      </c>
      <c r="CK174" t="s">
        <v>223</v>
      </c>
    </row>
    <row r="175" spans="1:89" x14ac:dyDescent="0.25">
      <c r="A175" s="20" t="s">
        <v>174</v>
      </c>
      <c r="B175" t="s">
        <v>218</v>
      </c>
      <c r="C175" t="s">
        <v>218</v>
      </c>
      <c r="D175" t="s">
        <v>220</v>
      </c>
      <c r="E175" t="s">
        <v>218</v>
      </c>
      <c r="F175" t="s">
        <v>220</v>
      </c>
      <c r="G175" t="s">
        <v>218</v>
      </c>
      <c r="H175" t="s">
        <v>219</v>
      </c>
      <c r="I175" t="s">
        <v>218</v>
      </c>
      <c r="J175" t="s">
        <v>223</v>
      </c>
      <c r="K175" t="s">
        <v>218</v>
      </c>
      <c r="L175" t="s">
        <v>224</v>
      </c>
      <c r="M175" t="s">
        <v>218</v>
      </c>
      <c r="N175" t="s">
        <v>225</v>
      </c>
      <c r="O175" t="s">
        <v>218</v>
      </c>
      <c r="P175" t="s">
        <v>225</v>
      </c>
      <c r="Q175" t="s">
        <v>223</v>
      </c>
      <c r="R175" t="s">
        <v>218</v>
      </c>
      <c r="S175" t="s">
        <v>220</v>
      </c>
      <c r="T175" t="s">
        <v>224</v>
      </c>
      <c r="U175" t="s">
        <v>218</v>
      </c>
      <c r="V175" t="s">
        <v>218</v>
      </c>
      <c r="W175" t="s">
        <v>223</v>
      </c>
      <c r="X175" t="s">
        <v>218</v>
      </c>
      <c r="Y175" t="s">
        <v>218</v>
      </c>
      <c r="Z175" t="s">
        <v>225</v>
      </c>
      <c r="AA175" t="s">
        <v>221</v>
      </c>
      <c r="AB175" t="s">
        <v>218</v>
      </c>
      <c r="AC175" t="s">
        <v>223</v>
      </c>
      <c r="AD175" t="s">
        <v>224</v>
      </c>
      <c r="AE175" t="s">
        <v>223</v>
      </c>
      <c r="AF175" t="s">
        <v>221</v>
      </c>
      <c r="AG175" t="s">
        <v>218</v>
      </c>
      <c r="AH175" t="s">
        <v>237</v>
      </c>
      <c r="AI175" t="s">
        <v>218</v>
      </c>
      <c r="AJ175" t="s">
        <v>218</v>
      </c>
      <c r="AK175" t="s">
        <v>225</v>
      </c>
      <c r="AL175" t="s">
        <v>219</v>
      </c>
      <c r="AM175" t="s">
        <v>223</v>
      </c>
      <c r="AN175" t="s">
        <v>218</v>
      </c>
      <c r="AO175" t="s">
        <v>218</v>
      </c>
      <c r="AP175" t="s">
        <v>218</v>
      </c>
      <c r="AQ175" t="s">
        <v>224</v>
      </c>
      <c r="AR175" t="s">
        <v>219</v>
      </c>
      <c r="AS175" t="s">
        <v>218</v>
      </c>
      <c r="AT175" t="s">
        <v>225</v>
      </c>
      <c r="AU175" t="s">
        <v>220</v>
      </c>
      <c r="AV175" t="s">
        <v>218</v>
      </c>
      <c r="AW175" t="s">
        <v>224</v>
      </c>
      <c r="AX175" t="s">
        <v>218</v>
      </c>
      <c r="AY175" t="s">
        <v>218</v>
      </c>
      <c r="AZ175" t="s">
        <v>223</v>
      </c>
      <c r="BA175" t="s">
        <v>218</v>
      </c>
      <c r="BB175" t="s">
        <v>224</v>
      </c>
      <c r="BC175" t="s">
        <v>223</v>
      </c>
      <c r="BD175" t="s">
        <v>224</v>
      </c>
      <c r="BE175" t="s">
        <v>225</v>
      </c>
      <c r="BF175" t="s">
        <v>218</v>
      </c>
      <c r="BG175" t="s">
        <v>224</v>
      </c>
      <c r="BH175" t="s">
        <v>219</v>
      </c>
      <c r="BI175" t="s">
        <v>223</v>
      </c>
      <c r="BJ175" t="s">
        <v>218</v>
      </c>
      <c r="BK175" t="s">
        <v>218</v>
      </c>
      <c r="BL175" t="s">
        <v>236</v>
      </c>
      <c r="BM175" t="s">
        <v>224</v>
      </c>
      <c r="BN175" t="s">
        <v>219</v>
      </c>
      <c r="BO175" t="s">
        <v>223</v>
      </c>
      <c r="BP175" t="s">
        <v>224</v>
      </c>
      <c r="BQ175" t="s">
        <v>219</v>
      </c>
      <c r="BR175" t="s">
        <v>218</v>
      </c>
      <c r="BS175" t="s">
        <v>223</v>
      </c>
      <c r="BT175" t="s">
        <v>218</v>
      </c>
      <c r="BU175" t="s">
        <v>218</v>
      </c>
      <c r="BV175" t="s">
        <v>218</v>
      </c>
      <c r="BW175" t="s">
        <v>225</v>
      </c>
      <c r="BX175" t="s">
        <v>218</v>
      </c>
      <c r="BY175" t="s">
        <v>218</v>
      </c>
      <c r="BZ175" t="s">
        <v>218</v>
      </c>
      <c r="CA175" t="s">
        <v>221</v>
      </c>
      <c r="CB175" t="s">
        <v>224</v>
      </c>
      <c r="CC175" t="s">
        <v>218</v>
      </c>
      <c r="CD175" t="s">
        <v>224</v>
      </c>
      <c r="CE175" t="s">
        <v>223</v>
      </c>
      <c r="CF175" t="s">
        <v>220</v>
      </c>
      <c r="CG175" t="s">
        <v>223</v>
      </c>
      <c r="CH175" t="s">
        <v>218</v>
      </c>
      <c r="CI175" t="s">
        <v>224</v>
      </c>
      <c r="CJ175" t="s">
        <v>223</v>
      </c>
      <c r="CK175" t="s">
        <v>218</v>
      </c>
    </row>
    <row r="176" spans="1:89" x14ac:dyDescent="0.25">
      <c r="A176" s="20" t="s">
        <v>175</v>
      </c>
      <c r="B176" t="s">
        <v>218</v>
      </c>
      <c r="C176" t="s">
        <v>218</v>
      </c>
      <c r="D176" t="s">
        <v>218</v>
      </c>
      <c r="E176" t="s">
        <v>219</v>
      </c>
      <c r="F176" t="s">
        <v>219</v>
      </c>
      <c r="G176" t="s">
        <v>219</v>
      </c>
      <c r="H176" t="s">
        <v>220</v>
      </c>
      <c r="I176" t="s">
        <v>218</v>
      </c>
      <c r="J176" t="s">
        <v>223</v>
      </c>
      <c r="K176" t="s">
        <v>218</v>
      </c>
      <c r="L176" t="s">
        <v>223</v>
      </c>
      <c r="M176" t="s">
        <v>218</v>
      </c>
      <c r="N176" t="s">
        <v>223</v>
      </c>
      <c r="O176" t="s">
        <v>218</v>
      </c>
      <c r="P176" t="s">
        <v>223</v>
      </c>
      <c r="Q176" t="s">
        <v>223</v>
      </c>
      <c r="R176" t="s">
        <v>218</v>
      </c>
      <c r="S176" t="s">
        <v>218</v>
      </c>
      <c r="T176" t="s">
        <v>224</v>
      </c>
      <c r="U176" t="s">
        <v>224</v>
      </c>
      <c r="V176" t="s">
        <v>218</v>
      </c>
      <c r="W176" t="s">
        <v>223</v>
      </c>
      <c r="X176" t="s">
        <v>218</v>
      </c>
      <c r="Y176" t="s">
        <v>218</v>
      </c>
      <c r="Z176" t="s">
        <v>223</v>
      </c>
      <c r="AA176" t="s">
        <v>219</v>
      </c>
      <c r="AB176" t="s">
        <v>219</v>
      </c>
      <c r="AC176" t="s">
        <v>218</v>
      </c>
      <c r="AD176" t="s">
        <v>218</v>
      </c>
      <c r="AE176" t="s">
        <v>221</v>
      </c>
      <c r="AF176" t="s">
        <v>219</v>
      </c>
      <c r="AG176" t="s">
        <v>218</v>
      </c>
      <c r="AH176" t="s">
        <v>225</v>
      </c>
      <c r="AI176" t="s">
        <v>218</v>
      </c>
      <c r="AJ176" t="s">
        <v>224</v>
      </c>
      <c r="AK176" t="s">
        <v>218</v>
      </c>
      <c r="AL176" t="s">
        <v>219</v>
      </c>
      <c r="AM176" t="s">
        <v>223</v>
      </c>
      <c r="AN176" t="s">
        <v>223</v>
      </c>
      <c r="AO176" t="s">
        <v>225</v>
      </c>
      <c r="AP176" t="s">
        <v>223</v>
      </c>
      <c r="AQ176" t="s">
        <v>224</v>
      </c>
      <c r="AR176" t="s">
        <v>219</v>
      </c>
      <c r="AS176" t="s">
        <v>218</v>
      </c>
      <c r="AT176" t="s">
        <v>223</v>
      </c>
      <c r="AU176" t="s">
        <v>219</v>
      </c>
      <c r="AV176" t="s">
        <v>219</v>
      </c>
      <c r="AW176" t="s">
        <v>223</v>
      </c>
      <c r="AX176" t="s">
        <v>218</v>
      </c>
      <c r="AY176" t="s">
        <v>218</v>
      </c>
      <c r="AZ176" t="s">
        <v>223</v>
      </c>
      <c r="BA176" t="s">
        <v>223</v>
      </c>
      <c r="BB176" t="s">
        <v>221</v>
      </c>
      <c r="BC176" t="s">
        <v>223</v>
      </c>
      <c r="BD176" t="s">
        <v>218</v>
      </c>
      <c r="BE176" t="s">
        <v>225</v>
      </c>
      <c r="BF176" t="s">
        <v>218</v>
      </c>
      <c r="BG176" t="s">
        <v>223</v>
      </c>
      <c r="BH176" t="s">
        <v>218</v>
      </c>
      <c r="BI176" t="s">
        <v>223</v>
      </c>
      <c r="BJ176" t="s">
        <v>218</v>
      </c>
      <c r="BK176" t="s">
        <v>219</v>
      </c>
      <c r="BL176" t="s">
        <v>218</v>
      </c>
      <c r="BM176" t="s">
        <v>218</v>
      </c>
      <c r="BN176" t="s">
        <v>221</v>
      </c>
      <c r="BO176" t="s">
        <v>224</v>
      </c>
      <c r="BP176" t="s">
        <v>218</v>
      </c>
      <c r="BQ176" t="s">
        <v>218</v>
      </c>
      <c r="BR176" t="s">
        <v>218</v>
      </c>
      <c r="BS176" t="s">
        <v>218</v>
      </c>
      <c r="BT176" t="s">
        <v>221</v>
      </c>
      <c r="BU176" t="s">
        <v>225</v>
      </c>
      <c r="BV176" t="s">
        <v>218</v>
      </c>
      <c r="BW176" t="s">
        <v>223</v>
      </c>
      <c r="BX176" t="s">
        <v>224</v>
      </c>
      <c r="BY176" t="s">
        <v>219</v>
      </c>
      <c r="BZ176" t="s">
        <v>218</v>
      </c>
      <c r="CA176" t="s">
        <v>218</v>
      </c>
      <c r="CB176" t="s">
        <v>224</v>
      </c>
      <c r="CC176" t="s">
        <v>223</v>
      </c>
      <c r="CD176" t="s">
        <v>221</v>
      </c>
      <c r="CE176" t="s">
        <v>224</v>
      </c>
      <c r="CF176" t="s">
        <v>219</v>
      </c>
      <c r="CG176" t="s">
        <v>223</v>
      </c>
      <c r="CH176" t="s">
        <v>220</v>
      </c>
      <c r="CI176" t="s">
        <v>218</v>
      </c>
      <c r="CJ176" t="s">
        <v>223</v>
      </c>
      <c r="CK176" t="s">
        <v>223</v>
      </c>
    </row>
    <row r="177" spans="1:89" x14ac:dyDescent="0.25">
      <c r="A177" s="20" t="s">
        <v>176</v>
      </c>
      <c r="B177" t="s">
        <v>221</v>
      </c>
      <c r="C177" t="s">
        <v>219</v>
      </c>
      <c r="D177" t="s">
        <v>221</v>
      </c>
      <c r="E177" t="s">
        <v>218</v>
      </c>
      <c r="F177" t="s">
        <v>218</v>
      </c>
      <c r="G177" t="s">
        <v>218</v>
      </c>
      <c r="H177" t="s">
        <v>221</v>
      </c>
      <c r="I177" t="s">
        <v>218</v>
      </c>
      <c r="J177" t="s">
        <v>224</v>
      </c>
      <c r="K177" t="s">
        <v>218</v>
      </c>
      <c r="L177" t="s">
        <v>223</v>
      </c>
      <c r="M177" t="s">
        <v>223</v>
      </c>
      <c r="N177" t="s">
        <v>218</v>
      </c>
      <c r="O177" t="s">
        <v>218</v>
      </c>
      <c r="P177" t="s">
        <v>218</v>
      </c>
      <c r="Q177" t="s">
        <v>224</v>
      </c>
      <c r="R177" t="s">
        <v>218</v>
      </c>
      <c r="S177" t="s">
        <v>220</v>
      </c>
      <c r="T177" t="s">
        <v>223</v>
      </c>
      <c r="U177" t="s">
        <v>218</v>
      </c>
      <c r="V177" t="s">
        <v>218</v>
      </c>
      <c r="W177" t="s">
        <v>218</v>
      </c>
      <c r="X177" t="s">
        <v>218</v>
      </c>
      <c r="Y177" t="s">
        <v>221</v>
      </c>
      <c r="Z177" t="s">
        <v>225</v>
      </c>
      <c r="AA177" t="s">
        <v>218</v>
      </c>
      <c r="AB177" t="s">
        <v>218</v>
      </c>
      <c r="AC177" t="s">
        <v>218</v>
      </c>
      <c r="AD177" t="s">
        <v>224</v>
      </c>
      <c r="AE177" t="s">
        <v>218</v>
      </c>
      <c r="AF177" t="s">
        <v>218</v>
      </c>
      <c r="AG177" t="s">
        <v>219</v>
      </c>
      <c r="AH177" t="s">
        <v>218</v>
      </c>
      <c r="AI177" t="s">
        <v>218</v>
      </c>
      <c r="AJ177" t="s">
        <v>223</v>
      </c>
      <c r="AK177" t="s">
        <v>225</v>
      </c>
      <c r="AL177" t="s">
        <v>218</v>
      </c>
      <c r="AM177" t="s">
        <v>223</v>
      </c>
      <c r="AN177" t="s">
        <v>223</v>
      </c>
      <c r="AO177" t="s">
        <v>218</v>
      </c>
      <c r="AP177" t="s">
        <v>218</v>
      </c>
      <c r="AQ177" t="s">
        <v>218</v>
      </c>
      <c r="AR177" t="s">
        <v>219</v>
      </c>
      <c r="AS177" t="s">
        <v>218</v>
      </c>
      <c r="AT177" t="s">
        <v>224</v>
      </c>
      <c r="AU177" t="s">
        <v>219</v>
      </c>
      <c r="AV177" t="s">
        <v>219</v>
      </c>
      <c r="AW177" t="s">
        <v>218</v>
      </c>
      <c r="AX177" t="s">
        <v>218</v>
      </c>
      <c r="AY177" t="s">
        <v>218</v>
      </c>
      <c r="AZ177" t="s">
        <v>220</v>
      </c>
      <c r="BA177" t="s">
        <v>218</v>
      </c>
      <c r="BB177" t="s">
        <v>221</v>
      </c>
      <c r="BC177" t="s">
        <v>223</v>
      </c>
      <c r="BD177" t="s">
        <v>218</v>
      </c>
      <c r="BE177" t="s">
        <v>225</v>
      </c>
      <c r="BF177" t="s">
        <v>218</v>
      </c>
      <c r="BG177" t="s">
        <v>223</v>
      </c>
      <c r="BH177" t="s">
        <v>219</v>
      </c>
      <c r="BI177" t="s">
        <v>218</v>
      </c>
      <c r="BJ177" t="s">
        <v>218</v>
      </c>
      <c r="BK177" t="s">
        <v>218</v>
      </c>
      <c r="BL177" t="s">
        <v>218</v>
      </c>
      <c r="BM177" t="s">
        <v>223</v>
      </c>
      <c r="BN177" t="s">
        <v>224</v>
      </c>
      <c r="BO177" t="s">
        <v>223</v>
      </c>
      <c r="BP177" t="s">
        <v>224</v>
      </c>
      <c r="BQ177" t="s">
        <v>219</v>
      </c>
      <c r="BR177" t="s">
        <v>218</v>
      </c>
      <c r="BS177" t="s">
        <v>223</v>
      </c>
      <c r="BT177" t="s">
        <v>224</v>
      </c>
      <c r="BU177" t="s">
        <v>218</v>
      </c>
      <c r="BV177" t="s">
        <v>223</v>
      </c>
      <c r="BW177" t="s">
        <v>223</v>
      </c>
      <c r="BX177" t="s">
        <v>218</v>
      </c>
      <c r="BY177" t="s">
        <v>220</v>
      </c>
      <c r="BZ177" t="s">
        <v>223</v>
      </c>
      <c r="CA177" t="s">
        <v>218</v>
      </c>
      <c r="CB177" t="s">
        <v>224</v>
      </c>
      <c r="CC177" t="s">
        <v>223</v>
      </c>
      <c r="CD177" t="s">
        <v>224</v>
      </c>
      <c r="CE177" t="s">
        <v>225</v>
      </c>
      <c r="CF177" t="s">
        <v>219</v>
      </c>
      <c r="CG177" t="s">
        <v>223</v>
      </c>
      <c r="CH177" t="s">
        <v>219</v>
      </c>
      <c r="CI177" t="s">
        <v>224</v>
      </c>
      <c r="CJ177" t="s">
        <v>218</v>
      </c>
      <c r="CK177" t="s">
        <v>218</v>
      </c>
    </row>
    <row r="178" spans="1:89" x14ac:dyDescent="0.25">
      <c r="A178" s="20" t="s">
        <v>177</v>
      </c>
      <c r="B178" t="s">
        <v>219</v>
      </c>
      <c r="C178" t="s">
        <v>218</v>
      </c>
      <c r="D178" t="s">
        <v>218</v>
      </c>
      <c r="E178" t="s">
        <v>219</v>
      </c>
      <c r="F178" t="s">
        <v>218</v>
      </c>
      <c r="G178" t="s">
        <v>219</v>
      </c>
      <c r="H178" t="s">
        <v>218</v>
      </c>
      <c r="I178" t="s">
        <v>218</v>
      </c>
      <c r="J178" t="s">
        <v>224</v>
      </c>
      <c r="K178" t="s">
        <v>218</v>
      </c>
      <c r="L178" t="s">
        <v>225</v>
      </c>
      <c r="M178" t="s">
        <v>218</v>
      </c>
      <c r="N178" t="s">
        <v>218</v>
      </c>
      <c r="O178" t="s">
        <v>218</v>
      </c>
      <c r="P178" t="s">
        <v>225</v>
      </c>
      <c r="Q178" t="s">
        <v>223</v>
      </c>
      <c r="R178" t="s">
        <v>218</v>
      </c>
      <c r="S178" t="s">
        <v>218</v>
      </c>
      <c r="T178" t="s">
        <v>224</v>
      </c>
      <c r="U178" t="s">
        <v>218</v>
      </c>
      <c r="V178" t="s">
        <v>218</v>
      </c>
      <c r="W178" t="s">
        <v>223</v>
      </c>
      <c r="X178" t="s">
        <v>218</v>
      </c>
      <c r="Y178" t="s">
        <v>218</v>
      </c>
      <c r="Z178" t="s">
        <v>223</v>
      </c>
      <c r="AA178" t="s">
        <v>218</v>
      </c>
      <c r="AB178" t="s">
        <v>219</v>
      </c>
      <c r="AC178" t="s">
        <v>218</v>
      </c>
      <c r="AD178" t="s">
        <v>218</v>
      </c>
      <c r="AE178" t="s">
        <v>218</v>
      </c>
      <c r="AF178" t="s">
        <v>220</v>
      </c>
      <c r="AG178" t="s">
        <v>221</v>
      </c>
      <c r="AH178" t="s">
        <v>223</v>
      </c>
      <c r="AI178" t="s">
        <v>218</v>
      </c>
      <c r="AJ178" t="s">
        <v>224</v>
      </c>
      <c r="AK178" t="s">
        <v>218</v>
      </c>
      <c r="AL178" t="s">
        <v>221</v>
      </c>
      <c r="AM178" t="s">
        <v>224</v>
      </c>
      <c r="AN178" t="s">
        <v>223</v>
      </c>
      <c r="AO178" t="s">
        <v>225</v>
      </c>
      <c r="AP178" t="s">
        <v>223</v>
      </c>
      <c r="AQ178" t="s">
        <v>218</v>
      </c>
      <c r="AR178" t="s">
        <v>220</v>
      </c>
      <c r="AS178" t="s">
        <v>237</v>
      </c>
      <c r="AT178" t="s">
        <v>224</v>
      </c>
      <c r="AU178" t="s">
        <v>218</v>
      </c>
      <c r="AV178" t="s">
        <v>237</v>
      </c>
      <c r="AW178" t="s">
        <v>218</v>
      </c>
      <c r="AX178" t="s">
        <v>218</v>
      </c>
      <c r="AY178" t="s">
        <v>219</v>
      </c>
      <c r="AZ178" t="s">
        <v>223</v>
      </c>
      <c r="BA178" t="s">
        <v>218</v>
      </c>
      <c r="BB178" t="s">
        <v>219</v>
      </c>
      <c r="BC178" t="s">
        <v>225</v>
      </c>
      <c r="BD178" t="s">
        <v>218</v>
      </c>
      <c r="BE178" t="s">
        <v>218</v>
      </c>
      <c r="BF178" t="s">
        <v>223</v>
      </c>
      <c r="BG178" t="s">
        <v>223</v>
      </c>
      <c r="BH178" t="s">
        <v>218</v>
      </c>
      <c r="BI178" t="s">
        <v>218</v>
      </c>
      <c r="BJ178" t="s">
        <v>221</v>
      </c>
      <c r="BK178" t="s">
        <v>219</v>
      </c>
      <c r="BL178" t="s">
        <v>218</v>
      </c>
      <c r="BM178" t="s">
        <v>223</v>
      </c>
      <c r="BN178" t="s">
        <v>224</v>
      </c>
      <c r="BO178" t="s">
        <v>218</v>
      </c>
      <c r="BP178" t="s">
        <v>218</v>
      </c>
      <c r="BQ178" t="s">
        <v>218</v>
      </c>
      <c r="BR178" t="s">
        <v>223</v>
      </c>
      <c r="BS178" t="s">
        <v>223</v>
      </c>
      <c r="BT178" t="s">
        <v>218</v>
      </c>
      <c r="BU178" t="s">
        <v>218</v>
      </c>
      <c r="BV178" t="s">
        <v>218</v>
      </c>
      <c r="BW178" t="s">
        <v>225</v>
      </c>
      <c r="BX178" t="s">
        <v>224</v>
      </c>
      <c r="BY178" t="s">
        <v>218</v>
      </c>
      <c r="BZ178" t="s">
        <v>223</v>
      </c>
      <c r="CA178" t="s">
        <v>218</v>
      </c>
      <c r="CB178" t="s">
        <v>224</v>
      </c>
      <c r="CC178" t="s">
        <v>218</v>
      </c>
      <c r="CD178" t="s">
        <v>218</v>
      </c>
      <c r="CE178" t="s">
        <v>225</v>
      </c>
      <c r="CF178" t="s">
        <v>218</v>
      </c>
      <c r="CG178" t="s">
        <v>218</v>
      </c>
      <c r="CH178" t="s">
        <v>219</v>
      </c>
      <c r="CI178" t="s">
        <v>223</v>
      </c>
      <c r="CJ178" t="s">
        <v>221</v>
      </c>
      <c r="CK178" t="s">
        <v>218</v>
      </c>
    </row>
    <row r="179" spans="1:89" x14ac:dyDescent="0.25">
      <c r="A179" s="20" t="s">
        <v>178</v>
      </c>
      <c r="B179" t="s">
        <v>218</v>
      </c>
      <c r="C179" t="s">
        <v>218</v>
      </c>
      <c r="D179" t="s">
        <v>218</v>
      </c>
      <c r="E179" t="s">
        <v>219</v>
      </c>
      <c r="F179" t="s">
        <v>219</v>
      </c>
      <c r="G179" t="s">
        <v>220</v>
      </c>
      <c r="H179" t="s">
        <v>219</v>
      </c>
      <c r="I179" t="s">
        <v>219</v>
      </c>
      <c r="J179" t="s">
        <v>224</v>
      </c>
      <c r="K179" t="s">
        <v>225</v>
      </c>
      <c r="L179" t="s">
        <v>224</v>
      </c>
      <c r="M179" t="s">
        <v>220</v>
      </c>
      <c r="N179" t="s">
        <v>218</v>
      </c>
      <c r="O179" t="s">
        <v>223</v>
      </c>
      <c r="P179" t="s">
        <v>224</v>
      </c>
      <c r="Q179" t="s">
        <v>218</v>
      </c>
      <c r="R179" t="s">
        <v>218</v>
      </c>
      <c r="S179" t="s">
        <v>218</v>
      </c>
      <c r="T179" t="s">
        <v>224</v>
      </c>
      <c r="U179" t="s">
        <v>223</v>
      </c>
      <c r="V179" t="s">
        <v>218</v>
      </c>
      <c r="W179" t="s">
        <v>225</v>
      </c>
      <c r="X179" t="s">
        <v>218</v>
      </c>
      <c r="Y179" t="s">
        <v>218</v>
      </c>
      <c r="Z179" t="s">
        <v>223</v>
      </c>
      <c r="AA179" t="s">
        <v>219</v>
      </c>
      <c r="AB179" t="s">
        <v>219</v>
      </c>
      <c r="AC179" t="s">
        <v>218</v>
      </c>
      <c r="AD179" t="s">
        <v>223</v>
      </c>
      <c r="AE179" t="s">
        <v>223</v>
      </c>
      <c r="AF179" t="s">
        <v>219</v>
      </c>
      <c r="AH179" t="s">
        <v>218</v>
      </c>
      <c r="AI179" t="s">
        <v>218</v>
      </c>
      <c r="AJ179" t="s">
        <v>218</v>
      </c>
      <c r="AK179" t="s">
        <v>218</v>
      </c>
      <c r="AL179" t="s">
        <v>220</v>
      </c>
      <c r="AM179" t="s">
        <v>223</v>
      </c>
      <c r="AN179" t="s">
        <v>218</v>
      </c>
      <c r="AO179" t="s">
        <v>225</v>
      </c>
      <c r="AP179" t="s">
        <v>224</v>
      </c>
      <c r="AQ179" t="s">
        <v>224</v>
      </c>
      <c r="AR179" t="s">
        <v>220</v>
      </c>
      <c r="AS179" t="s">
        <v>218</v>
      </c>
      <c r="AT179" t="s">
        <v>224</v>
      </c>
      <c r="AU179" t="s">
        <v>219</v>
      </c>
      <c r="AV179" t="s">
        <v>219</v>
      </c>
      <c r="AW179" t="s">
        <v>223</v>
      </c>
      <c r="AX179" t="s">
        <v>218</v>
      </c>
      <c r="AY179" t="s">
        <v>218</v>
      </c>
      <c r="AZ179" t="s">
        <v>221</v>
      </c>
      <c r="BA179" t="s">
        <v>218</v>
      </c>
      <c r="BB179" t="s">
        <v>224</v>
      </c>
      <c r="BC179" t="s">
        <v>218</v>
      </c>
      <c r="BD179" t="s">
        <v>218</v>
      </c>
      <c r="BE179" t="s">
        <v>225</v>
      </c>
      <c r="BF179" t="s">
        <v>223</v>
      </c>
      <c r="BG179" t="s">
        <v>218</v>
      </c>
      <c r="BH179" t="s">
        <v>218</v>
      </c>
      <c r="BI179" t="s">
        <v>223</v>
      </c>
      <c r="BJ179" t="s">
        <v>221</v>
      </c>
      <c r="BK179" t="s">
        <v>218</v>
      </c>
      <c r="BL179" t="s">
        <v>218</v>
      </c>
      <c r="BM179" t="s">
        <v>218</v>
      </c>
      <c r="BN179" t="s">
        <v>218</v>
      </c>
      <c r="BO179" t="s">
        <v>223</v>
      </c>
      <c r="BP179" t="s">
        <v>223</v>
      </c>
      <c r="BQ179" t="s">
        <v>218</v>
      </c>
      <c r="BR179" t="s">
        <v>223</v>
      </c>
      <c r="BS179" t="s">
        <v>218</v>
      </c>
      <c r="BT179" t="s">
        <v>218</v>
      </c>
      <c r="BU179" t="s">
        <v>224</v>
      </c>
      <c r="BV179" t="s">
        <v>218</v>
      </c>
      <c r="BW179" t="s">
        <v>218</v>
      </c>
      <c r="BX179" t="s">
        <v>225</v>
      </c>
      <c r="BY179" t="s">
        <v>218</v>
      </c>
      <c r="BZ179" t="s">
        <v>223</v>
      </c>
      <c r="CA179" t="s">
        <v>218</v>
      </c>
      <c r="CB179" t="s">
        <v>224</v>
      </c>
      <c r="CC179" t="s">
        <v>223</v>
      </c>
      <c r="CD179" t="s">
        <v>224</v>
      </c>
      <c r="CE179" t="s">
        <v>225</v>
      </c>
      <c r="CF179" t="s">
        <v>219</v>
      </c>
      <c r="CG179" t="s">
        <v>223</v>
      </c>
      <c r="CH179" t="s">
        <v>218</v>
      </c>
      <c r="CI179" t="s">
        <v>224</v>
      </c>
      <c r="CJ179" t="s">
        <v>224</v>
      </c>
      <c r="CK179" t="s">
        <v>223</v>
      </c>
    </row>
    <row r="180" spans="1:89" x14ac:dyDescent="0.25">
      <c r="A180" s="20" t="s">
        <v>179</v>
      </c>
      <c r="B180" t="s">
        <v>221</v>
      </c>
      <c r="C180" t="s">
        <v>218</v>
      </c>
      <c r="D180" t="s">
        <v>218</v>
      </c>
      <c r="E180" t="s">
        <v>219</v>
      </c>
      <c r="F180" t="s">
        <v>219</v>
      </c>
      <c r="G180" t="s">
        <v>219</v>
      </c>
      <c r="H180" t="s">
        <v>218</v>
      </c>
      <c r="I180" t="s">
        <v>218</v>
      </c>
      <c r="J180" t="s">
        <v>224</v>
      </c>
      <c r="K180" t="s">
        <v>223</v>
      </c>
      <c r="L180" t="s">
        <v>218</v>
      </c>
      <c r="M180" t="s">
        <v>218</v>
      </c>
      <c r="N180" t="s">
        <v>223</v>
      </c>
      <c r="O180" t="s">
        <v>223</v>
      </c>
      <c r="P180" t="s">
        <v>218</v>
      </c>
      <c r="Q180" t="s">
        <v>218</v>
      </c>
      <c r="R180" t="s">
        <v>218</v>
      </c>
      <c r="S180" t="s">
        <v>218</v>
      </c>
      <c r="T180" t="s">
        <v>225</v>
      </c>
      <c r="U180" t="s">
        <v>223</v>
      </c>
      <c r="V180" t="s">
        <v>220</v>
      </c>
      <c r="W180" t="s">
        <v>218</v>
      </c>
      <c r="X180" t="s">
        <v>218</v>
      </c>
      <c r="Y180" t="s">
        <v>218</v>
      </c>
      <c r="Z180" t="s">
        <v>218</v>
      </c>
      <c r="AA180" t="s">
        <v>219</v>
      </c>
      <c r="AB180" t="s">
        <v>220</v>
      </c>
      <c r="AC180" t="s">
        <v>223</v>
      </c>
      <c r="AD180" t="s">
        <v>225</v>
      </c>
      <c r="AE180" t="s">
        <v>221</v>
      </c>
      <c r="AF180" t="s">
        <v>218</v>
      </c>
      <c r="AG180" t="s">
        <v>218</v>
      </c>
      <c r="AH180" t="s">
        <v>218</v>
      </c>
      <c r="AI180" t="s">
        <v>218</v>
      </c>
      <c r="AJ180" t="s">
        <v>224</v>
      </c>
      <c r="AK180" t="s">
        <v>218</v>
      </c>
      <c r="AL180" t="s">
        <v>220</v>
      </c>
      <c r="AM180" t="s">
        <v>223</v>
      </c>
      <c r="AN180" t="s">
        <v>218</v>
      </c>
      <c r="AO180" t="s">
        <v>225</v>
      </c>
      <c r="AP180" t="s">
        <v>224</v>
      </c>
      <c r="AQ180" t="s">
        <v>224</v>
      </c>
      <c r="AR180" t="s">
        <v>220</v>
      </c>
      <c r="AS180" t="s">
        <v>218</v>
      </c>
      <c r="AT180" t="s">
        <v>224</v>
      </c>
      <c r="AU180" t="s">
        <v>219</v>
      </c>
      <c r="AV180" t="s">
        <v>219</v>
      </c>
      <c r="AW180" t="s">
        <v>223</v>
      </c>
      <c r="AX180" t="s">
        <v>223</v>
      </c>
      <c r="AY180" t="s">
        <v>218</v>
      </c>
      <c r="AZ180" t="s">
        <v>223</v>
      </c>
      <c r="BA180" t="s">
        <v>218</v>
      </c>
      <c r="BB180" t="s">
        <v>219</v>
      </c>
      <c r="BC180" t="s">
        <v>218</v>
      </c>
      <c r="BD180" t="s">
        <v>223</v>
      </c>
      <c r="BE180" t="s">
        <v>225</v>
      </c>
      <c r="BF180" t="s">
        <v>223</v>
      </c>
      <c r="BG180" t="s">
        <v>223</v>
      </c>
      <c r="BH180" t="s">
        <v>218</v>
      </c>
      <c r="BI180" t="s">
        <v>223</v>
      </c>
      <c r="BJ180" t="s">
        <v>218</v>
      </c>
      <c r="BK180" t="s">
        <v>218</v>
      </c>
      <c r="BL180" t="s">
        <v>218</v>
      </c>
      <c r="BM180" t="s">
        <v>223</v>
      </c>
      <c r="BN180" t="s">
        <v>219</v>
      </c>
      <c r="BO180" t="s">
        <v>223</v>
      </c>
      <c r="BP180" t="s">
        <v>223</v>
      </c>
      <c r="BQ180" t="s">
        <v>219</v>
      </c>
      <c r="BR180" t="s">
        <v>223</v>
      </c>
      <c r="BS180" t="s">
        <v>223</v>
      </c>
      <c r="BT180" t="s">
        <v>224</v>
      </c>
      <c r="BU180" t="s">
        <v>223</v>
      </c>
      <c r="BV180" t="s">
        <v>218</v>
      </c>
      <c r="BW180" t="s">
        <v>218</v>
      </c>
      <c r="BX180" t="s">
        <v>218</v>
      </c>
      <c r="BY180" t="s">
        <v>219</v>
      </c>
      <c r="BZ180" t="s">
        <v>224</v>
      </c>
      <c r="CA180" t="s">
        <v>221</v>
      </c>
      <c r="CB180" t="s">
        <v>224</v>
      </c>
      <c r="CC180" t="s">
        <v>223</v>
      </c>
      <c r="CD180" t="s">
        <v>218</v>
      </c>
      <c r="CE180" t="s">
        <v>218</v>
      </c>
      <c r="CF180" t="s">
        <v>218</v>
      </c>
      <c r="CG180" t="s">
        <v>224</v>
      </c>
      <c r="CH180" t="s">
        <v>220</v>
      </c>
      <c r="CI180" t="s">
        <v>224</v>
      </c>
      <c r="CJ180" t="s">
        <v>218</v>
      </c>
      <c r="CK180" t="s">
        <v>225</v>
      </c>
    </row>
    <row r="181" spans="1:89" x14ac:dyDescent="0.25">
      <c r="A181" s="20" t="s">
        <v>180</v>
      </c>
      <c r="B181" t="s">
        <v>220</v>
      </c>
      <c r="C181" t="s">
        <v>219</v>
      </c>
      <c r="D181" t="s">
        <v>219</v>
      </c>
      <c r="E181" t="s">
        <v>219</v>
      </c>
      <c r="F181" t="s">
        <v>220</v>
      </c>
      <c r="G181" t="s">
        <v>220</v>
      </c>
      <c r="H181" t="s">
        <v>219</v>
      </c>
      <c r="I181" t="s">
        <v>218</v>
      </c>
      <c r="J181" t="s">
        <v>224</v>
      </c>
      <c r="K181" t="s">
        <v>218</v>
      </c>
      <c r="L181" t="s">
        <v>236</v>
      </c>
      <c r="M181" t="s">
        <v>218</v>
      </c>
      <c r="N181" t="s">
        <v>218</v>
      </c>
      <c r="O181" t="s">
        <v>218</v>
      </c>
      <c r="P181" t="s">
        <v>218</v>
      </c>
      <c r="Q181" t="s">
        <v>218</v>
      </c>
      <c r="R181" t="s">
        <v>223</v>
      </c>
      <c r="S181" t="s">
        <v>218</v>
      </c>
      <c r="T181" t="s">
        <v>225</v>
      </c>
      <c r="U181" t="s">
        <v>223</v>
      </c>
      <c r="V181" t="s">
        <v>218</v>
      </c>
      <c r="W181" t="s">
        <v>223</v>
      </c>
      <c r="X181" t="s">
        <v>218</v>
      </c>
      <c r="Y181" t="s">
        <v>218</v>
      </c>
      <c r="Z181" t="s">
        <v>223</v>
      </c>
      <c r="AA181" t="s">
        <v>220</v>
      </c>
      <c r="AB181" t="s">
        <v>220</v>
      </c>
      <c r="AC181" t="s">
        <v>223</v>
      </c>
      <c r="AD181" t="s">
        <v>218</v>
      </c>
      <c r="AE181" t="s">
        <v>220</v>
      </c>
      <c r="AF181" t="s">
        <v>218</v>
      </c>
      <c r="AG181" t="s">
        <v>219</v>
      </c>
      <c r="AH181" t="s">
        <v>218</v>
      </c>
      <c r="AI181" t="s">
        <v>218</v>
      </c>
      <c r="AJ181" t="s">
        <v>224</v>
      </c>
      <c r="AK181" t="s">
        <v>218</v>
      </c>
      <c r="AL181" t="s">
        <v>220</v>
      </c>
      <c r="AM181" t="s">
        <v>224</v>
      </c>
      <c r="AN181" t="s">
        <v>223</v>
      </c>
      <c r="AO181" t="s">
        <v>225</v>
      </c>
      <c r="AP181" t="s">
        <v>218</v>
      </c>
      <c r="AQ181" t="s">
        <v>218</v>
      </c>
      <c r="AR181" t="s">
        <v>220</v>
      </c>
      <c r="AS181" t="s">
        <v>218</v>
      </c>
      <c r="AT181" t="s">
        <v>224</v>
      </c>
      <c r="AU181" t="s">
        <v>218</v>
      </c>
      <c r="AV181" t="s">
        <v>219</v>
      </c>
      <c r="AW181" t="s">
        <v>218</v>
      </c>
      <c r="AX181" t="s">
        <v>218</v>
      </c>
      <c r="AY181" t="s">
        <v>218</v>
      </c>
      <c r="AZ181" t="s">
        <v>223</v>
      </c>
      <c r="BA181" t="s">
        <v>218</v>
      </c>
      <c r="BB181" t="s">
        <v>218</v>
      </c>
      <c r="BC181" t="s">
        <v>223</v>
      </c>
      <c r="BD181" t="s">
        <v>224</v>
      </c>
      <c r="BE181" t="s">
        <v>225</v>
      </c>
      <c r="BF181" t="s">
        <v>219</v>
      </c>
      <c r="BG181" t="s">
        <v>218</v>
      </c>
      <c r="BH181" t="s">
        <v>218</v>
      </c>
      <c r="BI181" t="s">
        <v>224</v>
      </c>
      <c r="BJ181" t="s">
        <v>218</v>
      </c>
      <c r="BK181" t="s">
        <v>218</v>
      </c>
      <c r="BL181" t="s">
        <v>218</v>
      </c>
      <c r="BM181" t="s">
        <v>223</v>
      </c>
      <c r="BN181" t="s">
        <v>224</v>
      </c>
      <c r="BO181" t="s">
        <v>224</v>
      </c>
      <c r="BP181" t="s">
        <v>224</v>
      </c>
      <c r="BQ181" t="s">
        <v>218</v>
      </c>
      <c r="BR181" t="s">
        <v>218</v>
      </c>
      <c r="BS181" t="s">
        <v>218</v>
      </c>
      <c r="BT181" t="s">
        <v>223</v>
      </c>
      <c r="BU181" t="s">
        <v>223</v>
      </c>
      <c r="BV181" t="s">
        <v>218</v>
      </c>
      <c r="BW181" t="s">
        <v>220</v>
      </c>
      <c r="BX181" t="s">
        <v>223</v>
      </c>
      <c r="BY181" t="s">
        <v>220</v>
      </c>
      <c r="BZ181" t="s">
        <v>223</v>
      </c>
      <c r="CA181" t="s">
        <v>219</v>
      </c>
      <c r="CB181" t="s">
        <v>223</v>
      </c>
      <c r="CC181" t="s">
        <v>223</v>
      </c>
      <c r="CD181" t="s">
        <v>224</v>
      </c>
      <c r="CE181" t="s">
        <v>224</v>
      </c>
      <c r="CF181" t="s">
        <v>221</v>
      </c>
      <c r="CG181" t="s">
        <v>223</v>
      </c>
      <c r="CH181" t="s">
        <v>221</v>
      </c>
      <c r="CI181" t="s">
        <v>224</v>
      </c>
      <c r="CJ181" t="s">
        <v>218</v>
      </c>
      <c r="CK181" t="s">
        <v>224</v>
      </c>
    </row>
    <row r="182" spans="1:89" x14ac:dyDescent="0.25">
      <c r="A182" s="20" t="s">
        <v>181</v>
      </c>
      <c r="B182" t="s">
        <v>218</v>
      </c>
      <c r="C182" t="s">
        <v>219</v>
      </c>
      <c r="D182" t="s">
        <v>218</v>
      </c>
      <c r="E182" t="s">
        <v>219</v>
      </c>
      <c r="F182" t="s">
        <v>218</v>
      </c>
      <c r="G182" t="s">
        <v>221</v>
      </c>
      <c r="H182" t="s">
        <v>218</v>
      </c>
      <c r="I182" t="s">
        <v>218</v>
      </c>
      <c r="J182" t="s">
        <v>224</v>
      </c>
      <c r="K182" t="s">
        <v>222</v>
      </c>
      <c r="L182" t="s">
        <v>225</v>
      </c>
      <c r="M182" t="s">
        <v>222</v>
      </c>
      <c r="N182" t="s">
        <v>223</v>
      </c>
      <c r="O182" t="s">
        <v>222</v>
      </c>
      <c r="P182" t="s">
        <v>224</v>
      </c>
      <c r="Q182" t="s">
        <v>224</v>
      </c>
      <c r="R182" t="s">
        <v>222</v>
      </c>
      <c r="S182" t="s">
        <v>222</v>
      </c>
      <c r="T182" t="s">
        <v>222</v>
      </c>
      <c r="U182" t="s">
        <v>223</v>
      </c>
      <c r="V182" t="s">
        <v>220</v>
      </c>
      <c r="W182" t="s">
        <v>223</v>
      </c>
      <c r="X182" t="s">
        <v>223</v>
      </c>
      <c r="Y182" t="s">
        <v>222</v>
      </c>
      <c r="Z182" t="s">
        <v>223</v>
      </c>
      <c r="AA182" t="s">
        <v>220</v>
      </c>
      <c r="AB182" t="s">
        <v>218</v>
      </c>
      <c r="AC182" t="s">
        <v>222</v>
      </c>
      <c r="AD182" t="s">
        <v>222</v>
      </c>
      <c r="AE182" t="s">
        <v>223</v>
      </c>
      <c r="AF182" t="s">
        <v>220</v>
      </c>
      <c r="AG182" t="s">
        <v>218</v>
      </c>
      <c r="AH182" t="s">
        <v>222</v>
      </c>
      <c r="AI182" t="s">
        <v>225</v>
      </c>
      <c r="AJ182" t="s">
        <v>224</v>
      </c>
      <c r="AK182" t="s">
        <v>223</v>
      </c>
      <c r="AL182" t="s">
        <v>218</v>
      </c>
      <c r="AM182" t="s">
        <v>224</v>
      </c>
      <c r="AN182" t="s">
        <v>224</v>
      </c>
      <c r="AO182" t="s">
        <v>236</v>
      </c>
      <c r="AP182" t="s">
        <v>224</v>
      </c>
      <c r="AQ182" t="s">
        <v>224</v>
      </c>
      <c r="AR182" t="s">
        <v>218</v>
      </c>
      <c r="AS182" t="s">
        <v>222</v>
      </c>
      <c r="AT182" t="s">
        <v>222</v>
      </c>
      <c r="AU182" t="s">
        <v>218</v>
      </c>
      <c r="AV182" t="s">
        <v>218</v>
      </c>
      <c r="AW182" t="s">
        <v>223</v>
      </c>
      <c r="AX182" t="s">
        <v>223</v>
      </c>
      <c r="AY182" t="s">
        <v>222</v>
      </c>
      <c r="AZ182" t="s">
        <v>223</v>
      </c>
      <c r="BA182" t="s">
        <v>225</v>
      </c>
      <c r="BB182" t="s">
        <v>225</v>
      </c>
      <c r="BC182" t="s">
        <v>223</v>
      </c>
      <c r="BD182" t="s">
        <v>222</v>
      </c>
      <c r="BE182" t="s">
        <v>225</v>
      </c>
      <c r="BF182" t="s">
        <v>222</v>
      </c>
      <c r="BG182" t="s">
        <v>225</v>
      </c>
      <c r="BH182" t="s">
        <v>218</v>
      </c>
      <c r="BI182" t="s">
        <v>225</v>
      </c>
      <c r="BJ182" t="s">
        <v>222</v>
      </c>
      <c r="BK182" t="s">
        <v>219</v>
      </c>
      <c r="BL182" t="s">
        <v>222</v>
      </c>
      <c r="BM182" t="s">
        <v>223</v>
      </c>
      <c r="BN182" t="s">
        <v>222</v>
      </c>
      <c r="BO182" t="s">
        <v>224</v>
      </c>
      <c r="BP182" t="s">
        <v>222</v>
      </c>
      <c r="BQ182" t="s">
        <v>218</v>
      </c>
      <c r="BR182" t="s">
        <v>223</v>
      </c>
      <c r="BS182" t="s">
        <v>222</v>
      </c>
      <c r="BT182" t="s">
        <v>222</v>
      </c>
      <c r="BU182" t="s">
        <v>222</v>
      </c>
      <c r="BV182" t="s">
        <v>222</v>
      </c>
      <c r="BW182" t="s">
        <v>223</v>
      </c>
      <c r="BX182" t="s">
        <v>223</v>
      </c>
      <c r="BY182" t="s">
        <v>218</v>
      </c>
      <c r="BZ182" t="s">
        <v>222</v>
      </c>
      <c r="CA182" t="s">
        <v>221</v>
      </c>
      <c r="CB182" t="s">
        <v>224</v>
      </c>
      <c r="CC182" t="s">
        <v>222</v>
      </c>
      <c r="CD182" t="s">
        <v>222</v>
      </c>
      <c r="CE182" t="s">
        <v>225</v>
      </c>
      <c r="CF182" t="s">
        <v>219</v>
      </c>
      <c r="CG182" t="s">
        <v>224</v>
      </c>
      <c r="CH182" t="s">
        <v>220</v>
      </c>
      <c r="CI182" t="s">
        <v>222</v>
      </c>
      <c r="CJ182" t="s">
        <v>224</v>
      </c>
      <c r="CK182" t="s">
        <v>222</v>
      </c>
    </row>
    <row r="183" spans="1:89" x14ac:dyDescent="0.25">
      <c r="A183" s="20" t="s">
        <v>182</v>
      </c>
      <c r="B183" t="s">
        <v>218</v>
      </c>
      <c r="C183" t="s">
        <v>218</v>
      </c>
      <c r="D183" t="s">
        <v>218</v>
      </c>
      <c r="E183" t="s">
        <v>219</v>
      </c>
      <c r="F183" t="s">
        <v>218</v>
      </c>
      <c r="G183" t="s">
        <v>220</v>
      </c>
      <c r="H183" t="s">
        <v>218</v>
      </c>
      <c r="I183" t="s">
        <v>218</v>
      </c>
      <c r="J183" t="s">
        <v>224</v>
      </c>
      <c r="K183" t="s">
        <v>222</v>
      </c>
      <c r="L183" t="s">
        <v>222</v>
      </c>
      <c r="M183" t="s">
        <v>236</v>
      </c>
      <c r="N183" t="s">
        <v>224</v>
      </c>
      <c r="O183" t="s">
        <v>222</v>
      </c>
      <c r="P183" t="s">
        <v>225</v>
      </c>
      <c r="Q183" t="s">
        <v>224</v>
      </c>
      <c r="R183" t="s">
        <v>222</v>
      </c>
      <c r="S183" t="s">
        <v>222</v>
      </c>
      <c r="T183" t="s">
        <v>222</v>
      </c>
      <c r="U183" t="s">
        <v>223</v>
      </c>
      <c r="V183" t="s">
        <v>219</v>
      </c>
      <c r="W183" t="s">
        <v>223</v>
      </c>
      <c r="X183" t="s">
        <v>223</v>
      </c>
      <c r="Y183" t="s">
        <v>222</v>
      </c>
      <c r="Z183" t="s">
        <v>222</v>
      </c>
      <c r="AA183" t="s">
        <v>221</v>
      </c>
      <c r="AB183" t="s">
        <v>218</v>
      </c>
      <c r="AC183" t="s">
        <v>222</v>
      </c>
      <c r="AD183" t="s">
        <v>224</v>
      </c>
      <c r="AE183" t="s">
        <v>223</v>
      </c>
      <c r="AF183" t="s">
        <v>218</v>
      </c>
      <c r="AG183" t="s">
        <v>218</v>
      </c>
      <c r="AH183" t="s">
        <v>222</v>
      </c>
      <c r="AI183" t="s">
        <v>225</v>
      </c>
      <c r="AJ183" t="s">
        <v>222</v>
      </c>
      <c r="AK183" t="s">
        <v>224</v>
      </c>
      <c r="AL183" t="s">
        <v>219</v>
      </c>
      <c r="AM183" t="s">
        <v>223</v>
      </c>
      <c r="AN183" t="s">
        <v>223</v>
      </c>
      <c r="AO183" t="s">
        <v>222</v>
      </c>
      <c r="AP183" t="s">
        <v>223</v>
      </c>
      <c r="AQ183" t="s">
        <v>224</v>
      </c>
      <c r="AR183" t="s">
        <v>218</v>
      </c>
      <c r="AS183" t="s">
        <v>222</v>
      </c>
      <c r="AT183" t="s">
        <v>224</v>
      </c>
      <c r="AU183" t="s">
        <v>218</v>
      </c>
      <c r="AV183" t="s">
        <v>219</v>
      </c>
      <c r="AW183" t="s">
        <v>222</v>
      </c>
      <c r="AX183" t="s">
        <v>222</v>
      </c>
      <c r="AY183" t="s">
        <v>222</v>
      </c>
      <c r="AZ183" t="s">
        <v>223</v>
      </c>
      <c r="BA183" t="s">
        <v>222</v>
      </c>
      <c r="BB183" t="s">
        <v>222</v>
      </c>
      <c r="BC183" t="s">
        <v>224</v>
      </c>
      <c r="BD183" t="s">
        <v>223</v>
      </c>
      <c r="BE183" t="s">
        <v>225</v>
      </c>
      <c r="BF183" t="s">
        <v>222</v>
      </c>
      <c r="BG183" t="s">
        <v>222</v>
      </c>
      <c r="BH183" t="s">
        <v>218</v>
      </c>
      <c r="BI183" t="s">
        <v>224</v>
      </c>
      <c r="BJ183" t="s">
        <v>222</v>
      </c>
      <c r="BK183" t="s">
        <v>218</v>
      </c>
      <c r="BL183" t="s">
        <v>222</v>
      </c>
      <c r="BM183" t="s">
        <v>222</v>
      </c>
      <c r="BN183" t="s">
        <v>224</v>
      </c>
      <c r="BO183" t="s">
        <v>224</v>
      </c>
      <c r="BP183" t="s">
        <v>222</v>
      </c>
      <c r="BQ183" t="s">
        <v>237</v>
      </c>
      <c r="BR183" t="s">
        <v>223</v>
      </c>
      <c r="BS183" t="s">
        <v>222</v>
      </c>
      <c r="BT183" t="s">
        <v>222</v>
      </c>
      <c r="BU183" t="s">
        <v>224</v>
      </c>
      <c r="BV183" t="s">
        <v>222</v>
      </c>
      <c r="BW183" t="s">
        <v>223</v>
      </c>
      <c r="BX183" t="s">
        <v>223</v>
      </c>
      <c r="BY183" t="s">
        <v>219</v>
      </c>
      <c r="BZ183" t="s">
        <v>223</v>
      </c>
      <c r="CA183" t="s">
        <v>221</v>
      </c>
      <c r="CB183" t="s">
        <v>222</v>
      </c>
      <c r="CC183" t="s">
        <v>223</v>
      </c>
      <c r="CD183" t="s">
        <v>223</v>
      </c>
      <c r="CE183" t="s">
        <v>225</v>
      </c>
      <c r="CF183" t="s">
        <v>219</v>
      </c>
      <c r="CG183" t="s">
        <v>224</v>
      </c>
      <c r="CH183" t="s">
        <v>219</v>
      </c>
      <c r="CI183" t="s">
        <v>222</v>
      </c>
      <c r="CJ183" t="s">
        <v>223</v>
      </c>
      <c r="CK183" t="s">
        <v>223</v>
      </c>
    </row>
    <row r="184" spans="1:89" x14ac:dyDescent="0.25">
      <c r="A184" s="20" t="s">
        <v>183</v>
      </c>
      <c r="B184" t="s">
        <v>218</v>
      </c>
      <c r="C184" t="s">
        <v>218</v>
      </c>
      <c r="D184" t="s">
        <v>218</v>
      </c>
      <c r="E184" t="s">
        <v>219</v>
      </c>
      <c r="F184" t="s">
        <v>219</v>
      </c>
      <c r="G184" t="s">
        <v>218</v>
      </c>
      <c r="H184" t="s">
        <v>218</v>
      </c>
      <c r="I184" t="s">
        <v>221</v>
      </c>
      <c r="J184" t="s">
        <v>222</v>
      </c>
      <c r="K184" t="s">
        <v>223</v>
      </c>
      <c r="L184" t="s">
        <v>223</v>
      </c>
      <c r="M184" t="s">
        <v>236</v>
      </c>
      <c r="N184" t="s">
        <v>223</v>
      </c>
      <c r="O184" t="s">
        <v>223</v>
      </c>
      <c r="P184" t="s">
        <v>222</v>
      </c>
      <c r="Q184" t="s">
        <v>222</v>
      </c>
      <c r="R184" t="s">
        <v>222</v>
      </c>
      <c r="S184" t="s">
        <v>222</v>
      </c>
      <c r="T184" t="s">
        <v>222</v>
      </c>
      <c r="U184" t="s">
        <v>222</v>
      </c>
      <c r="V184" t="s">
        <v>221</v>
      </c>
      <c r="W184" t="s">
        <v>225</v>
      </c>
      <c r="X184" t="s">
        <v>222</v>
      </c>
      <c r="Y184" t="s">
        <v>223</v>
      </c>
      <c r="Z184" t="s">
        <v>224</v>
      </c>
      <c r="AA184" t="s">
        <v>219</v>
      </c>
      <c r="AB184" t="s">
        <v>219</v>
      </c>
      <c r="AC184" t="s">
        <v>223</v>
      </c>
      <c r="AD184" t="s">
        <v>223</v>
      </c>
      <c r="AE184" t="s">
        <v>222</v>
      </c>
      <c r="AF184" t="s">
        <v>220</v>
      </c>
      <c r="AG184" t="s">
        <v>218</v>
      </c>
      <c r="AH184" t="s">
        <v>224</v>
      </c>
      <c r="AI184" t="s">
        <v>222</v>
      </c>
      <c r="AJ184" t="s">
        <v>224</v>
      </c>
      <c r="AK184" t="s">
        <v>223</v>
      </c>
      <c r="AL184" t="s">
        <v>219</v>
      </c>
      <c r="AM184" t="s">
        <v>224</v>
      </c>
      <c r="AN184" t="s">
        <v>222</v>
      </c>
      <c r="AO184" t="s">
        <v>222</v>
      </c>
      <c r="AP184" t="s">
        <v>225</v>
      </c>
      <c r="AQ184" t="s">
        <v>224</v>
      </c>
      <c r="AR184" t="s">
        <v>218</v>
      </c>
      <c r="AS184" t="s">
        <v>223</v>
      </c>
      <c r="AT184" t="s">
        <v>222</v>
      </c>
      <c r="AU184" t="s">
        <v>219</v>
      </c>
      <c r="AV184" t="s">
        <v>218</v>
      </c>
      <c r="AW184" t="s">
        <v>222</v>
      </c>
      <c r="AX184" t="s">
        <v>222</v>
      </c>
      <c r="AY184" t="s">
        <v>222</v>
      </c>
      <c r="AZ184" t="s">
        <v>225</v>
      </c>
      <c r="BA184" t="s">
        <v>222</v>
      </c>
      <c r="BB184" t="s">
        <v>222</v>
      </c>
      <c r="BC184" t="s">
        <v>222</v>
      </c>
      <c r="BD184" t="s">
        <v>223</v>
      </c>
      <c r="BE184" t="s">
        <v>225</v>
      </c>
      <c r="BF184" t="s">
        <v>223</v>
      </c>
      <c r="BG184" t="s">
        <v>222</v>
      </c>
      <c r="BH184" t="s">
        <v>219</v>
      </c>
      <c r="BI184" t="s">
        <v>225</v>
      </c>
      <c r="BJ184" t="s">
        <v>222</v>
      </c>
      <c r="BK184" t="s">
        <v>218</v>
      </c>
      <c r="BL184" t="s">
        <v>222</v>
      </c>
      <c r="BM184" t="s">
        <v>223</v>
      </c>
      <c r="BN184" t="s">
        <v>224</v>
      </c>
      <c r="BO184" t="s">
        <v>225</v>
      </c>
      <c r="BP184" t="s">
        <v>223</v>
      </c>
      <c r="BQ184" t="s">
        <v>220</v>
      </c>
      <c r="BR184" t="s">
        <v>223</v>
      </c>
      <c r="BS184" t="s">
        <v>222</v>
      </c>
      <c r="BT184" t="s">
        <v>222</v>
      </c>
      <c r="BU184" t="s">
        <v>222</v>
      </c>
      <c r="BV184" t="s">
        <v>223</v>
      </c>
      <c r="BW184" t="s">
        <v>222</v>
      </c>
      <c r="BX184" t="s">
        <v>224</v>
      </c>
      <c r="BY184" t="s">
        <v>218</v>
      </c>
      <c r="BZ184" t="s">
        <v>224</v>
      </c>
      <c r="CA184" t="s">
        <v>219</v>
      </c>
      <c r="CB184" t="s">
        <v>224</v>
      </c>
      <c r="CC184" t="s">
        <v>222</v>
      </c>
      <c r="CD184" t="s">
        <v>223</v>
      </c>
      <c r="CE184" t="s">
        <v>225</v>
      </c>
      <c r="CF184" t="s">
        <v>220</v>
      </c>
      <c r="CG184" t="s">
        <v>222</v>
      </c>
      <c r="CH184" t="s">
        <v>218</v>
      </c>
      <c r="CI184" t="s">
        <v>222</v>
      </c>
      <c r="CJ184" t="s">
        <v>224</v>
      </c>
      <c r="CK184" t="s">
        <v>225</v>
      </c>
    </row>
    <row r="185" spans="1:89" x14ac:dyDescent="0.25">
      <c r="A185" s="20" t="s">
        <v>184</v>
      </c>
      <c r="B185" t="s">
        <v>219</v>
      </c>
      <c r="C185" t="s">
        <v>218</v>
      </c>
      <c r="D185" t="s">
        <v>218</v>
      </c>
      <c r="E185" t="s">
        <v>219</v>
      </c>
      <c r="F185" t="s">
        <v>219</v>
      </c>
      <c r="G185" t="s">
        <v>218</v>
      </c>
      <c r="H185" t="s">
        <v>218</v>
      </c>
      <c r="I185" t="s">
        <v>218</v>
      </c>
      <c r="J185" t="s">
        <v>224</v>
      </c>
      <c r="K185" t="s">
        <v>223</v>
      </c>
      <c r="L185" t="s">
        <v>236</v>
      </c>
      <c r="M185" t="s">
        <v>222</v>
      </c>
      <c r="N185" t="s">
        <v>225</v>
      </c>
      <c r="O185" t="s">
        <v>222</v>
      </c>
      <c r="P185" t="s">
        <v>223</v>
      </c>
      <c r="Q185" t="s">
        <v>222</v>
      </c>
      <c r="R185" t="s">
        <v>222</v>
      </c>
      <c r="S185" t="s">
        <v>223</v>
      </c>
      <c r="T185" t="s">
        <v>224</v>
      </c>
      <c r="U185" t="s">
        <v>222</v>
      </c>
      <c r="V185" t="s">
        <v>218</v>
      </c>
      <c r="W185" t="s">
        <v>225</v>
      </c>
      <c r="X185" t="s">
        <v>222</v>
      </c>
      <c r="Y185" t="s">
        <v>222</v>
      </c>
      <c r="Z185" t="s">
        <v>225</v>
      </c>
      <c r="AA185" t="s">
        <v>218</v>
      </c>
      <c r="AB185" t="s">
        <v>218</v>
      </c>
      <c r="AC185" t="s">
        <v>225</v>
      </c>
      <c r="AD185" t="s">
        <v>222</v>
      </c>
      <c r="AE185" t="s">
        <v>222</v>
      </c>
      <c r="AF185" t="s">
        <v>220</v>
      </c>
      <c r="AG185" t="s">
        <v>218</v>
      </c>
      <c r="AH185" t="s">
        <v>222</v>
      </c>
      <c r="AI185" t="s">
        <v>222</v>
      </c>
      <c r="AJ185" t="s">
        <v>225</v>
      </c>
      <c r="AK185" t="s">
        <v>224</v>
      </c>
      <c r="AL185" t="s">
        <v>220</v>
      </c>
      <c r="AM185" t="s">
        <v>223</v>
      </c>
      <c r="AN185" t="s">
        <v>223</v>
      </c>
      <c r="AO185" t="s">
        <v>222</v>
      </c>
      <c r="AP185" t="s">
        <v>222</v>
      </c>
      <c r="AQ185" t="s">
        <v>222</v>
      </c>
      <c r="AR185" t="s">
        <v>218</v>
      </c>
      <c r="AS185" t="s">
        <v>222</v>
      </c>
      <c r="AT185" t="s">
        <v>222</v>
      </c>
      <c r="AU185" t="s">
        <v>221</v>
      </c>
      <c r="AV185" t="s">
        <v>218</v>
      </c>
      <c r="AW185" t="s">
        <v>222</v>
      </c>
      <c r="AX185" t="s">
        <v>223</v>
      </c>
      <c r="AY185" t="s">
        <v>222</v>
      </c>
      <c r="AZ185" t="s">
        <v>223</v>
      </c>
      <c r="BA185" t="s">
        <v>222</v>
      </c>
      <c r="BB185" t="s">
        <v>224</v>
      </c>
      <c r="BC185" t="s">
        <v>224</v>
      </c>
      <c r="BD185" t="s">
        <v>222</v>
      </c>
      <c r="BE185" t="s">
        <v>225</v>
      </c>
      <c r="BF185" t="s">
        <v>236</v>
      </c>
      <c r="BG185" t="s">
        <v>222</v>
      </c>
      <c r="BH185" t="s">
        <v>218</v>
      </c>
      <c r="BI185" t="s">
        <v>222</v>
      </c>
      <c r="BJ185" t="s">
        <v>223</v>
      </c>
      <c r="BK185" t="s">
        <v>219</v>
      </c>
      <c r="BL185" t="s">
        <v>223</v>
      </c>
      <c r="BM185" t="s">
        <v>223</v>
      </c>
      <c r="BN185" t="s">
        <v>224</v>
      </c>
      <c r="BO185" t="s">
        <v>222</v>
      </c>
      <c r="BP185" t="s">
        <v>222</v>
      </c>
      <c r="BQ185" t="s">
        <v>219</v>
      </c>
      <c r="BR185" t="s">
        <v>222</v>
      </c>
      <c r="BS185" t="s">
        <v>222</v>
      </c>
      <c r="BT185" t="s">
        <v>222</v>
      </c>
      <c r="BU185" t="s">
        <v>222</v>
      </c>
      <c r="BV185" t="s">
        <v>222</v>
      </c>
      <c r="BW185" t="s">
        <v>223</v>
      </c>
      <c r="BX185" t="s">
        <v>222</v>
      </c>
      <c r="BY185" t="s">
        <v>218</v>
      </c>
      <c r="BZ185" t="s">
        <v>224</v>
      </c>
      <c r="CA185" t="s">
        <v>219</v>
      </c>
      <c r="CB185" t="s">
        <v>222</v>
      </c>
      <c r="CC185" t="s">
        <v>222</v>
      </c>
      <c r="CD185" t="s">
        <v>223</v>
      </c>
      <c r="CE185" t="s">
        <v>222</v>
      </c>
      <c r="CF185" t="s">
        <v>219</v>
      </c>
      <c r="CG185" t="s">
        <v>224</v>
      </c>
      <c r="CH185" t="s">
        <v>219</v>
      </c>
      <c r="CI185" t="s">
        <v>225</v>
      </c>
      <c r="CJ185" t="s">
        <v>223</v>
      </c>
      <c r="CK185" t="s">
        <v>222</v>
      </c>
    </row>
    <row r="186" spans="1:89" x14ac:dyDescent="0.25">
      <c r="A186" s="20" t="s">
        <v>185</v>
      </c>
      <c r="B186" t="s">
        <v>219</v>
      </c>
      <c r="C186" t="s">
        <v>218</v>
      </c>
      <c r="D186" t="s">
        <v>221</v>
      </c>
      <c r="E186" t="s">
        <v>218</v>
      </c>
      <c r="F186" t="s">
        <v>220</v>
      </c>
      <c r="G186" t="s">
        <v>220</v>
      </c>
      <c r="H186" t="s">
        <v>218</v>
      </c>
      <c r="I186" t="s">
        <v>218</v>
      </c>
      <c r="J186" t="s">
        <v>223</v>
      </c>
      <c r="K186" t="s">
        <v>225</v>
      </c>
      <c r="L186" t="s">
        <v>222</v>
      </c>
      <c r="M186" t="s">
        <v>222</v>
      </c>
      <c r="N186" t="s">
        <v>225</v>
      </c>
      <c r="O186" t="s">
        <v>222</v>
      </c>
      <c r="P186" t="s">
        <v>222</v>
      </c>
      <c r="Q186" t="s">
        <v>223</v>
      </c>
      <c r="R186" t="s">
        <v>222</v>
      </c>
      <c r="S186" t="s">
        <v>222</v>
      </c>
      <c r="T186" t="s">
        <v>222</v>
      </c>
      <c r="U186" t="s">
        <v>225</v>
      </c>
      <c r="V186" t="s">
        <v>220</v>
      </c>
      <c r="W186" t="s">
        <v>223</v>
      </c>
      <c r="X186" t="s">
        <v>222</v>
      </c>
      <c r="Y186" t="s">
        <v>224</v>
      </c>
      <c r="Z186" t="s">
        <v>225</v>
      </c>
      <c r="AA186" t="s">
        <v>218</v>
      </c>
      <c r="AB186" t="s">
        <v>221</v>
      </c>
      <c r="AC186" t="s">
        <v>223</v>
      </c>
      <c r="AD186" t="s">
        <v>224</v>
      </c>
      <c r="AE186" t="s">
        <v>222</v>
      </c>
      <c r="AF186" t="s">
        <v>219</v>
      </c>
      <c r="AG186" t="s">
        <v>218</v>
      </c>
      <c r="AH186" t="s">
        <v>223</v>
      </c>
      <c r="AI186" t="s">
        <v>222</v>
      </c>
      <c r="AJ186" t="s">
        <v>222</v>
      </c>
      <c r="AK186" t="s">
        <v>224</v>
      </c>
      <c r="AL186" t="s">
        <v>218</v>
      </c>
      <c r="AM186" t="s">
        <v>224</v>
      </c>
      <c r="AN186" t="s">
        <v>224</v>
      </c>
      <c r="AO186" t="s">
        <v>222</v>
      </c>
      <c r="AP186" t="s">
        <v>222</v>
      </c>
      <c r="AQ186" t="s">
        <v>224</v>
      </c>
      <c r="AR186" t="s">
        <v>218</v>
      </c>
      <c r="AS186" t="s">
        <v>222</v>
      </c>
      <c r="AT186" t="s">
        <v>225</v>
      </c>
      <c r="AU186" t="s">
        <v>218</v>
      </c>
      <c r="AV186" t="s">
        <v>219</v>
      </c>
      <c r="AW186" t="s">
        <v>224</v>
      </c>
      <c r="AX186" t="s">
        <v>223</v>
      </c>
      <c r="AY186" t="s">
        <v>222</v>
      </c>
      <c r="AZ186" t="s">
        <v>225</v>
      </c>
      <c r="BA186" t="s">
        <v>222</v>
      </c>
      <c r="BB186" t="s">
        <v>225</v>
      </c>
      <c r="BC186" t="s">
        <v>222</v>
      </c>
      <c r="BD186" t="s">
        <v>224</v>
      </c>
      <c r="BE186" t="s">
        <v>225</v>
      </c>
      <c r="BF186" t="s">
        <v>224</v>
      </c>
      <c r="BG186" t="s">
        <v>224</v>
      </c>
      <c r="BH186" t="s">
        <v>218</v>
      </c>
      <c r="BI186" t="s">
        <v>223</v>
      </c>
      <c r="BJ186" t="s">
        <v>223</v>
      </c>
      <c r="BK186" t="s">
        <v>219</v>
      </c>
      <c r="BL186" t="s">
        <v>222</v>
      </c>
      <c r="BM186" t="s">
        <v>222</v>
      </c>
      <c r="BN186" t="s">
        <v>224</v>
      </c>
      <c r="BO186" t="s">
        <v>222</v>
      </c>
      <c r="BP186" t="s">
        <v>222</v>
      </c>
      <c r="BQ186" t="s">
        <v>220</v>
      </c>
      <c r="BR186" t="s">
        <v>223</v>
      </c>
      <c r="BS186" t="s">
        <v>222</v>
      </c>
      <c r="BT186" t="s">
        <v>222</v>
      </c>
      <c r="BU186" t="s">
        <v>222</v>
      </c>
      <c r="BV186" t="s">
        <v>222</v>
      </c>
      <c r="BW186" t="s">
        <v>225</v>
      </c>
      <c r="BX186" t="s">
        <v>222</v>
      </c>
      <c r="BY186" t="s">
        <v>219</v>
      </c>
      <c r="BZ186" t="s">
        <v>224</v>
      </c>
      <c r="CA186" t="s">
        <v>218</v>
      </c>
      <c r="CB186" t="s">
        <v>224</v>
      </c>
      <c r="CC186" t="s">
        <v>224</v>
      </c>
      <c r="CD186" t="s">
        <v>224</v>
      </c>
      <c r="CE186" t="s">
        <v>223</v>
      </c>
      <c r="CF186" t="s">
        <v>219</v>
      </c>
      <c r="CG186" t="s">
        <v>222</v>
      </c>
      <c r="CH186" t="s">
        <v>219</v>
      </c>
      <c r="CI186" t="s">
        <v>225</v>
      </c>
      <c r="CJ186" t="s">
        <v>222</v>
      </c>
      <c r="CK186" t="s">
        <v>225</v>
      </c>
    </row>
    <row r="187" spans="1:89" x14ac:dyDescent="0.25">
      <c r="A187" s="20" t="s">
        <v>186</v>
      </c>
      <c r="B187" t="s">
        <v>220</v>
      </c>
      <c r="C187" t="s">
        <v>218</v>
      </c>
      <c r="D187" t="s">
        <v>218</v>
      </c>
      <c r="E187" t="s">
        <v>219</v>
      </c>
      <c r="F187" t="s">
        <v>218</v>
      </c>
      <c r="G187" t="s">
        <v>218</v>
      </c>
      <c r="H187" t="s">
        <v>219</v>
      </c>
      <c r="I187" t="s">
        <v>218</v>
      </c>
      <c r="J187" t="s">
        <v>223</v>
      </c>
      <c r="K187" t="s">
        <v>223</v>
      </c>
      <c r="L187" t="s">
        <v>236</v>
      </c>
      <c r="M187" t="s">
        <v>236</v>
      </c>
      <c r="N187" t="s">
        <v>225</v>
      </c>
      <c r="O187" t="s">
        <v>222</v>
      </c>
      <c r="P187" t="s">
        <v>223</v>
      </c>
      <c r="Q187" t="s">
        <v>223</v>
      </c>
      <c r="R187" t="s">
        <v>223</v>
      </c>
      <c r="S187" t="s">
        <v>222</v>
      </c>
      <c r="T187" t="s">
        <v>223</v>
      </c>
      <c r="U187" t="s">
        <v>222</v>
      </c>
      <c r="V187" t="s">
        <v>220</v>
      </c>
      <c r="W187" t="s">
        <v>223</v>
      </c>
      <c r="X187" t="s">
        <v>222</v>
      </c>
      <c r="Y187" t="s">
        <v>222</v>
      </c>
      <c r="Z187" t="s">
        <v>223</v>
      </c>
      <c r="AA187" t="s">
        <v>220</v>
      </c>
      <c r="AB187" t="s">
        <v>219</v>
      </c>
      <c r="AC187" t="s">
        <v>223</v>
      </c>
      <c r="AD187" t="s">
        <v>225</v>
      </c>
      <c r="AE187" t="s">
        <v>222</v>
      </c>
      <c r="AF187" t="s">
        <v>218</v>
      </c>
      <c r="AG187" t="s">
        <v>218</v>
      </c>
      <c r="AH187" t="s">
        <v>225</v>
      </c>
      <c r="AI187" t="s">
        <v>222</v>
      </c>
      <c r="AJ187" t="s">
        <v>223</v>
      </c>
      <c r="AK187" t="s">
        <v>223</v>
      </c>
      <c r="AL187" t="s">
        <v>220</v>
      </c>
      <c r="AM187" t="s">
        <v>223</v>
      </c>
      <c r="AN187" t="s">
        <v>223</v>
      </c>
      <c r="AO187" t="s">
        <v>222</v>
      </c>
      <c r="AP187" t="s">
        <v>223</v>
      </c>
      <c r="AQ187" t="s">
        <v>222</v>
      </c>
      <c r="AR187" t="s">
        <v>218</v>
      </c>
      <c r="AS187" t="s">
        <v>222</v>
      </c>
      <c r="AT187" t="s">
        <v>224</v>
      </c>
      <c r="AU187" t="s">
        <v>219</v>
      </c>
      <c r="AV187" t="s">
        <v>218</v>
      </c>
      <c r="AW187" t="s">
        <v>222</v>
      </c>
      <c r="AX187" t="s">
        <v>223</v>
      </c>
      <c r="AY187" t="s">
        <v>222</v>
      </c>
      <c r="AZ187" t="s">
        <v>223</v>
      </c>
      <c r="BA187" t="s">
        <v>222</v>
      </c>
      <c r="BB187" t="s">
        <v>225</v>
      </c>
      <c r="BC187" t="s">
        <v>222</v>
      </c>
      <c r="BD187" t="s">
        <v>222</v>
      </c>
      <c r="BE187" t="s">
        <v>225</v>
      </c>
      <c r="BF187" t="s">
        <v>223</v>
      </c>
      <c r="BG187" t="s">
        <v>223</v>
      </c>
      <c r="BH187" t="s">
        <v>218</v>
      </c>
      <c r="BI187" t="s">
        <v>222</v>
      </c>
      <c r="BJ187" t="s">
        <v>222</v>
      </c>
      <c r="BK187" t="s">
        <v>219</v>
      </c>
      <c r="BL187" t="s">
        <v>236</v>
      </c>
      <c r="BM187" t="s">
        <v>224</v>
      </c>
      <c r="BN187" t="s">
        <v>222</v>
      </c>
      <c r="BO187" t="s">
        <v>223</v>
      </c>
      <c r="BP187" t="s">
        <v>222</v>
      </c>
      <c r="BQ187" t="s">
        <v>219</v>
      </c>
      <c r="BR187" t="s">
        <v>222</v>
      </c>
      <c r="BS187" t="s">
        <v>222</v>
      </c>
      <c r="BT187" t="s">
        <v>224</v>
      </c>
      <c r="BU187" t="s">
        <v>224</v>
      </c>
      <c r="BV187" t="s">
        <v>222</v>
      </c>
      <c r="BW187" t="s">
        <v>222</v>
      </c>
      <c r="BX187" t="s">
        <v>224</v>
      </c>
      <c r="BY187" t="s">
        <v>219</v>
      </c>
      <c r="BZ187" t="s">
        <v>223</v>
      </c>
      <c r="CA187" t="s">
        <v>219</v>
      </c>
      <c r="CB187" t="s">
        <v>224</v>
      </c>
      <c r="CC187" t="s">
        <v>222</v>
      </c>
      <c r="CD187" t="s">
        <v>224</v>
      </c>
      <c r="CE187" t="s">
        <v>224</v>
      </c>
      <c r="CF187" t="s">
        <v>218</v>
      </c>
      <c r="CG187" t="s">
        <v>223</v>
      </c>
      <c r="CH187" t="s">
        <v>220</v>
      </c>
      <c r="CI187" t="s">
        <v>222</v>
      </c>
      <c r="CJ187" t="s">
        <v>223</v>
      </c>
      <c r="CK187" t="s">
        <v>222</v>
      </c>
    </row>
    <row r="188" spans="1:89" x14ac:dyDescent="0.25">
      <c r="A188" s="20" t="s">
        <v>187</v>
      </c>
      <c r="B188" t="s">
        <v>220</v>
      </c>
      <c r="C188" t="s">
        <v>218</v>
      </c>
      <c r="D188" t="s">
        <v>218</v>
      </c>
      <c r="E188" t="s">
        <v>218</v>
      </c>
      <c r="F188" t="s">
        <v>218</v>
      </c>
      <c r="G188" t="s">
        <v>218</v>
      </c>
      <c r="H188" t="s">
        <v>221</v>
      </c>
      <c r="I188" t="s">
        <v>218</v>
      </c>
      <c r="J188" t="s">
        <v>224</v>
      </c>
      <c r="K188" t="s">
        <v>223</v>
      </c>
      <c r="L188" t="s">
        <v>224</v>
      </c>
      <c r="M188" t="s">
        <v>223</v>
      </c>
      <c r="N188" t="s">
        <v>224</v>
      </c>
      <c r="O188" t="s">
        <v>223</v>
      </c>
      <c r="P188" t="s">
        <v>224</v>
      </c>
      <c r="Q188" t="s">
        <v>225</v>
      </c>
      <c r="R188" t="s">
        <v>223</v>
      </c>
      <c r="S188" t="s">
        <v>222</v>
      </c>
      <c r="T188" t="s">
        <v>222</v>
      </c>
      <c r="U188" t="s">
        <v>223</v>
      </c>
      <c r="V188" t="s">
        <v>218</v>
      </c>
      <c r="W188" t="s">
        <v>223</v>
      </c>
      <c r="X188" t="s">
        <v>222</v>
      </c>
      <c r="Y188" t="s">
        <v>222</v>
      </c>
      <c r="Z188" t="s">
        <v>223</v>
      </c>
      <c r="AA188" t="s">
        <v>219</v>
      </c>
      <c r="AB188" t="s">
        <v>218</v>
      </c>
      <c r="AC188" t="s">
        <v>225</v>
      </c>
      <c r="AD188" t="s">
        <v>223</v>
      </c>
      <c r="AE188" t="s">
        <v>222</v>
      </c>
      <c r="AF188" t="s">
        <v>218</v>
      </c>
      <c r="AG188" t="s">
        <v>237</v>
      </c>
      <c r="AH188" t="s">
        <v>222</v>
      </c>
      <c r="AI188" t="s">
        <v>222</v>
      </c>
      <c r="AJ188" t="s">
        <v>224</v>
      </c>
      <c r="AK188" t="s">
        <v>225</v>
      </c>
      <c r="AL188" t="s">
        <v>237</v>
      </c>
      <c r="AM188" t="s">
        <v>222</v>
      </c>
      <c r="AN188" t="s">
        <v>223</v>
      </c>
      <c r="AO188" t="s">
        <v>222</v>
      </c>
      <c r="AP188" t="s">
        <v>222</v>
      </c>
      <c r="AQ188" t="s">
        <v>222</v>
      </c>
      <c r="AR188" t="s">
        <v>219</v>
      </c>
      <c r="AS188" t="s">
        <v>222</v>
      </c>
      <c r="AT188" t="s">
        <v>223</v>
      </c>
      <c r="AU188" t="s">
        <v>219</v>
      </c>
      <c r="AV188" t="s">
        <v>219</v>
      </c>
      <c r="AW188" t="s">
        <v>223</v>
      </c>
      <c r="AX188" t="s">
        <v>223</v>
      </c>
      <c r="AY188" t="s">
        <v>222</v>
      </c>
      <c r="AZ188" t="s">
        <v>222</v>
      </c>
      <c r="BA188" t="s">
        <v>223</v>
      </c>
      <c r="BB188" t="s">
        <v>222</v>
      </c>
      <c r="BC188" t="s">
        <v>224</v>
      </c>
      <c r="BD188" t="s">
        <v>223</v>
      </c>
      <c r="BE188" t="s">
        <v>225</v>
      </c>
      <c r="BF188" t="s">
        <v>222</v>
      </c>
      <c r="BG188" t="s">
        <v>223</v>
      </c>
      <c r="BH188" t="s">
        <v>219</v>
      </c>
      <c r="BI188" t="s">
        <v>222</v>
      </c>
      <c r="BJ188" t="s">
        <v>222</v>
      </c>
      <c r="BK188" t="s">
        <v>218</v>
      </c>
      <c r="BL188" t="s">
        <v>222</v>
      </c>
      <c r="BM188" t="s">
        <v>224</v>
      </c>
      <c r="BN188" t="s">
        <v>224</v>
      </c>
      <c r="BO188" t="s">
        <v>223</v>
      </c>
      <c r="BP188" t="s">
        <v>223</v>
      </c>
      <c r="BQ188" t="s">
        <v>220</v>
      </c>
      <c r="BR188" t="s">
        <v>223</v>
      </c>
      <c r="BS188" t="s">
        <v>222</v>
      </c>
      <c r="BT188" t="s">
        <v>222</v>
      </c>
      <c r="BU188" t="s">
        <v>223</v>
      </c>
      <c r="BV188" t="s">
        <v>222</v>
      </c>
      <c r="BW188" t="s">
        <v>222</v>
      </c>
      <c r="BX188" t="s">
        <v>222</v>
      </c>
      <c r="BY188" t="s">
        <v>218</v>
      </c>
      <c r="BZ188" t="s">
        <v>222</v>
      </c>
      <c r="CA188" t="s">
        <v>218</v>
      </c>
      <c r="CB188" t="s">
        <v>224</v>
      </c>
      <c r="CC188" t="s">
        <v>222</v>
      </c>
      <c r="CD188" t="s">
        <v>222</v>
      </c>
      <c r="CE188" t="s">
        <v>225</v>
      </c>
      <c r="CF188" t="s">
        <v>219</v>
      </c>
      <c r="CG188" t="s">
        <v>222</v>
      </c>
      <c r="CH188" t="s">
        <v>219</v>
      </c>
      <c r="CI188" t="s">
        <v>222</v>
      </c>
      <c r="CJ188" t="s">
        <v>222</v>
      </c>
      <c r="CK188" t="s">
        <v>222</v>
      </c>
    </row>
    <row r="189" spans="1:89" x14ac:dyDescent="0.25">
      <c r="A189" s="20" t="s">
        <v>188</v>
      </c>
      <c r="B189" t="s">
        <v>219</v>
      </c>
      <c r="C189" t="s">
        <v>219</v>
      </c>
      <c r="D189" t="s">
        <v>221</v>
      </c>
      <c r="E189" t="s">
        <v>219</v>
      </c>
      <c r="F189" t="s">
        <v>218</v>
      </c>
      <c r="G189" t="s">
        <v>219</v>
      </c>
      <c r="H189" t="s">
        <v>218</v>
      </c>
      <c r="I189" t="s">
        <v>218</v>
      </c>
      <c r="J189" t="s">
        <v>224</v>
      </c>
      <c r="K189" t="s">
        <v>223</v>
      </c>
      <c r="L189" t="s">
        <v>222</v>
      </c>
      <c r="M189" t="s">
        <v>223</v>
      </c>
      <c r="N189" t="s">
        <v>222</v>
      </c>
      <c r="O189" t="s">
        <v>222</v>
      </c>
      <c r="P189" t="s">
        <v>225</v>
      </c>
      <c r="Q189" t="s">
        <v>225</v>
      </c>
      <c r="R189" t="s">
        <v>224</v>
      </c>
      <c r="S189" t="s">
        <v>222</v>
      </c>
      <c r="T189" t="s">
        <v>222</v>
      </c>
      <c r="U189" t="s">
        <v>223</v>
      </c>
      <c r="V189" t="s">
        <v>218</v>
      </c>
      <c r="W189" t="s">
        <v>223</v>
      </c>
      <c r="X189" t="s">
        <v>222</v>
      </c>
      <c r="Y189" t="s">
        <v>222</v>
      </c>
      <c r="Z189" t="s">
        <v>224</v>
      </c>
      <c r="AA189" t="s">
        <v>221</v>
      </c>
      <c r="AB189" t="s">
        <v>221</v>
      </c>
      <c r="AC189" t="s">
        <v>225</v>
      </c>
      <c r="AD189" t="s">
        <v>222</v>
      </c>
      <c r="AE189" t="s">
        <v>223</v>
      </c>
      <c r="AF189" t="s">
        <v>220</v>
      </c>
      <c r="AG189" t="s">
        <v>219</v>
      </c>
      <c r="AH189" t="s">
        <v>223</v>
      </c>
      <c r="AI189" t="s">
        <v>223</v>
      </c>
      <c r="AJ189" t="s">
        <v>223</v>
      </c>
      <c r="AK189" t="s">
        <v>222</v>
      </c>
      <c r="AL189" t="s">
        <v>219</v>
      </c>
      <c r="AM189" t="s">
        <v>222</v>
      </c>
      <c r="AN189" t="s">
        <v>222</v>
      </c>
      <c r="AO189" t="s">
        <v>222</v>
      </c>
      <c r="AP189" t="s">
        <v>222</v>
      </c>
      <c r="AQ189" t="s">
        <v>224</v>
      </c>
      <c r="AR189" t="s">
        <v>219</v>
      </c>
      <c r="AS189" t="s">
        <v>222</v>
      </c>
      <c r="AT189" t="s">
        <v>224</v>
      </c>
      <c r="AU189" t="s">
        <v>221</v>
      </c>
      <c r="AV189" t="s">
        <v>219</v>
      </c>
      <c r="AW189" t="s">
        <v>225</v>
      </c>
      <c r="AX189" t="s">
        <v>222</v>
      </c>
      <c r="AY189" t="s">
        <v>236</v>
      </c>
      <c r="AZ189" t="s">
        <v>223</v>
      </c>
      <c r="BA189" t="s">
        <v>222</v>
      </c>
      <c r="BB189" t="s">
        <v>219</v>
      </c>
      <c r="BC189" t="s">
        <v>223</v>
      </c>
      <c r="BD189" t="s">
        <v>223</v>
      </c>
      <c r="BE189" t="s">
        <v>225</v>
      </c>
      <c r="BF189" t="s">
        <v>223</v>
      </c>
      <c r="BG189" t="s">
        <v>224</v>
      </c>
      <c r="BH189" t="s">
        <v>218</v>
      </c>
      <c r="BI189" t="s">
        <v>222</v>
      </c>
      <c r="BJ189" t="s">
        <v>223</v>
      </c>
      <c r="BK189" t="s">
        <v>219</v>
      </c>
      <c r="BL189" t="s">
        <v>222</v>
      </c>
      <c r="BM189" t="s">
        <v>236</v>
      </c>
      <c r="BN189" t="s">
        <v>222</v>
      </c>
      <c r="BO189" t="s">
        <v>223</v>
      </c>
      <c r="BP189" t="s">
        <v>224</v>
      </c>
      <c r="BQ189" t="s">
        <v>218</v>
      </c>
      <c r="BR189" t="s">
        <v>223</v>
      </c>
      <c r="BS189" t="s">
        <v>222</v>
      </c>
      <c r="BT189" t="s">
        <v>223</v>
      </c>
      <c r="BU189" t="s">
        <v>222</v>
      </c>
      <c r="BV189" t="s">
        <v>224</v>
      </c>
      <c r="BW189" t="s">
        <v>223</v>
      </c>
      <c r="BX189" t="s">
        <v>222</v>
      </c>
      <c r="BY189" t="s">
        <v>220</v>
      </c>
      <c r="BZ189" t="s">
        <v>222</v>
      </c>
      <c r="CA189" t="s">
        <v>221</v>
      </c>
      <c r="CB189" t="s">
        <v>222</v>
      </c>
      <c r="CC189" t="s">
        <v>222</v>
      </c>
      <c r="CD189" t="s">
        <v>223</v>
      </c>
      <c r="CE189" t="s">
        <v>225</v>
      </c>
      <c r="CF189" t="s">
        <v>219</v>
      </c>
      <c r="CG189" t="s">
        <v>223</v>
      </c>
      <c r="CH189" t="s">
        <v>220</v>
      </c>
      <c r="CI189" t="s">
        <v>223</v>
      </c>
      <c r="CJ189" t="s">
        <v>222</v>
      </c>
      <c r="CK189" t="s">
        <v>222</v>
      </c>
    </row>
    <row r="190" spans="1:89" x14ac:dyDescent="0.25">
      <c r="A190" s="20" t="s">
        <v>189</v>
      </c>
      <c r="B190" t="s">
        <v>221</v>
      </c>
      <c r="C190" t="s">
        <v>219</v>
      </c>
      <c r="D190" t="s">
        <v>218</v>
      </c>
      <c r="E190" t="s">
        <v>219</v>
      </c>
      <c r="F190" t="s">
        <v>219</v>
      </c>
      <c r="G190" t="s">
        <v>219</v>
      </c>
      <c r="H190" t="s">
        <v>218</v>
      </c>
      <c r="I190" t="s">
        <v>219</v>
      </c>
      <c r="J190" t="s">
        <v>224</v>
      </c>
      <c r="K190" t="s">
        <v>225</v>
      </c>
      <c r="L190" t="s">
        <v>224</v>
      </c>
      <c r="M190" t="s">
        <v>222</v>
      </c>
      <c r="N190" t="s">
        <v>223</v>
      </c>
      <c r="O190" t="s">
        <v>222</v>
      </c>
      <c r="P190" t="s">
        <v>225</v>
      </c>
      <c r="Q190" t="s">
        <v>225</v>
      </c>
      <c r="R190" t="s">
        <v>222</v>
      </c>
      <c r="S190" t="s">
        <v>222</v>
      </c>
      <c r="T190" t="s">
        <v>224</v>
      </c>
      <c r="U190" t="s">
        <v>223</v>
      </c>
      <c r="V190" t="s">
        <v>218</v>
      </c>
      <c r="W190" t="s">
        <v>223</v>
      </c>
      <c r="X190" t="s">
        <v>225</v>
      </c>
      <c r="Y190" t="s">
        <v>222</v>
      </c>
      <c r="Z190" t="s">
        <v>223</v>
      </c>
      <c r="AA190" t="s">
        <v>219</v>
      </c>
      <c r="AB190" t="s">
        <v>220</v>
      </c>
      <c r="AC190" t="s">
        <v>222</v>
      </c>
      <c r="AD190" t="s">
        <v>225</v>
      </c>
      <c r="AE190" t="s">
        <v>222</v>
      </c>
      <c r="AF190" t="s">
        <v>219</v>
      </c>
      <c r="AG190" t="s">
        <v>218</v>
      </c>
      <c r="AH190" t="s">
        <v>224</v>
      </c>
      <c r="AI190" t="s">
        <v>222</v>
      </c>
      <c r="AJ190" t="s">
        <v>222</v>
      </c>
      <c r="AK190" t="s">
        <v>224</v>
      </c>
      <c r="AL190" t="s">
        <v>221</v>
      </c>
      <c r="AM190" t="s">
        <v>223</v>
      </c>
      <c r="AN190" t="s">
        <v>223</v>
      </c>
      <c r="AO190" t="s">
        <v>225</v>
      </c>
      <c r="AP190" t="s">
        <v>224</v>
      </c>
      <c r="AQ190" t="s">
        <v>222</v>
      </c>
      <c r="AR190" t="s">
        <v>220</v>
      </c>
      <c r="AS190" t="s">
        <v>222</v>
      </c>
      <c r="AT190" t="s">
        <v>224</v>
      </c>
      <c r="AU190" t="s">
        <v>221</v>
      </c>
      <c r="AV190" t="s">
        <v>219</v>
      </c>
      <c r="AW190" t="s">
        <v>222</v>
      </c>
      <c r="AX190" t="s">
        <v>223</v>
      </c>
      <c r="AY190" t="s">
        <v>222</v>
      </c>
      <c r="AZ190" t="s">
        <v>225</v>
      </c>
      <c r="BA190" t="s">
        <v>223</v>
      </c>
      <c r="BB190" t="s">
        <v>219</v>
      </c>
      <c r="BC190" t="s">
        <v>224</v>
      </c>
      <c r="BD190" t="s">
        <v>222</v>
      </c>
      <c r="BE190" t="s">
        <v>224</v>
      </c>
      <c r="BF190" t="s">
        <v>223</v>
      </c>
      <c r="BG190" t="s">
        <v>224</v>
      </c>
      <c r="BH190" t="s">
        <v>218</v>
      </c>
      <c r="BI190" t="s">
        <v>222</v>
      </c>
      <c r="BJ190" t="s">
        <v>218</v>
      </c>
      <c r="BK190" t="s">
        <v>218</v>
      </c>
      <c r="BL190" t="s">
        <v>222</v>
      </c>
      <c r="BM190" t="s">
        <v>223</v>
      </c>
      <c r="BN190" t="s">
        <v>222</v>
      </c>
      <c r="BO190" t="s">
        <v>222</v>
      </c>
      <c r="BP190" t="s">
        <v>224</v>
      </c>
      <c r="BQ190" t="s">
        <v>219</v>
      </c>
      <c r="BR190" t="s">
        <v>223</v>
      </c>
      <c r="BS190" t="s">
        <v>222</v>
      </c>
      <c r="BT190" t="s">
        <v>224</v>
      </c>
      <c r="BU190" t="s">
        <v>223</v>
      </c>
      <c r="BV190" t="s">
        <v>222</v>
      </c>
      <c r="BW190" t="s">
        <v>222</v>
      </c>
      <c r="BX190" t="s">
        <v>225</v>
      </c>
      <c r="BY190" t="s">
        <v>218</v>
      </c>
      <c r="BZ190" t="s">
        <v>223</v>
      </c>
      <c r="CA190" t="s">
        <v>220</v>
      </c>
      <c r="CB190" t="s">
        <v>223</v>
      </c>
      <c r="CC190" t="s">
        <v>222</v>
      </c>
      <c r="CD190" t="s">
        <v>224</v>
      </c>
      <c r="CE190" t="s">
        <v>223</v>
      </c>
      <c r="CF190" t="s">
        <v>219</v>
      </c>
      <c r="CG190" t="s">
        <v>222</v>
      </c>
      <c r="CH190" t="s">
        <v>219</v>
      </c>
      <c r="CI190" t="s">
        <v>222</v>
      </c>
      <c r="CJ190" t="s">
        <v>224</v>
      </c>
      <c r="CK190" t="s">
        <v>224</v>
      </c>
    </row>
    <row r="191" spans="1:89" x14ac:dyDescent="0.25">
      <c r="A191" s="20" t="s">
        <v>190</v>
      </c>
      <c r="B191" t="s">
        <v>220</v>
      </c>
      <c r="C191" t="s">
        <v>218</v>
      </c>
      <c r="D191" t="s">
        <v>218</v>
      </c>
      <c r="E191" t="s">
        <v>219</v>
      </c>
      <c r="F191" t="s">
        <v>219</v>
      </c>
      <c r="G191" t="s">
        <v>220</v>
      </c>
      <c r="H191" t="s">
        <v>219</v>
      </c>
      <c r="I191" t="s">
        <v>218</v>
      </c>
      <c r="J191" t="s">
        <v>224</v>
      </c>
      <c r="K191" t="s">
        <v>225</v>
      </c>
      <c r="L191" t="s">
        <v>222</v>
      </c>
      <c r="M191" t="s">
        <v>222</v>
      </c>
      <c r="N191" t="s">
        <v>223</v>
      </c>
      <c r="O191" t="s">
        <v>222</v>
      </c>
      <c r="P191" t="s">
        <v>225</v>
      </c>
      <c r="Q191" t="s">
        <v>222</v>
      </c>
      <c r="R191" t="s">
        <v>222</v>
      </c>
      <c r="S191" t="s">
        <v>222</v>
      </c>
      <c r="T191" t="s">
        <v>225</v>
      </c>
      <c r="U191" t="s">
        <v>222</v>
      </c>
      <c r="V191" t="s">
        <v>220</v>
      </c>
      <c r="W191" t="s">
        <v>223</v>
      </c>
      <c r="X191" t="s">
        <v>225</v>
      </c>
      <c r="Y191" t="s">
        <v>222</v>
      </c>
      <c r="Z191" t="s">
        <v>223</v>
      </c>
      <c r="AA191" t="s">
        <v>218</v>
      </c>
      <c r="AB191" t="s">
        <v>218</v>
      </c>
      <c r="AC191" t="s">
        <v>222</v>
      </c>
      <c r="AD191" t="s">
        <v>225</v>
      </c>
      <c r="AE191" t="s">
        <v>223</v>
      </c>
      <c r="AF191" t="s">
        <v>221</v>
      </c>
      <c r="AG191" t="s">
        <v>218</v>
      </c>
      <c r="AH191" t="s">
        <v>223</v>
      </c>
      <c r="AI191" t="s">
        <v>222</v>
      </c>
      <c r="AJ191" t="s">
        <v>223</v>
      </c>
      <c r="AK191" t="s">
        <v>222</v>
      </c>
      <c r="AL191" t="s">
        <v>220</v>
      </c>
      <c r="AM191" t="s">
        <v>222</v>
      </c>
      <c r="AN191" t="s">
        <v>223</v>
      </c>
      <c r="AO191" t="s">
        <v>225</v>
      </c>
      <c r="AP191" t="s">
        <v>224</v>
      </c>
      <c r="AQ191" t="s">
        <v>224</v>
      </c>
      <c r="AR191" t="s">
        <v>220</v>
      </c>
      <c r="AS191" t="s">
        <v>222</v>
      </c>
      <c r="AT191" t="s">
        <v>224</v>
      </c>
      <c r="AU191" t="s">
        <v>219</v>
      </c>
      <c r="AV191" t="s">
        <v>219</v>
      </c>
      <c r="AW191" t="s">
        <v>223</v>
      </c>
      <c r="AX191" t="s">
        <v>222</v>
      </c>
      <c r="AY191" t="s">
        <v>222</v>
      </c>
      <c r="AZ191" t="s">
        <v>222</v>
      </c>
      <c r="BA191" t="s">
        <v>222</v>
      </c>
      <c r="BB191" t="s">
        <v>219</v>
      </c>
      <c r="BC191" t="s">
        <v>225</v>
      </c>
      <c r="BD191" t="s">
        <v>222</v>
      </c>
      <c r="BE191" t="s">
        <v>225</v>
      </c>
      <c r="BF191" t="s">
        <v>223</v>
      </c>
      <c r="BG191" t="s">
        <v>223</v>
      </c>
      <c r="BH191" t="s">
        <v>218</v>
      </c>
      <c r="BI191" t="s">
        <v>222</v>
      </c>
      <c r="BJ191" t="s">
        <v>222</v>
      </c>
      <c r="BK191" t="s">
        <v>218</v>
      </c>
      <c r="BL191" t="s">
        <v>222</v>
      </c>
      <c r="BM191" t="s">
        <v>222</v>
      </c>
      <c r="BN191" t="s">
        <v>224</v>
      </c>
      <c r="BO191" t="s">
        <v>222</v>
      </c>
      <c r="BP191" t="s">
        <v>223</v>
      </c>
      <c r="BQ191" t="s">
        <v>218</v>
      </c>
      <c r="BR191" t="s">
        <v>223</v>
      </c>
      <c r="BS191" t="s">
        <v>223</v>
      </c>
      <c r="BT191" t="s">
        <v>222</v>
      </c>
      <c r="BU191" t="s">
        <v>225</v>
      </c>
      <c r="BV191" t="s">
        <v>222</v>
      </c>
      <c r="BW191" t="s">
        <v>223</v>
      </c>
      <c r="BX191" t="s">
        <v>225</v>
      </c>
      <c r="BY191" t="s">
        <v>218</v>
      </c>
      <c r="BZ191" t="s">
        <v>222</v>
      </c>
      <c r="CA191" t="s">
        <v>218</v>
      </c>
      <c r="CB191" t="s">
        <v>224</v>
      </c>
      <c r="CC191" t="s">
        <v>222</v>
      </c>
      <c r="CD191" t="s">
        <v>224</v>
      </c>
      <c r="CE191" t="s">
        <v>224</v>
      </c>
      <c r="CF191" t="s">
        <v>219</v>
      </c>
      <c r="CG191" t="s">
        <v>224</v>
      </c>
      <c r="CH191" t="s">
        <v>220</v>
      </c>
      <c r="CI191" t="s">
        <v>224</v>
      </c>
      <c r="CJ191" t="s">
        <v>224</v>
      </c>
      <c r="CK191" t="s">
        <v>223</v>
      </c>
    </row>
    <row r="192" spans="1:89" x14ac:dyDescent="0.25">
      <c r="A192" s="20" t="s">
        <v>191</v>
      </c>
      <c r="B192" t="s">
        <v>221</v>
      </c>
      <c r="C192" t="s">
        <v>237</v>
      </c>
      <c r="D192" t="s">
        <v>218</v>
      </c>
      <c r="E192" t="s">
        <v>219</v>
      </c>
      <c r="F192" t="s">
        <v>220</v>
      </c>
      <c r="G192" t="s">
        <v>220</v>
      </c>
      <c r="H192" t="s">
        <v>218</v>
      </c>
      <c r="I192" t="s">
        <v>218</v>
      </c>
      <c r="J192" t="s">
        <v>224</v>
      </c>
      <c r="K192" t="s">
        <v>223</v>
      </c>
      <c r="L192" t="s">
        <v>236</v>
      </c>
      <c r="M192" t="s">
        <v>222</v>
      </c>
      <c r="N192" t="s">
        <v>223</v>
      </c>
      <c r="O192" t="s">
        <v>222</v>
      </c>
      <c r="P192" t="s">
        <v>223</v>
      </c>
      <c r="Q192" t="s">
        <v>225</v>
      </c>
      <c r="R192" t="s">
        <v>222</v>
      </c>
      <c r="S192" t="s">
        <v>222</v>
      </c>
      <c r="T192" t="s">
        <v>225</v>
      </c>
      <c r="U192" t="s">
        <v>222</v>
      </c>
      <c r="V192" t="s">
        <v>221</v>
      </c>
      <c r="W192" t="s">
        <v>223</v>
      </c>
      <c r="X192" t="s">
        <v>222</v>
      </c>
      <c r="Y192" t="s">
        <v>222</v>
      </c>
      <c r="Z192" t="s">
        <v>223</v>
      </c>
      <c r="AA192" t="s">
        <v>218</v>
      </c>
      <c r="AB192" t="s">
        <v>220</v>
      </c>
      <c r="AC192" t="s">
        <v>222</v>
      </c>
      <c r="AD192" t="s">
        <v>223</v>
      </c>
      <c r="AE192" t="s">
        <v>222</v>
      </c>
      <c r="AF192" t="s">
        <v>219</v>
      </c>
      <c r="AG192" t="s">
        <v>218</v>
      </c>
      <c r="AH192" t="s">
        <v>223</v>
      </c>
      <c r="AI192" t="s">
        <v>222</v>
      </c>
      <c r="AJ192" t="s">
        <v>225</v>
      </c>
      <c r="AK192" t="s">
        <v>222</v>
      </c>
      <c r="AL192" t="s">
        <v>220</v>
      </c>
      <c r="AM192" t="s">
        <v>224</v>
      </c>
      <c r="AN192" t="s">
        <v>223</v>
      </c>
      <c r="AO192" t="s">
        <v>225</v>
      </c>
      <c r="AP192" t="s">
        <v>223</v>
      </c>
      <c r="AQ192" t="s">
        <v>222</v>
      </c>
      <c r="AR192" t="s">
        <v>220</v>
      </c>
      <c r="AS192" t="s">
        <v>222</v>
      </c>
      <c r="AT192" t="s">
        <v>224</v>
      </c>
      <c r="AU192" t="s">
        <v>219</v>
      </c>
      <c r="AV192" t="s">
        <v>219</v>
      </c>
      <c r="AW192" t="s">
        <v>222</v>
      </c>
      <c r="AX192" t="s">
        <v>223</v>
      </c>
      <c r="AY192" t="s">
        <v>224</v>
      </c>
      <c r="AZ192" t="s">
        <v>223</v>
      </c>
      <c r="BA192" t="s">
        <v>222</v>
      </c>
      <c r="BB192" t="s">
        <v>222</v>
      </c>
      <c r="BC192" t="s">
        <v>222</v>
      </c>
      <c r="BD192" t="s">
        <v>222</v>
      </c>
      <c r="BE192" t="s">
        <v>225</v>
      </c>
      <c r="BF192" t="s">
        <v>223</v>
      </c>
      <c r="BG192" t="s">
        <v>222</v>
      </c>
      <c r="BH192" t="s">
        <v>218</v>
      </c>
      <c r="BI192" t="s">
        <v>223</v>
      </c>
      <c r="BJ192" t="s">
        <v>218</v>
      </c>
      <c r="BK192" t="s">
        <v>218</v>
      </c>
      <c r="BL192" t="s">
        <v>222</v>
      </c>
      <c r="BM192" t="s">
        <v>222</v>
      </c>
      <c r="BN192" t="s">
        <v>222</v>
      </c>
      <c r="BO192" t="s">
        <v>222</v>
      </c>
      <c r="BP192" t="s">
        <v>225</v>
      </c>
      <c r="BQ192" t="s">
        <v>219</v>
      </c>
      <c r="BR192" t="s">
        <v>222</v>
      </c>
      <c r="BS192" t="s">
        <v>222</v>
      </c>
      <c r="BT192" t="s">
        <v>222</v>
      </c>
      <c r="BU192" t="s">
        <v>223</v>
      </c>
      <c r="BV192" t="s">
        <v>222</v>
      </c>
      <c r="BW192" t="s">
        <v>222</v>
      </c>
      <c r="BX192" t="s">
        <v>222</v>
      </c>
      <c r="BY192" t="s">
        <v>220</v>
      </c>
      <c r="BZ192" t="s">
        <v>222</v>
      </c>
      <c r="CA192" t="s">
        <v>218</v>
      </c>
      <c r="CB192" t="s">
        <v>225</v>
      </c>
      <c r="CC192" t="s">
        <v>223</v>
      </c>
      <c r="CD192" t="s">
        <v>223</v>
      </c>
      <c r="CE192" t="s">
        <v>224</v>
      </c>
      <c r="CF192" t="s">
        <v>219</v>
      </c>
      <c r="CG192" t="s">
        <v>223</v>
      </c>
      <c r="CH192" t="s">
        <v>219</v>
      </c>
      <c r="CI192" t="s">
        <v>225</v>
      </c>
      <c r="CJ192" t="s">
        <v>224</v>
      </c>
      <c r="CK192" t="s">
        <v>224</v>
      </c>
    </row>
    <row r="193" spans="1:89" x14ac:dyDescent="0.25">
      <c r="A193" s="20" t="s">
        <v>192</v>
      </c>
      <c r="B193" t="s">
        <v>219</v>
      </c>
      <c r="C193" t="s">
        <v>218</v>
      </c>
      <c r="D193" t="s">
        <v>237</v>
      </c>
      <c r="E193" t="s">
        <v>219</v>
      </c>
      <c r="F193" t="s">
        <v>220</v>
      </c>
      <c r="G193" t="s">
        <v>220</v>
      </c>
      <c r="H193" t="s">
        <v>218</v>
      </c>
      <c r="I193" t="s">
        <v>219</v>
      </c>
      <c r="J193" t="s">
        <v>223</v>
      </c>
      <c r="K193" t="s">
        <v>222</v>
      </c>
      <c r="L193" t="s">
        <v>222</v>
      </c>
      <c r="M193" t="s">
        <v>222</v>
      </c>
      <c r="N193" t="s">
        <v>222</v>
      </c>
      <c r="O193" t="s">
        <v>222</v>
      </c>
      <c r="P193" t="s">
        <v>222</v>
      </c>
      <c r="Q193" t="s">
        <v>222</v>
      </c>
      <c r="R193" t="s">
        <v>222</v>
      </c>
      <c r="S193" t="s">
        <v>222</v>
      </c>
      <c r="T193" t="s">
        <v>223</v>
      </c>
      <c r="U193" t="s">
        <v>224</v>
      </c>
      <c r="V193" t="s">
        <v>218</v>
      </c>
      <c r="W193" t="s">
        <v>224</v>
      </c>
      <c r="X193" t="s">
        <v>222</v>
      </c>
      <c r="Y193" t="s">
        <v>222</v>
      </c>
      <c r="AA193" t="s">
        <v>218</v>
      </c>
      <c r="AB193" t="s">
        <v>218</v>
      </c>
      <c r="AC193" t="s">
        <v>222</v>
      </c>
      <c r="AD193" t="s">
        <v>236</v>
      </c>
      <c r="AE193" t="s">
        <v>222</v>
      </c>
      <c r="AF193" t="s">
        <v>218</v>
      </c>
      <c r="AG193" t="s">
        <v>219</v>
      </c>
      <c r="AH193" t="s">
        <v>222</v>
      </c>
      <c r="AI193" t="s">
        <v>222</v>
      </c>
      <c r="AJ193" t="s">
        <v>224</v>
      </c>
      <c r="AK193" t="s">
        <v>222</v>
      </c>
      <c r="AL193" t="s">
        <v>220</v>
      </c>
      <c r="AM193" t="s">
        <v>224</v>
      </c>
      <c r="AN193" t="s">
        <v>223</v>
      </c>
      <c r="AO193" t="s">
        <v>222</v>
      </c>
      <c r="AP193" t="s">
        <v>223</v>
      </c>
      <c r="AQ193" t="s">
        <v>222</v>
      </c>
      <c r="AR193" t="s">
        <v>220</v>
      </c>
      <c r="AS193" t="s">
        <v>222</v>
      </c>
      <c r="AT193" t="s">
        <v>225</v>
      </c>
      <c r="AU193" t="s">
        <v>220</v>
      </c>
      <c r="AV193" t="s">
        <v>219</v>
      </c>
      <c r="AW193" t="s">
        <v>222</v>
      </c>
      <c r="AX193" t="s">
        <v>223</v>
      </c>
      <c r="AY193" t="s">
        <v>222</v>
      </c>
      <c r="AZ193" t="s">
        <v>223</v>
      </c>
      <c r="BA193" t="s">
        <v>222</v>
      </c>
      <c r="BB193" t="s">
        <v>222</v>
      </c>
      <c r="BC193" t="s">
        <v>223</v>
      </c>
      <c r="BD193" t="s">
        <v>223</v>
      </c>
      <c r="BE193" t="s">
        <v>225</v>
      </c>
      <c r="BF193" t="s">
        <v>224</v>
      </c>
      <c r="BG193" t="s">
        <v>223</v>
      </c>
      <c r="BH193" t="s">
        <v>218</v>
      </c>
      <c r="BI193" t="s">
        <v>223</v>
      </c>
      <c r="BJ193" t="s">
        <v>222</v>
      </c>
      <c r="BK193" t="s">
        <v>218</v>
      </c>
      <c r="BL193" t="s">
        <v>222</v>
      </c>
      <c r="BM193" t="s">
        <v>223</v>
      </c>
      <c r="BN193" t="s">
        <v>222</v>
      </c>
      <c r="BO193" t="s">
        <v>223</v>
      </c>
      <c r="BP193" t="s">
        <v>224</v>
      </c>
      <c r="BQ193" t="s">
        <v>218</v>
      </c>
      <c r="BR193" t="s">
        <v>223</v>
      </c>
      <c r="BS193" t="s">
        <v>222</v>
      </c>
      <c r="BT193" t="s">
        <v>222</v>
      </c>
      <c r="BU193" t="s">
        <v>222</v>
      </c>
      <c r="BV193" t="s">
        <v>222</v>
      </c>
      <c r="BW193" t="s">
        <v>223</v>
      </c>
      <c r="BX193" t="s">
        <v>223</v>
      </c>
      <c r="BY193" t="s">
        <v>218</v>
      </c>
      <c r="BZ193" t="s">
        <v>223</v>
      </c>
      <c r="CA193" t="s">
        <v>218</v>
      </c>
      <c r="CB193" t="s">
        <v>223</v>
      </c>
      <c r="CC193" t="s">
        <v>223</v>
      </c>
      <c r="CD193" t="s">
        <v>224</v>
      </c>
      <c r="CE193" t="s">
        <v>222</v>
      </c>
      <c r="CF193" t="s">
        <v>219</v>
      </c>
      <c r="CG193" t="s">
        <v>223</v>
      </c>
      <c r="CH193" t="s">
        <v>218</v>
      </c>
      <c r="CI193" t="s">
        <v>224</v>
      </c>
      <c r="CJ193" t="s">
        <v>223</v>
      </c>
      <c r="CK193" t="s">
        <v>224</v>
      </c>
    </row>
    <row r="195" spans="1:89" x14ac:dyDescent="0.25">
      <c r="A195" t="s">
        <v>193</v>
      </c>
      <c r="B195" s="25">
        <f t="shared" ref="B195:AG195" si="0">AVERAGE(B2:B25)</f>
        <v>3.125</v>
      </c>
      <c r="C195" s="25">
        <f t="shared" si="0"/>
        <v>6.916666666666667</v>
      </c>
      <c r="D195" s="25">
        <f t="shared" si="0"/>
        <v>3.8249999999999997</v>
      </c>
      <c r="E195" s="25">
        <f t="shared" si="0"/>
        <v>2.1041666666666665</v>
      </c>
      <c r="F195" s="25">
        <f t="shared" si="0"/>
        <v>2.0583333333333336</v>
      </c>
      <c r="G195" s="25">
        <f t="shared" si="0"/>
        <v>3.6583333333333332</v>
      </c>
      <c r="H195" s="25">
        <f t="shared" si="0"/>
        <v>2.5749999999999997</v>
      </c>
      <c r="I195" s="25">
        <f t="shared" si="0"/>
        <v>1.5374999999999996</v>
      </c>
      <c r="J195" s="25">
        <f t="shared" si="0"/>
        <v>2.9</v>
      </c>
      <c r="K195" s="25">
        <f t="shared" si="0"/>
        <v>2.1833333333333331</v>
      </c>
      <c r="L195" s="25">
        <f t="shared" si="0"/>
        <v>5.7291666666666679</v>
      </c>
      <c r="M195" s="25">
        <f t="shared" si="0"/>
        <v>4.0445833333333336</v>
      </c>
      <c r="N195" s="25">
        <f t="shared" si="0"/>
        <v>1.4999999999999998</v>
      </c>
      <c r="O195" s="25">
        <f t="shared" si="0"/>
        <v>1.908333333333333</v>
      </c>
      <c r="P195" s="25">
        <f t="shared" si="0"/>
        <v>3.2624999999999993</v>
      </c>
      <c r="Q195" s="25">
        <f t="shared" si="0"/>
        <v>5.9250000000000007</v>
      </c>
      <c r="R195" s="25">
        <f t="shared" si="0"/>
        <v>2.3749999999999996</v>
      </c>
      <c r="S195" s="25">
        <f t="shared" si="0"/>
        <v>2.3374999999999999</v>
      </c>
      <c r="T195" s="25">
        <f t="shared" si="0"/>
        <v>2.7208333333333332</v>
      </c>
      <c r="U195" s="25">
        <f t="shared" si="0"/>
        <v>3.4625000000000004</v>
      </c>
      <c r="V195" s="25">
        <f t="shared" si="0"/>
        <v>0.95000000000000007</v>
      </c>
      <c r="W195" s="25">
        <f t="shared" si="0"/>
        <v>2.2500000000000004</v>
      </c>
      <c r="X195" s="25">
        <f t="shared" si="0"/>
        <v>1.6999999999999993</v>
      </c>
      <c r="Y195" s="25">
        <f t="shared" si="0"/>
        <v>2.1166666666666667</v>
      </c>
      <c r="Z195" s="25">
        <f t="shared" si="0"/>
        <v>3.5304347826086957</v>
      </c>
      <c r="AA195" s="25">
        <f t="shared" si="0"/>
        <v>2.8583333333333338</v>
      </c>
      <c r="AB195" s="25">
        <f t="shared" si="0"/>
        <v>1.6333333333333335</v>
      </c>
      <c r="AC195" s="25">
        <f t="shared" si="0"/>
        <v>4.8374999999999995</v>
      </c>
      <c r="AD195" s="25">
        <f t="shared" si="0"/>
        <v>2.9666666666666668</v>
      </c>
      <c r="AE195" s="25">
        <f t="shared" si="0"/>
        <v>3.7708333333333335</v>
      </c>
      <c r="AF195" s="25">
        <f t="shared" si="0"/>
        <v>3.5208333333333344</v>
      </c>
      <c r="AG195" s="25">
        <f t="shared" si="0"/>
        <v>5.4375</v>
      </c>
      <c r="AH195" s="25">
        <f t="shared" ref="AH195:BM195" si="1">AVERAGE(AH2:AH25)</f>
        <v>4.4541666666666666</v>
      </c>
      <c r="AI195" s="25">
        <f t="shared" si="1"/>
        <v>3.1708333333333338</v>
      </c>
      <c r="AJ195" s="25">
        <f t="shared" si="1"/>
        <v>2.9250000000000003</v>
      </c>
      <c r="AK195" s="25">
        <f t="shared" si="1"/>
        <v>1.4083333333333334</v>
      </c>
      <c r="AL195" s="25">
        <f t="shared" si="1"/>
        <v>5.4333333333333327</v>
      </c>
      <c r="AM195" s="25">
        <f t="shared" si="1"/>
        <v>3.9208333333333338</v>
      </c>
      <c r="AN195" s="25">
        <f t="shared" si="1"/>
        <v>3.3333333333333339</v>
      </c>
      <c r="AO195" s="25">
        <f t="shared" si="1"/>
        <v>5.7458333333333336</v>
      </c>
      <c r="AP195" s="25">
        <f t="shared" si="1"/>
        <v>4.3458333333333332</v>
      </c>
      <c r="AQ195" s="25">
        <f t="shared" si="1"/>
        <v>1.8458333333333334</v>
      </c>
      <c r="AR195" s="25">
        <f t="shared" si="1"/>
        <v>2.5708333333333329</v>
      </c>
      <c r="AS195" s="25">
        <f t="shared" si="1"/>
        <v>1.9833333333333334</v>
      </c>
      <c r="AT195" s="25">
        <f t="shared" si="1"/>
        <v>3.0083333333333333</v>
      </c>
      <c r="AU195" s="25">
        <f t="shared" si="1"/>
        <v>4.6249999999999991</v>
      </c>
      <c r="AV195" s="25">
        <f t="shared" si="1"/>
        <v>2.85</v>
      </c>
      <c r="AW195" s="25">
        <f t="shared" si="1"/>
        <v>5.9958333333333327</v>
      </c>
      <c r="AX195" s="25">
        <f t="shared" si="1"/>
        <v>2.3999999999999995</v>
      </c>
      <c r="AY195" s="25">
        <f t="shared" si="1"/>
        <v>2.1770833333333335</v>
      </c>
      <c r="AZ195" s="25">
        <f t="shared" si="1"/>
        <v>4.3875000000000002</v>
      </c>
      <c r="BA195" s="25">
        <f t="shared" si="1"/>
        <v>0.97083333333333355</v>
      </c>
      <c r="BB195" s="25">
        <f t="shared" si="1"/>
        <v>2.6499999999999995</v>
      </c>
      <c r="BC195" s="25">
        <f t="shared" si="1"/>
        <v>1.9708333333333332</v>
      </c>
      <c r="BD195" s="25">
        <f t="shared" si="1"/>
        <v>1.8625</v>
      </c>
      <c r="BE195" s="25">
        <f t="shared" si="1"/>
        <v>0.91250000000000009</v>
      </c>
      <c r="BF195" s="25">
        <f t="shared" si="1"/>
        <v>6.145833333333333</v>
      </c>
      <c r="BG195" s="25">
        <f t="shared" si="1"/>
        <v>2.9782608695652173</v>
      </c>
      <c r="BH195" s="25">
        <f t="shared" si="1"/>
        <v>1.8916666666666664</v>
      </c>
      <c r="BI195" s="25">
        <f t="shared" si="1"/>
        <v>3.0791666666666671</v>
      </c>
      <c r="BJ195" s="25">
        <f t="shared" si="1"/>
        <v>1.3958333333333337</v>
      </c>
      <c r="BK195" s="25">
        <f t="shared" si="1"/>
        <v>1.7958333333333334</v>
      </c>
      <c r="BL195" s="25">
        <f t="shared" si="1"/>
        <v>2.9166666666666674</v>
      </c>
      <c r="BM195" s="25">
        <f t="shared" si="1"/>
        <v>2.8374999999999999</v>
      </c>
      <c r="BN195" s="25">
        <f t="shared" ref="BN195:CK195" si="2">AVERAGE(BN2:BN25)</f>
        <v>3.3583333333333329</v>
      </c>
      <c r="BO195" s="25">
        <f t="shared" si="2"/>
        <v>3.8333333333333335</v>
      </c>
      <c r="BP195" s="25">
        <f t="shared" si="2"/>
        <v>2.0958333333333337</v>
      </c>
      <c r="BQ195" s="25">
        <f t="shared" si="2"/>
        <v>2.6083333333333329</v>
      </c>
      <c r="BR195" s="25">
        <f t="shared" si="2"/>
        <v>2.5416666666666665</v>
      </c>
      <c r="BS195" s="25">
        <f t="shared" si="2"/>
        <v>1.3291666666666668</v>
      </c>
      <c r="BT195" s="25">
        <f t="shared" si="2"/>
        <v>2.9624999999999999</v>
      </c>
      <c r="BU195" s="25">
        <f t="shared" si="2"/>
        <v>4.5125000000000002</v>
      </c>
      <c r="BV195" s="25">
        <f t="shared" si="2"/>
        <v>1.2249999999999999</v>
      </c>
      <c r="BW195" s="25">
        <f t="shared" si="2"/>
        <v>1.8208333333333335</v>
      </c>
      <c r="BX195" s="25">
        <f t="shared" si="2"/>
        <v>3.25</v>
      </c>
      <c r="BY195" s="25">
        <f t="shared" si="2"/>
        <v>4.6291666666666673</v>
      </c>
      <c r="BZ195" s="25">
        <f t="shared" si="2"/>
        <v>7.5000000000000009</v>
      </c>
      <c r="CA195" s="25">
        <f t="shared" si="2"/>
        <v>2.9125000000000001</v>
      </c>
      <c r="CB195" s="25">
        <f t="shared" si="2"/>
        <v>1.4166666666666667</v>
      </c>
      <c r="CC195" s="25">
        <f t="shared" si="2"/>
        <v>6.4333333333333327</v>
      </c>
      <c r="CD195" s="25">
        <f t="shared" si="2"/>
        <v>4.5458333333333334</v>
      </c>
      <c r="CE195" s="25">
        <f t="shared" si="2"/>
        <v>2.8833333333333342</v>
      </c>
      <c r="CF195" s="25">
        <f t="shared" si="2"/>
        <v>2.8916666666666662</v>
      </c>
      <c r="CG195" s="25">
        <f t="shared" si="2"/>
        <v>2.9</v>
      </c>
      <c r="CH195" s="25">
        <f t="shared" si="2"/>
        <v>4.8000000000000016</v>
      </c>
      <c r="CI195" s="25">
        <f t="shared" si="2"/>
        <v>1.9083333333333332</v>
      </c>
      <c r="CJ195" s="25">
        <f t="shared" si="2"/>
        <v>3.4791666666666674</v>
      </c>
      <c r="CK195" s="25">
        <f t="shared" si="2"/>
        <v>5.6375000000000002</v>
      </c>
    </row>
    <row r="196" spans="1:89" x14ac:dyDescent="0.25">
      <c r="A196" t="s">
        <v>203</v>
      </c>
      <c r="B196" s="25">
        <f t="shared" ref="B196:AG196" si="3">_xlfn.STDEV.S(B2:B25)</f>
        <v>0.92607164714841306</v>
      </c>
      <c r="C196" s="25">
        <f t="shared" si="3"/>
        <v>0.49490154195747277</v>
      </c>
      <c r="D196" s="25">
        <f t="shared" si="3"/>
        <v>0.41833001326703662</v>
      </c>
      <c r="E196" s="25">
        <f t="shared" si="3"/>
        <v>0.60251586063674833</v>
      </c>
      <c r="F196" s="25">
        <f t="shared" si="3"/>
        <v>0.94635073315601415</v>
      </c>
      <c r="G196" s="25">
        <f t="shared" si="3"/>
        <v>1.4946038203183285</v>
      </c>
      <c r="H196" s="25">
        <f t="shared" si="3"/>
        <v>0.71032754232910322</v>
      </c>
      <c r="I196" s="25">
        <f t="shared" si="3"/>
        <v>0.61982641328737864</v>
      </c>
      <c r="J196" s="25">
        <f t="shared" si="3"/>
        <v>0.69968937207256943</v>
      </c>
      <c r="K196" s="25">
        <f t="shared" si="3"/>
        <v>0.4478612621615411</v>
      </c>
      <c r="L196" s="25">
        <f t="shared" si="3"/>
        <v>1.8359878674096277</v>
      </c>
      <c r="M196" s="25">
        <f t="shared" si="3"/>
        <v>0.77086049697535974</v>
      </c>
      <c r="N196" s="25">
        <f t="shared" si="3"/>
        <v>0.54692818064404924</v>
      </c>
      <c r="O196" s="25">
        <f t="shared" si="3"/>
        <v>0.52908178595741306</v>
      </c>
      <c r="P196" s="25">
        <f t="shared" si="3"/>
        <v>1.4367271079118331</v>
      </c>
      <c r="Q196" s="25">
        <f t="shared" si="3"/>
        <v>2.7017305243282399</v>
      </c>
      <c r="R196" s="25">
        <f t="shared" si="3"/>
        <v>0.90132752334976918</v>
      </c>
      <c r="S196" s="25">
        <f t="shared" si="3"/>
        <v>0.52652470110106431</v>
      </c>
      <c r="T196" s="25">
        <f t="shared" si="3"/>
        <v>0.92782080666223821</v>
      </c>
      <c r="U196" s="25">
        <f t="shared" si="3"/>
        <v>1.0499741197638695</v>
      </c>
      <c r="V196" s="25">
        <f t="shared" si="3"/>
        <v>0.30072376462244504</v>
      </c>
      <c r="W196" s="25">
        <f t="shared" si="3"/>
        <v>1.0232089335708168</v>
      </c>
      <c r="X196" s="25">
        <f t="shared" si="3"/>
        <v>0.49956502819083182</v>
      </c>
      <c r="Y196" s="25">
        <f t="shared" si="3"/>
        <v>0.35590260840104421</v>
      </c>
      <c r="Z196" s="25">
        <f t="shared" si="3"/>
        <v>1.0742586376442869</v>
      </c>
      <c r="AA196" s="25">
        <f t="shared" si="3"/>
        <v>0.84024668565464744</v>
      </c>
      <c r="AB196" s="25">
        <f t="shared" si="3"/>
        <v>0.74813778472119363</v>
      </c>
      <c r="AC196" s="25">
        <f t="shared" si="3"/>
        <v>1.2218348639577328</v>
      </c>
      <c r="AD196" s="25">
        <f t="shared" si="3"/>
        <v>1.0639003985199986</v>
      </c>
      <c r="AE196" s="25">
        <f t="shared" si="3"/>
        <v>1.404798969578045</v>
      </c>
      <c r="AF196" s="25">
        <f t="shared" si="3"/>
        <v>0.95415756909781824</v>
      </c>
      <c r="AG196" s="25">
        <f t="shared" si="3"/>
        <v>0.82820523606379015</v>
      </c>
      <c r="AH196" s="25">
        <f t="shared" ref="AH196:BM196" si="4">_xlfn.STDEV.S(AH2:AH25)</f>
        <v>1.4631648742624193</v>
      </c>
      <c r="AI196" s="25">
        <f t="shared" si="4"/>
        <v>0.78931955652881092</v>
      </c>
      <c r="AJ196" s="25">
        <f t="shared" si="4"/>
        <v>1.6141359244526752</v>
      </c>
      <c r="AK196" s="25">
        <f t="shared" si="4"/>
        <v>0.43028470520834372</v>
      </c>
      <c r="AL196" s="25">
        <f t="shared" si="4"/>
        <v>1.9113884474646861</v>
      </c>
      <c r="AM196" s="25">
        <f t="shared" si="4"/>
        <v>1.7987868294967622</v>
      </c>
      <c r="AN196" s="25">
        <f t="shared" si="4"/>
        <v>1.4687074076463835</v>
      </c>
      <c r="AO196" s="25">
        <f t="shared" si="4"/>
        <v>2.3361021356965135</v>
      </c>
      <c r="AP196" s="25">
        <f t="shared" si="4"/>
        <v>1.4673191071879486</v>
      </c>
      <c r="AQ196" s="25">
        <f t="shared" si="4"/>
        <v>0.79835655468330458</v>
      </c>
      <c r="AR196" s="25">
        <f t="shared" si="4"/>
        <v>1.3362761907521277</v>
      </c>
      <c r="AS196" s="25">
        <f t="shared" si="4"/>
        <v>0.28539319431675009</v>
      </c>
      <c r="AT196" s="25">
        <f t="shared" si="4"/>
        <v>0.76551583442383664</v>
      </c>
      <c r="AU196" s="25">
        <f t="shared" si="4"/>
        <v>1.4554993166846804</v>
      </c>
      <c r="AV196" s="25">
        <f t="shared" si="4"/>
        <v>0.93063792987484451</v>
      </c>
      <c r="AW196" s="25">
        <f t="shared" si="4"/>
        <v>1.1947272443557191</v>
      </c>
      <c r="AX196" s="25">
        <f t="shared" si="4"/>
        <v>1.006068542915185</v>
      </c>
      <c r="AY196" s="25">
        <f t="shared" si="4"/>
        <v>0.53527302392790743</v>
      </c>
      <c r="AZ196" s="25">
        <f t="shared" si="4"/>
        <v>1.1880976756801278</v>
      </c>
      <c r="BA196" s="25">
        <f t="shared" si="4"/>
        <v>0.27263475593718317</v>
      </c>
      <c r="BB196" s="25">
        <f t="shared" si="4"/>
        <v>1.2215457064897246</v>
      </c>
      <c r="BC196" s="25">
        <f t="shared" si="4"/>
        <v>0.74219367369667266</v>
      </c>
      <c r="BD196" s="25">
        <f t="shared" si="4"/>
        <v>0.59695786756870328</v>
      </c>
      <c r="BE196" s="25">
        <f t="shared" si="4"/>
        <v>0.24013130466113874</v>
      </c>
      <c r="BF196" s="25">
        <f t="shared" si="4"/>
        <v>1.7788562927187028</v>
      </c>
      <c r="BG196" s="25">
        <f t="shared" si="4"/>
        <v>0.83826472372131411</v>
      </c>
      <c r="BH196" s="25">
        <f t="shared" si="4"/>
        <v>0.55082283640155183</v>
      </c>
      <c r="BI196" s="25">
        <f t="shared" si="4"/>
        <v>0.93342714331867127</v>
      </c>
      <c r="BJ196" s="25">
        <f t="shared" si="4"/>
        <v>0.32900266507003795</v>
      </c>
      <c r="BK196" s="25">
        <f t="shared" si="4"/>
        <v>0.38839599544197451</v>
      </c>
      <c r="BL196" s="25">
        <f t="shared" si="4"/>
        <v>0.58582284506247884</v>
      </c>
      <c r="BM196" s="25">
        <f t="shared" si="4"/>
        <v>0.93892283333430715</v>
      </c>
      <c r="BN196" s="25">
        <f t="shared" ref="BN196:CK196" si="5">_xlfn.STDEV.S(BN2:BN25)</f>
        <v>1.2863553727207506</v>
      </c>
      <c r="BO196" s="25">
        <f t="shared" si="5"/>
        <v>1.051155334016757</v>
      </c>
      <c r="BP196" s="25">
        <f t="shared" si="5"/>
        <v>0.57368311709564779</v>
      </c>
      <c r="BQ196" s="25">
        <f t="shared" si="5"/>
        <v>0.82615751033568574</v>
      </c>
      <c r="BR196" s="25">
        <f t="shared" si="5"/>
        <v>0.67817957520990313</v>
      </c>
      <c r="BS196" s="25">
        <f t="shared" si="5"/>
        <v>0.21564698743178751</v>
      </c>
      <c r="BT196" s="25">
        <f t="shared" si="5"/>
        <v>1.3887161728357784</v>
      </c>
      <c r="BU196" s="25">
        <f t="shared" si="5"/>
        <v>1.3482073443941254</v>
      </c>
      <c r="BV196" s="25">
        <f t="shared" si="5"/>
        <v>0.41624616462523506</v>
      </c>
      <c r="BW196" s="25">
        <f t="shared" si="5"/>
        <v>1.0790411067910841</v>
      </c>
      <c r="BX196" s="25">
        <f t="shared" si="5"/>
        <v>1.1617078881505918</v>
      </c>
      <c r="BY196" s="25">
        <f t="shared" si="5"/>
        <v>1.5886770998337663</v>
      </c>
      <c r="BZ196" s="25">
        <f t="shared" si="5"/>
        <v>2.957637409761213</v>
      </c>
      <c r="CA196" s="25">
        <f t="shared" si="5"/>
        <v>1.2563966764902113</v>
      </c>
      <c r="CB196" s="25">
        <f t="shared" si="5"/>
        <v>0.61337744012799444</v>
      </c>
      <c r="CC196" s="25">
        <f t="shared" si="5"/>
        <v>1.6833369206447679</v>
      </c>
      <c r="CD196" s="25">
        <f t="shared" si="5"/>
        <v>1.5511508116813513</v>
      </c>
      <c r="CE196" s="25">
        <f t="shared" si="5"/>
        <v>0.96082693852592138</v>
      </c>
      <c r="CF196" s="25">
        <f t="shared" si="5"/>
        <v>0.77230128535586506</v>
      </c>
      <c r="CG196" s="25">
        <f t="shared" si="5"/>
        <v>1.0986157297886885</v>
      </c>
      <c r="CH196" s="25">
        <f t="shared" si="5"/>
        <v>1.8308942932467371</v>
      </c>
      <c r="CI196" s="25">
        <f t="shared" si="5"/>
        <v>0.52743568877835878</v>
      </c>
      <c r="CJ196" s="25">
        <f t="shared" si="5"/>
        <v>0.89295755128997722</v>
      </c>
      <c r="CK196" s="25">
        <f t="shared" si="5"/>
        <v>3.0394239299720849</v>
      </c>
    </row>
    <row r="197" spans="1:89" x14ac:dyDescent="0.25">
      <c r="A197" t="s">
        <v>32</v>
      </c>
      <c r="B197" s="25">
        <f t="shared" ref="B197:AG197" si="6">MAX(B26:B97)</f>
        <v>1</v>
      </c>
      <c r="C197" s="25">
        <f t="shared" si="6"/>
        <v>0.7</v>
      </c>
      <c r="D197" s="25">
        <f t="shared" si="6"/>
        <v>0.7</v>
      </c>
      <c r="E197" s="25">
        <f t="shared" si="6"/>
        <v>0.24</v>
      </c>
      <c r="F197" s="25">
        <f t="shared" si="6"/>
        <v>0.59</v>
      </c>
      <c r="G197" s="25">
        <f t="shared" si="6"/>
        <v>0.88</v>
      </c>
      <c r="H197" s="25">
        <f t="shared" si="6"/>
        <v>0.62</v>
      </c>
      <c r="I197" s="25">
        <f t="shared" si="6"/>
        <v>0.5</v>
      </c>
      <c r="J197" s="25">
        <f t="shared" si="6"/>
        <v>0.44</v>
      </c>
      <c r="K197" s="25">
        <f t="shared" si="6"/>
        <v>0.52</v>
      </c>
      <c r="L197" s="25">
        <f t="shared" si="6"/>
        <v>1.5</v>
      </c>
      <c r="M197" s="25">
        <f t="shared" si="6"/>
        <v>0.72</v>
      </c>
      <c r="N197" s="25">
        <f t="shared" si="6"/>
        <v>0.68</v>
      </c>
      <c r="O197" s="25">
        <f t="shared" si="6"/>
        <v>0.56000000000000005</v>
      </c>
      <c r="P197" s="25">
        <f t="shared" si="6"/>
        <v>0.84</v>
      </c>
      <c r="Q197" s="25">
        <f t="shared" si="6"/>
        <v>1.5</v>
      </c>
      <c r="R197" s="25">
        <f t="shared" si="6"/>
        <v>0.62</v>
      </c>
      <c r="S197" s="25">
        <f t="shared" si="6"/>
        <v>0.7</v>
      </c>
      <c r="T197" s="25">
        <f t="shared" si="6"/>
        <v>0.76</v>
      </c>
      <c r="U197" s="25">
        <f t="shared" si="6"/>
        <v>0.66</v>
      </c>
      <c r="V197" s="25">
        <f t="shared" si="6"/>
        <v>0.36</v>
      </c>
      <c r="W197" s="25">
        <f t="shared" si="6"/>
        <v>0.8</v>
      </c>
      <c r="X197" s="25">
        <f t="shared" si="6"/>
        <v>0.5</v>
      </c>
      <c r="Y197" s="25">
        <f t="shared" si="6"/>
        <v>0.48</v>
      </c>
      <c r="Z197" s="25">
        <f t="shared" si="6"/>
        <v>0.68</v>
      </c>
      <c r="AA197" s="25">
        <f t="shared" si="6"/>
        <v>0.56000000000000005</v>
      </c>
      <c r="AB197" s="25">
        <f t="shared" si="6"/>
        <v>0.68</v>
      </c>
      <c r="AC197" s="25">
        <f t="shared" si="6"/>
        <v>0.84</v>
      </c>
      <c r="AD197" s="25">
        <f t="shared" si="6"/>
        <v>1.3</v>
      </c>
      <c r="AE197" s="25">
        <f t="shared" si="6"/>
        <v>0.8</v>
      </c>
      <c r="AF197" s="25">
        <f t="shared" si="6"/>
        <v>0.7</v>
      </c>
      <c r="AG197" s="25">
        <f t="shared" si="6"/>
        <v>0.62</v>
      </c>
      <c r="AH197" s="25">
        <f t="shared" ref="AH197:BM197" si="7">MAX(AH26:AH97)</f>
        <v>0.8</v>
      </c>
      <c r="AI197" s="25">
        <f t="shared" si="7"/>
        <v>0.64</v>
      </c>
      <c r="AJ197" s="25">
        <f t="shared" si="7"/>
        <v>0.78</v>
      </c>
      <c r="AK197" s="25">
        <f t="shared" si="7"/>
        <v>0.56000000000000005</v>
      </c>
      <c r="AL197" s="25">
        <f t="shared" si="7"/>
        <v>0.98</v>
      </c>
      <c r="AM197" s="25">
        <f t="shared" si="7"/>
        <v>1</v>
      </c>
      <c r="AN197" s="25">
        <f t="shared" si="7"/>
        <v>0.54</v>
      </c>
      <c r="AO197" s="25">
        <f t="shared" si="7"/>
        <v>0.8</v>
      </c>
      <c r="AP197" s="25">
        <f t="shared" si="7"/>
        <v>0.88</v>
      </c>
      <c r="AQ197" s="25">
        <f t="shared" si="7"/>
        <v>0.3</v>
      </c>
      <c r="AR197" s="25">
        <f t="shared" si="7"/>
        <v>0.78</v>
      </c>
      <c r="AS197" s="25">
        <f t="shared" si="7"/>
        <v>0.52</v>
      </c>
      <c r="AT197" s="25">
        <f t="shared" si="7"/>
        <v>0.82</v>
      </c>
      <c r="AU197" s="25">
        <f t="shared" si="7"/>
        <v>0.63</v>
      </c>
      <c r="AV197" s="25">
        <f t="shared" si="7"/>
        <v>0.48</v>
      </c>
      <c r="AW197" s="25">
        <f t="shared" si="7"/>
        <v>0.88</v>
      </c>
      <c r="AX197" s="25">
        <f t="shared" si="7"/>
        <v>0.5</v>
      </c>
      <c r="AY197" s="25">
        <f t="shared" si="7"/>
        <v>0.74</v>
      </c>
      <c r="AZ197" s="25">
        <f t="shared" si="7"/>
        <v>0.56000000000000005</v>
      </c>
      <c r="BA197" s="25">
        <f t="shared" si="7"/>
        <v>0.53</v>
      </c>
      <c r="BB197" s="25">
        <f t="shared" si="7"/>
        <v>0.42</v>
      </c>
      <c r="BC197" s="25">
        <f t="shared" si="7"/>
        <v>0.84</v>
      </c>
      <c r="BD197" s="25">
        <f t="shared" si="7"/>
        <v>0.86</v>
      </c>
      <c r="BE197" s="25">
        <f t="shared" si="7"/>
        <v>2</v>
      </c>
      <c r="BF197" s="25">
        <f t="shared" si="7"/>
        <v>0.62</v>
      </c>
      <c r="BG197" s="25">
        <f t="shared" si="7"/>
        <v>0.62</v>
      </c>
      <c r="BH197" s="25">
        <f t="shared" si="7"/>
        <v>0.4</v>
      </c>
      <c r="BI197" s="25">
        <f t="shared" si="7"/>
        <v>0.74</v>
      </c>
      <c r="BJ197" s="25">
        <f t="shared" si="7"/>
        <v>0.46</v>
      </c>
      <c r="BK197" s="25">
        <f t="shared" si="7"/>
        <v>0.32</v>
      </c>
      <c r="BL197" s="25">
        <f t="shared" si="7"/>
        <v>0.68</v>
      </c>
      <c r="BM197" s="25">
        <f t="shared" si="7"/>
        <v>0.62</v>
      </c>
      <c r="BN197" s="25">
        <f t="shared" ref="BN197:CK197" si="8">MAX(BN26:BN97)</f>
        <v>0.54</v>
      </c>
      <c r="BO197" s="25">
        <f t="shared" si="8"/>
        <v>1.08</v>
      </c>
      <c r="BP197" s="25">
        <f t="shared" si="8"/>
        <v>0.42</v>
      </c>
      <c r="BQ197" s="25">
        <f t="shared" si="8"/>
        <v>0.52</v>
      </c>
      <c r="BR197" s="25">
        <f t="shared" si="8"/>
        <v>0.3</v>
      </c>
      <c r="BS197" s="25">
        <f t="shared" si="8"/>
        <v>0.77</v>
      </c>
      <c r="BT197" s="25">
        <f t="shared" si="8"/>
        <v>0.56000000000000005</v>
      </c>
      <c r="BU197" s="25">
        <f t="shared" si="8"/>
        <v>0.57999999999999996</v>
      </c>
      <c r="BV197" s="25">
        <f t="shared" si="8"/>
        <v>0.6</v>
      </c>
      <c r="BW197" s="25">
        <f t="shared" si="8"/>
        <v>0.44</v>
      </c>
      <c r="BX197" s="25">
        <f t="shared" si="8"/>
        <v>0.69</v>
      </c>
      <c r="BY197" s="25">
        <f t="shared" si="8"/>
        <v>0.74</v>
      </c>
      <c r="BZ197" s="25">
        <f t="shared" si="8"/>
        <v>1.1000000000000001</v>
      </c>
      <c r="CA197" s="25">
        <f t="shared" si="8"/>
        <v>1.4</v>
      </c>
      <c r="CB197" s="25">
        <f t="shared" si="8"/>
        <v>0.5</v>
      </c>
      <c r="CC197" s="25">
        <f t="shared" si="8"/>
        <v>1</v>
      </c>
      <c r="CD197" s="25">
        <f t="shared" si="8"/>
        <v>0.92</v>
      </c>
      <c r="CE197" s="25">
        <f t="shared" si="8"/>
        <v>0.36</v>
      </c>
      <c r="CF197" s="25">
        <f t="shared" si="8"/>
        <v>0.4</v>
      </c>
      <c r="CG197" s="25">
        <f t="shared" si="8"/>
        <v>0.24</v>
      </c>
      <c r="CH197" s="25">
        <f t="shared" si="8"/>
        <v>0.72</v>
      </c>
      <c r="CI197" s="25">
        <f t="shared" si="8"/>
        <v>0.38</v>
      </c>
      <c r="CJ197" s="25">
        <f t="shared" si="8"/>
        <v>0.6</v>
      </c>
      <c r="CK197" s="25">
        <f t="shared" si="8"/>
        <v>1.08</v>
      </c>
    </row>
    <row r="198" spans="1:89" x14ac:dyDescent="0.25">
      <c r="A198" t="s">
        <v>194</v>
      </c>
      <c r="B198" s="25">
        <f>(1/45)*100</f>
        <v>2.2222222222222223</v>
      </c>
      <c r="C198" s="25">
        <v>0</v>
      </c>
      <c r="D198" s="25">
        <f>(D216/$D$222)*100</f>
        <v>1.3888888888888888</v>
      </c>
      <c r="E198" s="25">
        <f>(E216/$E$222)*100</f>
        <v>3.0303030303030303</v>
      </c>
      <c r="F198" s="25">
        <f>(F216/$F$222)*100</f>
        <v>0</v>
      </c>
      <c r="G198" s="25">
        <f>(G216/$G$222)*100</f>
        <v>0</v>
      </c>
      <c r="H198" s="25">
        <f>(H216/$H$222)*100</f>
        <v>8.695652173913043</v>
      </c>
      <c r="I198" s="25">
        <f>(I216/$I$222)*100</f>
        <v>0</v>
      </c>
      <c r="J198" s="25">
        <f>(J216/$J$222)*100</f>
        <v>0</v>
      </c>
      <c r="K198" s="25">
        <f>(K216/$K$222)*100</f>
        <v>0</v>
      </c>
      <c r="L198" s="25">
        <f>(L216/$L$222)*100</f>
        <v>0</v>
      </c>
      <c r="M198" s="25">
        <f t="shared" ref="M198:N200" si="9">(M216/M$222)*100</f>
        <v>0</v>
      </c>
      <c r="N198" s="25">
        <f t="shared" si="9"/>
        <v>0</v>
      </c>
      <c r="O198" s="25">
        <f t="shared" ref="O198:AQ198" si="10">(O216/O$222)*100</f>
        <v>0</v>
      </c>
      <c r="P198" s="25">
        <f t="shared" si="10"/>
        <v>0</v>
      </c>
      <c r="Q198" s="25">
        <f t="shared" si="10"/>
        <v>0</v>
      </c>
      <c r="R198" s="25">
        <f t="shared" si="10"/>
        <v>0</v>
      </c>
      <c r="S198" s="25">
        <f t="shared" si="10"/>
        <v>0</v>
      </c>
      <c r="T198" s="25">
        <f t="shared" si="10"/>
        <v>0</v>
      </c>
      <c r="U198" s="25">
        <f t="shared" si="10"/>
        <v>0</v>
      </c>
      <c r="V198" s="25">
        <f t="shared" si="10"/>
        <v>0</v>
      </c>
      <c r="W198" s="25">
        <f t="shared" si="10"/>
        <v>0</v>
      </c>
      <c r="X198" s="25">
        <f t="shared" si="10"/>
        <v>0</v>
      </c>
      <c r="Y198" s="25">
        <f t="shared" si="10"/>
        <v>0</v>
      </c>
      <c r="Z198" s="25">
        <f t="shared" si="10"/>
        <v>0</v>
      </c>
      <c r="AA198" s="25">
        <f t="shared" si="10"/>
        <v>3.3333333333333335</v>
      </c>
      <c r="AB198" s="25">
        <f t="shared" si="10"/>
        <v>0</v>
      </c>
      <c r="AC198" s="25">
        <f t="shared" si="10"/>
        <v>0</v>
      </c>
      <c r="AD198" s="25">
        <f t="shared" si="10"/>
        <v>0</v>
      </c>
      <c r="AE198" s="25">
        <f t="shared" si="10"/>
        <v>0</v>
      </c>
      <c r="AF198" s="25">
        <f t="shared" si="10"/>
        <v>0</v>
      </c>
      <c r="AG198" s="25">
        <f t="shared" si="10"/>
        <v>2.1739130434782608</v>
      </c>
      <c r="AH198" s="25">
        <f t="shared" si="10"/>
        <v>0</v>
      </c>
      <c r="AI198" s="25">
        <f t="shared" si="10"/>
        <v>8.1081081081081088</v>
      </c>
      <c r="AJ198" s="25">
        <f t="shared" si="10"/>
        <v>0</v>
      </c>
      <c r="AK198" s="25">
        <f t="shared" si="10"/>
        <v>0</v>
      </c>
      <c r="AL198" s="25">
        <f t="shared" si="10"/>
        <v>2.1739130434782608</v>
      </c>
      <c r="AM198" s="25">
        <f t="shared" si="10"/>
        <v>0</v>
      </c>
      <c r="AN198" s="25">
        <f t="shared" si="10"/>
        <v>2.5</v>
      </c>
      <c r="AO198" s="25">
        <f t="shared" si="10"/>
        <v>0</v>
      </c>
      <c r="AP198" s="25">
        <f t="shared" si="10"/>
        <v>0</v>
      </c>
      <c r="AQ198" s="25">
        <f t="shared" si="10"/>
        <v>0</v>
      </c>
      <c r="AR198" s="25">
        <f>(AR216/$AR$222)*100</f>
        <v>0</v>
      </c>
      <c r="AS198" s="25">
        <f t="shared" ref="AS198:CK198" si="11">(AS216/AS$222)*100</f>
        <v>0</v>
      </c>
      <c r="AT198" s="25">
        <f t="shared" si="11"/>
        <v>0</v>
      </c>
      <c r="AU198" s="25">
        <f t="shared" si="11"/>
        <v>3.7037037037037033</v>
      </c>
      <c r="AV198" s="25">
        <f t="shared" si="11"/>
        <v>0</v>
      </c>
      <c r="AW198" s="25">
        <f t="shared" si="11"/>
        <v>0</v>
      </c>
      <c r="AX198" s="25">
        <f t="shared" si="11"/>
        <v>0</v>
      </c>
      <c r="AY198" s="25">
        <f t="shared" si="11"/>
        <v>0</v>
      </c>
      <c r="AZ198" s="25">
        <f t="shared" si="11"/>
        <v>0</v>
      </c>
      <c r="BA198" s="25">
        <f t="shared" si="11"/>
        <v>0</v>
      </c>
      <c r="BB198" s="25">
        <f t="shared" si="11"/>
        <v>0</v>
      </c>
      <c r="BC198" s="25">
        <f t="shared" si="11"/>
        <v>0</v>
      </c>
      <c r="BD198" s="25">
        <f t="shared" si="11"/>
        <v>7.1428571428571423</v>
      </c>
      <c r="BE198" s="25">
        <f t="shared" si="11"/>
        <v>0</v>
      </c>
      <c r="BF198" s="25">
        <f t="shared" si="11"/>
        <v>0</v>
      </c>
      <c r="BG198" s="25">
        <f t="shared" si="11"/>
        <v>2.9411764705882351</v>
      </c>
      <c r="BH198" s="25">
        <f t="shared" si="11"/>
        <v>0</v>
      </c>
      <c r="BI198" s="25">
        <f t="shared" si="11"/>
        <v>0</v>
      </c>
      <c r="BJ198" s="25">
        <f t="shared" si="11"/>
        <v>0</v>
      </c>
      <c r="BK198" s="25">
        <f t="shared" si="11"/>
        <v>0</v>
      </c>
      <c r="BL198" s="25">
        <f t="shared" si="11"/>
        <v>0</v>
      </c>
      <c r="BM198" s="25">
        <f t="shared" si="11"/>
        <v>3.225806451612903</v>
      </c>
      <c r="BN198" s="25">
        <f t="shared" si="11"/>
        <v>0</v>
      </c>
      <c r="BO198" s="25">
        <f t="shared" si="11"/>
        <v>0</v>
      </c>
      <c r="BP198" s="25">
        <f t="shared" si="11"/>
        <v>6.8965517241379306</v>
      </c>
      <c r="BQ198" s="25">
        <f t="shared" si="11"/>
        <v>0</v>
      </c>
      <c r="BR198" s="25">
        <f t="shared" si="11"/>
        <v>0</v>
      </c>
      <c r="BS198" s="25">
        <f t="shared" si="11"/>
        <v>0</v>
      </c>
      <c r="BT198" s="25">
        <f t="shared" si="11"/>
        <v>0</v>
      </c>
      <c r="BU198" s="25">
        <f t="shared" si="11"/>
        <v>2.2727272727272729</v>
      </c>
      <c r="BV198" s="25">
        <f t="shared" si="11"/>
        <v>0</v>
      </c>
      <c r="BW198" s="25">
        <f t="shared" si="11"/>
        <v>0</v>
      </c>
      <c r="BX198" s="25">
        <f t="shared" si="11"/>
        <v>0</v>
      </c>
      <c r="BY198" s="25">
        <f t="shared" si="11"/>
        <v>0</v>
      </c>
      <c r="BZ198" s="25">
        <f t="shared" si="11"/>
        <v>2.2222222222222223</v>
      </c>
      <c r="CA198" s="25">
        <f t="shared" si="11"/>
        <v>0</v>
      </c>
      <c r="CB198" s="25">
        <f t="shared" si="11"/>
        <v>0</v>
      </c>
      <c r="CC198" s="25">
        <f t="shared" si="11"/>
        <v>8.5106382978723403</v>
      </c>
      <c r="CD198" s="25">
        <f t="shared" si="11"/>
        <v>0</v>
      </c>
      <c r="CE198" s="25">
        <f t="shared" si="11"/>
        <v>5.5555555555555554</v>
      </c>
      <c r="CF198" s="25">
        <f t="shared" si="11"/>
        <v>0</v>
      </c>
      <c r="CG198" s="25">
        <f t="shared" si="11"/>
        <v>0</v>
      </c>
      <c r="CH198" s="25">
        <f t="shared" si="11"/>
        <v>0</v>
      </c>
      <c r="CI198" s="25">
        <f t="shared" si="11"/>
        <v>2.9411764705882351</v>
      </c>
      <c r="CJ198" s="25">
        <f t="shared" si="11"/>
        <v>2.5</v>
      </c>
      <c r="CK198" s="25">
        <f t="shared" si="11"/>
        <v>2.1739130434782608</v>
      </c>
    </row>
    <row r="199" spans="1:89" x14ac:dyDescent="0.25">
      <c r="A199" t="s">
        <v>200</v>
      </c>
      <c r="B199" s="25">
        <f>(12/45)*100</f>
        <v>26.666666666666668</v>
      </c>
      <c r="C199" s="25">
        <f>(4/57)*100</f>
        <v>7.0175438596491224</v>
      </c>
      <c r="D199" s="25">
        <f t="shared" ref="D199:D200" si="12">(D217/$D$222)*100</f>
        <v>55.555555555555557</v>
      </c>
      <c r="E199" s="25">
        <f>(E217/$E$222)*100</f>
        <v>9.0909090909090917</v>
      </c>
      <c r="F199" s="25">
        <f>(F217/$F$222)*100</f>
        <v>27.659574468085108</v>
      </c>
      <c r="G199" s="25">
        <f>(G217/$G$222)*100</f>
        <v>37.5</v>
      </c>
      <c r="H199" s="25">
        <f>(H217/$H$222)*100</f>
        <v>4.3478260869565215</v>
      </c>
      <c r="I199" s="25">
        <f>(I217/$I$222)*100</f>
        <v>61.111111111111114</v>
      </c>
      <c r="J199" s="25">
        <f>(J217/$J$222)*100</f>
        <v>47.916666666666671</v>
      </c>
      <c r="K199" s="25">
        <f>(K217/$K$222)*100</f>
        <v>22.58064516129032</v>
      </c>
      <c r="L199" s="25">
        <f>(L217/$L$222)*100</f>
        <v>20.833333333333336</v>
      </c>
      <c r="M199" s="25">
        <f t="shared" si="9"/>
        <v>29.166666666666668</v>
      </c>
      <c r="N199" s="25">
        <f t="shared" si="9"/>
        <v>19.230769230769234</v>
      </c>
      <c r="O199" s="25">
        <f t="shared" ref="O199:AQ199" si="13">(O217/O$222)*100</f>
        <v>16.666666666666664</v>
      </c>
      <c r="P199" s="25">
        <f t="shared" si="13"/>
        <v>8.5714285714285712</v>
      </c>
      <c r="Q199" s="25">
        <f t="shared" si="13"/>
        <v>13.636363636363635</v>
      </c>
      <c r="R199" s="25">
        <f t="shared" si="13"/>
        <v>11.76470588235294</v>
      </c>
      <c r="S199" s="25">
        <f t="shared" si="13"/>
        <v>43.243243243243242</v>
      </c>
      <c r="T199" s="25">
        <f t="shared" si="13"/>
        <v>60</v>
      </c>
      <c r="U199" s="25">
        <f t="shared" si="13"/>
        <v>11.111111111111111</v>
      </c>
      <c r="V199" s="25">
        <f t="shared" si="13"/>
        <v>54.166666666666664</v>
      </c>
      <c r="W199" s="25">
        <f t="shared" si="13"/>
        <v>16.666666666666664</v>
      </c>
      <c r="X199" s="25">
        <f t="shared" si="13"/>
        <v>20.833333333333336</v>
      </c>
      <c r="Y199" s="25">
        <f t="shared" si="13"/>
        <v>65.714285714285708</v>
      </c>
      <c r="Z199" s="25">
        <f t="shared" si="13"/>
        <v>0</v>
      </c>
      <c r="AA199" s="25">
        <f t="shared" si="13"/>
        <v>0</v>
      </c>
      <c r="AB199" s="25">
        <f t="shared" si="13"/>
        <v>14.814814814814813</v>
      </c>
      <c r="AC199" s="25">
        <f t="shared" si="13"/>
        <v>19.148936170212767</v>
      </c>
      <c r="AD199" s="25">
        <f t="shared" si="13"/>
        <v>8.1081081081081088</v>
      </c>
      <c r="AE199" s="25">
        <f t="shared" si="13"/>
        <v>0</v>
      </c>
      <c r="AF199" s="25">
        <f t="shared" si="13"/>
        <v>12.195121951219512</v>
      </c>
      <c r="AG199" s="25">
        <f t="shared" si="13"/>
        <v>10.869565217391305</v>
      </c>
      <c r="AH199" s="25">
        <f t="shared" si="13"/>
        <v>2.2727272727272729</v>
      </c>
      <c r="AI199" s="25">
        <f t="shared" si="13"/>
        <v>62.162162162162161</v>
      </c>
      <c r="AJ199" s="25">
        <f t="shared" si="13"/>
        <v>45.945945945945951</v>
      </c>
      <c r="AK199" s="25">
        <f t="shared" si="13"/>
        <v>76.666666666666671</v>
      </c>
      <c r="AL199" s="25">
        <f t="shared" si="13"/>
        <v>30.434782608695656</v>
      </c>
      <c r="AM199" s="25">
        <f t="shared" si="13"/>
        <v>2.7027027027027026</v>
      </c>
      <c r="AN199" s="25">
        <f t="shared" si="13"/>
        <v>5</v>
      </c>
      <c r="AO199" s="25">
        <f t="shared" si="13"/>
        <v>45.833333333333329</v>
      </c>
      <c r="AP199" s="25">
        <f t="shared" si="13"/>
        <v>8.8888888888888893</v>
      </c>
      <c r="AQ199" s="25">
        <f t="shared" si="13"/>
        <v>33.333333333333329</v>
      </c>
      <c r="AR199" s="25">
        <f>(AR217/$AR$222)*100</f>
        <v>43.75</v>
      </c>
      <c r="AS199" s="25">
        <f t="shared" ref="AS199:CK199" si="14">(AS217/AS$222)*100</f>
        <v>15.789473684210526</v>
      </c>
      <c r="AT199" s="25">
        <f t="shared" si="14"/>
        <v>78.125</v>
      </c>
      <c r="AU199" s="25">
        <f t="shared" si="14"/>
        <v>0</v>
      </c>
      <c r="AV199" s="25">
        <f t="shared" si="14"/>
        <v>9.0909090909090917</v>
      </c>
      <c r="AW199" s="25">
        <f t="shared" si="14"/>
        <v>20.833333333333336</v>
      </c>
      <c r="AX199" s="25">
        <f t="shared" si="14"/>
        <v>11.428571428571429</v>
      </c>
      <c r="AY199" s="25">
        <f t="shared" si="14"/>
        <v>28.000000000000004</v>
      </c>
      <c r="AZ199" s="25">
        <f t="shared" si="14"/>
        <v>13.043478260869565</v>
      </c>
      <c r="BA199" s="25">
        <f t="shared" si="14"/>
        <v>12.5</v>
      </c>
      <c r="BB199" s="25">
        <f t="shared" si="14"/>
        <v>20.689655172413794</v>
      </c>
      <c r="BC199" s="25">
        <f t="shared" si="14"/>
        <v>4.3478260869565215</v>
      </c>
      <c r="BD199" s="25">
        <f t="shared" si="14"/>
        <v>3.5714285714285712</v>
      </c>
      <c r="BE199" s="25">
        <f t="shared" si="14"/>
        <v>100</v>
      </c>
      <c r="BF199" s="25">
        <f t="shared" si="14"/>
        <v>4.5454545454545459</v>
      </c>
      <c r="BG199" s="25">
        <f t="shared" si="14"/>
        <v>5.8823529411764701</v>
      </c>
      <c r="BH199" s="25">
        <f t="shared" si="14"/>
        <v>11.538461538461538</v>
      </c>
      <c r="BI199" s="25">
        <f t="shared" si="14"/>
        <v>0</v>
      </c>
      <c r="BJ199" s="25">
        <f t="shared" si="14"/>
        <v>29.166666666666668</v>
      </c>
      <c r="BK199" s="25">
        <f t="shared" si="14"/>
        <v>2.7777777777777777</v>
      </c>
      <c r="BL199" s="25">
        <f t="shared" si="14"/>
        <v>29.629629629629626</v>
      </c>
      <c r="BM199" s="25">
        <f t="shared" si="14"/>
        <v>3.225806451612903</v>
      </c>
      <c r="BN199" s="25">
        <f t="shared" si="14"/>
        <v>32.352941176470587</v>
      </c>
      <c r="BO199" s="25">
        <f t="shared" si="14"/>
        <v>4.5454545454545459</v>
      </c>
      <c r="BP199" s="25">
        <f t="shared" si="14"/>
        <v>3.4482758620689653</v>
      </c>
      <c r="BQ199" s="25">
        <f t="shared" si="14"/>
        <v>5.5555555555555554</v>
      </c>
      <c r="BR199" s="25">
        <f t="shared" si="14"/>
        <v>0</v>
      </c>
      <c r="BS199" s="25">
        <f t="shared" si="14"/>
        <v>24</v>
      </c>
      <c r="BT199" s="25">
        <f t="shared" si="14"/>
        <v>65.957446808510639</v>
      </c>
      <c r="BU199" s="25">
        <f t="shared" si="14"/>
        <v>18.181818181818183</v>
      </c>
      <c r="BV199" s="25">
        <f t="shared" si="14"/>
        <v>4</v>
      </c>
      <c r="BW199" s="25">
        <f t="shared" si="14"/>
        <v>12</v>
      </c>
      <c r="BX199" s="25">
        <f t="shared" si="14"/>
        <v>10.810810810810811</v>
      </c>
      <c r="BY199" s="25">
        <f t="shared" si="14"/>
        <v>2.7777777777777777</v>
      </c>
      <c r="BZ199" s="25">
        <f t="shared" si="14"/>
        <v>6.666666666666667</v>
      </c>
      <c r="CA199" s="25">
        <f t="shared" si="14"/>
        <v>31.578947368421051</v>
      </c>
      <c r="CB199" s="25">
        <f t="shared" si="14"/>
        <v>45.833333333333329</v>
      </c>
      <c r="CC199" s="25">
        <f t="shared" si="14"/>
        <v>0</v>
      </c>
      <c r="CD199" s="25">
        <f t="shared" si="14"/>
        <v>25</v>
      </c>
      <c r="CE199" s="25">
        <f t="shared" si="14"/>
        <v>13.888888888888889</v>
      </c>
      <c r="CF199" s="25">
        <f t="shared" si="14"/>
        <v>9.375</v>
      </c>
      <c r="CG199" s="25">
        <f t="shared" si="14"/>
        <v>11.111111111111111</v>
      </c>
      <c r="CH199" s="25">
        <f t="shared" si="14"/>
        <v>9.5238095238095237</v>
      </c>
      <c r="CI199" s="25">
        <f t="shared" si="14"/>
        <v>50</v>
      </c>
      <c r="CJ199" s="25">
        <f t="shared" si="14"/>
        <v>5</v>
      </c>
      <c r="CK199" s="25">
        <f t="shared" si="14"/>
        <v>8.695652173913043</v>
      </c>
    </row>
    <row r="200" spans="1:89" x14ac:dyDescent="0.25">
      <c r="A200" t="s">
        <v>199</v>
      </c>
      <c r="B200" s="25">
        <f>(11/45)*100</f>
        <v>24.444444444444443</v>
      </c>
      <c r="C200" s="25">
        <f>(14/57)*100</f>
        <v>24.561403508771928</v>
      </c>
      <c r="D200" s="25">
        <f t="shared" si="12"/>
        <v>13.888888888888889</v>
      </c>
      <c r="E200" s="25">
        <f>(E218/$E$222)*100</f>
        <v>0</v>
      </c>
      <c r="F200" s="25">
        <f>(F218/$F$222)*100</f>
        <v>0</v>
      </c>
      <c r="G200" s="25">
        <f>(G218/$G$222)*100</f>
        <v>6.25</v>
      </c>
      <c r="H200" s="25">
        <f>(H218/$H$222)*100</f>
        <v>34.782608695652172</v>
      </c>
      <c r="I200" s="25">
        <f>(I218/$I$222)*100</f>
        <v>0</v>
      </c>
      <c r="J200" s="25">
        <f>(J218/$J$222)*100</f>
        <v>2.083333333333333</v>
      </c>
      <c r="K200" s="25">
        <f>(K218/$K$222)*100</f>
        <v>9.67741935483871</v>
      </c>
      <c r="L200" s="25">
        <f>(L218/$L$222)*100</f>
        <v>0</v>
      </c>
      <c r="M200" s="25">
        <f t="shared" si="9"/>
        <v>4.1666666666666661</v>
      </c>
      <c r="N200" s="25">
        <f t="shared" si="9"/>
        <v>0</v>
      </c>
      <c r="O200" s="25">
        <f t="shared" ref="O200:AQ200" si="15">(O218/O$222)*100</f>
        <v>0</v>
      </c>
      <c r="P200" s="25">
        <f t="shared" si="15"/>
        <v>5.7142857142857144</v>
      </c>
      <c r="Q200" s="25">
        <f t="shared" si="15"/>
        <v>0</v>
      </c>
      <c r="R200" s="25">
        <f t="shared" si="15"/>
        <v>47.058823529411761</v>
      </c>
      <c r="S200" s="25">
        <f t="shared" si="15"/>
        <v>0</v>
      </c>
      <c r="T200" s="25">
        <f t="shared" si="15"/>
        <v>0</v>
      </c>
      <c r="U200" s="25">
        <f t="shared" si="15"/>
        <v>0</v>
      </c>
      <c r="V200" s="25">
        <f t="shared" si="15"/>
        <v>20.833333333333336</v>
      </c>
      <c r="W200" s="25">
        <f t="shared" si="15"/>
        <v>0</v>
      </c>
      <c r="X200" s="25">
        <f t="shared" si="15"/>
        <v>0</v>
      </c>
      <c r="Y200" s="25">
        <f t="shared" si="15"/>
        <v>17.142857142857142</v>
      </c>
      <c r="Z200" s="25">
        <f t="shared" si="15"/>
        <v>0</v>
      </c>
      <c r="AA200" s="25">
        <f t="shared" si="15"/>
        <v>6.666666666666667</v>
      </c>
      <c r="AB200" s="25">
        <f t="shared" si="15"/>
        <v>7.4074074074074066</v>
      </c>
      <c r="AC200" s="25">
        <f t="shared" si="15"/>
        <v>2.1276595744680851</v>
      </c>
      <c r="AD200" s="25">
        <f t="shared" si="15"/>
        <v>2.7027027027027026</v>
      </c>
      <c r="AE200" s="25">
        <f t="shared" si="15"/>
        <v>0</v>
      </c>
      <c r="AF200" s="25">
        <f t="shared" si="15"/>
        <v>9.7560975609756095</v>
      </c>
      <c r="AG200" s="25">
        <f t="shared" si="15"/>
        <v>8.695652173913043</v>
      </c>
      <c r="AH200" s="25">
        <f t="shared" si="15"/>
        <v>4.5454545454545459</v>
      </c>
      <c r="AI200" s="25">
        <f t="shared" si="15"/>
        <v>13.513513513513514</v>
      </c>
      <c r="AJ200" s="25">
        <f t="shared" si="15"/>
        <v>0</v>
      </c>
      <c r="AK200" s="25">
        <f t="shared" si="15"/>
        <v>0</v>
      </c>
      <c r="AL200" s="25">
        <f t="shared" si="15"/>
        <v>0</v>
      </c>
      <c r="AM200" s="25">
        <f t="shared" si="15"/>
        <v>0</v>
      </c>
      <c r="AN200" s="25">
        <f t="shared" si="15"/>
        <v>7.5</v>
      </c>
      <c r="AO200" s="25">
        <f t="shared" si="15"/>
        <v>0</v>
      </c>
      <c r="AP200" s="25">
        <f t="shared" si="15"/>
        <v>0</v>
      </c>
      <c r="AQ200" s="25">
        <f t="shared" si="15"/>
        <v>0</v>
      </c>
      <c r="AR200" s="25">
        <f>(AR218/$AR$222)*100</f>
        <v>18.75</v>
      </c>
      <c r="AS200" s="25">
        <f t="shared" ref="AS200:CK200" si="16">(AS218/AS$222)*100</f>
        <v>2.6315789473684208</v>
      </c>
      <c r="AT200" s="25">
        <f t="shared" si="16"/>
        <v>3.125</v>
      </c>
      <c r="AU200" s="25">
        <f t="shared" si="16"/>
        <v>0</v>
      </c>
      <c r="AV200" s="25">
        <f t="shared" si="16"/>
        <v>3.0303030303030303</v>
      </c>
      <c r="AW200" s="25">
        <f t="shared" si="16"/>
        <v>4.1666666666666661</v>
      </c>
      <c r="AX200" s="25">
        <f t="shared" si="16"/>
        <v>0</v>
      </c>
      <c r="AY200" s="25">
        <f t="shared" si="16"/>
        <v>0</v>
      </c>
      <c r="AZ200" s="25">
        <f t="shared" si="16"/>
        <v>0</v>
      </c>
      <c r="BA200" s="25">
        <f t="shared" si="16"/>
        <v>0</v>
      </c>
      <c r="BB200" s="25">
        <f t="shared" si="16"/>
        <v>0</v>
      </c>
      <c r="BC200" s="25">
        <f t="shared" si="16"/>
        <v>0</v>
      </c>
      <c r="BD200" s="25">
        <f t="shared" si="16"/>
        <v>0</v>
      </c>
      <c r="BE200" s="25">
        <f t="shared" si="16"/>
        <v>0</v>
      </c>
      <c r="BF200" s="25">
        <f t="shared" si="16"/>
        <v>0</v>
      </c>
      <c r="BG200" s="25">
        <f t="shared" si="16"/>
        <v>0</v>
      </c>
      <c r="BH200" s="25">
        <f t="shared" si="16"/>
        <v>0</v>
      </c>
      <c r="BI200" s="25">
        <f t="shared" si="16"/>
        <v>0</v>
      </c>
      <c r="BJ200" s="25">
        <f t="shared" si="16"/>
        <v>8.3333333333333321</v>
      </c>
      <c r="BK200" s="25">
        <f t="shared" si="16"/>
        <v>0</v>
      </c>
      <c r="BL200" s="25">
        <f t="shared" si="16"/>
        <v>0</v>
      </c>
      <c r="BM200" s="25">
        <f t="shared" si="16"/>
        <v>0</v>
      </c>
      <c r="BN200" s="25">
        <f t="shared" si="16"/>
        <v>0</v>
      </c>
      <c r="BO200" s="25">
        <f t="shared" si="16"/>
        <v>2.2727272727272729</v>
      </c>
      <c r="BP200" s="25">
        <f t="shared" si="16"/>
        <v>10.344827586206897</v>
      </c>
      <c r="BQ200" s="25">
        <f t="shared" si="16"/>
        <v>8.3333333333333321</v>
      </c>
      <c r="BR200" s="25">
        <f t="shared" si="16"/>
        <v>0</v>
      </c>
      <c r="BS200" s="25">
        <f t="shared" si="16"/>
        <v>0</v>
      </c>
      <c r="BT200" s="25">
        <f t="shared" si="16"/>
        <v>25.531914893617021</v>
      </c>
      <c r="BU200" s="25">
        <f t="shared" si="16"/>
        <v>29.545454545454547</v>
      </c>
      <c r="BV200" s="25">
        <f t="shared" si="16"/>
        <v>4</v>
      </c>
      <c r="BW200" s="25">
        <f t="shared" si="16"/>
        <v>8</v>
      </c>
      <c r="BX200" s="25">
        <f t="shared" si="16"/>
        <v>0</v>
      </c>
      <c r="BY200" s="25">
        <f t="shared" si="16"/>
        <v>22.222222222222221</v>
      </c>
      <c r="BZ200" s="25">
        <f t="shared" si="16"/>
        <v>8.8888888888888893</v>
      </c>
      <c r="CA200" s="25">
        <f t="shared" si="16"/>
        <v>2.6315789473684208</v>
      </c>
      <c r="CB200" s="25">
        <f t="shared" si="16"/>
        <v>0</v>
      </c>
      <c r="CC200" s="25">
        <f t="shared" si="16"/>
        <v>4.2553191489361701</v>
      </c>
      <c r="CD200" s="25">
        <f t="shared" si="16"/>
        <v>0</v>
      </c>
      <c r="CE200" s="25">
        <f t="shared" si="16"/>
        <v>0</v>
      </c>
      <c r="CF200" s="25">
        <f t="shared" si="16"/>
        <v>3.125</v>
      </c>
      <c r="CG200" s="25">
        <f t="shared" si="16"/>
        <v>11.111111111111111</v>
      </c>
      <c r="CH200" s="25">
        <f t="shared" si="16"/>
        <v>7.1428571428571423</v>
      </c>
      <c r="CI200" s="25">
        <f t="shared" si="16"/>
        <v>8.8235294117647065</v>
      </c>
      <c r="CJ200" s="25">
        <f t="shared" si="16"/>
        <v>0</v>
      </c>
      <c r="CK200" s="25">
        <f t="shared" si="16"/>
        <v>8.695652173913043</v>
      </c>
    </row>
    <row r="201" spans="1:89" x14ac:dyDescent="0.25">
      <c r="A201" t="s">
        <v>202</v>
      </c>
      <c r="B201" s="25">
        <f t="shared" ref="B201:N201" si="17">SUM(B198:B200)</f>
        <v>53.333333333333329</v>
      </c>
      <c r="C201" s="25">
        <f t="shared" si="17"/>
        <v>31.578947368421051</v>
      </c>
      <c r="D201" s="25">
        <f t="shared" si="17"/>
        <v>70.833333333333329</v>
      </c>
      <c r="E201" s="25">
        <f t="shared" si="17"/>
        <v>12.121212121212121</v>
      </c>
      <c r="F201" s="25">
        <f t="shared" si="17"/>
        <v>27.659574468085108</v>
      </c>
      <c r="G201" s="25">
        <f t="shared" si="17"/>
        <v>43.75</v>
      </c>
      <c r="H201" s="25">
        <f t="shared" si="17"/>
        <v>47.826086956521735</v>
      </c>
      <c r="I201" s="25">
        <f t="shared" si="17"/>
        <v>61.111111111111114</v>
      </c>
      <c r="J201" s="25">
        <f t="shared" si="17"/>
        <v>50.000000000000007</v>
      </c>
      <c r="K201" s="25">
        <f t="shared" si="17"/>
        <v>32.258064516129032</v>
      </c>
      <c r="L201" s="25">
        <f t="shared" si="17"/>
        <v>20.833333333333336</v>
      </c>
      <c r="M201" s="25">
        <f t="shared" si="17"/>
        <v>33.333333333333336</v>
      </c>
      <c r="N201" s="25">
        <f t="shared" si="17"/>
        <v>19.230769230769234</v>
      </c>
      <c r="O201" s="25">
        <f t="shared" ref="O201:AQ201" si="18">SUM(O198:O200)</f>
        <v>16.666666666666664</v>
      </c>
      <c r="P201" s="25">
        <f t="shared" si="18"/>
        <v>14.285714285714285</v>
      </c>
      <c r="Q201" s="25">
        <f t="shared" si="18"/>
        <v>13.636363636363635</v>
      </c>
      <c r="R201" s="25">
        <f t="shared" si="18"/>
        <v>58.823529411764703</v>
      </c>
      <c r="S201" s="25">
        <f t="shared" si="18"/>
        <v>43.243243243243242</v>
      </c>
      <c r="T201" s="25">
        <f t="shared" si="18"/>
        <v>60</v>
      </c>
      <c r="U201" s="25">
        <f t="shared" si="18"/>
        <v>11.111111111111111</v>
      </c>
      <c r="V201" s="25">
        <f t="shared" si="18"/>
        <v>75</v>
      </c>
      <c r="W201" s="25">
        <f t="shared" si="18"/>
        <v>16.666666666666664</v>
      </c>
      <c r="X201" s="25">
        <f t="shared" si="18"/>
        <v>20.833333333333336</v>
      </c>
      <c r="Y201" s="25">
        <f t="shared" si="18"/>
        <v>82.857142857142847</v>
      </c>
      <c r="Z201" s="25">
        <f t="shared" si="18"/>
        <v>0</v>
      </c>
      <c r="AA201" s="25">
        <f t="shared" si="18"/>
        <v>10</v>
      </c>
      <c r="AB201" s="25">
        <f t="shared" si="18"/>
        <v>22.222222222222221</v>
      </c>
      <c r="AC201" s="25">
        <f t="shared" si="18"/>
        <v>21.276595744680854</v>
      </c>
      <c r="AD201" s="25">
        <f t="shared" si="18"/>
        <v>10.810810810810811</v>
      </c>
      <c r="AE201" s="25">
        <f t="shared" si="18"/>
        <v>0</v>
      </c>
      <c r="AF201" s="25">
        <f t="shared" si="18"/>
        <v>21.951219512195124</v>
      </c>
      <c r="AG201" s="25">
        <f t="shared" si="18"/>
        <v>21.739130434782609</v>
      </c>
      <c r="AH201" s="25">
        <f t="shared" si="18"/>
        <v>6.8181818181818183</v>
      </c>
      <c r="AI201" s="25">
        <f t="shared" si="18"/>
        <v>83.78378378378379</v>
      </c>
      <c r="AJ201" s="25">
        <f t="shared" si="18"/>
        <v>45.945945945945951</v>
      </c>
      <c r="AK201" s="25">
        <f t="shared" si="18"/>
        <v>76.666666666666671</v>
      </c>
      <c r="AL201" s="25">
        <f t="shared" si="18"/>
        <v>32.608695652173914</v>
      </c>
      <c r="AM201" s="25">
        <f t="shared" si="18"/>
        <v>2.7027027027027026</v>
      </c>
      <c r="AN201" s="25">
        <f t="shared" si="18"/>
        <v>15</v>
      </c>
      <c r="AO201" s="25">
        <f t="shared" si="18"/>
        <v>45.833333333333329</v>
      </c>
      <c r="AP201" s="25">
        <f t="shared" si="18"/>
        <v>8.8888888888888893</v>
      </c>
      <c r="AQ201" s="25">
        <f t="shared" si="18"/>
        <v>33.333333333333329</v>
      </c>
      <c r="AR201" s="25">
        <f>SUM(AR198:AR200)</f>
        <v>62.5</v>
      </c>
      <c r="AS201" s="25">
        <f t="shared" ref="AS201:CK201" si="19">SUM(AS198:AS200)</f>
        <v>18.421052631578945</v>
      </c>
      <c r="AT201" s="25">
        <f t="shared" si="19"/>
        <v>81.25</v>
      </c>
      <c r="AU201" s="25">
        <f t="shared" si="19"/>
        <v>3.7037037037037033</v>
      </c>
      <c r="AV201" s="25">
        <f t="shared" si="19"/>
        <v>12.121212121212121</v>
      </c>
      <c r="AW201" s="25">
        <f t="shared" si="19"/>
        <v>25</v>
      </c>
      <c r="AX201" s="25">
        <f t="shared" si="19"/>
        <v>11.428571428571429</v>
      </c>
      <c r="AY201" s="25">
        <f t="shared" si="19"/>
        <v>28.000000000000004</v>
      </c>
      <c r="AZ201" s="25">
        <f t="shared" si="19"/>
        <v>13.043478260869565</v>
      </c>
      <c r="BA201" s="25">
        <f t="shared" si="19"/>
        <v>12.5</v>
      </c>
      <c r="BB201" s="25">
        <f t="shared" si="19"/>
        <v>20.689655172413794</v>
      </c>
      <c r="BC201" s="25">
        <f t="shared" si="19"/>
        <v>4.3478260869565215</v>
      </c>
      <c r="BD201" s="25">
        <f t="shared" si="19"/>
        <v>10.714285714285714</v>
      </c>
      <c r="BE201" s="25">
        <f t="shared" si="19"/>
        <v>100</v>
      </c>
      <c r="BF201" s="25">
        <f t="shared" si="19"/>
        <v>4.5454545454545459</v>
      </c>
      <c r="BG201" s="25">
        <f t="shared" si="19"/>
        <v>8.8235294117647047</v>
      </c>
      <c r="BH201" s="25">
        <f t="shared" si="19"/>
        <v>11.538461538461538</v>
      </c>
      <c r="BI201" s="25">
        <f t="shared" si="19"/>
        <v>0</v>
      </c>
      <c r="BJ201" s="25">
        <f t="shared" si="19"/>
        <v>37.5</v>
      </c>
      <c r="BK201" s="25">
        <f t="shared" si="19"/>
        <v>2.7777777777777777</v>
      </c>
      <c r="BL201" s="25">
        <f t="shared" si="19"/>
        <v>29.629629629629626</v>
      </c>
      <c r="BM201" s="25">
        <f t="shared" si="19"/>
        <v>6.4516129032258061</v>
      </c>
      <c r="BN201" s="25">
        <f t="shared" si="19"/>
        <v>32.352941176470587</v>
      </c>
      <c r="BO201" s="25">
        <f t="shared" si="19"/>
        <v>6.8181818181818183</v>
      </c>
      <c r="BP201" s="25">
        <f t="shared" si="19"/>
        <v>20.689655172413794</v>
      </c>
      <c r="BQ201" s="25">
        <f t="shared" si="19"/>
        <v>13.888888888888888</v>
      </c>
      <c r="BR201" s="25">
        <f t="shared" si="19"/>
        <v>0</v>
      </c>
      <c r="BS201" s="25">
        <f t="shared" si="19"/>
        <v>24</v>
      </c>
      <c r="BT201" s="25">
        <f t="shared" si="19"/>
        <v>91.489361702127667</v>
      </c>
      <c r="BU201" s="25">
        <f t="shared" si="19"/>
        <v>50</v>
      </c>
      <c r="BV201" s="25">
        <f t="shared" si="19"/>
        <v>8</v>
      </c>
      <c r="BW201" s="25">
        <f t="shared" si="19"/>
        <v>20</v>
      </c>
      <c r="BX201" s="25">
        <f t="shared" si="19"/>
        <v>10.810810810810811</v>
      </c>
      <c r="BY201" s="25">
        <f t="shared" si="19"/>
        <v>25</v>
      </c>
      <c r="BZ201" s="25">
        <f t="shared" si="19"/>
        <v>17.777777777777779</v>
      </c>
      <c r="CA201" s="25">
        <f t="shared" si="19"/>
        <v>34.210526315789473</v>
      </c>
      <c r="CB201" s="25">
        <f t="shared" si="19"/>
        <v>45.833333333333329</v>
      </c>
      <c r="CC201" s="25">
        <f t="shared" si="19"/>
        <v>12.76595744680851</v>
      </c>
      <c r="CD201" s="25">
        <f t="shared" si="19"/>
        <v>25</v>
      </c>
      <c r="CE201" s="25">
        <f t="shared" si="19"/>
        <v>19.444444444444443</v>
      </c>
      <c r="CF201" s="25">
        <f t="shared" si="19"/>
        <v>12.5</v>
      </c>
      <c r="CG201" s="25">
        <f t="shared" si="19"/>
        <v>22.222222222222221</v>
      </c>
      <c r="CH201" s="25">
        <f t="shared" si="19"/>
        <v>16.666666666666664</v>
      </c>
      <c r="CI201" s="25">
        <f t="shared" si="19"/>
        <v>61.764705882352942</v>
      </c>
      <c r="CJ201" s="25">
        <f t="shared" si="19"/>
        <v>7.5</v>
      </c>
      <c r="CK201" s="25">
        <f t="shared" si="19"/>
        <v>19.565217391304348</v>
      </c>
    </row>
    <row r="202" spans="1:89" x14ac:dyDescent="0.25">
      <c r="A202" t="s">
        <v>195</v>
      </c>
      <c r="B202" s="25">
        <f>(1/45)*100</f>
        <v>2.2222222222222223</v>
      </c>
      <c r="C202" s="25">
        <f>(5/57)*100</f>
        <v>8.7719298245614024</v>
      </c>
      <c r="D202" s="25">
        <f>(D219/$D$222)*100</f>
        <v>8.3333333333333321</v>
      </c>
      <c r="E202" s="25">
        <f>(E219/$E$222)*100</f>
        <v>0</v>
      </c>
      <c r="F202" s="25">
        <f>(F219/$F$222)*100</f>
        <v>6.3829787234042552</v>
      </c>
      <c r="G202" s="25">
        <f>(G219/$G$222)*100</f>
        <v>6.25</v>
      </c>
      <c r="H202" s="25">
        <f>(H219/$H$222)*100</f>
        <v>23.913043478260871</v>
      </c>
      <c r="I202" s="25">
        <f>(I219/$I$222)*100</f>
        <v>2.7777777777777777</v>
      </c>
      <c r="J202" s="25">
        <f>(J219/$J$222)*100</f>
        <v>4.1666666666666661</v>
      </c>
      <c r="K202" s="25">
        <f>(K219/$K$222)*100</f>
        <v>25.806451612903224</v>
      </c>
      <c r="L202" s="25">
        <f>(L219/$L$222)*100</f>
        <v>0</v>
      </c>
      <c r="M202" s="25">
        <f t="shared" ref="M202:N204" si="20">(M219/M$222)*100</f>
        <v>4.1666666666666661</v>
      </c>
      <c r="N202" s="25">
        <f t="shared" si="20"/>
        <v>7.6923076923076925</v>
      </c>
      <c r="O202" s="25">
        <f t="shared" ref="O202:AQ202" si="21">(O219/O$222)*100</f>
        <v>20.833333333333336</v>
      </c>
      <c r="P202" s="25">
        <f t="shared" si="21"/>
        <v>2.8571428571428572</v>
      </c>
      <c r="Q202" s="25">
        <f t="shared" si="21"/>
        <v>6.8181818181818175</v>
      </c>
      <c r="R202" s="25">
        <f t="shared" si="21"/>
        <v>23.52941176470588</v>
      </c>
      <c r="S202" s="25">
        <f t="shared" si="21"/>
        <v>18.918918918918919</v>
      </c>
      <c r="T202" s="25">
        <f t="shared" si="21"/>
        <v>0</v>
      </c>
      <c r="U202" s="25">
        <f t="shared" si="21"/>
        <v>6.666666666666667</v>
      </c>
      <c r="V202" s="25">
        <f t="shared" si="21"/>
        <v>12.5</v>
      </c>
      <c r="W202" s="25">
        <f t="shared" si="21"/>
        <v>8.3333333333333321</v>
      </c>
      <c r="X202" s="25">
        <f t="shared" si="21"/>
        <v>0</v>
      </c>
      <c r="Y202" s="25">
        <f t="shared" si="21"/>
        <v>0</v>
      </c>
      <c r="Z202" s="25">
        <f t="shared" si="21"/>
        <v>5.7142857142857144</v>
      </c>
      <c r="AA202" s="25">
        <f t="shared" si="21"/>
        <v>0</v>
      </c>
      <c r="AB202" s="25">
        <f t="shared" si="21"/>
        <v>11.111111111111111</v>
      </c>
      <c r="AC202" s="25">
        <f t="shared" si="21"/>
        <v>0</v>
      </c>
      <c r="AD202" s="25">
        <f t="shared" si="21"/>
        <v>8.1081081081081088</v>
      </c>
      <c r="AE202" s="25">
        <f t="shared" si="21"/>
        <v>3.5714285714285712</v>
      </c>
      <c r="AF202" s="25">
        <f t="shared" si="21"/>
        <v>0</v>
      </c>
      <c r="AG202" s="25">
        <f t="shared" si="21"/>
        <v>2.1739130434782608</v>
      </c>
      <c r="AH202" s="25">
        <f t="shared" si="21"/>
        <v>2.2727272727272729</v>
      </c>
      <c r="AI202" s="25">
        <f t="shared" si="21"/>
        <v>10.810810810810811</v>
      </c>
      <c r="AJ202" s="25">
        <f t="shared" si="21"/>
        <v>0</v>
      </c>
      <c r="AK202" s="25">
        <f t="shared" si="21"/>
        <v>3.3333333333333335</v>
      </c>
      <c r="AL202" s="25">
        <f t="shared" si="21"/>
        <v>0</v>
      </c>
      <c r="AM202" s="25">
        <f t="shared" si="21"/>
        <v>0</v>
      </c>
      <c r="AN202" s="25">
        <f t="shared" si="21"/>
        <v>2.5</v>
      </c>
      <c r="AO202" s="25">
        <f t="shared" si="21"/>
        <v>0</v>
      </c>
      <c r="AP202" s="25">
        <f t="shared" si="21"/>
        <v>2.2222222222222223</v>
      </c>
      <c r="AQ202" s="25">
        <f t="shared" si="21"/>
        <v>0</v>
      </c>
      <c r="AR202" s="25">
        <f>(AR219/$AR$222)*100</f>
        <v>9.375</v>
      </c>
      <c r="AS202" s="25">
        <f t="shared" ref="AS202:CK202" si="22">(AS219/AS$222)*100</f>
        <v>15.789473684210526</v>
      </c>
      <c r="AT202" s="25">
        <f t="shared" si="22"/>
        <v>0</v>
      </c>
      <c r="AU202" s="25">
        <f t="shared" si="22"/>
        <v>0</v>
      </c>
      <c r="AV202" s="25">
        <f t="shared" si="22"/>
        <v>0</v>
      </c>
      <c r="AW202" s="25">
        <f t="shared" si="22"/>
        <v>8.3333333333333321</v>
      </c>
      <c r="AX202" s="25">
        <f t="shared" si="22"/>
        <v>0</v>
      </c>
      <c r="AY202" s="25">
        <f t="shared" si="22"/>
        <v>0</v>
      </c>
      <c r="AZ202" s="25">
        <f t="shared" si="22"/>
        <v>8.695652173913043</v>
      </c>
      <c r="BA202" s="25">
        <f t="shared" si="22"/>
        <v>8.3333333333333321</v>
      </c>
      <c r="BB202" s="25">
        <f t="shared" si="22"/>
        <v>0</v>
      </c>
      <c r="BC202" s="25">
        <f t="shared" si="22"/>
        <v>0</v>
      </c>
      <c r="BD202" s="25">
        <f t="shared" si="22"/>
        <v>3.5714285714285712</v>
      </c>
      <c r="BE202" s="25">
        <f t="shared" si="22"/>
        <v>0</v>
      </c>
      <c r="BF202" s="25">
        <f t="shared" si="22"/>
        <v>2.2727272727272729</v>
      </c>
      <c r="BG202" s="25">
        <f t="shared" si="22"/>
        <v>14.705882352941178</v>
      </c>
      <c r="BH202" s="25">
        <f t="shared" si="22"/>
        <v>19.230769230769234</v>
      </c>
      <c r="BI202" s="25">
        <f t="shared" si="22"/>
        <v>3.3333333333333335</v>
      </c>
      <c r="BJ202" s="25">
        <f t="shared" si="22"/>
        <v>12.5</v>
      </c>
      <c r="BK202" s="25">
        <f t="shared" si="22"/>
        <v>2.7777777777777777</v>
      </c>
      <c r="BL202" s="25">
        <f t="shared" si="22"/>
        <v>11.111111111111111</v>
      </c>
      <c r="BM202" s="25">
        <f t="shared" si="22"/>
        <v>0</v>
      </c>
      <c r="BN202" s="25">
        <f t="shared" si="22"/>
        <v>2.9411764705882351</v>
      </c>
      <c r="BO202" s="25">
        <f t="shared" si="22"/>
        <v>0</v>
      </c>
      <c r="BP202" s="25">
        <f t="shared" si="22"/>
        <v>13.793103448275861</v>
      </c>
      <c r="BQ202" s="25">
        <f t="shared" si="22"/>
        <v>5.5555555555555554</v>
      </c>
      <c r="BR202" s="25">
        <f t="shared" si="22"/>
        <v>0</v>
      </c>
      <c r="BS202" s="25">
        <f t="shared" si="22"/>
        <v>20</v>
      </c>
      <c r="BT202" s="25">
        <f t="shared" si="22"/>
        <v>2.1276595744680851</v>
      </c>
      <c r="BU202" s="25">
        <f t="shared" si="22"/>
        <v>2.2727272727272729</v>
      </c>
      <c r="BV202" s="25">
        <f t="shared" si="22"/>
        <v>4</v>
      </c>
      <c r="BW202" s="25">
        <f t="shared" si="22"/>
        <v>16</v>
      </c>
      <c r="BX202" s="25">
        <f t="shared" si="22"/>
        <v>16.216216216216218</v>
      </c>
      <c r="BY202" s="25">
        <f t="shared" si="22"/>
        <v>8.3333333333333321</v>
      </c>
      <c r="BZ202" s="25">
        <f t="shared" si="22"/>
        <v>0</v>
      </c>
      <c r="CA202" s="25">
        <f t="shared" si="22"/>
        <v>5.2631578947368416</v>
      </c>
      <c r="CB202" s="25">
        <f t="shared" si="22"/>
        <v>20.833333333333336</v>
      </c>
      <c r="CC202" s="25">
        <f t="shared" si="22"/>
        <v>10.638297872340425</v>
      </c>
      <c r="CD202" s="25">
        <f t="shared" si="22"/>
        <v>0</v>
      </c>
      <c r="CE202" s="25">
        <f t="shared" si="22"/>
        <v>2.7777777777777777</v>
      </c>
      <c r="CF202" s="25">
        <f t="shared" si="22"/>
        <v>28.125</v>
      </c>
      <c r="CG202" s="25">
        <f t="shared" si="22"/>
        <v>7.4074074074074066</v>
      </c>
      <c r="CH202" s="25">
        <f t="shared" si="22"/>
        <v>0</v>
      </c>
      <c r="CI202" s="25">
        <f t="shared" si="22"/>
        <v>14.705882352941178</v>
      </c>
      <c r="CJ202" s="25">
        <f t="shared" si="22"/>
        <v>5</v>
      </c>
      <c r="CK202" s="25">
        <f t="shared" si="22"/>
        <v>0</v>
      </c>
    </row>
    <row r="203" spans="1:89" x14ac:dyDescent="0.25">
      <c r="A203" t="s">
        <v>196</v>
      </c>
      <c r="B203" s="25">
        <f>(19/45)*100</f>
        <v>42.222222222222221</v>
      </c>
      <c r="C203" s="25">
        <f>(33/57)*100</f>
        <v>57.894736842105267</v>
      </c>
      <c r="D203" s="25">
        <f t="shared" ref="D203:D204" si="23">(D220/$D$222)*100</f>
        <v>18.055555555555554</v>
      </c>
      <c r="E203" s="25">
        <f>(E220/$E$222)*100</f>
        <v>87.878787878787875</v>
      </c>
      <c r="F203" s="25">
        <f>(F220/$F$222)*100</f>
        <v>65.957446808510639</v>
      </c>
      <c r="G203" s="25">
        <f>(G220/$G$222)*100</f>
        <v>50</v>
      </c>
      <c r="H203" s="25">
        <f>(H220/$H$222)*100</f>
        <v>28.260869565217391</v>
      </c>
      <c r="I203" s="25">
        <f>(I220/$I$222)*100</f>
        <v>36.111111111111107</v>
      </c>
      <c r="J203" s="25">
        <f>(J220/$J$222)*100</f>
        <v>43.75</v>
      </c>
      <c r="K203" s="25">
        <f>(K220/$K$222)*100</f>
        <v>41.935483870967744</v>
      </c>
      <c r="L203" s="25">
        <f>(L220/$L$222)*100</f>
        <v>77.083333333333343</v>
      </c>
      <c r="M203" s="25">
        <f t="shared" si="20"/>
        <v>62.5</v>
      </c>
      <c r="N203" s="25">
        <f t="shared" si="20"/>
        <v>73.076923076923066</v>
      </c>
      <c r="O203" s="25">
        <f t="shared" ref="O203:AQ203" si="24">(O220/O$222)*100</f>
        <v>62.5</v>
      </c>
      <c r="P203" s="25">
        <f t="shared" si="24"/>
        <v>77.142857142857153</v>
      </c>
      <c r="Q203" s="25">
        <f t="shared" si="24"/>
        <v>75</v>
      </c>
      <c r="R203" s="25">
        <f t="shared" si="24"/>
        <v>17.647058823529413</v>
      </c>
      <c r="S203" s="25">
        <f t="shared" si="24"/>
        <v>37.837837837837839</v>
      </c>
      <c r="T203" s="25">
        <f t="shared" si="24"/>
        <v>40</v>
      </c>
      <c r="U203" s="25">
        <f t="shared" si="24"/>
        <v>82.222222222222214</v>
      </c>
      <c r="V203" s="25">
        <f t="shared" si="24"/>
        <v>12.5</v>
      </c>
      <c r="W203" s="25">
        <f t="shared" si="24"/>
        <v>75</v>
      </c>
      <c r="X203" s="25">
        <f t="shared" si="24"/>
        <v>79.166666666666657</v>
      </c>
      <c r="Y203" s="25">
        <f t="shared" si="24"/>
        <v>17.142857142857142</v>
      </c>
      <c r="Z203" s="25">
        <f t="shared" si="24"/>
        <v>94.285714285714278</v>
      </c>
      <c r="AA203" s="25">
        <f t="shared" si="24"/>
        <v>90</v>
      </c>
      <c r="AB203" s="25">
        <f t="shared" si="24"/>
        <v>66.666666666666657</v>
      </c>
      <c r="AC203" s="25">
        <f t="shared" si="24"/>
        <v>74.468085106382972</v>
      </c>
      <c r="AD203" s="25">
        <f t="shared" si="24"/>
        <v>81.081081081081081</v>
      </c>
      <c r="AE203" s="25">
        <f t="shared" si="24"/>
        <v>92.857142857142861</v>
      </c>
      <c r="AF203" s="25">
        <f t="shared" si="24"/>
        <v>73.170731707317074</v>
      </c>
      <c r="AG203" s="25">
        <f t="shared" si="24"/>
        <v>76.08695652173914</v>
      </c>
      <c r="AH203" s="25">
        <f t="shared" si="24"/>
        <v>90.909090909090907</v>
      </c>
      <c r="AI203" s="25">
        <f t="shared" si="24"/>
        <v>5.4054054054054053</v>
      </c>
      <c r="AJ203" s="25">
        <f t="shared" si="24"/>
        <v>54.054054054054056</v>
      </c>
      <c r="AK203" s="25">
        <f t="shared" si="24"/>
        <v>20</v>
      </c>
      <c r="AL203" s="25">
        <f t="shared" si="24"/>
        <v>65.217391304347828</v>
      </c>
      <c r="AM203" s="25">
        <f t="shared" si="24"/>
        <v>94.594594594594597</v>
      </c>
      <c r="AN203" s="25">
        <f t="shared" si="24"/>
        <v>82.5</v>
      </c>
      <c r="AO203" s="25">
        <f t="shared" si="24"/>
        <v>50</v>
      </c>
      <c r="AP203" s="25">
        <f t="shared" si="24"/>
        <v>88.888888888888886</v>
      </c>
      <c r="AQ203" s="25">
        <f t="shared" si="24"/>
        <v>66.666666666666657</v>
      </c>
      <c r="AR203" s="25">
        <f>(AR220/$AR$222)*100</f>
        <v>28.125</v>
      </c>
      <c r="AS203" s="25">
        <f t="shared" ref="AS203:CK203" si="25">(AS220/AS$222)*100</f>
        <v>65.789473684210535</v>
      </c>
      <c r="AT203" s="25">
        <f t="shared" si="25"/>
        <v>18.75</v>
      </c>
      <c r="AU203" s="25">
        <f t="shared" si="25"/>
        <v>85.18518518518519</v>
      </c>
      <c r="AV203" s="25">
        <f t="shared" si="25"/>
        <v>87.878787878787875</v>
      </c>
      <c r="AW203" s="25">
        <f t="shared" si="25"/>
        <v>64.583333333333343</v>
      </c>
      <c r="AX203" s="25">
        <f t="shared" si="25"/>
        <v>88.571428571428569</v>
      </c>
      <c r="AY203" s="25">
        <f t="shared" si="25"/>
        <v>72</v>
      </c>
      <c r="AZ203" s="25">
        <f t="shared" si="25"/>
        <v>73.91304347826086</v>
      </c>
      <c r="BA203" s="25">
        <f t="shared" si="25"/>
        <v>79.166666666666657</v>
      </c>
      <c r="BB203" s="25">
        <f t="shared" si="25"/>
        <v>79.310344827586206</v>
      </c>
      <c r="BC203" s="25">
        <f t="shared" si="25"/>
        <v>95.652173913043484</v>
      </c>
      <c r="BD203" s="25">
        <f t="shared" si="25"/>
        <v>82.142857142857139</v>
      </c>
      <c r="BE203" s="25">
        <f t="shared" si="25"/>
        <v>0</v>
      </c>
      <c r="BF203" s="25">
        <f t="shared" si="25"/>
        <v>93.181818181818173</v>
      </c>
      <c r="BG203" s="25">
        <f t="shared" si="25"/>
        <v>76.470588235294116</v>
      </c>
      <c r="BH203" s="25">
        <f t="shared" si="25"/>
        <v>69.230769230769226</v>
      </c>
      <c r="BI203" s="25">
        <f t="shared" si="25"/>
        <v>96.666666666666671</v>
      </c>
      <c r="BJ203" s="25">
        <f t="shared" si="25"/>
        <v>50</v>
      </c>
      <c r="BK203" s="25">
        <f t="shared" si="25"/>
        <v>94.444444444444443</v>
      </c>
      <c r="BL203" s="25">
        <f t="shared" si="25"/>
        <v>59.259259259259252</v>
      </c>
      <c r="BM203" s="25">
        <f t="shared" si="25"/>
        <v>87.096774193548384</v>
      </c>
      <c r="BN203" s="25">
        <f t="shared" si="25"/>
        <v>64.705882352941174</v>
      </c>
      <c r="BO203" s="25">
        <f t="shared" si="25"/>
        <v>93.181818181818173</v>
      </c>
      <c r="BP203" s="25">
        <f t="shared" si="25"/>
        <v>65.517241379310349</v>
      </c>
      <c r="BQ203" s="25">
        <f t="shared" si="25"/>
        <v>80.555555555555557</v>
      </c>
      <c r="BR203" s="25">
        <f t="shared" si="25"/>
        <v>100</v>
      </c>
      <c r="BS203" s="25">
        <f t="shared" si="25"/>
        <v>56.000000000000007</v>
      </c>
      <c r="BT203" s="25">
        <f t="shared" si="25"/>
        <v>6.3829787234042552</v>
      </c>
      <c r="BU203" s="25">
        <f t="shared" si="25"/>
        <v>47.727272727272727</v>
      </c>
      <c r="BV203" s="25">
        <f t="shared" si="25"/>
        <v>88</v>
      </c>
      <c r="BW203" s="25">
        <f t="shared" si="25"/>
        <v>64</v>
      </c>
      <c r="BX203" s="25">
        <f t="shared" si="25"/>
        <v>72.972972972972968</v>
      </c>
      <c r="BY203" s="25">
        <f t="shared" si="25"/>
        <v>66.666666666666657</v>
      </c>
      <c r="BZ203" s="25">
        <f t="shared" si="25"/>
        <v>82.222222222222214</v>
      </c>
      <c r="CA203" s="25">
        <f t="shared" si="25"/>
        <v>60.526315789473685</v>
      </c>
      <c r="CB203" s="25">
        <f t="shared" si="25"/>
        <v>33.333333333333329</v>
      </c>
      <c r="CC203" s="25">
        <f t="shared" si="25"/>
        <v>76.59574468085107</v>
      </c>
      <c r="CD203" s="25">
        <f t="shared" si="25"/>
        <v>75</v>
      </c>
      <c r="CE203" s="25">
        <f t="shared" si="25"/>
        <v>77.777777777777786</v>
      </c>
      <c r="CF203" s="25">
        <f t="shared" si="25"/>
        <v>59.375</v>
      </c>
      <c r="CG203" s="25">
        <f t="shared" si="25"/>
        <v>70.370370370370367</v>
      </c>
      <c r="CH203" s="25">
        <f t="shared" si="25"/>
        <v>80.952380952380949</v>
      </c>
      <c r="CI203" s="25">
        <f t="shared" si="25"/>
        <v>23.52941176470588</v>
      </c>
      <c r="CJ203" s="25">
        <f t="shared" si="25"/>
        <v>85</v>
      </c>
      <c r="CK203" s="25">
        <f t="shared" si="25"/>
        <v>73.91304347826086</v>
      </c>
    </row>
    <row r="204" spans="1:89" x14ac:dyDescent="0.25">
      <c r="A204" t="s">
        <v>197</v>
      </c>
      <c r="B204" s="25">
        <v>0</v>
      </c>
      <c r="C204" s="25">
        <v>0</v>
      </c>
      <c r="D204" s="25">
        <f t="shared" si="23"/>
        <v>2.7777777777777777</v>
      </c>
      <c r="E204" s="25">
        <f>(E221/$E$222)*100</f>
        <v>0</v>
      </c>
      <c r="F204" s="25">
        <f>(F221/$F$222)*100</f>
        <v>0</v>
      </c>
      <c r="G204" s="25">
        <f>(G221/$G$222)*100</f>
        <v>0</v>
      </c>
      <c r="H204" s="25">
        <f>(H221/$H$222)*100</f>
        <v>0</v>
      </c>
      <c r="I204" s="25">
        <f>(I221/$I$222)*100</f>
        <v>0</v>
      </c>
      <c r="J204" s="25">
        <f>(J221/$J$222)*100</f>
        <v>2.083333333333333</v>
      </c>
      <c r="K204" s="25">
        <f>(K221/$K$222)*100</f>
        <v>0</v>
      </c>
      <c r="L204" s="25">
        <f>(L221/$L$222)*100</f>
        <v>2.083333333333333</v>
      </c>
      <c r="M204" s="25">
        <f t="shared" si="20"/>
        <v>0</v>
      </c>
      <c r="N204" s="25">
        <f t="shared" si="20"/>
        <v>0</v>
      </c>
      <c r="O204" s="25">
        <f t="shared" ref="O204:AQ204" si="26">(O221/O$222)*100</f>
        <v>0</v>
      </c>
      <c r="P204" s="25">
        <f t="shared" si="26"/>
        <v>5.7142857142857144</v>
      </c>
      <c r="Q204" s="25">
        <f t="shared" si="26"/>
        <v>4.5454545454545459</v>
      </c>
      <c r="R204" s="25">
        <f t="shared" si="26"/>
        <v>0</v>
      </c>
      <c r="S204" s="25">
        <f t="shared" si="26"/>
        <v>0</v>
      </c>
      <c r="T204" s="25">
        <f t="shared" si="26"/>
        <v>0</v>
      </c>
      <c r="U204" s="25">
        <f t="shared" si="26"/>
        <v>0</v>
      </c>
      <c r="V204" s="25">
        <f t="shared" si="26"/>
        <v>0</v>
      </c>
      <c r="W204" s="25">
        <f t="shared" si="26"/>
        <v>0</v>
      </c>
      <c r="X204" s="25">
        <f t="shared" si="26"/>
        <v>0</v>
      </c>
      <c r="Y204" s="25">
        <f t="shared" si="26"/>
        <v>0</v>
      </c>
      <c r="Z204" s="25">
        <f t="shared" si="26"/>
        <v>0</v>
      </c>
      <c r="AA204" s="25">
        <f t="shared" si="26"/>
        <v>0</v>
      </c>
      <c r="AB204" s="25">
        <f t="shared" si="26"/>
        <v>0</v>
      </c>
      <c r="AC204" s="25">
        <f t="shared" si="26"/>
        <v>4.2553191489361701</v>
      </c>
      <c r="AD204" s="25">
        <f t="shared" si="26"/>
        <v>0</v>
      </c>
      <c r="AE204" s="25">
        <f t="shared" si="26"/>
        <v>3.5714285714285712</v>
      </c>
      <c r="AF204" s="25">
        <f t="shared" si="26"/>
        <v>4.8780487804878048</v>
      </c>
      <c r="AG204" s="25">
        <f t="shared" si="26"/>
        <v>0</v>
      </c>
      <c r="AH204" s="25">
        <f t="shared" si="26"/>
        <v>0</v>
      </c>
      <c r="AI204" s="25">
        <f t="shared" si="26"/>
        <v>0</v>
      </c>
      <c r="AJ204" s="25">
        <f t="shared" si="26"/>
        <v>0</v>
      </c>
      <c r="AK204" s="25">
        <f t="shared" si="26"/>
        <v>0</v>
      </c>
      <c r="AL204" s="25">
        <f t="shared" si="26"/>
        <v>2.1739130434782608</v>
      </c>
      <c r="AM204" s="25">
        <f t="shared" si="26"/>
        <v>2.7027027027027026</v>
      </c>
      <c r="AN204" s="25">
        <f t="shared" si="26"/>
        <v>0</v>
      </c>
      <c r="AO204" s="25">
        <f t="shared" si="26"/>
        <v>4.1666666666666661</v>
      </c>
      <c r="AP204" s="25">
        <f t="shared" si="26"/>
        <v>0</v>
      </c>
      <c r="AQ204" s="25">
        <f t="shared" si="26"/>
        <v>0</v>
      </c>
      <c r="AR204" s="25">
        <f>(AR221/$AR$222)*100</f>
        <v>0</v>
      </c>
      <c r="AS204" s="25">
        <f t="shared" ref="AS204:CK204" si="27">(AS221/AS$222)*100</f>
        <v>0</v>
      </c>
      <c r="AT204" s="25">
        <f t="shared" si="27"/>
        <v>0</v>
      </c>
      <c r="AU204" s="25">
        <f t="shared" si="27"/>
        <v>11.111111111111111</v>
      </c>
      <c r="AV204" s="25">
        <f t="shared" si="27"/>
        <v>0</v>
      </c>
      <c r="AW204" s="25">
        <f t="shared" si="27"/>
        <v>2.083333333333333</v>
      </c>
      <c r="AX204" s="25">
        <f t="shared" si="27"/>
        <v>0</v>
      </c>
      <c r="AY204" s="25">
        <f t="shared" si="27"/>
        <v>0</v>
      </c>
      <c r="AZ204" s="25">
        <f t="shared" si="27"/>
        <v>4.3478260869565215</v>
      </c>
      <c r="BA204" s="25">
        <f t="shared" si="27"/>
        <v>0</v>
      </c>
      <c r="BB204" s="25">
        <f t="shared" si="27"/>
        <v>0</v>
      </c>
      <c r="BC204" s="25">
        <f t="shared" si="27"/>
        <v>0</v>
      </c>
      <c r="BD204" s="25">
        <f t="shared" si="27"/>
        <v>3.5714285714285712</v>
      </c>
      <c r="BE204" s="25">
        <f t="shared" si="27"/>
        <v>0</v>
      </c>
      <c r="BF204" s="25">
        <f t="shared" si="27"/>
        <v>0</v>
      </c>
      <c r="BG204" s="25">
        <f t="shared" si="27"/>
        <v>0</v>
      </c>
      <c r="BH204" s="25">
        <f t="shared" si="27"/>
        <v>0</v>
      </c>
      <c r="BI204" s="25">
        <f t="shared" si="27"/>
        <v>0</v>
      </c>
      <c r="BJ204" s="25">
        <f t="shared" si="27"/>
        <v>0</v>
      </c>
      <c r="BK204" s="25">
        <f t="shared" si="27"/>
        <v>0</v>
      </c>
      <c r="BL204" s="25">
        <f t="shared" si="27"/>
        <v>0</v>
      </c>
      <c r="BM204" s="25">
        <f t="shared" si="27"/>
        <v>6.4516129032258061</v>
      </c>
      <c r="BN204" s="25">
        <f t="shared" si="27"/>
        <v>0</v>
      </c>
      <c r="BO204" s="25">
        <f t="shared" si="27"/>
        <v>0</v>
      </c>
      <c r="BP204" s="25">
        <f t="shared" si="27"/>
        <v>0</v>
      </c>
      <c r="BQ204" s="25">
        <f t="shared" si="27"/>
        <v>0</v>
      </c>
      <c r="BR204" s="25">
        <f t="shared" si="27"/>
        <v>0</v>
      </c>
      <c r="BS204" s="25">
        <f t="shared" si="27"/>
        <v>0</v>
      </c>
      <c r="BT204" s="25">
        <f t="shared" si="27"/>
        <v>0</v>
      </c>
      <c r="BU204" s="25">
        <f t="shared" si="27"/>
        <v>0</v>
      </c>
      <c r="BV204" s="25">
        <f t="shared" si="27"/>
        <v>0</v>
      </c>
      <c r="BW204" s="25">
        <f t="shared" si="27"/>
        <v>0</v>
      </c>
      <c r="BX204" s="25">
        <f t="shared" si="27"/>
        <v>0</v>
      </c>
      <c r="BY204" s="25">
        <f t="shared" si="27"/>
        <v>0</v>
      </c>
      <c r="BZ204" s="25">
        <f t="shared" si="27"/>
        <v>0</v>
      </c>
      <c r="CA204" s="25">
        <f t="shared" si="27"/>
        <v>0</v>
      </c>
      <c r="CB204" s="25">
        <f t="shared" si="27"/>
        <v>0</v>
      </c>
      <c r="CC204" s="25">
        <f t="shared" si="27"/>
        <v>0</v>
      </c>
      <c r="CD204" s="25">
        <f t="shared" si="27"/>
        <v>0</v>
      </c>
      <c r="CE204" s="25">
        <f t="shared" si="27"/>
        <v>0</v>
      </c>
      <c r="CF204" s="25">
        <f t="shared" si="27"/>
        <v>0</v>
      </c>
      <c r="CG204" s="25">
        <f t="shared" si="27"/>
        <v>0</v>
      </c>
      <c r="CH204" s="25">
        <f t="shared" si="27"/>
        <v>2.3809523809523809</v>
      </c>
      <c r="CI204" s="25">
        <f t="shared" si="27"/>
        <v>0</v>
      </c>
      <c r="CJ204" s="25">
        <f t="shared" si="27"/>
        <v>2.5</v>
      </c>
      <c r="CK204" s="25">
        <f t="shared" si="27"/>
        <v>6.5217391304347823</v>
      </c>
    </row>
    <row r="205" spans="1:89" x14ac:dyDescent="0.25">
      <c r="A205" t="s">
        <v>201</v>
      </c>
      <c r="B205" s="25">
        <f t="shared" ref="B205:N205" si="28">SUM(B202:B204)</f>
        <v>44.444444444444443</v>
      </c>
      <c r="C205" s="25">
        <f t="shared" si="28"/>
        <v>66.666666666666671</v>
      </c>
      <c r="D205" s="25">
        <f t="shared" si="28"/>
        <v>29.166666666666664</v>
      </c>
      <c r="E205" s="25">
        <f t="shared" si="28"/>
        <v>87.878787878787875</v>
      </c>
      <c r="F205" s="25">
        <f t="shared" si="28"/>
        <v>72.340425531914889</v>
      </c>
      <c r="G205" s="25">
        <f t="shared" si="28"/>
        <v>56.25</v>
      </c>
      <c r="H205" s="25">
        <f t="shared" si="28"/>
        <v>52.173913043478265</v>
      </c>
      <c r="I205" s="25">
        <f t="shared" si="28"/>
        <v>38.888888888888886</v>
      </c>
      <c r="J205" s="25">
        <f t="shared" si="28"/>
        <v>50</v>
      </c>
      <c r="K205" s="25">
        <f t="shared" si="28"/>
        <v>67.741935483870975</v>
      </c>
      <c r="L205" s="25">
        <f t="shared" si="28"/>
        <v>79.166666666666671</v>
      </c>
      <c r="M205" s="25">
        <f t="shared" si="28"/>
        <v>66.666666666666671</v>
      </c>
      <c r="N205" s="25">
        <f t="shared" si="28"/>
        <v>80.769230769230759</v>
      </c>
      <c r="O205" s="25">
        <f t="shared" ref="O205:AQ205" si="29">SUM(O202:O204)</f>
        <v>83.333333333333343</v>
      </c>
      <c r="P205" s="25">
        <f t="shared" si="29"/>
        <v>85.714285714285722</v>
      </c>
      <c r="Q205" s="25">
        <f t="shared" si="29"/>
        <v>86.36363636363636</v>
      </c>
      <c r="R205" s="25">
        <f t="shared" si="29"/>
        <v>41.17647058823529</v>
      </c>
      <c r="S205" s="25">
        <f t="shared" si="29"/>
        <v>56.756756756756758</v>
      </c>
      <c r="T205" s="25">
        <f t="shared" si="29"/>
        <v>40</v>
      </c>
      <c r="U205" s="25">
        <f t="shared" si="29"/>
        <v>88.888888888888886</v>
      </c>
      <c r="V205" s="25">
        <f t="shared" si="29"/>
        <v>25</v>
      </c>
      <c r="W205" s="25">
        <f t="shared" si="29"/>
        <v>83.333333333333329</v>
      </c>
      <c r="X205" s="25">
        <f t="shared" si="29"/>
        <v>79.166666666666657</v>
      </c>
      <c r="Y205" s="25">
        <f t="shared" si="29"/>
        <v>17.142857142857142</v>
      </c>
      <c r="Z205" s="25">
        <f t="shared" si="29"/>
        <v>99.999999999999986</v>
      </c>
      <c r="AA205" s="25">
        <f t="shared" si="29"/>
        <v>90</v>
      </c>
      <c r="AB205" s="25">
        <f t="shared" si="29"/>
        <v>77.777777777777771</v>
      </c>
      <c r="AC205" s="25">
        <f t="shared" si="29"/>
        <v>78.723404255319139</v>
      </c>
      <c r="AD205" s="25">
        <f t="shared" si="29"/>
        <v>89.189189189189193</v>
      </c>
      <c r="AE205" s="25">
        <f t="shared" si="29"/>
        <v>100</v>
      </c>
      <c r="AF205" s="25">
        <f t="shared" si="29"/>
        <v>78.048780487804876</v>
      </c>
      <c r="AG205" s="25">
        <f t="shared" si="29"/>
        <v>78.260869565217405</v>
      </c>
      <c r="AH205" s="25">
        <f t="shared" si="29"/>
        <v>93.181818181818173</v>
      </c>
      <c r="AI205" s="25">
        <f t="shared" si="29"/>
        <v>16.216216216216218</v>
      </c>
      <c r="AJ205" s="25">
        <f t="shared" si="29"/>
        <v>54.054054054054056</v>
      </c>
      <c r="AK205" s="25">
        <f t="shared" si="29"/>
        <v>23.333333333333332</v>
      </c>
      <c r="AL205" s="25">
        <f t="shared" si="29"/>
        <v>67.391304347826093</v>
      </c>
      <c r="AM205" s="25">
        <f t="shared" si="29"/>
        <v>97.297297297297305</v>
      </c>
      <c r="AN205" s="25">
        <f t="shared" si="29"/>
        <v>85</v>
      </c>
      <c r="AO205" s="25">
        <f t="shared" si="29"/>
        <v>54.166666666666664</v>
      </c>
      <c r="AP205" s="25">
        <f t="shared" si="29"/>
        <v>91.111111111111114</v>
      </c>
      <c r="AQ205" s="25">
        <f t="shared" si="29"/>
        <v>66.666666666666657</v>
      </c>
      <c r="AR205" s="25">
        <f>SUM(AR202:AR204)</f>
        <v>37.5</v>
      </c>
      <c r="AS205" s="25">
        <f t="shared" ref="AS205:CK205" si="30">SUM(AS202:AS204)</f>
        <v>81.578947368421055</v>
      </c>
      <c r="AT205" s="25">
        <f t="shared" si="30"/>
        <v>18.75</v>
      </c>
      <c r="AU205" s="25">
        <f t="shared" si="30"/>
        <v>96.296296296296305</v>
      </c>
      <c r="AV205" s="25">
        <f t="shared" si="30"/>
        <v>87.878787878787875</v>
      </c>
      <c r="AW205" s="25">
        <f t="shared" si="30"/>
        <v>75</v>
      </c>
      <c r="AX205" s="25">
        <f t="shared" si="30"/>
        <v>88.571428571428569</v>
      </c>
      <c r="AY205" s="25">
        <f t="shared" si="30"/>
        <v>72</v>
      </c>
      <c r="AZ205" s="25">
        <f t="shared" si="30"/>
        <v>86.956521739130423</v>
      </c>
      <c r="BA205" s="25">
        <f t="shared" si="30"/>
        <v>87.499999999999986</v>
      </c>
      <c r="BB205" s="25">
        <f t="shared" si="30"/>
        <v>79.310344827586206</v>
      </c>
      <c r="BC205" s="25">
        <f t="shared" si="30"/>
        <v>95.652173913043484</v>
      </c>
      <c r="BD205" s="25">
        <f t="shared" si="30"/>
        <v>89.285714285714278</v>
      </c>
      <c r="BE205" s="25">
        <f t="shared" si="30"/>
        <v>0</v>
      </c>
      <c r="BF205" s="25">
        <f t="shared" si="30"/>
        <v>95.454545454545439</v>
      </c>
      <c r="BG205" s="25">
        <f t="shared" si="30"/>
        <v>91.17647058823529</v>
      </c>
      <c r="BH205" s="25">
        <f t="shared" si="30"/>
        <v>88.461538461538453</v>
      </c>
      <c r="BI205" s="25">
        <f t="shared" si="30"/>
        <v>100</v>
      </c>
      <c r="BJ205" s="25">
        <f t="shared" si="30"/>
        <v>62.5</v>
      </c>
      <c r="BK205" s="25">
        <f t="shared" si="30"/>
        <v>97.222222222222214</v>
      </c>
      <c r="BL205" s="25">
        <f t="shared" si="30"/>
        <v>70.370370370370367</v>
      </c>
      <c r="BM205" s="25">
        <f t="shared" si="30"/>
        <v>93.548387096774192</v>
      </c>
      <c r="BN205" s="25">
        <f t="shared" si="30"/>
        <v>67.647058823529406</v>
      </c>
      <c r="BO205" s="25">
        <f t="shared" si="30"/>
        <v>93.181818181818173</v>
      </c>
      <c r="BP205" s="25">
        <f t="shared" si="30"/>
        <v>79.310344827586206</v>
      </c>
      <c r="BQ205" s="25">
        <f t="shared" si="30"/>
        <v>86.111111111111114</v>
      </c>
      <c r="BR205" s="25">
        <f t="shared" si="30"/>
        <v>100</v>
      </c>
      <c r="BS205" s="25">
        <f t="shared" si="30"/>
        <v>76</v>
      </c>
      <c r="BT205" s="25">
        <f t="shared" si="30"/>
        <v>8.5106382978723403</v>
      </c>
      <c r="BU205" s="25">
        <f t="shared" si="30"/>
        <v>50</v>
      </c>
      <c r="BV205" s="25">
        <f t="shared" si="30"/>
        <v>92</v>
      </c>
      <c r="BW205" s="25">
        <f t="shared" si="30"/>
        <v>80</v>
      </c>
      <c r="BX205" s="25">
        <f t="shared" si="30"/>
        <v>89.189189189189193</v>
      </c>
      <c r="BY205" s="25">
        <f t="shared" si="30"/>
        <v>74.999999999999986</v>
      </c>
      <c r="BZ205" s="25">
        <f t="shared" si="30"/>
        <v>82.222222222222214</v>
      </c>
      <c r="CA205" s="25">
        <f t="shared" si="30"/>
        <v>65.78947368421052</v>
      </c>
      <c r="CB205" s="25">
        <f t="shared" si="30"/>
        <v>54.166666666666664</v>
      </c>
      <c r="CC205" s="25">
        <f t="shared" si="30"/>
        <v>87.2340425531915</v>
      </c>
      <c r="CD205" s="25">
        <f t="shared" si="30"/>
        <v>75</v>
      </c>
      <c r="CE205" s="25">
        <f t="shared" si="30"/>
        <v>80.555555555555557</v>
      </c>
      <c r="CF205" s="25">
        <f t="shared" si="30"/>
        <v>87.5</v>
      </c>
      <c r="CG205" s="25">
        <f t="shared" si="30"/>
        <v>77.777777777777771</v>
      </c>
      <c r="CH205" s="25">
        <f t="shared" si="30"/>
        <v>83.333333333333329</v>
      </c>
      <c r="CI205" s="25">
        <f t="shared" si="30"/>
        <v>38.235294117647058</v>
      </c>
      <c r="CJ205" s="25">
        <f t="shared" si="30"/>
        <v>92.5</v>
      </c>
      <c r="CK205" s="25">
        <f t="shared" si="30"/>
        <v>80.434782608695642</v>
      </c>
    </row>
    <row r="206" spans="1:89" x14ac:dyDescent="0.25">
      <c r="A206" t="s">
        <v>205</v>
      </c>
      <c r="B206" s="25">
        <f t="shared" ref="B206:N206" si="31">MAX(B198:B200,B202:B204)</f>
        <v>42.222222222222221</v>
      </c>
      <c r="C206" s="25">
        <f t="shared" si="31"/>
        <v>57.894736842105267</v>
      </c>
      <c r="D206" s="25">
        <f t="shared" si="31"/>
        <v>55.555555555555557</v>
      </c>
      <c r="E206" s="25">
        <f t="shared" si="31"/>
        <v>87.878787878787875</v>
      </c>
      <c r="F206" s="25">
        <f t="shared" si="31"/>
        <v>65.957446808510639</v>
      </c>
      <c r="G206" s="25">
        <f t="shared" si="31"/>
        <v>50</v>
      </c>
      <c r="H206" s="25">
        <f t="shared" si="31"/>
        <v>34.782608695652172</v>
      </c>
      <c r="I206" s="25">
        <f t="shared" si="31"/>
        <v>61.111111111111114</v>
      </c>
      <c r="J206" s="25">
        <f t="shared" si="31"/>
        <v>47.916666666666671</v>
      </c>
      <c r="K206" s="25">
        <f t="shared" si="31"/>
        <v>41.935483870967744</v>
      </c>
      <c r="L206" s="25">
        <f t="shared" si="31"/>
        <v>77.083333333333343</v>
      </c>
      <c r="M206" s="25">
        <f t="shared" si="31"/>
        <v>62.5</v>
      </c>
      <c r="N206" s="25">
        <f t="shared" si="31"/>
        <v>73.076923076923066</v>
      </c>
      <c r="O206" s="25">
        <f t="shared" ref="O206:AQ206" si="32">MAX(O198:O200,O202:O204)</f>
        <v>62.5</v>
      </c>
      <c r="P206" s="25">
        <f t="shared" si="32"/>
        <v>77.142857142857153</v>
      </c>
      <c r="Q206" s="25">
        <f t="shared" si="32"/>
        <v>75</v>
      </c>
      <c r="R206" s="25">
        <f t="shared" si="32"/>
        <v>47.058823529411761</v>
      </c>
      <c r="S206" s="25">
        <f t="shared" si="32"/>
        <v>43.243243243243242</v>
      </c>
      <c r="T206" s="25">
        <f t="shared" si="32"/>
        <v>60</v>
      </c>
      <c r="U206" s="25">
        <f t="shared" si="32"/>
        <v>82.222222222222214</v>
      </c>
      <c r="V206" s="25">
        <f t="shared" si="32"/>
        <v>54.166666666666664</v>
      </c>
      <c r="W206" s="25">
        <f t="shared" si="32"/>
        <v>75</v>
      </c>
      <c r="X206" s="25">
        <f t="shared" si="32"/>
        <v>79.166666666666657</v>
      </c>
      <c r="Y206" s="25">
        <f t="shared" si="32"/>
        <v>65.714285714285708</v>
      </c>
      <c r="Z206" s="25">
        <f t="shared" si="32"/>
        <v>94.285714285714278</v>
      </c>
      <c r="AA206" s="25">
        <f t="shared" si="32"/>
        <v>90</v>
      </c>
      <c r="AB206" s="25">
        <f t="shared" si="32"/>
        <v>66.666666666666657</v>
      </c>
      <c r="AC206" s="25">
        <f t="shared" si="32"/>
        <v>74.468085106382972</v>
      </c>
      <c r="AD206" s="25">
        <f t="shared" si="32"/>
        <v>81.081081081081081</v>
      </c>
      <c r="AE206" s="25">
        <f t="shared" si="32"/>
        <v>92.857142857142861</v>
      </c>
      <c r="AF206" s="25">
        <f t="shared" si="32"/>
        <v>73.170731707317074</v>
      </c>
      <c r="AG206" s="25">
        <f t="shared" si="32"/>
        <v>76.08695652173914</v>
      </c>
      <c r="AH206" s="25">
        <f t="shared" si="32"/>
        <v>90.909090909090907</v>
      </c>
      <c r="AI206" s="25">
        <f t="shared" si="32"/>
        <v>62.162162162162161</v>
      </c>
      <c r="AJ206" s="25">
        <f t="shared" si="32"/>
        <v>54.054054054054056</v>
      </c>
      <c r="AK206" s="25">
        <f t="shared" si="32"/>
        <v>76.666666666666671</v>
      </c>
      <c r="AL206" s="25">
        <f t="shared" si="32"/>
        <v>65.217391304347828</v>
      </c>
      <c r="AM206" s="25">
        <f t="shared" si="32"/>
        <v>94.594594594594597</v>
      </c>
      <c r="AN206" s="25">
        <f t="shared" si="32"/>
        <v>82.5</v>
      </c>
      <c r="AO206" s="25">
        <f t="shared" si="32"/>
        <v>50</v>
      </c>
      <c r="AP206" s="25">
        <f t="shared" si="32"/>
        <v>88.888888888888886</v>
      </c>
      <c r="AQ206" s="25">
        <f t="shared" si="32"/>
        <v>66.666666666666657</v>
      </c>
      <c r="AR206" s="25">
        <f>MAX(AR198:AR200,AR202:AR204)</f>
        <v>43.75</v>
      </c>
      <c r="AS206" s="25">
        <f t="shared" ref="AS206:CK206" si="33">MAX(AS198:AS200,AS202:AS204)</f>
        <v>65.789473684210535</v>
      </c>
      <c r="AT206" s="25">
        <f t="shared" si="33"/>
        <v>78.125</v>
      </c>
      <c r="AU206" s="25">
        <f t="shared" si="33"/>
        <v>85.18518518518519</v>
      </c>
      <c r="AV206" s="25">
        <f t="shared" si="33"/>
        <v>87.878787878787875</v>
      </c>
      <c r="AW206" s="25">
        <f t="shared" si="33"/>
        <v>64.583333333333343</v>
      </c>
      <c r="AX206" s="25">
        <f t="shared" si="33"/>
        <v>88.571428571428569</v>
      </c>
      <c r="AY206" s="25">
        <f t="shared" si="33"/>
        <v>72</v>
      </c>
      <c r="AZ206" s="25">
        <f t="shared" si="33"/>
        <v>73.91304347826086</v>
      </c>
      <c r="BA206" s="25">
        <f t="shared" si="33"/>
        <v>79.166666666666657</v>
      </c>
      <c r="BB206" s="25">
        <f t="shared" si="33"/>
        <v>79.310344827586206</v>
      </c>
      <c r="BC206" s="25">
        <f t="shared" si="33"/>
        <v>95.652173913043484</v>
      </c>
      <c r="BD206" s="25">
        <f t="shared" si="33"/>
        <v>82.142857142857139</v>
      </c>
      <c r="BE206" s="25">
        <f t="shared" si="33"/>
        <v>100</v>
      </c>
      <c r="BF206" s="25">
        <f t="shared" si="33"/>
        <v>93.181818181818173</v>
      </c>
      <c r="BG206" s="25">
        <f t="shared" si="33"/>
        <v>76.470588235294116</v>
      </c>
      <c r="BH206" s="25">
        <f t="shared" si="33"/>
        <v>69.230769230769226</v>
      </c>
      <c r="BI206" s="25">
        <f t="shared" si="33"/>
        <v>96.666666666666671</v>
      </c>
      <c r="BJ206" s="25">
        <f t="shared" si="33"/>
        <v>50</v>
      </c>
      <c r="BK206" s="25">
        <f t="shared" si="33"/>
        <v>94.444444444444443</v>
      </c>
      <c r="BL206" s="25">
        <f t="shared" si="33"/>
        <v>59.259259259259252</v>
      </c>
      <c r="BM206" s="25">
        <f t="shared" si="33"/>
        <v>87.096774193548384</v>
      </c>
      <c r="BN206" s="25">
        <f t="shared" si="33"/>
        <v>64.705882352941174</v>
      </c>
      <c r="BO206" s="25">
        <f t="shared" si="33"/>
        <v>93.181818181818173</v>
      </c>
      <c r="BP206" s="25">
        <f t="shared" si="33"/>
        <v>65.517241379310349</v>
      </c>
      <c r="BQ206" s="25">
        <f t="shared" si="33"/>
        <v>80.555555555555557</v>
      </c>
      <c r="BR206" s="25">
        <f t="shared" si="33"/>
        <v>100</v>
      </c>
      <c r="BS206" s="25">
        <f t="shared" si="33"/>
        <v>56.000000000000007</v>
      </c>
      <c r="BT206" s="25">
        <f t="shared" si="33"/>
        <v>65.957446808510639</v>
      </c>
      <c r="BU206" s="25">
        <f t="shared" si="33"/>
        <v>47.727272727272727</v>
      </c>
      <c r="BV206" s="25">
        <f t="shared" si="33"/>
        <v>88</v>
      </c>
      <c r="BW206" s="25">
        <f t="shared" si="33"/>
        <v>64</v>
      </c>
      <c r="BX206" s="25">
        <f t="shared" si="33"/>
        <v>72.972972972972968</v>
      </c>
      <c r="BY206" s="25">
        <f t="shared" si="33"/>
        <v>66.666666666666657</v>
      </c>
      <c r="BZ206" s="25">
        <f t="shared" si="33"/>
        <v>82.222222222222214</v>
      </c>
      <c r="CA206" s="25">
        <f t="shared" si="33"/>
        <v>60.526315789473685</v>
      </c>
      <c r="CB206" s="25">
        <f t="shared" si="33"/>
        <v>45.833333333333329</v>
      </c>
      <c r="CC206" s="25">
        <f t="shared" si="33"/>
        <v>76.59574468085107</v>
      </c>
      <c r="CD206" s="25">
        <f t="shared" si="33"/>
        <v>75</v>
      </c>
      <c r="CE206" s="25">
        <f t="shared" si="33"/>
        <v>77.777777777777786</v>
      </c>
      <c r="CF206" s="25">
        <f t="shared" si="33"/>
        <v>59.375</v>
      </c>
      <c r="CG206" s="25">
        <f t="shared" si="33"/>
        <v>70.370370370370367</v>
      </c>
      <c r="CH206" s="25">
        <f t="shared" si="33"/>
        <v>80.952380952380949</v>
      </c>
      <c r="CI206" s="25">
        <f t="shared" si="33"/>
        <v>50</v>
      </c>
      <c r="CJ206" s="25">
        <f t="shared" si="33"/>
        <v>85</v>
      </c>
      <c r="CK206" s="25">
        <f t="shared" si="33"/>
        <v>73.91304347826086</v>
      </c>
    </row>
    <row r="207" spans="1:89" x14ac:dyDescent="0.25">
      <c r="A207" t="s">
        <v>198</v>
      </c>
      <c r="B207" s="25">
        <v>50</v>
      </c>
      <c r="C207" s="25">
        <f>(5/24)*100</f>
        <v>20.833333333333336</v>
      </c>
      <c r="D207" s="25">
        <f t="shared" ref="D207:N207" si="34">(D210/24)*100</f>
        <v>4.1666666666666661</v>
      </c>
      <c r="E207" s="25">
        <f t="shared" si="34"/>
        <v>83.333333333333343</v>
      </c>
      <c r="F207" s="25">
        <f t="shared" si="34"/>
        <v>41.666666666666671</v>
      </c>
      <c r="G207" s="25">
        <f t="shared" si="34"/>
        <v>25</v>
      </c>
      <c r="H207" s="25">
        <f t="shared" si="34"/>
        <v>29.166666666666668</v>
      </c>
      <c r="I207" s="25">
        <f t="shared" si="34"/>
        <v>12.5</v>
      </c>
      <c r="J207" s="25">
        <f t="shared" si="34"/>
        <v>29.166666666666668</v>
      </c>
      <c r="K207" s="25">
        <f t="shared" si="34"/>
        <v>37.5</v>
      </c>
      <c r="L207" s="25">
        <f t="shared" si="34"/>
        <v>29.166666666666668</v>
      </c>
      <c r="M207" s="25">
        <f t="shared" si="34"/>
        <v>16.666666666666664</v>
      </c>
      <c r="N207" s="25">
        <f t="shared" si="34"/>
        <v>29.166666666666668</v>
      </c>
      <c r="O207" s="25">
        <f t="shared" ref="O207:AQ207" si="35">(O210/24)*100</f>
        <v>20.833333333333336</v>
      </c>
      <c r="P207" s="25">
        <f t="shared" si="35"/>
        <v>16.666666666666664</v>
      </c>
      <c r="Q207" s="25">
        <f t="shared" si="35"/>
        <v>29.166666666666668</v>
      </c>
      <c r="R207" s="25">
        <f t="shared" si="35"/>
        <v>12.5</v>
      </c>
      <c r="S207" s="25">
        <f t="shared" si="35"/>
        <v>8.3333333333333321</v>
      </c>
      <c r="T207" s="25">
        <f t="shared" si="35"/>
        <v>16.666666666666664</v>
      </c>
      <c r="U207" s="25">
        <f t="shared" si="35"/>
        <v>41.666666666666671</v>
      </c>
      <c r="V207" s="25">
        <f t="shared" si="35"/>
        <v>8.3333333333333321</v>
      </c>
      <c r="W207" s="25">
        <f t="shared" si="35"/>
        <v>66.666666666666657</v>
      </c>
      <c r="X207" s="25">
        <f t="shared" si="35"/>
        <v>12.5</v>
      </c>
      <c r="Y207" s="25">
        <f t="shared" si="35"/>
        <v>8.3333333333333321</v>
      </c>
      <c r="Z207" s="25">
        <f t="shared" si="35"/>
        <v>54.166666666666664</v>
      </c>
      <c r="AA207" s="25">
        <f t="shared" si="35"/>
        <v>37.5</v>
      </c>
      <c r="AB207" s="25">
        <f t="shared" si="35"/>
        <v>29.166666666666668</v>
      </c>
      <c r="AC207" s="25">
        <f t="shared" si="35"/>
        <v>33.333333333333329</v>
      </c>
      <c r="AD207" s="25">
        <f t="shared" si="35"/>
        <v>25</v>
      </c>
      <c r="AE207" s="25">
        <f t="shared" si="35"/>
        <v>33.333333333333329</v>
      </c>
      <c r="AF207" s="25">
        <f t="shared" si="35"/>
        <v>29.166666666666668</v>
      </c>
      <c r="AG207" s="25">
        <f t="shared" si="35"/>
        <v>16.666666666666664</v>
      </c>
      <c r="AH207" s="25">
        <f t="shared" si="35"/>
        <v>29.166666666666668</v>
      </c>
      <c r="AI207" s="25">
        <f t="shared" si="35"/>
        <v>4.1666666666666661</v>
      </c>
      <c r="AJ207" s="25">
        <f t="shared" si="35"/>
        <v>16.666666666666664</v>
      </c>
      <c r="AK207" s="25">
        <f t="shared" si="35"/>
        <v>20.833333333333336</v>
      </c>
      <c r="AL207" s="25">
        <f t="shared" si="35"/>
        <v>33.333333333333329</v>
      </c>
      <c r="AM207" s="25">
        <f t="shared" si="35"/>
        <v>41.666666666666671</v>
      </c>
      <c r="AN207" s="25">
        <f t="shared" si="35"/>
        <v>62.5</v>
      </c>
      <c r="AO207" s="25">
        <f t="shared" si="35"/>
        <v>8.3333333333333321</v>
      </c>
      <c r="AP207" s="25">
        <f t="shared" si="35"/>
        <v>25</v>
      </c>
      <c r="AQ207" s="25">
        <f t="shared" si="35"/>
        <v>0</v>
      </c>
      <c r="AR207" s="25">
        <f>(AR210/24)*100</f>
        <v>25</v>
      </c>
      <c r="AS207" s="25">
        <f t="shared" ref="AS207:CK207" si="36">(AS210/24)*100</f>
        <v>8.3333333333333321</v>
      </c>
      <c r="AT207" s="25">
        <f t="shared" si="36"/>
        <v>12.5</v>
      </c>
      <c r="AU207" s="25">
        <f t="shared" si="36"/>
        <v>45.833333333333329</v>
      </c>
      <c r="AV207" s="25">
        <f t="shared" si="36"/>
        <v>66.666666666666657</v>
      </c>
      <c r="AW207" s="25">
        <f t="shared" si="36"/>
        <v>29.166666666666668</v>
      </c>
      <c r="AX207" s="25">
        <f t="shared" si="36"/>
        <v>50</v>
      </c>
      <c r="AY207" s="25">
        <f t="shared" si="36"/>
        <v>4.1666666666666661</v>
      </c>
      <c r="AZ207" s="25">
        <f t="shared" si="36"/>
        <v>54.166666666666664</v>
      </c>
      <c r="BA207" s="25">
        <f t="shared" si="36"/>
        <v>20.833333333333336</v>
      </c>
      <c r="BB207" s="25">
        <f t="shared" si="36"/>
        <v>25</v>
      </c>
      <c r="BC207" s="25">
        <f t="shared" si="36"/>
        <v>41.666666666666671</v>
      </c>
      <c r="BD207" s="25">
        <f t="shared" si="36"/>
        <v>29.166666666666668</v>
      </c>
      <c r="BE207" s="25">
        <f t="shared" si="36"/>
        <v>0</v>
      </c>
      <c r="BF207" s="25">
        <f t="shared" si="36"/>
        <v>50</v>
      </c>
      <c r="BG207" s="25">
        <f t="shared" si="36"/>
        <v>37.5</v>
      </c>
      <c r="BH207" s="25">
        <f t="shared" si="36"/>
        <v>29.166666666666668</v>
      </c>
      <c r="BI207" s="25">
        <f t="shared" si="36"/>
        <v>33.333333333333329</v>
      </c>
      <c r="BJ207" s="25">
        <f t="shared" si="36"/>
        <v>16.666666666666664</v>
      </c>
      <c r="BK207" s="25">
        <f t="shared" si="36"/>
        <v>37.5</v>
      </c>
      <c r="BL207" s="25">
        <f t="shared" si="36"/>
        <v>8.3333333333333321</v>
      </c>
      <c r="BM207" s="25">
        <f t="shared" si="36"/>
        <v>45.833333333333329</v>
      </c>
      <c r="BN207" s="25">
        <f t="shared" si="36"/>
        <v>16.666666666666664</v>
      </c>
      <c r="BO207" s="25">
        <f t="shared" si="36"/>
        <v>41.666666666666671</v>
      </c>
      <c r="BP207" s="25">
        <f t="shared" si="36"/>
        <v>33.333333333333329</v>
      </c>
      <c r="BQ207" s="25">
        <f t="shared" si="36"/>
        <v>33.333333333333329</v>
      </c>
      <c r="BR207" s="25">
        <f t="shared" si="36"/>
        <v>66.666666666666657</v>
      </c>
      <c r="BS207" s="25">
        <f t="shared" si="36"/>
        <v>25</v>
      </c>
      <c r="BT207" s="25">
        <f t="shared" si="36"/>
        <v>8.3333333333333321</v>
      </c>
      <c r="BU207" s="25">
        <f t="shared" si="36"/>
        <v>25</v>
      </c>
      <c r="BV207" s="25">
        <f t="shared" si="36"/>
        <v>8.3333333333333321</v>
      </c>
      <c r="BW207" s="25">
        <f t="shared" si="36"/>
        <v>41.666666666666671</v>
      </c>
      <c r="BX207" s="25">
        <f t="shared" si="36"/>
        <v>25</v>
      </c>
      <c r="BY207" s="25">
        <f t="shared" si="36"/>
        <v>20.833333333333336</v>
      </c>
      <c r="BZ207" s="25">
        <f t="shared" si="36"/>
        <v>41.666666666666671</v>
      </c>
      <c r="CA207" s="25">
        <f t="shared" si="36"/>
        <v>20.833333333333336</v>
      </c>
      <c r="CB207" s="25">
        <f t="shared" si="36"/>
        <v>12.5</v>
      </c>
      <c r="CC207" s="25">
        <f t="shared" si="36"/>
        <v>45.833333333333329</v>
      </c>
      <c r="CD207" s="25">
        <f t="shared" si="36"/>
        <v>20.833333333333336</v>
      </c>
      <c r="CE207" s="25">
        <f t="shared" si="36"/>
        <v>20.833333333333336</v>
      </c>
      <c r="CF207" s="25">
        <f t="shared" si="36"/>
        <v>66.666666666666657</v>
      </c>
      <c r="CG207" s="25">
        <f t="shared" si="36"/>
        <v>50</v>
      </c>
      <c r="CH207" s="25">
        <f t="shared" si="36"/>
        <v>41.666666666666671</v>
      </c>
      <c r="CI207" s="25">
        <f t="shared" si="36"/>
        <v>8.3333333333333321</v>
      </c>
      <c r="CJ207" s="25">
        <f t="shared" si="36"/>
        <v>29.166666666666668</v>
      </c>
      <c r="CK207" s="25">
        <f t="shared" si="36"/>
        <v>25</v>
      </c>
    </row>
    <row r="208" spans="1:89" x14ac:dyDescent="0.25">
      <c r="A208" t="s">
        <v>204</v>
      </c>
      <c r="B208" s="25">
        <f>(9/24)*100</f>
        <v>37.5</v>
      </c>
      <c r="C208" s="25">
        <f>(16/24)*100</f>
        <v>66.666666666666657</v>
      </c>
      <c r="D208" s="25">
        <f t="shared" ref="D208:N208" si="37">(MAX(D210:D213)/24)*100</f>
        <v>75</v>
      </c>
      <c r="E208" s="25">
        <f t="shared" si="37"/>
        <v>83.333333333333343</v>
      </c>
      <c r="F208" s="25">
        <f t="shared" si="37"/>
        <v>41.666666666666671</v>
      </c>
      <c r="G208" s="25">
        <f t="shared" si="37"/>
        <v>37.5</v>
      </c>
      <c r="H208" s="25">
        <f t="shared" si="37"/>
        <v>58.333333333333336</v>
      </c>
      <c r="I208" s="25">
        <f t="shared" si="37"/>
        <v>83.333333333333343</v>
      </c>
      <c r="J208" s="25">
        <f t="shared" si="37"/>
        <v>58.333333333333336</v>
      </c>
      <c r="K208" s="25">
        <f t="shared" si="37"/>
        <v>45.833333333333329</v>
      </c>
      <c r="L208" s="25">
        <f t="shared" si="37"/>
        <v>29.166666666666668</v>
      </c>
      <c r="M208" s="25">
        <f t="shared" si="37"/>
        <v>62.5</v>
      </c>
      <c r="N208" s="25">
        <f t="shared" si="37"/>
        <v>33.333333333333329</v>
      </c>
      <c r="O208" s="25">
        <f t="shared" ref="O208:AQ208" si="38">(MAX(O210:O213)/24)*100</f>
        <v>79.166666666666657</v>
      </c>
      <c r="P208" s="25">
        <f t="shared" si="38"/>
        <v>33.333333333333329</v>
      </c>
      <c r="Q208" s="25">
        <f t="shared" si="38"/>
        <v>37.5</v>
      </c>
      <c r="R208" s="25">
        <f t="shared" si="38"/>
        <v>79.166666666666657</v>
      </c>
      <c r="S208" s="25">
        <f t="shared" si="38"/>
        <v>83.333333333333343</v>
      </c>
      <c r="T208" s="25">
        <f t="shared" si="38"/>
        <v>37.5</v>
      </c>
      <c r="U208" s="25">
        <f t="shared" si="38"/>
        <v>45.833333333333329</v>
      </c>
      <c r="V208" s="25">
        <f t="shared" si="38"/>
        <v>58.333333333333336</v>
      </c>
      <c r="W208" s="25">
        <f t="shared" si="38"/>
        <v>66.666666666666657</v>
      </c>
      <c r="X208" s="25">
        <f t="shared" si="38"/>
        <v>79.166666666666657</v>
      </c>
      <c r="Y208" s="25">
        <f t="shared" si="38"/>
        <v>75</v>
      </c>
      <c r="Z208" s="25">
        <f t="shared" si="38"/>
        <v>54.166666666666664</v>
      </c>
      <c r="AA208" s="25">
        <f t="shared" si="38"/>
        <v>37.5</v>
      </c>
      <c r="AB208" s="25">
        <f t="shared" si="38"/>
        <v>45.833333333333329</v>
      </c>
      <c r="AC208" s="25">
        <f t="shared" si="38"/>
        <v>45.833333333333329</v>
      </c>
      <c r="AD208" s="25">
        <f t="shared" si="38"/>
        <v>37.5</v>
      </c>
      <c r="AE208" s="25">
        <f t="shared" si="38"/>
        <v>50</v>
      </c>
      <c r="AF208" s="25">
        <f t="shared" si="38"/>
        <v>33.333333333333329</v>
      </c>
      <c r="AG208" s="25">
        <f t="shared" si="38"/>
        <v>70.833333333333343</v>
      </c>
      <c r="AH208" s="25">
        <f t="shared" si="38"/>
        <v>50</v>
      </c>
      <c r="AI208" s="25">
        <f t="shared" si="38"/>
        <v>79.166666666666657</v>
      </c>
      <c r="AJ208" s="25">
        <f t="shared" si="38"/>
        <v>41.666666666666671</v>
      </c>
      <c r="AK208" s="25">
        <f t="shared" si="38"/>
        <v>41.666666666666671</v>
      </c>
      <c r="AL208" s="25">
        <f t="shared" si="38"/>
        <v>41.666666666666671</v>
      </c>
      <c r="AM208" s="25">
        <f t="shared" si="38"/>
        <v>41.666666666666671</v>
      </c>
      <c r="AN208" s="25">
        <f t="shared" si="38"/>
        <v>62.5</v>
      </c>
      <c r="AO208" s="25">
        <f t="shared" si="38"/>
        <v>50</v>
      </c>
      <c r="AP208" s="25">
        <f t="shared" si="38"/>
        <v>37.5</v>
      </c>
      <c r="AQ208" s="25">
        <f t="shared" si="38"/>
        <v>54.166666666666664</v>
      </c>
      <c r="AR208" s="25">
        <f>(MAX(AR210:AR213)/24)*100</f>
        <v>41.666666666666671</v>
      </c>
      <c r="AS208" s="25">
        <f t="shared" ref="AS208:CK208" si="39">(MAX(AS210:AS213)/24)*100</f>
        <v>87.5</v>
      </c>
      <c r="AT208" s="25">
        <f t="shared" si="39"/>
        <v>45.833333333333329</v>
      </c>
      <c r="AU208" s="25">
        <f t="shared" si="39"/>
        <v>45.833333333333329</v>
      </c>
      <c r="AV208" s="25">
        <f t="shared" si="39"/>
        <v>66.666666666666657</v>
      </c>
      <c r="AW208" s="25">
        <f t="shared" si="39"/>
        <v>58.333333333333336</v>
      </c>
      <c r="AX208" s="25">
        <f t="shared" si="39"/>
        <v>50</v>
      </c>
      <c r="AY208" s="25">
        <f t="shared" si="39"/>
        <v>87.5</v>
      </c>
      <c r="AZ208" s="25">
        <f t="shared" si="39"/>
        <v>54.166666666666664</v>
      </c>
      <c r="BA208" s="25">
        <f t="shared" si="39"/>
        <v>70.833333333333343</v>
      </c>
      <c r="BB208" s="25">
        <f t="shared" si="39"/>
        <v>37.5</v>
      </c>
      <c r="BC208" s="25">
        <f t="shared" si="39"/>
        <v>41.666666666666671</v>
      </c>
      <c r="BD208" s="25">
        <f t="shared" si="39"/>
        <v>58.333333333333336</v>
      </c>
      <c r="BE208" s="25">
        <f t="shared" si="39"/>
        <v>75</v>
      </c>
      <c r="BF208" s="25">
        <f t="shared" si="39"/>
        <v>50</v>
      </c>
      <c r="BG208" s="25">
        <f t="shared" si="39"/>
        <v>41.666666666666671</v>
      </c>
      <c r="BH208" s="25">
        <f t="shared" si="39"/>
        <v>70.833333333333343</v>
      </c>
      <c r="BI208" s="25">
        <f t="shared" si="39"/>
        <v>45.833333333333329</v>
      </c>
      <c r="BJ208" s="25">
        <f t="shared" si="39"/>
        <v>75</v>
      </c>
      <c r="BK208" s="25">
        <f t="shared" si="39"/>
        <v>58.333333333333336</v>
      </c>
      <c r="BL208" s="25">
        <f t="shared" si="39"/>
        <v>83.333333333333343</v>
      </c>
      <c r="BM208" s="25">
        <f t="shared" si="39"/>
        <v>45.833333333333329</v>
      </c>
      <c r="BN208" s="25">
        <f t="shared" si="39"/>
        <v>45.833333333333329</v>
      </c>
      <c r="BO208" s="25">
        <f t="shared" si="39"/>
        <v>41.666666666666671</v>
      </c>
      <c r="BP208" s="25">
        <f t="shared" si="39"/>
        <v>33.333333333333329</v>
      </c>
      <c r="BQ208" s="25">
        <f t="shared" si="39"/>
        <v>41.666666666666671</v>
      </c>
      <c r="BR208" s="25">
        <f t="shared" si="39"/>
        <v>66.666666666666657</v>
      </c>
      <c r="BS208" s="25">
        <f t="shared" si="39"/>
        <v>75</v>
      </c>
      <c r="BT208" s="25">
        <f t="shared" si="39"/>
        <v>70.833333333333343</v>
      </c>
      <c r="BU208" s="25">
        <f t="shared" si="39"/>
        <v>50</v>
      </c>
      <c r="BV208" s="25">
        <f t="shared" si="39"/>
        <v>83.333333333333343</v>
      </c>
      <c r="BW208" s="25">
        <f t="shared" si="39"/>
        <v>41.666666666666671</v>
      </c>
      <c r="BX208" s="25">
        <f t="shared" si="39"/>
        <v>45.833333333333329</v>
      </c>
      <c r="BY208" s="25">
        <f t="shared" si="39"/>
        <v>50</v>
      </c>
      <c r="BZ208" s="25">
        <f t="shared" si="39"/>
        <v>41.666666666666671</v>
      </c>
      <c r="CA208" s="25">
        <f t="shared" si="39"/>
        <v>41.666666666666671</v>
      </c>
      <c r="CB208" s="25">
        <f t="shared" si="39"/>
        <v>66.666666666666657</v>
      </c>
      <c r="CC208" s="25">
        <f t="shared" si="39"/>
        <v>50</v>
      </c>
      <c r="CD208" s="25">
        <f t="shared" si="39"/>
        <v>50</v>
      </c>
      <c r="CE208" s="25">
        <f t="shared" si="39"/>
        <v>33.333333333333329</v>
      </c>
      <c r="CF208" s="25">
        <f t="shared" si="39"/>
        <v>66.666666666666657</v>
      </c>
      <c r="CG208" s="25">
        <f t="shared" si="39"/>
        <v>50</v>
      </c>
      <c r="CH208" s="25">
        <f t="shared" si="39"/>
        <v>41.666666666666671</v>
      </c>
      <c r="CI208" s="25">
        <f t="shared" si="39"/>
        <v>41.666666666666671</v>
      </c>
      <c r="CJ208" s="25">
        <f t="shared" si="39"/>
        <v>33.333333333333329</v>
      </c>
      <c r="CK208" s="25">
        <f t="shared" si="39"/>
        <v>41.666666666666671</v>
      </c>
    </row>
    <row r="209" spans="1:89" x14ac:dyDescent="0.25">
      <c r="B209" t="s">
        <v>226</v>
      </c>
    </row>
    <row r="210" spans="1:89" x14ac:dyDescent="0.25">
      <c r="A210" s="21" t="s">
        <v>219</v>
      </c>
      <c r="B210">
        <f>COUNTIF($B$170:$B$193,A210)</f>
        <v>6</v>
      </c>
      <c r="C210">
        <f>COUNTIF($C$170:$C$193,$A$210)</f>
        <v>5</v>
      </c>
      <c r="D210">
        <f>COUNTIF($D$170:$D$193,A210)</f>
        <v>1</v>
      </c>
      <c r="E210">
        <f>COUNTIF($E$170:$E$193,A210)</f>
        <v>20</v>
      </c>
      <c r="F210">
        <f>COUNTIF($F$170:$F$193,A210)</f>
        <v>10</v>
      </c>
      <c r="G210">
        <f>COUNTIF($G$170:$G$193,A210)</f>
        <v>6</v>
      </c>
      <c r="H210">
        <f>COUNTIF($H$170:$H$193,A210)</f>
        <v>7</v>
      </c>
      <c r="I210">
        <f>COUNTIF($I$170:$I$193,A210)</f>
        <v>3</v>
      </c>
      <c r="J210">
        <f>COUNTIF($J$170:$J$193,A210)</f>
        <v>7</v>
      </c>
      <c r="K210">
        <f>COUNTIF($K$170:$K$193,A210)</f>
        <v>9</v>
      </c>
      <c r="L210">
        <f>COUNTIF($L$170:$L$193,A210)</f>
        <v>7</v>
      </c>
      <c r="M210">
        <f>COUNTIF(M$170:M$193,$A210)</f>
        <v>4</v>
      </c>
      <c r="N210">
        <f>COUNTIF(N$170:N$193,$A210)</f>
        <v>7</v>
      </c>
      <c r="O210">
        <f t="shared" ref="O210:AQ213" si="40">COUNTIF(O$170:O$193,$A210)</f>
        <v>5</v>
      </c>
      <c r="P210">
        <f t="shared" si="40"/>
        <v>4</v>
      </c>
      <c r="Q210">
        <f t="shared" si="40"/>
        <v>7</v>
      </c>
      <c r="R210">
        <f t="shared" si="40"/>
        <v>3</v>
      </c>
      <c r="S210">
        <f t="shared" si="40"/>
        <v>2</v>
      </c>
      <c r="T210">
        <f t="shared" si="40"/>
        <v>4</v>
      </c>
      <c r="U210">
        <f t="shared" si="40"/>
        <v>10</v>
      </c>
      <c r="V210">
        <f t="shared" si="40"/>
        <v>2</v>
      </c>
      <c r="W210">
        <f t="shared" si="40"/>
        <v>16</v>
      </c>
      <c r="X210">
        <f t="shared" si="40"/>
        <v>3</v>
      </c>
      <c r="Y210">
        <f t="shared" si="40"/>
        <v>2</v>
      </c>
      <c r="Z210">
        <f t="shared" si="40"/>
        <v>13</v>
      </c>
      <c r="AA210">
        <f t="shared" si="40"/>
        <v>9</v>
      </c>
      <c r="AB210">
        <f t="shared" si="40"/>
        <v>7</v>
      </c>
      <c r="AC210">
        <f t="shared" si="40"/>
        <v>8</v>
      </c>
      <c r="AD210">
        <f t="shared" si="40"/>
        <v>6</v>
      </c>
      <c r="AE210">
        <f t="shared" si="40"/>
        <v>8</v>
      </c>
      <c r="AF210">
        <f t="shared" si="40"/>
        <v>7</v>
      </c>
      <c r="AG210">
        <f t="shared" si="40"/>
        <v>4</v>
      </c>
      <c r="AH210">
        <f t="shared" si="40"/>
        <v>7</v>
      </c>
      <c r="AI210">
        <f t="shared" si="40"/>
        <v>1</v>
      </c>
      <c r="AJ210">
        <f t="shared" si="40"/>
        <v>4</v>
      </c>
      <c r="AK210">
        <f t="shared" si="40"/>
        <v>5</v>
      </c>
      <c r="AL210">
        <f t="shared" si="40"/>
        <v>8</v>
      </c>
      <c r="AM210">
        <f t="shared" si="40"/>
        <v>10</v>
      </c>
      <c r="AN210">
        <f t="shared" si="40"/>
        <v>15</v>
      </c>
      <c r="AO210">
        <f t="shared" si="40"/>
        <v>2</v>
      </c>
      <c r="AP210">
        <f t="shared" si="40"/>
        <v>6</v>
      </c>
      <c r="AQ210">
        <f t="shared" si="40"/>
        <v>0</v>
      </c>
      <c r="AR210">
        <f>COUNTIF($AR$170:$AR$193,A210)</f>
        <v>6</v>
      </c>
      <c r="AS210">
        <f t="shared" ref="AS210:CK213" si="41">COUNTIF(AS$170:AS$193,$A210)</f>
        <v>2</v>
      </c>
      <c r="AT210">
        <f t="shared" si="41"/>
        <v>3</v>
      </c>
      <c r="AU210">
        <f t="shared" si="41"/>
        <v>11</v>
      </c>
      <c r="AV210">
        <f t="shared" si="41"/>
        <v>16</v>
      </c>
      <c r="AW210">
        <f t="shared" si="41"/>
        <v>7</v>
      </c>
      <c r="AX210">
        <f t="shared" si="41"/>
        <v>12</v>
      </c>
      <c r="AY210">
        <f t="shared" si="41"/>
        <v>1</v>
      </c>
      <c r="AZ210">
        <f t="shared" si="41"/>
        <v>13</v>
      </c>
      <c r="BA210">
        <f t="shared" si="41"/>
        <v>5</v>
      </c>
      <c r="BB210">
        <f t="shared" si="41"/>
        <v>6</v>
      </c>
      <c r="BC210">
        <f t="shared" si="41"/>
        <v>10</v>
      </c>
      <c r="BD210">
        <f t="shared" si="41"/>
        <v>7</v>
      </c>
      <c r="BE210">
        <f t="shared" si="41"/>
        <v>0</v>
      </c>
      <c r="BF210">
        <f t="shared" si="41"/>
        <v>12</v>
      </c>
      <c r="BG210">
        <f t="shared" si="41"/>
        <v>9</v>
      </c>
      <c r="BH210">
        <f t="shared" si="41"/>
        <v>7</v>
      </c>
      <c r="BI210">
        <f t="shared" si="41"/>
        <v>8</v>
      </c>
      <c r="BJ210">
        <f t="shared" si="41"/>
        <v>4</v>
      </c>
      <c r="BK210">
        <f t="shared" si="41"/>
        <v>9</v>
      </c>
      <c r="BL210">
        <f t="shared" si="41"/>
        <v>2</v>
      </c>
      <c r="BM210">
        <f t="shared" si="41"/>
        <v>11</v>
      </c>
      <c r="BN210">
        <f t="shared" si="41"/>
        <v>4</v>
      </c>
      <c r="BO210">
        <f t="shared" si="41"/>
        <v>10</v>
      </c>
      <c r="BP210">
        <f t="shared" si="41"/>
        <v>8</v>
      </c>
      <c r="BQ210">
        <f t="shared" si="41"/>
        <v>8</v>
      </c>
      <c r="BR210">
        <f t="shared" si="41"/>
        <v>16</v>
      </c>
      <c r="BS210">
        <f t="shared" si="41"/>
        <v>6</v>
      </c>
      <c r="BT210">
        <f t="shared" si="41"/>
        <v>2</v>
      </c>
      <c r="BU210">
        <f t="shared" si="41"/>
        <v>6</v>
      </c>
      <c r="BV210">
        <f t="shared" si="41"/>
        <v>2</v>
      </c>
      <c r="BW210">
        <f t="shared" si="41"/>
        <v>10</v>
      </c>
      <c r="BX210">
        <f t="shared" si="41"/>
        <v>6</v>
      </c>
      <c r="BY210">
        <f t="shared" si="41"/>
        <v>5</v>
      </c>
      <c r="BZ210">
        <f t="shared" si="41"/>
        <v>10</v>
      </c>
      <c r="CA210">
        <f t="shared" si="41"/>
        <v>5</v>
      </c>
      <c r="CB210">
        <f t="shared" si="41"/>
        <v>3</v>
      </c>
      <c r="CC210">
        <f t="shared" si="41"/>
        <v>11</v>
      </c>
      <c r="CD210">
        <f t="shared" si="41"/>
        <v>5</v>
      </c>
      <c r="CE210">
        <f t="shared" si="41"/>
        <v>5</v>
      </c>
      <c r="CF210">
        <f t="shared" si="41"/>
        <v>16</v>
      </c>
      <c r="CG210">
        <f t="shared" si="41"/>
        <v>12</v>
      </c>
      <c r="CH210">
        <f t="shared" si="41"/>
        <v>10</v>
      </c>
      <c r="CI210">
        <f t="shared" si="41"/>
        <v>2</v>
      </c>
      <c r="CJ210">
        <f t="shared" si="41"/>
        <v>7</v>
      </c>
      <c r="CK210">
        <f t="shared" si="41"/>
        <v>6</v>
      </c>
    </row>
    <row r="211" spans="1:89" x14ac:dyDescent="0.25">
      <c r="A211" s="21" t="s">
        <v>218</v>
      </c>
      <c r="B211">
        <f>COUNTIF($B$170:$B$193,A211)</f>
        <v>9</v>
      </c>
      <c r="C211">
        <f>COUNTIF($C$170:$C$193,A211)</f>
        <v>16</v>
      </c>
      <c r="D211">
        <f t="shared" ref="D211:D213" si="42">COUNTIF($D$170:$D$193,A211)</f>
        <v>18</v>
      </c>
      <c r="E211">
        <f t="shared" ref="E211:E213" si="43">COUNTIF($E$170:$E$193,A211)</f>
        <v>4</v>
      </c>
      <c r="F211">
        <f t="shared" ref="F211:F213" si="44">COUNTIF($F$170:$F$193,A211)</f>
        <v>8</v>
      </c>
      <c r="G211">
        <f t="shared" ref="G211:G213" si="45">COUNTIF($G$170:$G$193,A211)</f>
        <v>7</v>
      </c>
      <c r="H211">
        <f t="shared" ref="H211:H213" si="46">COUNTIF($H$170:$H$193,A211)</f>
        <v>14</v>
      </c>
      <c r="I211">
        <f t="shared" ref="I211:I213" si="47">COUNTIF($I$170:$I$193,A211)</f>
        <v>20</v>
      </c>
      <c r="J211">
        <f t="shared" ref="J211:J213" si="48">COUNTIF($J$170:$J$193,A211)</f>
        <v>3</v>
      </c>
      <c r="K211">
        <f t="shared" ref="K211:K213" si="49">COUNTIF($K$170:$K$193,A211)</f>
        <v>11</v>
      </c>
      <c r="L211">
        <f t="shared" ref="L211:L213" si="50">COUNTIF($L$170:$L$193,A211)</f>
        <v>7</v>
      </c>
      <c r="M211">
        <f t="shared" ref="M211:AB213" si="51">COUNTIF(M$170:M$193,$A211)</f>
        <v>15</v>
      </c>
      <c r="N211">
        <f t="shared" si="51"/>
        <v>8</v>
      </c>
      <c r="O211">
        <f t="shared" si="51"/>
        <v>19</v>
      </c>
      <c r="P211">
        <f t="shared" si="51"/>
        <v>8</v>
      </c>
      <c r="Q211">
        <f t="shared" si="51"/>
        <v>9</v>
      </c>
      <c r="R211">
        <f t="shared" si="51"/>
        <v>19</v>
      </c>
      <c r="S211">
        <f t="shared" si="51"/>
        <v>20</v>
      </c>
      <c r="T211">
        <f t="shared" si="51"/>
        <v>7</v>
      </c>
      <c r="U211">
        <f t="shared" si="51"/>
        <v>11</v>
      </c>
      <c r="V211">
        <f t="shared" si="51"/>
        <v>14</v>
      </c>
      <c r="W211">
        <f t="shared" si="51"/>
        <v>2</v>
      </c>
      <c r="X211">
        <f t="shared" si="51"/>
        <v>19</v>
      </c>
      <c r="Y211">
        <f t="shared" si="51"/>
        <v>18</v>
      </c>
      <c r="Z211">
        <f t="shared" si="51"/>
        <v>3</v>
      </c>
      <c r="AA211">
        <f t="shared" si="51"/>
        <v>8</v>
      </c>
      <c r="AB211">
        <f t="shared" si="51"/>
        <v>11</v>
      </c>
      <c r="AC211">
        <f t="shared" si="40"/>
        <v>11</v>
      </c>
      <c r="AD211">
        <f t="shared" si="40"/>
        <v>9</v>
      </c>
      <c r="AE211">
        <f t="shared" si="40"/>
        <v>12</v>
      </c>
      <c r="AF211">
        <f t="shared" si="40"/>
        <v>8</v>
      </c>
      <c r="AG211">
        <f t="shared" si="40"/>
        <v>17</v>
      </c>
      <c r="AH211">
        <f t="shared" si="40"/>
        <v>12</v>
      </c>
      <c r="AI211">
        <f t="shared" si="40"/>
        <v>19</v>
      </c>
      <c r="AJ211">
        <f t="shared" si="40"/>
        <v>5</v>
      </c>
      <c r="AK211">
        <f t="shared" si="40"/>
        <v>10</v>
      </c>
      <c r="AL211">
        <f t="shared" si="40"/>
        <v>3</v>
      </c>
      <c r="AM211">
        <f t="shared" si="40"/>
        <v>5</v>
      </c>
      <c r="AN211">
        <f t="shared" si="40"/>
        <v>6</v>
      </c>
      <c r="AO211">
        <f t="shared" si="40"/>
        <v>12</v>
      </c>
      <c r="AP211">
        <f t="shared" si="40"/>
        <v>9</v>
      </c>
      <c r="AQ211">
        <f t="shared" si="40"/>
        <v>11</v>
      </c>
      <c r="AR211">
        <f t="shared" ref="AR211:AR213" si="52">COUNTIF($AR$170:$AR$193,A211)</f>
        <v>10</v>
      </c>
      <c r="AS211">
        <f t="shared" si="41"/>
        <v>21</v>
      </c>
      <c r="AT211">
        <f t="shared" si="41"/>
        <v>7</v>
      </c>
      <c r="AU211">
        <f t="shared" si="41"/>
        <v>7</v>
      </c>
      <c r="AV211">
        <f t="shared" si="41"/>
        <v>7</v>
      </c>
      <c r="AW211">
        <f t="shared" si="41"/>
        <v>14</v>
      </c>
      <c r="AX211">
        <f t="shared" si="41"/>
        <v>12</v>
      </c>
      <c r="AY211">
        <f t="shared" si="41"/>
        <v>21</v>
      </c>
      <c r="AZ211">
        <f t="shared" si="41"/>
        <v>4</v>
      </c>
      <c r="BA211">
        <f t="shared" si="41"/>
        <v>17</v>
      </c>
      <c r="BB211">
        <f t="shared" si="41"/>
        <v>9</v>
      </c>
      <c r="BC211">
        <f t="shared" si="41"/>
        <v>7</v>
      </c>
      <c r="BD211">
        <f t="shared" si="41"/>
        <v>14</v>
      </c>
      <c r="BE211">
        <f t="shared" si="41"/>
        <v>5</v>
      </c>
      <c r="BF211">
        <f t="shared" si="41"/>
        <v>9</v>
      </c>
      <c r="BG211">
        <f t="shared" si="41"/>
        <v>10</v>
      </c>
      <c r="BH211">
        <f t="shared" si="41"/>
        <v>17</v>
      </c>
      <c r="BI211">
        <f t="shared" si="41"/>
        <v>11</v>
      </c>
      <c r="BJ211">
        <f t="shared" si="41"/>
        <v>18</v>
      </c>
      <c r="BK211">
        <f t="shared" si="41"/>
        <v>14</v>
      </c>
      <c r="BL211">
        <f t="shared" si="41"/>
        <v>20</v>
      </c>
      <c r="BM211">
        <f t="shared" si="41"/>
        <v>8</v>
      </c>
      <c r="BN211">
        <f t="shared" si="41"/>
        <v>7</v>
      </c>
      <c r="BO211">
        <f t="shared" si="41"/>
        <v>7</v>
      </c>
      <c r="BP211">
        <f t="shared" si="41"/>
        <v>8</v>
      </c>
      <c r="BQ211">
        <f t="shared" si="41"/>
        <v>10</v>
      </c>
      <c r="BR211">
        <f t="shared" si="41"/>
        <v>8</v>
      </c>
      <c r="BS211">
        <f t="shared" si="41"/>
        <v>18</v>
      </c>
      <c r="BT211">
        <f t="shared" si="41"/>
        <v>17</v>
      </c>
      <c r="BU211">
        <f t="shared" si="41"/>
        <v>12</v>
      </c>
      <c r="BV211">
        <f t="shared" si="41"/>
        <v>20</v>
      </c>
      <c r="BW211">
        <f t="shared" si="41"/>
        <v>10</v>
      </c>
      <c r="BX211">
        <f t="shared" si="41"/>
        <v>11</v>
      </c>
      <c r="BY211">
        <f t="shared" si="41"/>
        <v>12</v>
      </c>
      <c r="BZ211">
        <f t="shared" si="41"/>
        <v>7</v>
      </c>
      <c r="CA211">
        <f t="shared" si="41"/>
        <v>10</v>
      </c>
      <c r="CB211">
        <f t="shared" si="41"/>
        <v>4</v>
      </c>
      <c r="CC211">
        <f t="shared" si="41"/>
        <v>12</v>
      </c>
      <c r="CD211">
        <f t="shared" si="41"/>
        <v>6</v>
      </c>
      <c r="CE211">
        <f t="shared" si="41"/>
        <v>5</v>
      </c>
      <c r="CF211">
        <f t="shared" si="41"/>
        <v>4</v>
      </c>
      <c r="CG211">
        <f t="shared" si="41"/>
        <v>7</v>
      </c>
      <c r="CH211">
        <f t="shared" si="41"/>
        <v>5</v>
      </c>
      <c r="CI211">
        <f t="shared" si="41"/>
        <v>10</v>
      </c>
      <c r="CJ211">
        <f t="shared" si="41"/>
        <v>8</v>
      </c>
      <c r="CK211">
        <f t="shared" si="41"/>
        <v>10</v>
      </c>
    </row>
    <row r="212" spans="1:89" x14ac:dyDescent="0.25">
      <c r="A212" s="21" t="s">
        <v>220</v>
      </c>
      <c r="B212">
        <f>COUNTIF($B$170:$B$193,A212)</f>
        <v>5</v>
      </c>
      <c r="C212">
        <f>COUNTIF($C$170:$C$193,A212)</f>
        <v>1</v>
      </c>
      <c r="D212">
        <f t="shared" si="42"/>
        <v>1</v>
      </c>
      <c r="E212">
        <f t="shared" si="43"/>
        <v>0</v>
      </c>
      <c r="F212">
        <f t="shared" si="44"/>
        <v>6</v>
      </c>
      <c r="G212">
        <f t="shared" si="45"/>
        <v>9</v>
      </c>
      <c r="H212">
        <f t="shared" si="46"/>
        <v>1</v>
      </c>
      <c r="I212">
        <f t="shared" si="47"/>
        <v>0</v>
      </c>
      <c r="J212">
        <f t="shared" si="48"/>
        <v>14</v>
      </c>
      <c r="K212">
        <f t="shared" si="49"/>
        <v>0</v>
      </c>
      <c r="L212">
        <f t="shared" si="50"/>
        <v>4</v>
      </c>
      <c r="M212">
        <f t="shared" si="51"/>
        <v>1</v>
      </c>
      <c r="N212">
        <f t="shared" si="51"/>
        <v>4</v>
      </c>
      <c r="O212">
        <f t="shared" si="40"/>
        <v>0</v>
      </c>
      <c r="P212">
        <f t="shared" si="40"/>
        <v>4</v>
      </c>
      <c r="Q212">
        <f t="shared" si="40"/>
        <v>4</v>
      </c>
      <c r="R212">
        <f t="shared" si="40"/>
        <v>2</v>
      </c>
      <c r="S212">
        <f t="shared" si="40"/>
        <v>2</v>
      </c>
      <c r="T212">
        <f t="shared" si="40"/>
        <v>9</v>
      </c>
      <c r="U212">
        <f t="shared" si="40"/>
        <v>2</v>
      </c>
      <c r="V212">
        <f t="shared" si="40"/>
        <v>5</v>
      </c>
      <c r="W212">
        <f t="shared" si="40"/>
        <v>3</v>
      </c>
      <c r="X212">
        <f t="shared" si="40"/>
        <v>0</v>
      </c>
      <c r="Y212">
        <f t="shared" si="40"/>
        <v>2</v>
      </c>
      <c r="Z212">
        <f t="shared" si="40"/>
        <v>3</v>
      </c>
      <c r="AA212">
        <f t="shared" si="40"/>
        <v>3</v>
      </c>
      <c r="AB212">
        <f t="shared" si="40"/>
        <v>4</v>
      </c>
      <c r="AC212">
        <f t="shared" si="40"/>
        <v>1</v>
      </c>
      <c r="AD212">
        <f t="shared" si="40"/>
        <v>4</v>
      </c>
      <c r="AE212">
        <f t="shared" si="40"/>
        <v>2</v>
      </c>
      <c r="AF212">
        <f t="shared" si="40"/>
        <v>5</v>
      </c>
      <c r="AG212">
        <f t="shared" si="40"/>
        <v>0</v>
      </c>
      <c r="AH212">
        <f t="shared" si="40"/>
        <v>2</v>
      </c>
      <c r="AI212">
        <f t="shared" si="40"/>
        <v>1</v>
      </c>
      <c r="AJ212">
        <f t="shared" si="40"/>
        <v>10</v>
      </c>
      <c r="AK212">
        <f t="shared" si="40"/>
        <v>6</v>
      </c>
      <c r="AL212">
        <f t="shared" si="40"/>
        <v>10</v>
      </c>
      <c r="AM212">
        <f t="shared" si="40"/>
        <v>9</v>
      </c>
      <c r="AN212">
        <f t="shared" si="40"/>
        <v>3</v>
      </c>
      <c r="AO212">
        <f t="shared" si="40"/>
        <v>1</v>
      </c>
      <c r="AP212">
        <f t="shared" si="40"/>
        <v>6</v>
      </c>
      <c r="AQ212">
        <f t="shared" si="40"/>
        <v>13</v>
      </c>
      <c r="AR212">
        <f t="shared" si="52"/>
        <v>8</v>
      </c>
      <c r="AS212">
        <f t="shared" si="41"/>
        <v>0</v>
      </c>
      <c r="AT212">
        <f t="shared" si="41"/>
        <v>11</v>
      </c>
      <c r="AU212">
        <f t="shared" si="41"/>
        <v>3</v>
      </c>
      <c r="AV212">
        <f t="shared" si="41"/>
        <v>0</v>
      </c>
      <c r="AW212">
        <f t="shared" si="41"/>
        <v>2</v>
      </c>
      <c r="AX212">
        <f t="shared" si="41"/>
        <v>0</v>
      </c>
      <c r="AY212">
        <f t="shared" si="41"/>
        <v>1</v>
      </c>
      <c r="AZ212">
        <f t="shared" si="41"/>
        <v>2</v>
      </c>
      <c r="BA212">
        <f t="shared" si="41"/>
        <v>0</v>
      </c>
      <c r="BB212">
        <f t="shared" si="41"/>
        <v>4</v>
      </c>
      <c r="BC212">
        <f t="shared" si="41"/>
        <v>5</v>
      </c>
      <c r="BD212">
        <f t="shared" si="41"/>
        <v>3</v>
      </c>
      <c r="BE212">
        <f t="shared" si="41"/>
        <v>1</v>
      </c>
      <c r="BF212">
        <f t="shared" si="41"/>
        <v>2</v>
      </c>
      <c r="BG212">
        <f t="shared" si="41"/>
        <v>4</v>
      </c>
      <c r="BH212">
        <f t="shared" si="41"/>
        <v>0</v>
      </c>
      <c r="BI212">
        <f t="shared" si="41"/>
        <v>3</v>
      </c>
      <c r="BJ212">
        <f t="shared" si="41"/>
        <v>0</v>
      </c>
      <c r="BK212">
        <f t="shared" si="41"/>
        <v>0</v>
      </c>
      <c r="BL212">
        <f t="shared" si="41"/>
        <v>0</v>
      </c>
      <c r="BM212">
        <f t="shared" si="41"/>
        <v>4</v>
      </c>
      <c r="BN212">
        <f t="shared" si="41"/>
        <v>11</v>
      </c>
      <c r="BO212">
        <f t="shared" si="41"/>
        <v>6</v>
      </c>
      <c r="BP212">
        <f t="shared" si="41"/>
        <v>6</v>
      </c>
      <c r="BQ212">
        <f t="shared" si="41"/>
        <v>4</v>
      </c>
      <c r="BR212">
        <f t="shared" si="41"/>
        <v>0</v>
      </c>
      <c r="BS212">
        <f t="shared" si="41"/>
        <v>0</v>
      </c>
      <c r="BT212">
        <f t="shared" si="41"/>
        <v>4</v>
      </c>
      <c r="BU212">
        <f t="shared" si="41"/>
        <v>4</v>
      </c>
      <c r="BV212">
        <f t="shared" si="41"/>
        <v>2</v>
      </c>
      <c r="BW212">
        <f t="shared" si="41"/>
        <v>1</v>
      </c>
      <c r="BX212">
        <f t="shared" si="41"/>
        <v>4</v>
      </c>
      <c r="BY212">
        <f t="shared" si="41"/>
        <v>7</v>
      </c>
      <c r="BZ212">
        <f t="shared" si="41"/>
        <v>7</v>
      </c>
      <c r="CA212">
        <f t="shared" si="41"/>
        <v>3</v>
      </c>
      <c r="CB212">
        <f t="shared" si="41"/>
        <v>16</v>
      </c>
      <c r="CC212">
        <f t="shared" si="41"/>
        <v>1</v>
      </c>
      <c r="CD212">
        <f t="shared" si="41"/>
        <v>12</v>
      </c>
      <c r="CE212">
        <f t="shared" si="41"/>
        <v>6</v>
      </c>
      <c r="CF212">
        <f t="shared" si="41"/>
        <v>2</v>
      </c>
      <c r="CG212">
        <f t="shared" si="41"/>
        <v>5</v>
      </c>
      <c r="CH212">
        <f t="shared" si="41"/>
        <v>7</v>
      </c>
      <c r="CI212">
        <f t="shared" si="41"/>
        <v>8</v>
      </c>
      <c r="CJ212">
        <f t="shared" si="41"/>
        <v>8</v>
      </c>
      <c r="CK212">
        <f t="shared" si="41"/>
        <v>4</v>
      </c>
    </row>
    <row r="213" spans="1:89" x14ac:dyDescent="0.25">
      <c r="A213" s="21" t="s">
        <v>221</v>
      </c>
      <c r="B213">
        <f>COUNTIF($B$170:$B$193,A213)</f>
        <v>4</v>
      </c>
      <c r="C213">
        <f>COUNTIF($C$170:$C$193,A213)</f>
        <v>1</v>
      </c>
      <c r="D213">
        <f t="shared" si="42"/>
        <v>3</v>
      </c>
      <c r="E213">
        <f t="shared" si="43"/>
        <v>0</v>
      </c>
      <c r="F213">
        <f t="shared" si="44"/>
        <v>0</v>
      </c>
      <c r="G213">
        <f t="shared" si="45"/>
        <v>2</v>
      </c>
      <c r="H213">
        <f t="shared" si="46"/>
        <v>2</v>
      </c>
      <c r="I213">
        <f t="shared" si="47"/>
        <v>1</v>
      </c>
      <c r="J213">
        <f t="shared" si="48"/>
        <v>0</v>
      </c>
      <c r="K213">
        <f t="shared" si="49"/>
        <v>4</v>
      </c>
      <c r="L213">
        <f t="shared" si="50"/>
        <v>2</v>
      </c>
      <c r="M213">
        <f t="shared" si="51"/>
        <v>1</v>
      </c>
      <c r="N213">
        <f t="shared" si="51"/>
        <v>5</v>
      </c>
      <c r="O213">
        <f t="shared" si="40"/>
        <v>0</v>
      </c>
      <c r="P213">
        <f t="shared" si="40"/>
        <v>8</v>
      </c>
      <c r="Q213">
        <f t="shared" si="40"/>
        <v>4</v>
      </c>
      <c r="R213">
        <f t="shared" si="40"/>
        <v>0</v>
      </c>
      <c r="S213">
        <f t="shared" si="40"/>
        <v>0</v>
      </c>
      <c r="T213">
        <f t="shared" si="40"/>
        <v>4</v>
      </c>
      <c r="U213">
        <f t="shared" si="40"/>
        <v>1</v>
      </c>
      <c r="V213">
        <f t="shared" si="40"/>
        <v>3</v>
      </c>
      <c r="W213">
        <f t="shared" si="40"/>
        <v>3</v>
      </c>
      <c r="X213">
        <f t="shared" si="40"/>
        <v>2</v>
      </c>
      <c r="Y213">
        <f t="shared" si="40"/>
        <v>2</v>
      </c>
      <c r="Z213">
        <f t="shared" si="40"/>
        <v>4</v>
      </c>
      <c r="AA213">
        <f t="shared" si="40"/>
        <v>4</v>
      </c>
      <c r="AB213">
        <f t="shared" si="40"/>
        <v>2</v>
      </c>
      <c r="AC213">
        <f t="shared" si="40"/>
        <v>4</v>
      </c>
      <c r="AD213">
        <f t="shared" si="40"/>
        <v>4</v>
      </c>
      <c r="AE213">
        <f t="shared" si="40"/>
        <v>2</v>
      </c>
      <c r="AF213">
        <f t="shared" si="40"/>
        <v>4</v>
      </c>
      <c r="AG213">
        <f t="shared" si="40"/>
        <v>1</v>
      </c>
      <c r="AH213">
        <f t="shared" si="40"/>
        <v>2</v>
      </c>
      <c r="AI213">
        <f t="shared" si="40"/>
        <v>3</v>
      </c>
      <c r="AJ213">
        <f t="shared" si="40"/>
        <v>5</v>
      </c>
      <c r="AK213">
        <f t="shared" si="40"/>
        <v>3</v>
      </c>
      <c r="AL213">
        <f t="shared" si="40"/>
        <v>2</v>
      </c>
      <c r="AM213">
        <f t="shared" si="40"/>
        <v>0</v>
      </c>
      <c r="AN213">
        <f t="shared" si="40"/>
        <v>0</v>
      </c>
      <c r="AO213">
        <f t="shared" si="40"/>
        <v>8</v>
      </c>
      <c r="AP213">
        <f t="shared" si="40"/>
        <v>3</v>
      </c>
      <c r="AQ213">
        <f t="shared" si="40"/>
        <v>0</v>
      </c>
      <c r="AR213">
        <f t="shared" si="52"/>
        <v>0</v>
      </c>
      <c r="AS213">
        <f t="shared" si="41"/>
        <v>0</v>
      </c>
      <c r="AT213">
        <f t="shared" si="41"/>
        <v>3</v>
      </c>
      <c r="AU213">
        <f t="shared" si="41"/>
        <v>3</v>
      </c>
      <c r="AV213">
        <f t="shared" si="41"/>
        <v>0</v>
      </c>
      <c r="AW213">
        <f t="shared" si="41"/>
        <v>1</v>
      </c>
      <c r="AX213">
        <f t="shared" si="41"/>
        <v>0</v>
      </c>
      <c r="AY213">
        <f t="shared" si="41"/>
        <v>0</v>
      </c>
      <c r="AZ213">
        <f t="shared" si="41"/>
        <v>5</v>
      </c>
      <c r="BA213">
        <f t="shared" si="41"/>
        <v>2</v>
      </c>
      <c r="BB213">
        <f t="shared" si="41"/>
        <v>5</v>
      </c>
      <c r="BC213">
        <f t="shared" si="41"/>
        <v>2</v>
      </c>
      <c r="BD213">
        <f t="shared" si="41"/>
        <v>0</v>
      </c>
      <c r="BE213">
        <f t="shared" si="41"/>
        <v>18</v>
      </c>
      <c r="BF213">
        <f t="shared" si="41"/>
        <v>0</v>
      </c>
      <c r="BG213">
        <f t="shared" si="41"/>
        <v>1</v>
      </c>
      <c r="BH213">
        <f t="shared" si="41"/>
        <v>0</v>
      </c>
      <c r="BI213">
        <f t="shared" si="41"/>
        <v>2</v>
      </c>
      <c r="BJ213">
        <f t="shared" si="41"/>
        <v>2</v>
      </c>
      <c r="BK213">
        <f t="shared" si="41"/>
        <v>1</v>
      </c>
      <c r="BL213">
        <f t="shared" si="41"/>
        <v>0</v>
      </c>
      <c r="BM213">
        <f t="shared" si="41"/>
        <v>0</v>
      </c>
      <c r="BN213">
        <f t="shared" si="41"/>
        <v>2</v>
      </c>
      <c r="BO213">
        <f t="shared" si="41"/>
        <v>1</v>
      </c>
      <c r="BP213">
        <f t="shared" si="41"/>
        <v>2</v>
      </c>
      <c r="BQ213">
        <f t="shared" si="41"/>
        <v>1</v>
      </c>
      <c r="BR213">
        <f t="shared" si="41"/>
        <v>0</v>
      </c>
      <c r="BS213">
        <f t="shared" si="41"/>
        <v>0</v>
      </c>
      <c r="BT213">
        <f t="shared" si="41"/>
        <v>1</v>
      </c>
      <c r="BU213">
        <f t="shared" si="41"/>
        <v>2</v>
      </c>
      <c r="BV213">
        <f t="shared" si="41"/>
        <v>0</v>
      </c>
      <c r="BW213">
        <f t="shared" si="41"/>
        <v>3</v>
      </c>
      <c r="BX213">
        <f t="shared" si="41"/>
        <v>3</v>
      </c>
      <c r="BY213">
        <f t="shared" si="41"/>
        <v>0</v>
      </c>
      <c r="BZ213">
        <f t="shared" si="41"/>
        <v>0</v>
      </c>
      <c r="CA213">
        <f t="shared" si="41"/>
        <v>6</v>
      </c>
      <c r="CB213">
        <f t="shared" si="41"/>
        <v>1</v>
      </c>
      <c r="CC213">
        <f t="shared" si="41"/>
        <v>0</v>
      </c>
      <c r="CD213">
        <f t="shared" si="41"/>
        <v>1</v>
      </c>
      <c r="CE213">
        <f t="shared" si="41"/>
        <v>8</v>
      </c>
      <c r="CF213">
        <f t="shared" si="41"/>
        <v>2</v>
      </c>
      <c r="CG213">
        <f t="shared" si="41"/>
        <v>0</v>
      </c>
      <c r="CH213">
        <f t="shared" si="41"/>
        <v>2</v>
      </c>
      <c r="CI213">
        <f t="shared" si="41"/>
        <v>4</v>
      </c>
      <c r="CJ213">
        <f t="shared" si="41"/>
        <v>1</v>
      </c>
      <c r="CK213">
        <f t="shared" si="41"/>
        <v>4</v>
      </c>
    </row>
    <row r="214" spans="1:89" x14ac:dyDescent="0.25">
      <c r="B214">
        <f t="shared" ref="B214:N214" si="53">SUM(B210:B213)</f>
        <v>24</v>
      </c>
      <c r="C214">
        <f t="shared" si="53"/>
        <v>23</v>
      </c>
      <c r="D214">
        <f t="shared" si="53"/>
        <v>23</v>
      </c>
      <c r="E214">
        <f t="shared" si="53"/>
        <v>24</v>
      </c>
      <c r="F214">
        <f t="shared" si="53"/>
        <v>24</v>
      </c>
      <c r="G214">
        <f t="shared" si="53"/>
        <v>24</v>
      </c>
      <c r="H214">
        <f t="shared" si="53"/>
        <v>24</v>
      </c>
      <c r="I214">
        <f t="shared" si="53"/>
        <v>24</v>
      </c>
      <c r="J214">
        <f t="shared" si="53"/>
        <v>24</v>
      </c>
      <c r="K214">
        <f t="shared" si="53"/>
        <v>24</v>
      </c>
      <c r="L214">
        <f t="shared" si="53"/>
        <v>20</v>
      </c>
      <c r="M214">
        <f t="shared" si="53"/>
        <v>21</v>
      </c>
      <c r="N214">
        <f t="shared" si="53"/>
        <v>24</v>
      </c>
      <c r="O214">
        <f t="shared" ref="O214:AQ214" si="54">SUM(O210:O213)</f>
        <v>24</v>
      </c>
      <c r="P214">
        <f t="shared" si="54"/>
        <v>24</v>
      </c>
      <c r="Q214">
        <f t="shared" si="54"/>
        <v>24</v>
      </c>
      <c r="R214">
        <f t="shared" si="54"/>
        <v>24</v>
      </c>
      <c r="S214">
        <f t="shared" si="54"/>
        <v>24</v>
      </c>
      <c r="T214">
        <f t="shared" si="54"/>
        <v>24</v>
      </c>
      <c r="U214">
        <f t="shared" si="54"/>
        <v>24</v>
      </c>
      <c r="V214">
        <f t="shared" si="54"/>
        <v>24</v>
      </c>
      <c r="W214">
        <f t="shared" si="54"/>
        <v>24</v>
      </c>
      <c r="X214">
        <f t="shared" si="54"/>
        <v>24</v>
      </c>
      <c r="Y214">
        <f t="shared" si="54"/>
        <v>24</v>
      </c>
      <c r="Z214">
        <f t="shared" si="54"/>
        <v>23</v>
      </c>
      <c r="AA214">
        <f t="shared" si="54"/>
        <v>24</v>
      </c>
      <c r="AB214">
        <f t="shared" si="54"/>
        <v>24</v>
      </c>
      <c r="AC214">
        <f t="shared" si="54"/>
        <v>24</v>
      </c>
      <c r="AD214">
        <f t="shared" si="54"/>
        <v>23</v>
      </c>
      <c r="AE214">
        <f t="shared" si="54"/>
        <v>24</v>
      </c>
      <c r="AF214">
        <f t="shared" si="54"/>
        <v>24</v>
      </c>
      <c r="AG214">
        <f t="shared" si="54"/>
        <v>22</v>
      </c>
      <c r="AH214">
        <f t="shared" si="54"/>
        <v>23</v>
      </c>
      <c r="AI214">
        <f t="shared" si="54"/>
        <v>24</v>
      </c>
      <c r="AJ214">
        <f t="shared" si="54"/>
        <v>24</v>
      </c>
      <c r="AK214">
        <f t="shared" si="54"/>
        <v>24</v>
      </c>
      <c r="AL214">
        <f t="shared" si="54"/>
        <v>23</v>
      </c>
      <c r="AM214">
        <f t="shared" si="54"/>
        <v>24</v>
      </c>
      <c r="AN214">
        <f t="shared" si="54"/>
        <v>24</v>
      </c>
      <c r="AO214">
        <f t="shared" si="54"/>
        <v>23</v>
      </c>
      <c r="AP214">
        <f t="shared" si="54"/>
        <v>24</v>
      </c>
      <c r="AQ214">
        <f t="shared" si="54"/>
        <v>24</v>
      </c>
      <c r="AR214">
        <f>SUM(AR210:AR213)</f>
        <v>24</v>
      </c>
      <c r="AS214">
        <f t="shared" ref="AS214:CK214" si="55">SUM(AS210:AS213)</f>
        <v>23</v>
      </c>
      <c r="AT214">
        <f t="shared" si="55"/>
        <v>24</v>
      </c>
      <c r="AU214">
        <f t="shared" si="55"/>
        <v>24</v>
      </c>
      <c r="AV214">
        <f t="shared" si="55"/>
        <v>23</v>
      </c>
      <c r="AW214">
        <f t="shared" si="55"/>
        <v>24</v>
      </c>
      <c r="AX214">
        <f t="shared" si="55"/>
        <v>24</v>
      </c>
      <c r="AY214">
        <f t="shared" si="55"/>
        <v>23</v>
      </c>
      <c r="AZ214">
        <f t="shared" si="55"/>
        <v>24</v>
      </c>
      <c r="BA214">
        <f t="shared" si="55"/>
        <v>24</v>
      </c>
      <c r="BB214">
        <f t="shared" si="55"/>
        <v>24</v>
      </c>
      <c r="BC214">
        <f t="shared" si="55"/>
        <v>24</v>
      </c>
      <c r="BD214">
        <f t="shared" si="55"/>
        <v>24</v>
      </c>
      <c r="BE214">
        <f t="shared" si="55"/>
        <v>24</v>
      </c>
      <c r="BF214">
        <f t="shared" si="55"/>
        <v>23</v>
      </c>
      <c r="BG214">
        <f t="shared" si="55"/>
        <v>24</v>
      </c>
      <c r="BH214">
        <f t="shared" si="55"/>
        <v>24</v>
      </c>
      <c r="BI214">
        <f t="shared" si="55"/>
        <v>24</v>
      </c>
      <c r="BJ214">
        <f t="shared" si="55"/>
        <v>24</v>
      </c>
      <c r="BK214">
        <f t="shared" si="55"/>
        <v>24</v>
      </c>
      <c r="BL214">
        <f t="shared" si="55"/>
        <v>22</v>
      </c>
      <c r="BM214">
        <f t="shared" si="55"/>
        <v>23</v>
      </c>
      <c r="BN214">
        <f t="shared" si="55"/>
        <v>24</v>
      </c>
      <c r="BO214">
        <f t="shared" si="55"/>
        <v>24</v>
      </c>
      <c r="BP214">
        <f t="shared" si="55"/>
        <v>24</v>
      </c>
      <c r="BQ214">
        <f t="shared" si="55"/>
        <v>23</v>
      </c>
      <c r="BR214">
        <f t="shared" si="55"/>
        <v>24</v>
      </c>
      <c r="BS214">
        <f t="shared" si="55"/>
        <v>24</v>
      </c>
      <c r="BT214">
        <f t="shared" si="55"/>
        <v>24</v>
      </c>
      <c r="BU214">
        <f t="shared" si="55"/>
        <v>24</v>
      </c>
      <c r="BV214">
        <f t="shared" si="55"/>
        <v>24</v>
      </c>
      <c r="BW214">
        <f t="shared" si="55"/>
        <v>24</v>
      </c>
      <c r="BX214">
        <f t="shared" si="55"/>
        <v>24</v>
      </c>
      <c r="BY214">
        <f t="shared" si="55"/>
        <v>24</v>
      </c>
      <c r="BZ214">
        <f t="shared" si="55"/>
        <v>24</v>
      </c>
      <c r="CA214">
        <f t="shared" si="55"/>
        <v>24</v>
      </c>
      <c r="CB214">
        <f t="shared" si="55"/>
        <v>24</v>
      </c>
      <c r="CC214">
        <f t="shared" si="55"/>
        <v>24</v>
      </c>
      <c r="CD214">
        <f t="shared" si="55"/>
        <v>24</v>
      </c>
      <c r="CE214">
        <f t="shared" si="55"/>
        <v>24</v>
      </c>
      <c r="CF214">
        <f t="shared" si="55"/>
        <v>24</v>
      </c>
      <c r="CG214">
        <f t="shared" si="55"/>
        <v>24</v>
      </c>
      <c r="CH214">
        <f t="shared" si="55"/>
        <v>24</v>
      </c>
      <c r="CI214">
        <f t="shared" si="55"/>
        <v>24</v>
      </c>
      <c r="CJ214">
        <f t="shared" si="55"/>
        <v>24</v>
      </c>
      <c r="CK214">
        <f t="shared" si="55"/>
        <v>24</v>
      </c>
    </row>
    <row r="216" spans="1:89" x14ac:dyDescent="0.25">
      <c r="A216" s="21" t="s">
        <v>242</v>
      </c>
      <c r="D216">
        <f>COUNTIF($D$98:$D$169,A216)</f>
        <v>1</v>
      </c>
      <c r="E216">
        <f>COUNTIF($E$98:$E$169,A216)</f>
        <v>1</v>
      </c>
      <c r="F216">
        <f>COUNTIF($F$98:$F$169,A216)</f>
        <v>0</v>
      </c>
      <c r="G216">
        <f>COUNTIF($G$98:$G$169,A216)</f>
        <v>0</v>
      </c>
      <c r="H216">
        <f>COUNTIF($H$98:$H$169,A216)</f>
        <v>4</v>
      </c>
      <c r="I216">
        <f>COUNTIF($I$98:$I$169,A216)</f>
        <v>0</v>
      </c>
      <c r="J216">
        <f>COUNTIF($J$98:$J$169,A216)</f>
        <v>0</v>
      </c>
      <c r="K216">
        <f>COUNTIF($K$98:$K$169,A216)</f>
        <v>0</v>
      </c>
      <c r="L216">
        <f>COUNTIF($L$98:$L$169,A216)</f>
        <v>0</v>
      </c>
      <c r="M216">
        <f>COUNTIF(M$98:M$169,$A216)</f>
        <v>0</v>
      </c>
      <c r="N216">
        <f>COUNTIF(N$98:N$169,$A216)</f>
        <v>0</v>
      </c>
      <c r="O216">
        <f t="shared" ref="O216:AQ221" si="56">COUNTIF(O$98:O$169,$A216)</f>
        <v>0</v>
      </c>
      <c r="P216">
        <f t="shared" si="56"/>
        <v>0</v>
      </c>
      <c r="Q216">
        <f t="shared" si="56"/>
        <v>0</v>
      </c>
      <c r="R216">
        <f t="shared" si="56"/>
        <v>0</v>
      </c>
      <c r="S216">
        <f t="shared" si="56"/>
        <v>0</v>
      </c>
      <c r="T216">
        <f t="shared" si="56"/>
        <v>0</v>
      </c>
      <c r="U216">
        <f t="shared" si="56"/>
        <v>0</v>
      </c>
      <c r="V216">
        <f t="shared" si="56"/>
        <v>0</v>
      </c>
      <c r="W216">
        <f t="shared" si="56"/>
        <v>0</v>
      </c>
      <c r="X216">
        <f t="shared" si="56"/>
        <v>0</v>
      </c>
      <c r="Y216">
        <f t="shared" si="56"/>
        <v>0</v>
      </c>
      <c r="Z216">
        <f t="shared" si="56"/>
        <v>0</v>
      </c>
      <c r="AA216">
        <f t="shared" si="56"/>
        <v>1</v>
      </c>
      <c r="AB216">
        <f t="shared" si="56"/>
        <v>0</v>
      </c>
      <c r="AC216">
        <f t="shared" si="56"/>
        <v>0</v>
      </c>
      <c r="AD216">
        <f t="shared" si="56"/>
        <v>0</v>
      </c>
      <c r="AE216">
        <f t="shared" si="56"/>
        <v>0</v>
      </c>
      <c r="AF216">
        <f t="shared" si="56"/>
        <v>0</v>
      </c>
      <c r="AG216">
        <f t="shared" si="56"/>
        <v>1</v>
      </c>
      <c r="AH216">
        <f t="shared" si="56"/>
        <v>0</v>
      </c>
      <c r="AI216">
        <f t="shared" si="56"/>
        <v>3</v>
      </c>
      <c r="AJ216">
        <f t="shared" si="56"/>
        <v>0</v>
      </c>
      <c r="AK216">
        <f t="shared" si="56"/>
        <v>0</v>
      </c>
      <c r="AL216">
        <f t="shared" si="56"/>
        <v>1</v>
      </c>
      <c r="AM216">
        <f t="shared" si="56"/>
        <v>0</v>
      </c>
      <c r="AN216">
        <f t="shared" si="56"/>
        <v>1</v>
      </c>
      <c r="AO216">
        <f t="shared" si="56"/>
        <v>0</v>
      </c>
      <c r="AP216">
        <f t="shared" si="56"/>
        <v>0</v>
      </c>
      <c r="AQ216">
        <f t="shared" si="56"/>
        <v>0</v>
      </c>
      <c r="AR216">
        <f>COUNTIF($AR$98:$AR$169,A216)</f>
        <v>0</v>
      </c>
      <c r="AS216">
        <f t="shared" ref="AS216:CK221" si="57">COUNTIF(AS$98:AS$169,$A216)</f>
        <v>0</v>
      </c>
      <c r="AT216">
        <f t="shared" si="57"/>
        <v>0</v>
      </c>
      <c r="AU216">
        <f t="shared" si="57"/>
        <v>1</v>
      </c>
      <c r="AV216">
        <f t="shared" si="57"/>
        <v>0</v>
      </c>
      <c r="AW216">
        <f t="shared" si="57"/>
        <v>0</v>
      </c>
      <c r="AX216">
        <f t="shared" si="57"/>
        <v>0</v>
      </c>
      <c r="AY216">
        <f t="shared" si="57"/>
        <v>0</v>
      </c>
      <c r="AZ216">
        <f t="shared" si="57"/>
        <v>0</v>
      </c>
      <c r="BA216">
        <f t="shared" si="57"/>
        <v>0</v>
      </c>
      <c r="BB216">
        <f t="shared" si="57"/>
        <v>0</v>
      </c>
      <c r="BC216">
        <f t="shared" si="57"/>
        <v>0</v>
      </c>
      <c r="BD216">
        <f t="shared" si="57"/>
        <v>2</v>
      </c>
      <c r="BE216">
        <f t="shared" si="57"/>
        <v>0</v>
      </c>
      <c r="BF216">
        <f t="shared" si="57"/>
        <v>0</v>
      </c>
      <c r="BG216">
        <f t="shared" si="57"/>
        <v>1</v>
      </c>
      <c r="BH216">
        <f t="shared" si="57"/>
        <v>0</v>
      </c>
      <c r="BI216">
        <f t="shared" si="57"/>
        <v>0</v>
      </c>
      <c r="BJ216">
        <f t="shared" si="57"/>
        <v>0</v>
      </c>
      <c r="BK216">
        <f t="shared" si="57"/>
        <v>0</v>
      </c>
      <c r="BL216">
        <f t="shared" si="57"/>
        <v>0</v>
      </c>
      <c r="BM216">
        <f t="shared" si="57"/>
        <v>1</v>
      </c>
      <c r="BN216">
        <f t="shared" si="57"/>
        <v>0</v>
      </c>
      <c r="BO216">
        <f t="shared" si="57"/>
        <v>0</v>
      </c>
      <c r="BP216">
        <f t="shared" si="57"/>
        <v>2</v>
      </c>
      <c r="BQ216">
        <f t="shared" si="57"/>
        <v>0</v>
      </c>
      <c r="BR216">
        <f t="shared" si="57"/>
        <v>0</v>
      </c>
      <c r="BS216">
        <f t="shared" si="57"/>
        <v>0</v>
      </c>
      <c r="BT216">
        <f t="shared" si="57"/>
        <v>0</v>
      </c>
      <c r="BU216">
        <f t="shared" si="57"/>
        <v>1</v>
      </c>
      <c r="BV216">
        <f t="shared" si="57"/>
        <v>0</v>
      </c>
      <c r="BW216">
        <f t="shared" si="57"/>
        <v>0</v>
      </c>
      <c r="BX216">
        <f t="shared" si="57"/>
        <v>0</v>
      </c>
      <c r="BY216">
        <f t="shared" si="57"/>
        <v>0</v>
      </c>
      <c r="BZ216">
        <f t="shared" si="57"/>
        <v>1</v>
      </c>
      <c r="CA216">
        <f t="shared" si="57"/>
        <v>0</v>
      </c>
      <c r="CB216">
        <f t="shared" si="57"/>
        <v>0</v>
      </c>
      <c r="CC216">
        <f t="shared" si="57"/>
        <v>4</v>
      </c>
      <c r="CD216">
        <f t="shared" si="57"/>
        <v>0</v>
      </c>
      <c r="CE216">
        <f t="shared" si="57"/>
        <v>2</v>
      </c>
      <c r="CF216">
        <f t="shared" si="57"/>
        <v>0</v>
      </c>
      <c r="CG216">
        <f t="shared" si="57"/>
        <v>0</v>
      </c>
      <c r="CH216">
        <f t="shared" si="57"/>
        <v>0</v>
      </c>
      <c r="CI216">
        <f t="shared" si="57"/>
        <v>1</v>
      </c>
      <c r="CJ216">
        <f t="shared" si="57"/>
        <v>1</v>
      </c>
      <c r="CK216">
        <f t="shared" si="57"/>
        <v>1</v>
      </c>
    </row>
    <row r="217" spans="1:89" x14ac:dyDescent="0.25">
      <c r="A217" s="21" t="s">
        <v>240</v>
      </c>
      <c r="D217">
        <f t="shared" ref="D217:D221" si="58">COUNTIF($D$98:$D$169,A217)</f>
        <v>40</v>
      </c>
      <c r="E217">
        <f t="shared" ref="E217:E221" si="59">COUNTIF($E$98:$E$169,A217)</f>
        <v>3</v>
      </c>
      <c r="F217">
        <f t="shared" ref="F217:F221" si="60">COUNTIF($F$98:$F$169,A217)</f>
        <v>13</v>
      </c>
      <c r="G217">
        <f t="shared" ref="G217:G221" si="61">COUNTIF($G$98:$G$169,A217)</f>
        <v>12</v>
      </c>
      <c r="H217">
        <f t="shared" ref="H217:H221" si="62">COUNTIF($H$98:$H$169,A217)</f>
        <v>2</v>
      </c>
      <c r="I217">
        <f t="shared" ref="I217:I221" si="63">COUNTIF($I$98:$I$169,A217)</f>
        <v>22</v>
      </c>
      <c r="J217">
        <f t="shared" ref="J217:J221" si="64">COUNTIF($J$98:$J$169,A217)</f>
        <v>23</v>
      </c>
      <c r="K217">
        <f t="shared" ref="K217:K221" si="65">COUNTIF($K$98:$K$169,A217)</f>
        <v>7</v>
      </c>
      <c r="L217">
        <f t="shared" ref="L217:L221" si="66">COUNTIF($L$98:$L$169,A217)</f>
        <v>10</v>
      </c>
      <c r="M217">
        <f t="shared" ref="M217:AB221" si="67">COUNTIF(M$98:M$169,$A217)</f>
        <v>14</v>
      </c>
      <c r="N217">
        <f t="shared" si="67"/>
        <v>5</v>
      </c>
      <c r="O217">
        <f t="shared" si="67"/>
        <v>4</v>
      </c>
      <c r="P217">
        <f t="shared" si="67"/>
        <v>3</v>
      </c>
      <c r="Q217">
        <f t="shared" si="67"/>
        <v>6</v>
      </c>
      <c r="R217">
        <f t="shared" si="67"/>
        <v>4</v>
      </c>
      <c r="S217">
        <f t="shared" si="67"/>
        <v>16</v>
      </c>
      <c r="T217">
        <f t="shared" si="67"/>
        <v>21</v>
      </c>
      <c r="U217">
        <f t="shared" si="67"/>
        <v>5</v>
      </c>
      <c r="V217">
        <f t="shared" si="67"/>
        <v>13</v>
      </c>
      <c r="W217">
        <f t="shared" si="67"/>
        <v>2</v>
      </c>
      <c r="X217">
        <f t="shared" si="67"/>
        <v>5</v>
      </c>
      <c r="Y217">
        <f t="shared" si="67"/>
        <v>23</v>
      </c>
      <c r="Z217">
        <f t="shared" si="67"/>
        <v>0</v>
      </c>
      <c r="AA217">
        <f t="shared" si="67"/>
        <v>0</v>
      </c>
      <c r="AB217">
        <f t="shared" si="67"/>
        <v>4</v>
      </c>
      <c r="AC217">
        <f t="shared" si="56"/>
        <v>9</v>
      </c>
      <c r="AD217">
        <f t="shared" si="56"/>
        <v>3</v>
      </c>
      <c r="AE217">
        <f t="shared" si="56"/>
        <v>0</v>
      </c>
      <c r="AF217">
        <f t="shared" si="56"/>
        <v>5</v>
      </c>
      <c r="AG217">
        <f t="shared" si="56"/>
        <v>5</v>
      </c>
      <c r="AH217">
        <f t="shared" si="56"/>
        <v>1</v>
      </c>
      <c r="AI217">
        <f t="shared" si="56"/>
        <v>23</v>
      </c>
      <c r="AJ217">
        <f t="shared" si="56"/>
        <v>17</v>
      </c>
      <c r="AK217">
        <f t="shared" si="56"/>
        <v>23</v>
      </c>
      <c r="AL217">
        <f t="shared" si="56"/>
        <v>14</v>
      </c>
      <c r="AM217">
        <f t="shared" si="56"/>
        <v>1</v>
      </c>
      <c r="AN217">
        <f t="shared" si="56"/>
        <v>2</v>
      </c>
      <c r="AO217">
        <f t="shared" si="56"/>
        <v>22</v>
      </c>
      <c r="AP217">
        <f t="shared" si="56"/>
        <v>4</v>
      </c>
      <c r="AQ217">
        <f t="shared" si="56"/>
        <v>8</v>
      </c>
      <c r="AR217">
        <f t="shared" ref="AR217:AR221" si="68">COUNTIF($AR$98:$AR$169,A217)</f>
        <v>14</v>
      </c>
      <c r="AS217">
        <f t="shared" si="57"/>
        <v>6</v>
      </c>
      <c r="AT217">
        <f t="shared" si="57"/>
        <v>25</v>
      </c>
      <c r="AU217">
        <f t="shared" si="57"/>
        <v>0</v>
      </c>
      <c r="AV217">
        <f t="shared" si="57"/>
        <v>3</v>
      </c>
      <c r="AW217">
        <f t="shared" si="57"/>
        <v>10</v>
      </c>
      <c r="AX217">
        <f t="shared" si="57"/>
        <v>4</v>
      </c>
      <c r="AY217">
        <f t="shared" si="57"/>
        <v>7</v>
      </c>
      <c r="AZ217">
        <f t="shared" si="57"/>
        <v>6</v>
      </c>
      <c r="BA217">
        <f t="shared" si="57"/>
        <v>3</v>
      </c>
      <c r="BB217">
        <f t="shared" si="57"/>
        <v>6</v>
      </c>
      <c r="BC217">
        <f t="shared" si="57"/>
        <v>1</v>
      </c>
      <c r="BD217">
        <f t="shared" si="57"/>
        <v>1</v>
      </c>
      <c r="BE217">
        <f t="shared" si="57"/>
        <v>22</v>
      </c>
      <c r="BF217">
        <f t="shared" si="57"/>
        <v>2</v>
      </c>
      <c r="BG217">
        <f t="shared" si="57"/>
        <v>2</v>
      </c>
      <c r="BH217">
        <f t="shared" si="57"/>
        <v>3</v>
      </c>
      <c r="BI217">
        <f t="shared" si="57"/>
        <v>0</v>
      </c>
      <c r="BJ217">
        <f t="shared" si="57"/>
        <v>7</v>
      </c>
      <c r="BK217">
        <f t="shared" si="57"/>
        <v>1</v>
      </c>
      <c r="BL217">
        <f t="shared" si="57"/>
        <v>8</v>
      </c>
      <c r="BM217">
        <f t="shared" si="57"/>
        <v>1</v>
      </c>
      <c r="BN217">
        <f t="shared" si="57"/>
        <v>11</v>
      </c>
      <c r="BO217">
        <f t="shared" si="57"/>
        <v>2</v>
      </c>
      <c r="BP217">
        <f t="shared" si="57"/>
        <v>1</v>
      </c>
      <c r="BQ217">
        <f t="shared" si="57"/>
        <v>2</v>
      </c>
      <c r="BR217">
        <f t="shared" si="57"/>
        <v>0</v>
      </c>
      <c r="BS217">
        <f t="shared" si="57"/>
        <v>6</v>
      </c>
      <c r="BT217">
        <f t="shared" si="57"/>
        <v>31</v>
      </c>
      <c r="BU217">
        <f t="shared" si="57"/>
        <v>8</v>
      </c>
      <c r="BV217">
        <f t="shared" si="57"/>
        <v>1</v>
      </c>
      <c r="BW217">
        <f t="shared" si="57"/>
        <v>3</v>
      </c>
      <c r="BX217">
        <f t="shared" si="57"/>
        <v>4</v>
      </c>
      <c r="BY217">
        <f t="shared" si="57"/>
        <v>1</v>
      </c>
      <c r="BZ217">
        <f t="shared" si="57"/>
        <v>3</v>
      </c>
      <c r="CA217">
        <f t="shared" si="57"/>
        <v>12</v>
      </c>
      <c r="CB217">
        <f t="shared" si="57"/>
        <v>11</v>
      </c>
      <c r="CC217">
        <f t="shared" si="57"/>
        <v>0</v>
      </c>
      <c r="CD217">
        <f t="shared" si="57"/>
        <v>6</v>
      </c>
      <c r="CE217">
        <f t="shared" si="57"/>
        <v>5</v>
      </c>
      <c r="CF217">
        <f t="shared" si="57"/>
        <v>3</v>
      </c>
      <c r="CG217">
        <f t="shared" si="57"/>
        <v>3</v>
      </c>
      <c r="CH217">
        <f t="shared" si="57"/>
        <v>4</v>
      </c>
      <c r="CI217">
        <f t="shared" si="57"/>
        <v>17</v>
      </c>
      <c r="CJ217">
        <f t="shared" si="57"/>
        <v>2</v>
      </c>
      <c r="CK217">
        <f t="shared" si="57"/>
        <v>4</v>
      </c>
    </row>
    <row r="218" spans="1:89" x14ac:dyDescent="0.25">
      <c r="A218" s="21" t="s">
        <v>206</v>
      </c>
      <c r="D218">
        <f t="shared" si="58"/>
        <v>10</v>
      </c>
      <c r="E218">
        <f t="shared" si="59"/>
        <v>0</v>
      </c>
      <c r="F218">
        <f t="shared" si="60"/>
        <v>0</v>
      </c>
      <c r="G218">
        <f t="shared" si="61"/>
        <v>2</v>
      </c>
      <c r="H218">
        <f t="shared" si="62"/>
        <v>16</v>
      </c>
      <c r="I218">
        <f t="shared" si="63"/>
        <v>0</v>
      </c>
      <c r="J218">
        <f t="shared" si="64"/>
        <v>1</v>
      </c>
      <c r="K218">
        <f t="shared" si="65"/>
        <v>3</v>
      </c>
      <c r="L218">
        <f t="shared" si="66"/>
        <v>0</v>
      </c>
      <c r="M218">
        <f t="shared" si="67"/>
        <v>2</v>
      </c>
      <c r="N218">
        <f t="shared" si="67"/>
        <v>0</v>
      </c>
      <c r="O218">
        <f t="shared" si="56"/>
        <v>0</v>
      </c>
      <c r="P218">
        <f t="shared" si="56"/>
        <v>2</v>
      </c>
      <c r="Q218">
        <f t="shared" si="56"/>
        <v>0</v>
      </c>
      <c r="R218">
        <f t="shared" si="56"/>
        <v>16</v>
      </c>
      <c r="S218">
        <f t="shared" si="56"/>
        <v>0</v>
      </c>
      <c r="T218">
        <f t="shared" si="56"/>
        <v>0</v>
      </c>
      <c r="U218">
        <f t="shared" si="56"/>
        <v>0</v>
      </c>
      <c r="V218">
        <f t="shared" si="56"/>
        <v>5</v>
      </c>
      <c r="W218">
        <f t="shared" si="56"/>
        <v>0</v>
      </c>
      <c r="X218">
        <f t="shared" si="56"/>
        <v>0</v>
      </c>
      <c r="Y218">
        <f t="shared" si="56"/>
        <v>6</v>
      </c>
      <c r="Z218">
        <f t="shared" si="56"/>
        <v>0</v>
      </c>
      <c r="AA218">
        <f t="shared" si="56"/>
        <v>2</v>
      </c>
      <c r="AB218">
        <f t="shared" si="56"/>
        <v>2</v>
      </c>
      <c r="AC218">
        <f t="shared" si="56"/>
        <v>1</v>
      </c>
      <c r="AD218">
        <f t="shared" si="56"/>
        <v>1</v>
      </c>
      <c r="AE218">
        <f t="shared" si="56"/>
        <v>0</v>
      </c>
      <c r="AF218">
        <f t="shared" si="56"/>
        <v>4</v>
      </c>
      <c r="AG218">
        <f t="shared" si="56"/>
        <v>4</v>
      </c>
      <c r="AH218">
        <f t="shared" si="56"/>
        <v>2</v>
      </c>
      <c r="AI218">
        <f t="shared" si="56"/>
        <v>5</v>
      </c>
      <c r="AJ218">
        <f t="shared" si="56"/>
        <v>0</v>
      </c>
      <c r="AK218">
        <f t="shared" si="56"/>
        <v>0</v>
      </c>
      <c r="AL218">
        <f t="shared" si="56"/>
        <v>0</v>
      </c>
      <c r="AM218">
        <f t="shared" si="56"/>
        <v>0</v>
      </c>
      <c r="AN218">
        <f t="shared" si="56"/>
        <v>3</v>
      </c>
      <c r="AO218">
        <f t="shared" si="56"/>
        <v>0</v>
      </c>
      <c r="AP218">
        <f t="shared" si="56"/>
        <v>0</v>
      </c>
      <c r="AQ218">
        <f t="shared" si="56"/>
        <v>0</v>
      </c>
      <c r="AR218">
        <f t="shared" si="68"/>
        <v>6</v>
      </c>
      <c r="AS218">
        <f t="shared" si="57"/>
        <v>1</v>
      </c>
      <c r="AT218">
        <f t="shared" si="57"/>
        <v>1</v>
      </c>
      <c r="AU218">
        <f t="shared" si="57"/>
        <v>0</v>
      </c>
      <c r="AV218">
        <f t="shared" si="57"/>
        <v>1</v>
      </c>
      <c r="AW218">
        <f t="shared" si="57"/>
        <v>2</v>
      </c>
      <c r="AX218">
        <f t="shared" si="57"/>
        <v>0</v>
      </c>
      <c r="AY218">
        <f t="shared" si="57"/>
        <v>0</v>
      </c>
      <c r="AZ218">
        <f t="shared" si="57"/>
        <v>0</v>
      </c>
      <c r="BA218">
        <f t="shared" si="57"/>
        <v>0</v>
      </c>
      <c r="BB218">
        <f t="shared" si="57"/>
        <v>0</v>
      </c>
      <c r="BC218">
        <f t="shared" si="57"/>
        <v>0</v>
      </c>
      <c r="BD218">
        <f t="shared" si="57"/>
        <v>0</v>
      </c>
      <c r="BE218">
        <f t="shared" si="57"/>
        <v>0</v>
      </c>
      <c r="BF218">
        <f t="shared" si="57"/>
        <v>0</v>
      </c>
      <c r="BG218">
        <f t="shared" si="57"/>
        <v>0</v>
      </c>
      <c r="BH218">
        <f t="shared" si="57"/>
        <v>0</v>
      </c>
      <c r="BI218">
        <f t="shared" si="57"/>
        <v>0</v>
      </c>
      <c r="BJ218">
        <f t="shared" si="57"/>
        <v>2</v>
      </c>
      <c r="BK218">
        <f t="shared" si="57"/>
        <v>0</v>
      </c>
      <c r="BL218">
        <f t="shared" si="57"/>
        <v>0</v>
      </c>
      <c r="BM218">
        <f t="shared" si="57"/>
        <v>0</v>
      </c>
      <c r="BN218">
        <f t="shared" si="57"/>
        <v>0</v>
      </c>
      <c r="BO218">
        <f t="shared" si="57"/>
        <v>1</v>
      </c>
      <c r="BP218">
        <f t="shared" si="57"/>
        <v>3</v>
      </c>
      <c r="BQ218">
        <f t="shared" si="57"/>
        <v>3</v>
      </c>
      <c r="BR218">
        <f t="shared" si="57"/>
        <v>0</v>
      </c>
      <c r="BS218">
        <f t="shared" si="57"/>
        <v>0</v>
      </c>
      <c r="BT218">
        <f t="shared" si="57"/>
        <v>12</v>
      </c>
      <c r="BU218">
        <f t="shared" si="57"/>
        <v>13</v>
      </c>
      <c r="BV218">
        <f t="shared" si="57"/>
        <v>1</v>
      </c>
      <c r="BW218">
        <f t="shared" si="57"/>
        <v>2</v>
      </c>
      <c r="BX218">
        <f t="shared" si="57"/>
        <v>0</v>
      </c>
      <c r="BY218">
        <f t="shared" si="57"/>
        <v>8</v>
      </c>
      <c r="BZ218">
        <f t="shared" si="57"/>
        <v>4</v>
      </c>
      <c r="CA218">
        <f t="shared" si="57"/>
        <v>1</v>
      </c>
      <c r="CB218">
        <f t="shared" si="57"/>
        <v>0</v>
      </c>
      <c r="CC218">
        <f t="shared" si="57"/>
        <v>2</v>
      </c>
      <c r="CD218">
        <f t="shared" si="57"/>
        <v>0</v>
      </c>
      <c r="CE218">
        <f t="shared" si="57"/>
        <v>0</v>
      </c>
      <c r="CF218">
        <f t="shared" si="57"/>
        <v>1</v>
      </c>
      <c r="CG218">
        <f t="shared" si="57"/>
        <v>3</v>
      </c>
      <c r="CH218">
        <f t="shared" si="57"/>
        <v>3</v>
      </c>
      <c r="CI218">
        <f t="shared" si="57"/>
        <v>3</v>
      </c>
      <c r="CJ218">
        <f t="shared" si="57"/>
        <v>0</v>
      </c>
      <c r="CK218">
        <f t="shared" si="57"/>
        <v>4</v>
      </c>
    </row>
    <row r="219" spans="1:89" x14ac:dyDescent="0.25">
      <c r="A219" s="21" t="s">
        <v>239</v>
      </c>
      <c r="D219">
        <f t="shared" si="58"/>
        <v>6</v>
      </c>
      <c r="E219">
        <f t="shared" si="59"/>
        <v>0</v>
      </c>
      <c r="F219">
        <f t="shared" si="60"/>
        <v>3</v>
      </c>
      <c r="G219">
        <f t="shared" si="61"/>
        <v>2</v>
      </c>
      <c r="H219">
        <f t="shared" si="62"/>
        <v>11</v>
      </c>
      <c r="I219">
        <f t="shared" si="63"/>
        <v>1</v>
      </c>
      <c r="J219">
        <f t="shared" si="64"/>
        <v>2</v>
      </c>
      <c r="K219">
        <f t="shared" si="65"/>
        <v>8</v>
      </c>
      <c r="L219">
        <f t="shared" si="66"/>
        <v>0</v>
      </c>
      <c r="M219">
        <f t="shared" si="67"/>
        <v>2</v>
      </c>
      <c r="N219">
        <f t="shared" si="67"/>
        <v>2</v>
      </c>
      <c r="O219">
        <f t="shared" si="56"/>
        <v>5</v>
      </c>
      <c r="P219">
        <f t="shared" si="56"/>
        <v>1</v>
      </c>
      <c r="Q219">
        <f t="shared" si="56"/>
        <v>3</v>
      </c>
      <c r="R219">
        <f t="shared" si="56"/>
        <v>8</v>
      </c>
      <c r="S219">
        <f t="shared" si="56"/>
        <v>7</v>
      </c>
      <c r="T219">
        <f t="shared" si="56"/>
        <v>0</v>
      </c>
      <c r="U219">
        <f t="shared" si="56"/>
        <v>3</v>
      </c>
      <c r="V219">
        <f t="shared" si="56"/>
        <v>3</v>
      </c>
      <c r="W219">
        <f t="shared" si="56"/>
        <v>1</v>
      </c>
      <c r="X219">
        <f t="shared" si="56"/>
        <v>0</v>
      </c>
      <c r="Y219">
        <f t="shared" si="56"/>
        <v>0</v>
      </c>
      <c r="Z219">
        <f t="shared" si="56"/>
        <v>2</v>
      </c>
      <c r="AA219">
        <f t="shared" si="56"/>
        <v>0</v>
      </c>
      <c r="AB219">
        <f t="shared" si="56"/>
        <v>3</v>
      </c>
      <c r="AC219">
        <f t="shared" si="56"/>
        <v>0</v>
      </c>
      <c r="AD219">
        <f t="shared" si="56"/>
        <v>3</v>
      </c>
      <c r="AE219">
        <f t="shared" si="56"/>
        <v>1</v>
      </c>
      <c r="AF219">
        <f t="shared" si="56"/>
        <v>0</v>
      </c>
      <c r="AG219">
        <f t="shared" si="56"/>
        <v>1</v>
      </c>
      <c r="AH219">
        <f t="shared" si="56"/>
        <v>1</v>
      </c>
      <c r="AI219">
        <f t="shared" si="56"/>
        <v>4</v>
      </c>
      <c r="AJ219">
        <f t="shared" si="56"/>
        <v>0</v>
      </c>
      <c r="AK219">
        <f t="shared" si="56"/>
        <v>1</v>
      </c>
      <c r="AL219">
        <f t="shared" si="56"/>
        <v>0</v>
      </c>
      <c r="AM219">
        <f t="shared" si="56"/>
        <v>0</v>
      </c>
      <c r="AN219">
        <f t="shared" si="56"/>
        <v>1</v>
      </c>
      <c r="AO219">
        <f t="shared" si="56"/>
        <v>0</v>
      </c>
      <c r="AP219">
        <f t="shared" si="56"/>
        <v>1</v>
      </c>
      <c r="AQ219">
        <f t="shared" si="56"/>
        <v>0</v>
      </c>
      <c r="AR219">
        <f t="shared" si="68"/>
        <v>3</v>
      </c>
      <c r="AS219">
        <f t="shared" si="57"/>
        <v>6</v>
      </c>
      <c r="AT219">
        <f t="shared" si="57"/>
        <v>0</v>
      </c>
      <c r="AU219">
        <f t="shared" si="57"/>
        <v>0</v>
      </c>
      <c r="AV219">
        <f t="shared" si="57"/>
        <v>0</v>
      </c>
      <c r="AW219">
        <f t="shared" si="57"/>
        <v>4</v>
      </c>
      <c r="AX219">
        <f t="shared" si="57"/>
        <v>0</v>
      </c>
      <c r="AY219">
        <f t="shared" si="57"/>
        <v>0</v>
      </c>
      <c r="AZ219">
        <f t="shared" si="57"/>
        <v>4</v>
      </c>
      <c r="BA219">
        <f t="shared" si="57"/>
        <v>2</v>
      </c>
      <c r="BB219">
        <f t="shared" si="57"/>
        <v>0</v>
      </c>
      <c r="BC219">
        <f t="shared" si="57"/>
        <v>0</v>
      </c>
      <c r="BD219">
        <f t="shared" si="57"/>
        <v>1</v>
      </c>
      <c r="BE219">
        <f t="shared" si="57"/>
        <v>0</v>
      </c>
      <c r="BF219">
        <f t="shared" si="57"/>
        <v>1</v>
      </c>
      <c r="BG219">
        <f t="shared" si="57"/>
        <v>5</v>
      </c>
      <c r="BH219">
        <f t="shared" si="57"/>
        <v>5</v>
      </c>
      <c r="BI219">
        <f t="shared" si="57"/>
        <v>1</v>
      </c>
      <c r="BJ219">
        <f t="shared" si="57"/>
        <v>3</v>
      </c>
      <c r="BK219">
        <f t="shared" si="57"/>
        <v>1</v>
      </c>
      <c r="BL219">
        <f t="shared" si="57"/>
        <v>3</v>
      </c>
      <c r="BM219">
        <f t="shared" si="57"/>
        <v>0</v>
      </c>
      <c r="BN219">
        <f t="shared" si="57"/>
        <v>1</v>
      </c>
      <c r="BO219">
        <f t="shared" si="57"/>
        <v>0</v>
      </c>
      <c r="BP219">
        <f t="shared" si="57"/>
        <v>4</v>
      </c>
      <c r="BQ219">
        <f t="shared" si="57"/>
        <v>2</v>
      </c>
      <c r="BR219">
        <f t="shared" si="57"/>
        <v>0</v>
      </c>
      <c r="BS219">
        <f t="shared" si="57"/>
        <v>5</v>
      </c>
      <c r="BT219">
        <f t="shared" si="57"/>
        <v>1</v>
      </c>
      <c r="BU219">
        <f t="shared" si="57"/>
        <v>1</v>
      </c>
      <c r="BV219">
        <f t="shared" si="57"/>
        <v>1</v>
      </c>
      <c r="BW219">
        <f t="shared" si="57"/>
        <v>4</v>
      </c>
      <c r="BX219">
        <f t="shared" si="57"/>
        <v>6</v>
      </c>
      <c r="BY219">
        <f t="shared" si="57"/>
        <v>3</v>
      </c>
      <c r="BZ219">
        <f t="shared" si="57"/>
        <v>0</v>
      </c>
      <c r="CA219">
        <f t="shared" si="57"/>
        <v>2</v>
      </c>
      <c r="CB219">
        <f t="shared" si="57"/>
        <v>5</v>
      </c>
      <c r="CC219">
        <f t="shared" si="57"/>
        <v>5</v>
      </c>
      <c r="CD219">
        <f t="shared" si="57"/>
        <v>0</v>
      </c>
      <c r="CE219">
        <f t="shared" si="57"/>
        <v>1</v>
      </c>
      <c r="CF219">
        <f t="shared" si="57"/>
        <v>9</v>
      </c>
      <c r="CG219">
        <f t="shared" si="57"/>
        <v>2</v>
      </c>
      <c r="CH219">
        <f t="shared" si="57"/>
        <v>0</v>
      </c>
      <c r="CI219">
        <f t="shared" si="57"/>
        <v>5</v>
      </c>
      <c r="CJ219">
        <f t="shared" si="57"/>
        <v>2</v>
      </c>
      <c r="CK219">
        <f t="shared" si="57"/>
        <v>0</v>
      </c>
    </row>
    <row r="220" spans="1:89" x14ac:dyDescent="0.25">
      <c r="A220" s="21" t="s">
        <v>238</v>
      </c>
      <c r="D220">
        <f t="shared" si="58"/>
        <v>13</v>
      </c>
      <c r="E220">
        <f t="shared" si="59"/>
        <v>29</v>
      </c>
      <c r="F220">
        <f t="shared" si="60"/>
        <v>31</v>
      </c>
      <c r="G220">
        <f t="shared" si="61"/>
        <v>16</v>
      </c>
      <c r="H220">
        <f t="shared" si="62"/>
        <v>13</v>
      </c>
      <c r="I220">
        <f t="shared" si="63"/>
        <v>13</v>
      </c>
      <c r="J220">
        <f t="shared" si="64"/>
        <v>21</v>
      </c>
      <c r="K220">
        <f t="shared" si="65"/>
        <v>13</v>
      </c>
      <c r="L220">
        <f t="shared" si="66"/>
        <v>37</v>
      </c>
      <c r="M220">
        <f t="shared" si="67"/>
        <v>30</v>
      </c>
      <c r="N220">
        <f t="shared" si="67"/>
        <v>19</v>
      </c>
      <c r="O220">
        <f t="shared" si="56"/>
        <v>15</v>
      </c>
      <c r="P220">
        <f t="shared" si="56"/>
        <v>27</v>
      </c>
      <c r="Q220">
        <f t="shared" si="56"/>
        <v>33</v>
      </c>
      <c r="R220">
        <f t="shared" si="56"/>
        <v>6</v>
      </c>
      <c r="S220">
        <f t="shared" si="56"/>
        <v>14</v>
      </c>
      <c r="T220">
        <f t="shared" si="56"/>
        <v>14</v>
      </c>
      <c r="U220">
        <f t="shared" si="56"/>
        <v>37</v>
      </c>
      <c r="V220">
        <f t="shared" si="56"/>
        <v>3</v>
      </c>
      <c r="W220">
        <f t="shared" si="56"/>
        <v>9</v>
      </c>
      <c r="X220">
        <f t="shared" si="56"/>
        <v>19</v>
      </c>
      <c r="Y220">
        <f t="shared" si="56"/>
        <v>6</v>
      </c>
      <c r="Z220">
        <f t="shared" si="56"/>
        <v>33</v>
      </c>
      <c r="AA220">
        <f t="shared" si="56"/>
        <v>27</v>
      </c>
      <c r="AB220">
        <f t="shared" si="56"/>
        <v>18</v>
      </c>
      <c r="AC220">
        <f t="shared" si="56"/>
        <v>35</v>
      </c>
      <c r="AD220">
        <f t="shared" si="56"/>
        <v>30</v>
      </c>
      <c r="AE220">
        <f t="shared" si="56"/>
        <v>26</v>
      </c>
      <c r="AF220">
        <f t="shared" si="56"/>
        <v>30</v>
      </c>
      <c r="AG220">
        <f t="shared" si="56"/>
        <v>35</v>
      </c>
      <c r="AH220">
        <f t="shared" si="56"/>
        <v>40</v>
      </c>
      <c r="AI220">
        <f t="shared" si="56"/>
        <v>2</v>
      </c>
      <c r="AJ220">
        <f t="shared" si="56"/>
        <v>20</v>
      </c>
      <c r="AK220">
        <f t="shared" si="56"/>
        <v>6</v>
      </c>
      <c r="AL220">
        <f t="shared" si="56"/>
        <v>30</v>
      </c>
      <c r="AM220">
        <f t="shared" si="56"/>
        <v>35</v>
      </c>
      <c r="AN220">
        <f t="shared" si="56"/>
        <v>33</v>
      </c>
      <c r="AO220">
        <f t="shared" si="56"/>
        <v>24</v>
      </c>
      <c r="AP220">
        <f t="shared" si="56"/>
        <v>40</v>
      </c>
      <c r="AQ220">
        <f t="shared" si="56"/>
        <v>16</v>
      </c>
      <c r="AR220">
        <f t="shared" si="68"/>
        <v>9</v>
      </c>
      <c r="AS220">
        <f t="shared" si="57"/>
        <v>25</v>
      </c>
      <c r="AT220">
        <f t="shared" si="57"/>
        <v>6</v>
      </c>
      <c r="AU220">
        <f t="shared" si="57"/>
        <v>23</v>
      </c>
      <c r="AV220">
        <f t="shared" si="57"/>
        <v>29</v>
      </c>
      <c r="AW220">
        <f t="shared" si="57"/>
        <v>31</v>
      </c>
      <c r="AX220">
        <f t="shared" si="57"/>
        <v>31</v>
      </c>
      <c r="AY220">
        <f t="shared" si="57"/>
        <v>18</v>
      </c>
      <c r="AZ220">
        <f t="shared" si="57"/>
        <v>34</v>
      </c>
      <c r="BA220">
        <f t="shared" si="57"/>
        <v>19</v>
      </c>
      <c r="BB220">
        <f t="shared" si="57"/>
        <v>23</v>
      </c>
      <c r="BC220">
        <f t="shared" si="57"/>
        <v>22</v>
      </c>
      <c r="BD220">
        <f t="shared" si="57"/>
        <v>23</v>
      </c>
      <c r="BE220">
        <f t="shared" si="57"/>
        <v>0</v>
      </c>
      <c r="BF220">
        <f t="shared" si="57"/>
        <v>41</v>
      </c>
      <c r="BG220">
        <f t="shared" si="57"/>
        <v>26</v>
      </c>
      <c r="BH220">
        <f t="shared" si="57"/>
        <v>18</v>
      </c>
      <c r="BI220">
        <f t="shared" si="57"/>
        <v>29</v>
      </c>
      <c r="BJ220">
        <f t="shared" si="57"/>
        <v>12</v>
      </c>
      <c r="BK220">
        <f t="shared" si="57"/>
        <v>34</v>
      </c>
      <c r="BL220">
        <f t="shared" si="57"/>
        <v>16</v>
      </c>
      <c r="BM220">
        <f t="shared" si="57"/>
        <v>27</v>
      </c>
      <c r="BN220">
        <f t="shared" si="57"/>
        <v>22</v>
      </c>
      <c r="BO220">
        <f t="shared" si="57"/>
        <v>41</v>
      </c>
      <c r="BP220">
        <f t="shared" si="57"/>
        <v>19</v>
      </c>
      <c r="BQ220">
        <f t="shared" si="57"/>
        <v>29</v>
      </c>
      <c r="BR220">
        <f t="shared" si="57"/>
        <v>33</v>
      </c>
      <c r="BS220">
        <f t="shared" si="57"/>
        <v>14</v>
      </c>
      <c r="BT220">
        <f t="shared" si="57"/>
        <v>3</v>
      </c>
      <c r="BU220">
        <f t="shared" si="57"/>
        <v>21</v>
      </c>
      <c r="BV220">
        <f t="shared" si="57"/>
        <v>22</v>
      </c>
      <c r="BW220">
        <f t="shared" si="57"/>
        <v>16</v>
      </c>
      <c r="BX220">
        <f t="shared" si="57"/>
        <v>27</v>
      </c>
      <c r="BY220">
        <f t="shared" si="57"/>
        <v>24</v>
      </c>
      <c r="BZ220">
        <f t="shared" si="57"/>
        <v>37</v>
      </c>
      <c r="CA220">
        <f t="shared" si="57"/>
        <v>23</v>
      </c>
      <c r="CB220">
        <f t="shared" si="57"/>
        <v>8</v>
      </c>
      <c r="CC220">
        <f t="shared" si="57"/>
        <v>36</v>
      </c>
      <c r="CD220">
        <f t="shared" si="57"/>
        <v>18</v>
      </c>
      <c r="CE220">
        <f t="shared" si="57"/>
        <v>28</v>
      </c>
      <c r="CF220">
        <f t="shared" si="57"/>
        <v>19</v>
      </c>
      <c r="CG220">
        <f t="shared" si="57"/>
        <v>19</v>
      </c>
      <c r="CH220">
        <f t="shared" si="57"/>
        <v>34</v>
      </c>
      <c r="CI220">
        <f t="shared" si="57"/>
        <v>8</v>
      </c>
      <c r="CJ220">
        <f t="shared" si="57"/>
        <v>34</v>
      </c>
      <c r="CK220">
        <f t="shared" si="57"/>
        <v>34</v>
      </c>
    </row>
    <row r="221" spans="1:89" x14ac:dyDescent="0.25">
      <c r="A221" s="21" t="s">
        <v>241</v>
      </c>
      <c r="D221">
        <f t="shared" si="58"/>
        <v>2</v>
      </c>
      <c r="E221">
        <f t="shared" si="59"/>
        <v>0</v>
      </c>
      <c r="F221">
        <f t="shared" si="60"/>
        <v>0</v>
      </c>
      <c r="G221">
        <f t="shared" si="61"/>
        <v>0</v>
      </c>
      <c r="H221">
        <f t="shared" si="62"/>
        <v>0</v>
      </c>
      <c r="I221">
        <f t="shared" si="63"/>
        <v>0</v>
      </c>
      <c r="J221">
        <f t="shared" si="64"/>
        <v>1</v>
      </c>
      <c r="K221">
        <f t="shared" si="65"/>
        <v>0</v>
      </c>
      <c r="L221">
        <f t="shared" si="66"/>
        <v>1</v>
      </c>
      <c r="M221">
        <f t="shared" si="67"/>
        <v>0</v>
      </c>
      <c r="N221">
        <f t="shared" si="67"/>
        <v>0</v>
      </c>
      <c r="O221">
        <f t="shared" si="56"/>
        <v>0</v>
      </c>
      <c r="P221">
        <f t="shared" si="56"/>
        <v>2</v>
      </c>
      <c r="Q221">
        <f t="shared" si="56"/>
        <v>2</v>
      </c>
      <c r="R221">
        <f t="shared" si="56"/>
        <v>0</v>
      </c>
      <c r="S221">
        <f t="shared" si="56"/>
        <v>0</v>
      </c>
      <c r="T221">
        <f t="shared" si="56"/>
        <v>0</v>
      </c>
      <c r="U221">
        <f t="shared" si="56"/>
        <v>0</v>
      </c>
      <c r="V221">
        <f t="shared" si="56"/>
        <v>0</v>
      </c>
      <c r="W221">
        <f t="shared" si="56"/>
        <v>0</v>
      </c>
      <c r="X221">
        <f t="shared" si="56"/>
        <v>0</v>
      </c>
      <c r="Y221">
        <f t="shared" si="56"/>
        <v>0</v>
      </c>
      <c r="Z221">
        <f t="shared" si="56"/>
        <v>0</v>
      </c>
      <c r="AA221">
        <f t="shared" si="56"/>
        <v>0</v>
      </c>
      <c r="AB221">
        <f t="shared" si="56"/>
        <v>0</v>
      </c>
      <c r="AC221">
        <f t="shared" si="56"/>
        <v>2</v>
      </c>
      <c r="AD221">
        <f t="shared" si="56"/>
        <v>0</v>
      </c>
      <c r="AE221">
        <f t="shared" si="56"/>
        <v>1</v>
      </c>
      <c r="AF221">
        <f t="shared" si="56"/>
        <v>2</v>
      </c>
      <c r="AG221">
        <f t="shared" si="56"/>
        <v>0</v>
      </c>
      <c r="AH221">
        <f t="shared" si="56"/>
        <v>0</v>
      </c>
      <c r="AI221">
        <f t="shared" si="56"/>
        <v>0</v>
      </c>
      <c r="AJ221">
        <f t="shared" si="56"/>
        <v>0</v>
      </c>
      <c r="AK221">
        <f t="shared" si="56"/>
        <v>0</v>
      </c>
      <c r="AL221">
        <f t="shared" si="56"/>
        <v>1</v>
      </c>
      <c r="AM221">
        <f t="shared" si="56"/>
        <v>1</v>
      </c>
      <c r="AN221">
        <f t="shared" si="56"/>
        <v>0</v>
      </c>
      <c r="AO221">
        <f t="shared" si="56"/>
        <v>2</v>
      </c>
      <c r="AP221">
        <f t="shared" si="56"/>
        <v>0</v>
      </c>
      <c r="AQ221">
        <f t="shared" si="56"/>
        <v>0</v>
      </c>
      <c r="AR221">
        <f t="shared" si="68"/>
        <v>0</v>
      </c>
      <c r="AS221">
        <f t="shared" si="57"/>
        <v>0</v>
      </c>
      <c r="AT221">
        <f t="shared" si="57"/>
        <v>0</v>
      </c>
      <c r="AU221">
        <f t="shared" si="57"/>
        <v>3</v>
      </c>
      <c r="AV221">
        <f t="shared" si="57"/>
        <v>0</v>
      </c>
      <c r="AW221">
        <f t="shared" si="57"/>
        <v>1</v>
      </c>
      <c r="AX221">
        <f t="shared" si="57"/>
        <v>0</v>
      </c>
      <c r="AY221">
        <f t="shared" si="57"/>
        <v>0</v>
      </c>
      <c r="AZ221">
        <f t="shared" si="57"/>
        <v>2</v>
      </c>
      <c r="BA221">
        <f t="shared" si="57"/>
        <v>0</v>
      </c>
      <c r="BB221">
        <f t="shared" si="57"/>
        <v>0</v>
      </c>
      <c r="BC221">
        <f t="shared" si="57"/>
        <v>0</v>
      </c>
      <c r="BD221">
        <f t="shared" si="57"/>
        <v>1</v>
      </c>
      <c r="BE221">
        <f t="shared" si="57"/>
        <v>0</v>
      </c>
      <c r="BF221">
        <f t="shared" si="57"/>
        <v>0</v>
      </c>
      <c r="BG221">
        <f t="shared" si="57"/>
        <v>0</v>
      </c>
      <c r="BH221">
        <f t="shared" si="57"/>
        <v>0</v>
      </c>
      <c r="BI221">
        <f t="shared" si="57"/>
        <v>0</v>
      </c>
      <c r="BJ221">
        <f t="shared" si="57"/>
        <v>0</v>
      </c>
      <c r="BK221">
        <f t="shared" si="57"/>
        <v>0</v>
      </c>
      <c r="BL221">
        <f t="shared" si="57"/>
        <v>0</v>
      </c>
      <c r="BM221">
        <f t="shared" si="57"/>
        <v>2</v>
      </c>
      <c r="BN221">
        <f t="shared" si="57"/>
        <v>0</v>
      </c>
      <c r="BO221">
        <f t="shared" si="57"/>
        <v>0</v>
      </c>
      <c r="BP221">
        <f t="shared" si="57"/>
        <v>0</v>
      </c>
      <c r="BQ221">
        <f t="shared" si="57"/>
        <v>0</v>
      </c>
      <c r="BR221">
        <f t="shared" si="57"/>
        <v>0</v>
      </c>
      <c r="BS221">
        <f t="shared" si="57"/>
        <v>0</v>
      </c>
      <c r="BT221">
        <f t="shared" si="57"/>
        <v>0</v>
      </c>
      <c r="BU221">
        <f t="shared" si="57"/>
        <v>0</v>
      </c>
      <c r="BV221">
        <f t="shared" si="57"/>
        <v>0</v>
      </c>
      <c r="BW221">
        <f t="shared" ref="BW221:CK221" si="69">COUNTIF(BW$98:BW$169,$A221)</f>
        <v>0</v>
      </c>
      <c r="BX221">
        <f t="shared" si="69"/>
        <v>0</v>
      </c>
      <c r="BY221">
        <f t="shared" si="69"/>
        <v>0</v>
      </c>
      <c r="BZ221">
        <f t="shared" si="69"/>
        <v>0</v>
      </c>
      <c r="CA221">
        <f t="shared" si="69"/>
        <v>0</v>
      </c>
      <c r="CB221">
        <f t="shared" si="69"/>
        <v>0</v>
      </c>
      <c r="CC221">
        <f t="shared" si="69"/>
        <v>0</v>
      </c>
      <c r="CD221">
        <f t="shared" si="69"/>
        <v>0</v>
      </c>
      <c r="CE221">
        <f t="shared" si="69"/>
        <v>0</v>
      </c>
      <c r="CF221">
        <f t="shared" si="69"/>
        <v>0</v>
      </c>
      <c r="CG221">
        <f t="shared" si="69"/>
        <v>0</v>
      </c>
      <c r="CH221">
        <f t="shared" si="69"/>
        <v>1</v>
      </c>
      <c r="CI221">
        <f t="shared" si="69"/>
        <v>0</v>
      </c>
      <c r="CJ221">
        <f t="shared" si="69"/>
        <v>1</v>
      </c>
      <c r="CK221">
        <f t="shared" si="69"/>
        <v>3</v>
      </c>
    </row>
    <row r="222" spans="1:89" x14ac:dyDescent="0.25">
      <c r="D222">
        <f t="shared" ref="D222:N222" si="70">SUM(D216:D221)</f>
        <v>72</v>
      </c>
      <c r="E222">
        <f t="shared" si="70"/>
        <v>33</v>
      </c>
      <c r="F222">
        <f t="shared" si="70"/>
        <v>47</v>
      </c>
      <c r="G222">
        <f t="shared" si="70"/>
        <v>32</v>
      </c>
      <c r="H222">
        <f t="shared" si="70"/>
        <v>46</v>
      </c>
      <c r="I222">
        <f t="shared" si="70"/>
        <v>36</v>
      </c>
      <c r="J222">
        <f t="shared" si="70"/>
        <v>48</v>
      </c>
      <c r="K222">
        <f t="shared" si="70"/>
        <v>31</v>
      </c>
      <c r="L222">
        <f t="shared" si="70"/>
        <v>48</v>
      </c>
      <c r="M222">
        <f t="shared" si="70"/>
        <v>48</v>
      </c>
      <c r="N222">
        <f t="shared" si="70"/>
        <v>26</v>
      </c>
      <c r="O222">
        <f t="shared" ref="O222:AQ222" si="71">SUM(O216:O221)</f>
        <v>24</v>
      </c>
      <c r="P222">
        <f t="shared" si="71"/>
        <v>35</v>
      </c>
      <c r="Q222">
        <f t="shared" si="71"/>
        <v>44</v>
      </c>
      <c r="R222">
        <f t="shared" si="71"/>
        <v>34</v>
      </c>
      <c r="S222">
        <f t="shared" si="71"/>
        <v>37</v>
      </c>
      <c r="T222">
        <f t="shared" si="71"/>
        <v>35</v>
      </c>
      <c r="U222">
        <f t="shared" si="71"/>
        <v>45</v>
      </c>
      <c r="V222">
        <f t="shared" si="71"/>
        <v>24</v>
      </c>
      <c r="W222">
        <f t="shared" si="71"/>
        <v>12</v>
      </c>
      <c r="X222">
        <f t="shared" si="71"/>
        <v>24</v>
      </c>
      <c r="Y222">
        <f t="shared" si="71"/>
        <v>35</v>
      </c>
      <c r="Z222">
        <f t="shared" si="71"/>
        <v>35</v>
      </c>
      <c r="AA222">
        <f t="shared" si="71"/>
        <v>30</v>
      </c>
      <c r="AB222">
        <f t="shared" si="71"/>
        <v>27</v>
      </c>
      <c r="AC222">
        <f t="shared" si="71"/>
        <v>47</v>
      </c>
      <c r="AD222">
        <f t="shared" si="71"/>
        <v>37</v>
      </c>
      <c r="AE222">
        <f t="shared" si="71"/>
        <v>28</v>
      </c>
      <c r="AF222">
        <f t="shared" si="71"/>
        <v>41</v>
      </c>
      <c r="AG222">
        <f t="shared" si="71"/>
        <v>46</v>
      </c>
      <c r="AH222">
        <f t="shared" si="71"/>
        <v>44</v>
      </c>
      <c r="AI222">
        <f t="shared" si="71"/>
        <v>37</v>
      </c>
      <c r="AJ222">
        <f t="shared" si="71"/>
        <v>37</v>
      </c>
      <c r="AK222">
        <f t="shared" si="71"/>
        <v>30</v>
      </c>
      <c r="AL222">
        <f t="shared" si="71"/>
        <v>46</v>
      </c>
      <c r="AM222">
        <f t="shared" si="71"/>
        <v>37</v>
      </c>
      <c r="AN222">
        <f t="shared" si="71"/>
        <v>40</v>
      </c>
      <c r="AO222">
        <f t="shared" si="71"/>
        <v>48</v>
      </c>
      <c r="AP222">
        <f t="shared" si="71"/>
        <v>45</v>
      </c>
      <c r="AQ222">
        <f t="shared" si="71"/>
        <v>24</v>
      </c>
      <c r="AR222">
        <f>SUM(AR216:AR221)</f>
        <v>32</v>
      </c>
      <c r="AS222">
        <f t="shared" ref="AS222:CK222" si="72">SUM(AS216:AS221)</f>
        <v>38</v>
      </c>
      <c r="AT222">
        <f t="shared" si="72"/>
        <v>32</v>
      </c>
      <c r="AU222">
        <f t="shared" si="72"/>
        <v>27</v>
      </c>
      <c r="AV222">
        <f t="shared" si="72"/>
        <v>33</v>
      </c>
      <c r="AW222">
        <f t="shared" si="72"/>
        <v>48</v>
      </c>
      <c r="AX222">
        <f t="shared" si="72"/>
        <v>35</v>
      </c>
      <c r="AY222">
        <f t="shared" si="72"/>
        <v>25</v>
      </c>
      <c r="AZ222">
        <f t="shared" si="72"/>
        <v>46</v>
      </c>
      <c r="BA222">
        <f t="shared" si="72"/>
        <v>24</v>
      </c>
      <c r="BB222">
        <f t="shared" si="72"/>
        <v>29</v>
      </c>
      <c r="BC222">
        <f t="shared" si="72"/>
        <v>23</v>
      </c>
      <c r="BD222">
        <f t="shared" si="72"/>
        <v>28</v>
      </c>
      <c r="BE222">
        <f t="shared" si="72"/>
        <v>22</v>
      </c>
      <c r="BF222">
        <f t="shared" si="72"/>
        <v>44</v>
      </c>
      <c r="BG222">
        <f t="shared" si="72"/>
        <v>34</v>
      </c>
      <c r="BH222">
        <f t="shared" si="72"/>
        <v>26</v>
      </c>
      <c r="BI222">
        <f t="shared" si="72"/>
        <v>30</v>
      </c>
      <c r="BJ222">
        <f t="shared" si="72"/>
        <v>24</v>
      </c>
      <c r="BK222">
        <f t="shared" si="72"/>
        <v>36</v>
      </c>
      <c r="BL222">
        <f t="shared" si="72"/>
        <v>27</v>
      </c>
      <c r="BM222">
        <f t="shared" si="72"/>
        <v>31</v>
      </c>
      <c r="BN222">
        <f t="shared" si="72"/>
        <v>34</v>
      </c>
      <c r="BO222">
        <f t="shared" si="72"/>
        <v>44</v>
      </c>
      <c r="BP222">
        <f t="shared" si="72"/>
        <v>29</v>
      </c>
      <c r="BQ222">
        <f t="shared" si="72"/>
        <v>36</v>
      </c>
      <c r="BR222">
        <f t="shared" si="72"/>
        <v>33</v>
      </c>
      <c r="BS222">
        <f t="shared" si="72"/>
        <v>25</v>
      </c>
      <c r="BT222">
        <f t="shared" si="72"/>
        <v>47</v>
      </c>
      <c r="BU222">
        <f t="shared" si="72"/>
        <v>44</v>
      </c>
      <c r="BV222">
        <f t="shared" si="72"/>
        <v>25</v>
      </c>
      <c r="BW222">
        <f t="shared" si="72"/>
        <v>25</v>
      </c>
      <c r="BX222">
        <f t="shared" si="72"/>
        <v>37</v>
      </c>
      <c r="BY222">
        <f t="shared" si="72"/>
        <v>36</v>
      </c>
      <c r="BZ222">
        <f t="shared" si="72"/>
        <v>45</v>
      </c>
      <c r="CA222">
        <f t="shared" si="72"/>
        <v>38</v>
      </c>
      <c r="CB222">
        <f t="shared" si="72"/>
        <v>24</v>
      </c>
      <c r="CC222">
        <f t="shared" si="72"/>
        <v>47</v>
      </c>
      <c r="CD222">
        <f t="shared" si="72"/>
        <v>24</v>
      </c>
      <c r="CE222">
        <f t="shared" si="72"/>
        <v>36</v>
      </c>
      <c r="CF222">
        <f t="shared" si="72"/>
        <v>32</v>
      </c>
      <c r="CG222">
        <f t="shared" si="72"/>
        <v>27</v>
      </c>
      <c r="CH222">
        <f t="shared" si="72"/>
        <v>42</v>
      </c>
      <c r="CI222">
        <f t="shared" si="72"/>
        <v>34</v>
      </c>
      <c r="CJ222">
        <f t="shared" si="72"/>
        <v>40</v>
      </c>
      <c r="CK222">
        <f t="shared" si="72"/>
        <v>46</v>
      </c>
    </row>
    <row r="225" spans="1:89" x14ac:dyDescent="0.25">
      <c r="A225" s="28" t="s">
        <v>61</v>
      </c>
      <c r="B225" s="26">
        <f>AVERAGE(B$26:B$45,B$86:B$89)</f>
        <v>0.22249999999999998</v>
      </c>
      <c r="C225" s="26">
        <f t="shared" ref="C225:BN225" si="73">AVERAGE(C$26:C$45,C$86:C$89)</f>
        <v>0.44791666666666657</v>
      </c>
      <c r="D225" s="26">
        <f t="shared" si="73"/>
        <v>0.54291666666666671</v>
      </c>
      <c r="E225" s="26">
        <f t="shared" si="73"/>
        <v>9.1249999999999998E-2</v>
      </c>
      <c r="F225" s="26">
        <f t="shared" si="73"/>
        <v>0.11000000000000001</v>
      </c>
      <c r="G225" s="26">
        <f t="shared" si="73"/>
        <v>0.45466666666666661</v>
      </c>
      <c r="H225" s="26">
        <f t="shared" si="73"/>
        <v>0.18625000000000003</v>
      </c>
      <c r="I225" s="26">
        <f t="shared" si="73"/>
        <v>0.26666666666666666</v>
      </c>
      <c r="J225" s="26">
        <f t="shared" si="73"/>
        <v>0.15062500000000004</v>
      </c>
      <c r="K225" s="26">
        <f t="shared" si="73"/>
        <v>0.21000000000000002</v>
      </c>
      <c r="L225" s="26">
        <f t="shared" si="73"/>
        <v>0.24812500000000001</v>
      </c>
      <c r="M225" s="26">
        <f t="shared" si="73"/>
        <v>0.359375</v>
      </c>
      <c r="N225" s="26">
        <f t="shared" si="73"/>
        <v>0.27</v>
      </c>
      <c r="O225" s="26">
        <f t="shared" si="73"/>
        <v>0.29750000000000004</v>
      </c>
      <c r="P225" s="26">
        <f t="shared" si="73"/>
        <v>0.27000000000000007</v>
      </c>
      <c r="Q225" s="26">
        <f t="shared" si="73"/>
        <v>0.41562500000000002</v>
      </c>
      <c r="R225" s="26">
        <f t="shared" si="73"/>
        <v>0.24545454545454543</v>
      </c>
      <c r="S225" s="26">
        <f t="shared" si="73"/>
        <v>0.35333333333333333</v>
      </c>
      <c r="T225" s="26">
        <f t="shared" si="73"/>
        <v>0.27166666666666667</v>
      </c>
      <c r="U225" s="26">
        <f t="shared" si="73"/>
        <v>0.18000000000000002</v>
      </c>
      <c r="V225" s="26">
        <f t="shared" si="73"/>
        <v>0.23250000000000004</v>
      </c>
      <c r="W225" s="26">
        <f t="shared" si="73"/>
        <v>0.29454545454545455</v>
      </c>
      <c r="X225" s="26">
        <f t="shared" si="73"/>
        <v>0.27749999999999997</v>
      </c>
      <c r="Y225" s="26">
        <f t="shared" si="73"/>
        <v>0.24545454545454548</v>
      </c>
      <c r="Z225" s="26">
        <f t="shared" si="73"/>
        <v>0.35299999999999998</v>
      </c>
      <c r="AA225" s="26">
        <f t="shared" si="73"/>
        <v>0.2225</v>
      </c>
      <c r="AB225" s="26">
        <f t="shared" si="73"/>
        <v>0.12222222222222223</v>
      </c>
      <c r="AC225" s="26">
        <f t="shared" si="73"/>
        <v>0.34499999999999997</v>
      </c>
      <c r="AD225" s="26">
        <f t="shared" si="73"/>
        <v>0.30153846153846153</v>
      </c>
      <c r="AE225" s="26">
        <f t="shared" si="73"/>
        <v>0.27909090909090906</v>
      </c>
      <c r="AF225" s="26">
        <f t="shared" si="73"/>
        <v>0.28857142857142859</v>
      </c>
      <c r="AG225" s="26">
        <f t="shared" si="73"/>
        <v>0.39066666666666666</v>
      </c>
      <c r="AH225" s="26">
        <f t="shared" si="73"/>
        <v>0.35000000000000003</v>
      </c>
      <c r="AI225" s="26">
        <f t="shared" si="73"/>
        <v>0.38384615384615384</v>
      </c>
      <c r="AJ225" s="26">
        <f t="shared" si="73"/>
        <v>0.28333333333333338</v>
      </c>
      <c r="AK225" s="26">
        <f t="shared" si="73"/>
        <v>0.246</v>
      </c>
      <c r="AL225" s="26">
        <f t="shared" si="73"/>
        <v>0.29533333333333334</v>
      </c>
      <c r="AM225" s="26">
        <f t="shared" si="73"/>
        <v>0.34769230769230774</v>
      </c>
      <c r="AN225" s="26">
        <f t="shared" si="73"/>
        <v>0.23250000000000004</v>
      </c>
      <c r="AO225" s="26">
        <f t="shared" si="73"/>
        <v>0.36125000000000002</v>
      </c>
      <c r="AP225" s="26">
        <f t="shared" si="73"/>
        <v>0.2985714285714286</v>
      </c>
      <c r="AQ225" s="26">
        <f t="shared" si="73"/>
        <v>0.14000000000000001</v>
      </c>
      <c r="AR225" s="26">
        <f t="shared" si="73"/>
        <v>0.27</v>
      </c>
      <c r="AS225" s="26">
        <f t="shared" si="73"/>
        <v>0.22142857142857145</v>
      </c>
      <c r="AT225" s="26">
        <f t="shared" si="73"/>
        <v>0.19090909090909092</v>
      </c>
      <c r="AU225" s="26">
        <f t="shared" si="73"/>
        <v>0.21333333333333337</v>
      </c>
      <c r="AV225" s="26">
        <f t="shared" si="73"/>
        <v>0.27833333333333332</v>
      </c>
      <c r="AW225" s="26">
        <f t="shared" si="73"/>
        <v>0.32625000000000004</v>
      </c>
      <c r="AX225" s="26">
        <f t="shared" si="73"/>
        <v>0.13833333333333334</v>
      </c>
      <c r="AY225" s="26">
        <f t="shared" si="73"/>
        <v>0.25888888888888889</v>
      </c>
      <c r="AZ225" s="26">
        <f t="shared" si="73"/>
        <v>0.25624999999999998</v>
      </c>
      <c r="BA225" s="26">
        <f t="shared" si="73"/>
        <v>0.23249999999999998</v>
      </c>
      <c r="BB225" s="26">
        <f t="shared" si="73"/>
        <v>0.22000000000000003</v>
      </c>
      <c r="BC225" s="26">
        <f t="shared" si="73"/>
        <v>0.26</v>
      </c>
      <c r="BD225" s="26">
        <f t="shared" si="73"/>
        <v>0.13125000000000001</v>
      </c>
      <c r="BE225" s="26">
        <f t="shared" si="73"/>
        <v>0.28249999999999997</v>
      </c>
      <c r="BF225" s="26">
        <f t="shared" si="73"/>
        <v>0.30375000000000002</v>
      </c>
      <c r="BG225" s="26">
        <f t="shared" si="73"/>
        <v>0.27499999999999997</v>
      </c>
      <c r="BH225" s="26">
        <f t="shared" si="73"/>
        <v>0.2</v>
      </c>
      <c r="BI225" s="26">
        <f t="shared" si="73"/>
        <v>0.31</v>
      </c>
      <c r="BJ225" s="26">
        <f t="shared" si="73"/>
        <v>0.25375000000000003</v>
      </c>
      <c r="BK225" s="26">
        <f t="shared" si="73"/>
        <v>0.16833333333333336</v>
      </c>
      <c r="BL225" s="26">
        <f t="shared" si="73"/>
        <v>0.47555555555555556</v>
      </c>
      <c r="BM225" s="26">
        <f t="shared" si="73"/>
        <v>0.31384615384615394</v>
      </c>
      <c r="BN225" s="26">
        <f t="shared" si="73"/>
        <v>0.22363636363636363</v>
      </c>
      <c r="BO225" s="26">
        <f t="shared" ref="BO225:CK225" si="74">AVERAGE(BO$26:BO$45,BO$86:BO$89)</f>
        <v>0.44687500000000008</v>
      </c>
      <c r="BP225" s="26">
        <f t="shared" si="74"/>
        <v>0.12444444444444445</v>
      </c>
      <c r="BQ225" s="26">
        <f t="shared" si="74"/>
        <v>0.14000000000000001</v>
      </c>
      <c r="BR225" s="26">
        <f t="shared" si="74"/>
        <v>0.11833333333333335</v>
      </c>
      <c r="BS225" s="26">
        <f t="shared" si="74"/>
        <v>0.13500000000000001</v>
      </c>
      <c r="BT225" s="26">
        <f t="shared" si="74"/>
        <v>0.42399999999999999</v>
      </c>
      <c r="BU225" s="26">
        <f t="shared" si="74"/>
        <v>0.26357142857142857</v>
      </c>
      <c r="BV225" s="26">
        <f t="shared" si="74"/>
        <v>0.37000000000000005</v>
      </c>
      <c r="BW225" s="26">
        <f t="shared" si="74"/>
        <v>0.17222222222222219</v>
      </c>
      <c r="BX225" s="26">
        <f t="shared" si="74"/>
        <v>0.23250000000000001</v>
      </c>
      <c r="BY225" s="26">
        <f t="shared" si="74"/>
        <v>0.3116666666666667</v>
      </c>
      <c r="BZ225" s="26">
        <f t="shared" si="74"/>
        <v>0.46928571428571431</v>
      </c>
      <c r="CA225" s="26">
        <f t="shared" si="74"/>
        <v>0.3428571428571428</v>
      </c>
      <c r="CB225" s="26">
        <f t="shared" si="74"/>
        <v>0.29375000000000001</v>
      </c>
      <c r="CC225" s="26">
        <f t="shared" si="74"/>
        <v>0.41999999999999993</v>
      </c>
      <c r="CD225" s="26">
        <f t="shared" si="74"/>
        <v>0.30250000000000005</v>
      </c>
      <c r="CE225" s="26">
        <f t="shared" si="74"/>
        <v>0.11833333333333335</v>
      </c>
      <c r="CF225" s="26">
        <f t="shared" si="74"/>
        <v>0.15916666666666668</v>
      </c>
      <c r="CG225" s="26">
        <f t="shared" si="74"/>
        <v>0.16</v>
      </c>
      <c r="CH225" s="26">
        <f t="shared" si="74"/>
        <v>0.21312500000000004</v>
      </c>
      <c r="CI225" s="26">
        <f t="shared" si="74"/>
        <v>0.22999999999999998</v>
      </c>
      <c r="CJ225" s="26">
        <f t="shared" si="74"/>
        <v>0.28000000000000008</v>
      </c>
      <c r="CK225" s="26">
        <f t="shared" si="74"/>
        <v>0.33799999999999997</v>
      </c>
    </row>
    <row r="226" spans="1:89" x14ac:dyDescent="0.25">
      <c r="A226" s="28" t="s">
        <v>62</v>
      </c>
      <c r="B226" s="26">
        <f>AVERAGE(B$46:B$65,B$90:B$93)</f>
        <v>0.37687500000000002</v>
      </c>
      <c r="C226" s="26">
        <f t="shared" ref="C226:BN226" si="75">AVERAGE(C$46:C$65,C$90:C$93)</f>
        <v>0.29166666666666674</v>
      </c>
      <c r="D226" s="26">
        <f t="shared" si="75"/>
        <v>0.45458333333333351</v>
      </c>
      <c r="E226" s="26">
        <f t="shared" si="75"/>
        <v>0.14333333333333337</v>
      </c>
      <c r="F226" s="26">
        <f t="shared" si="75"/>
        <v>0.25062500000000004</v>
      </c>
      <c r="G226" s="26">
        <f t="shared" si="75"/>
        <v>0.32999999999999996</v>
      </c>
      <c r="H226" s="26">
        <f t="shared" si="75"/>
        <v>0.35562500000000002</v>
      </c>
      <c r="I226" s="26">
        <f t="shared" si="75"/>
        <v>0.3033333333333334</v>
      </c>
      <c r="J226" s="26">
        <f t="shared" si="75"/>
        <v>0.14250000000000002</v>
      </c>
      <c r="K226" s="26">
        <f t="shared" si="75"/>
        <v>0.24909090909090906</v>
      </c>
      <c r="L226" s="26">
        <f t="shared" si="75"/>
        <v>0.33875000000000005</v>
      </c>
      <c r="M226" s="26">
        <f t="shared" si="75"/>
        <v>0.31230769230769229</v>
      </c>
      <c r="N226" s="26">
        <f t="shared" si="75"/>
        <v>0.15777777777777777</v>
      </c>
      <c r="O226" s="26">
        <f t="shared" si="75"/>
        <v>0.30500000000000005</v>
      </c>
      <c r="P226" s="26">
        <f t="shared" si="75"/>
        <v>0.18333333333333335</v>
      </c>
      <c r="Q226" s="26">
        <f t="shared" si="75"/>
        <v>0.33333333333333331</v>
      </c>
      <c r="R226" s="26">
        <f t="shared" si="75"/>
        <v>0.27499999999999997</v>
      </c>
      <c r="S226" s="26">
        <f t="shared" si="75"/>
        <v>0.47166666666666668</v>
      </c>
      <c r="T226" s="26">
        <f t="shared" si="75"/>
        <v>0.14000000000000001</v>
      </c>
      <c r="U226" s="26">
        <f t="shared" si="75"/>
        <v>0.26</v>
      </c>
      <c r="V226" s="26">
        <f t="shared" si="75"/>
        <v>0.22125</v>
      </c>
      <c r="W226" s="26">
        <f t="shared" si="75"/>
        <v>9.1111111111111115E-2</v>
      </c>
      <c r="X226" s="26">
        <f t="shared" si="75"/>
        <v>0.22624999999999998</v>
      </c>
      <c r="Y226" s="26">
        <f t="shared" si="75"/>
        <v>0.14583333333333334</v>
      </c>
      <c r="Z226" s="26">
        <f t="shared" si="75"/>
        <v>0.23785714285714285</v>
      </c>
      <c r="AA226" s="26">
        <f t="shared" si="75"/>
        <v>0.25</v>
      </c>
      <c r="AB226" s="26">
        <f t="shared" si="75"/>
        <v>0.13</v>
      </c>
      <c r="AC226" s="26">
        <f t="shared" si="75"/>
        <v>0.21937500000000001</v>
      </c>
      <c r="AD226" s="26">
        <f t="shared" si="75"/>
        <v>0.48833333333333329</v>
      </c>
      <c r="AE226" s="26">
        <f t="shared" si="75"/>
        <v>0.13999999999999999</v>
      </c>
      <c r="AF226" s="26">
        <f t="shared" si="75"/>
        <v>0.23153846153846155</v>
      </c>
      <c r="AG226" s="26">
        <f t="shared" si="75"/>
        <v>0.31937500000000002</v>
      </c>
      <c r="AH226" s="26">
        <f t="shared" si="75"/>
        <v>0.18428571428571425</v>
      </c>
      <c r="AI226" s="26">
        <f t="shared" si="75"/>
        <v>0.21500000000000005</v>
      </c>
      <c r="AJ226" s="26">
        <f t="shared" si="75"/>
        <v>0.17000000000000004</v>
      </c>
      <c r="AK226" s="26">
        <f t="shared" si="75"/>
        <v>0.23799999999999999</v>
      </c>
      <c r="AL226" s="26">
        <f t="shared" si="75"/>
        <v>0.233125</v>
      </c>
      <c r="AM226" s="26">
        <f t="shared" si="75"/>
        <v>0.23</v>
      </c>
      <c r="AN226" s="26">
        <f t="shared" si="75"/>
        <v>0.19333333333333333</v>
      </c>
      <c r="AO226" s="26">
        <f t="shared" si="75"/>
        <v>0.35062500000000002</v>
      </c>
      <c r="AP226" s="26">
        <f t="shared" si="75"/>
        <v>0.12250000000000001</v>
      </c>
      <c r="AQ226" s="26">
        <f t="shared" si="75"/>
        <v>0.11750000000000002</v>
      </c>
      <c r="AR226" s="26">
        <f t="shared" si="75"/>
        <v>0.16545454545454547</v>
      </c>
      <c r="AS226" s="26">
        <f t="shared" si="75"/>
        <v>0.32187500000000002</v>
      </c>
      <c r="AT226" s="26">
        <f t="shared" si="75"/>
        <v>0.32545454545454544</v>
      </c>
      <c r="AU226" s="26">
        <f t="shared" si="75"/>
        <v>0.13583333333333336</v>
      </c>
      <c r="AV226" s="26">
        <f t="shared" si="75"/>
        <v>0.15636363636363637</v>
      </c>
      <c r="AW226" s="26">
        <f t="shared" si="75"/>
        <v>0.42249999999999999</v>
      </c>
      <c r="AX226" s="26">
        <f t="shared" si="75"/>
        <v>0.22333333333333336</v>
      </c>
      <c r="AY226" s="26">
        <f t="shared" si="75"/>
        <v>0.3125</v>
      </c>
      <c r="AZ226" s="26">
        <f t="shared" si="75"/>
        <v>0.20600000000000004</v>
      </c>
      <c r="BA226" s="26">
        <f t="shared" si="75"/>
        <v>0.17750000000000002</v>
      </c>
      <c r="BB226" s="26">
        <f t="shared" si="75"/>
        <v>0.29833333333333328</v>
      </c>
      <c r="BC226" s="26">
        <f t="shared" si="75"/>
        <v>0.21250000000000002</v>
      </c>
      <c r="BD226" s="26">
        <f t="shared" si="75"/>
        <v>0.22727272727272732</v>
      </c>
      <c r="BE226" s="26">
        <f t="shared" si="75"/>
        <v>0.30500000000000005</v>
      </c>
      <c r="BF226" s="26">
        <f t="shared" si="75"/>
        <v>0.26749999999999996</v>
      </c>
      <c r="BG226" s="26">
        <f t="shared" si="75"/>
        <v>0.23333333333333336</v>
      </c>
      <c r="BH226" s="26">
        <f t="shared" si="75"/>
        <v>0.21800000000000003</v>
      </c>
      <c r="BI226" s="26">
        <f t="shared" si="75"/>
        <v>0.16818181818181818</v>
      </c>
      <c r="BJ226" s="26">
        <f t="shared" si="75"/>
        <v>0.26</v>
      </c>
      <c r="BK226" s="26">
        <f t="shared" si="75"/>
        <v>0.20333333333333337</v>
      </c>
      <c r="BL226" s="26">
        <f t="shared" si="75"/>
        <v>0.38500000000000001</v>
      </c>
      <c r="BM226" s="26">
        <f t="shared" si="75"/>
        <v>0.39090909090909087</v>
      </c>
      <c r="BN226" s="26">
        <f t="shared" si="75"/>
        <v>0.22272727272727275</v>
      </c>
      <c r="BO226" s="26">
        <f t="shared" ref="BO226:CK226" si="76">AVERAGE(BO$46:BO$65,BO$90:BO$93)</f>
        <v>0.2207142857142857</v>
      </c>
      <c r="BP226" s="26">
        <f t="shared" si="76"/>
        <v>0.2218181818181818</v>
      </c>
      <c r="BQ226" s="26">
        <f t="shared" si="76"/>
        <v>0.21000000000000005</v>
      </c>
      <c r="BR226" s="26">
        <f t="shared" si="76"/>
        <v>0.14000000000000001</v>
      </c>
      <c r="BS226" s="26">
        <f t="shared" si="76"/>
        <v>0.11555555555555556</v>
      </c>
      <c r="BT226" s="26">
        <f t="shared" si="76"/>
        <v>0.32437500000000002</v>
      </c>
      <c r="BU226" s="26">
        <f t="shared" si="76"/>
        <v>0.24933333333333335</v>
      </c>
      <c r="BV226" s="26">
        <f t="shared" si="76"/>
        <v>0.38222222222222219</v>
      </c>
      <c r="BW226" s="26">
        <f t="shared" si="76"/>
        <v>0.1125</v>
      </c>
      <c r="BX226" s="26">
        <f t="shared" si="76"/>
        <v>0.28307692307692311</v>
      </c>
      <c r="BY226" s="26">
        <f t="shared" si="76"/>
        <v>0.31333333333333335</v>
      </c>
      <c r="BZ226" s="26">
        <f t="shared" si="76"/>
        <v>0.45333333333333325</v>
      </c>
      <c r="CA226" s="26">
        <f t="shared" si="76"/>
        <v>0.31</v>
      </c>
      <c r="CB226" s="26">
        <f t="shared" si="76"/>
        <v>0.3175</v>
      </c>
      <c r="CC226" s="26">
        <f t="shared" si="76"/>
        <v>0.38375000000000004</v>
      </c>
      <c r="CD226" s="26">
        <f t="shared" si="76"/>
        <v>0.37249999999999994</v>
      </c>
      <c r="CE226" s="26">
        <f t="shared" si="76"/>
        <v>0.13499999999999998</v>
      </c>
      <c r="CF226" s="26">
        <f t="shared" si="76"/>
        <v>0.17000000000000004</v>
      </c>
      <c r="CG226" s="26">
        <f t="shared" si="76"/>
        <v>0.11600000000000002</v>
      </c>
      <c r="CH226" s="26">
        <f t="shared" si="76"/>
        <v>0.23999999999999996</v>
      </c>
      <c r="CI226" s="26">
        <f t="shared" si="76"/>
        <v>0.21600000000000003</v>
      </c>
      <c r="CJ226" s="26">
        <f t="shared" si="76"/>
        <v>0.15076923076923079</v>
      </c>
      <c r="CK226" s="26">
        <f t="shared" si="76"/>
        <v>0.23374999999999996</v>
      </c>
    </row>
    <row r="227" spans="1:89" x14ac:dyDescent="0.25">
      <c r="A227" s="28" t="s">
        <v>63</v>
      </c>
      <c r="B227" s="26">
        <f>AVERAGE(B$66:B$85,B$94:B$97)</f>
        <v>0.41384615384615392</v>
      </c>
      <c r="C227" s="26">
        <f t="shared" ref="C227:BN227" si="77">AVERAGE(C$66:C$85,C$94:C$97)</f>
        <v>0.30687500000000001</v>
      </c>
      <c r="D227" s="26">
        <f t="shared" si="77"/>
        <v>0.38874999999999998</v>
      </c>
      <c r="E227" s="26">
        <f t="shared" si="77"/>
        <v>8.5384615384615378E-2</v>
      </c>
      <c r="F227" s="26">
        <f t="shared" si="77"/>
        <v>0.19</v>
      </c>
      <c r="G227" s="26">
        <f t="shared" si="77"/>
        <v>0.53374999999999995</v>
      </c>
      <c r="H227" s="26">
        <f t="shared" si="77"/>
        <v>0.17466666666666666</v>
      </c>
      <c r="I227" s="26">
        <f t="shared" si="77"/>
        <v>0.27666666666666667</v>
      </c>
      <c r="J227" s="26">
        <f t="shared" si="77"/>
        <v>0.18437500000000001</v>
      </c>
      <c r="K227" s="26">
        <f t="shared" si="77"/>
        <v>0.32300000000000001</v>
      </c>
      <c r="L227" s="26">
        <f t="shared" si="77"/>
        <v>0.25750000000000001</v>
      </c>
      <c r="M227" s="26">
        <f t="shared" si="77"/>
        <v>0.48375000000000001</v>
      </c>
      <c r="N227" s="26">
        <f t="shared" si="77"/>
        <v>0.12888888888888889</v>
      </c>
      <c r="O227" s="26">
        <f t="shared" si="77"/>
        <v>0.26750000000000002</v>
      </c>
      <c r="P227" s="26">
        <f t="shared" si="77"/>
        <v>0.44833333333333325</v>
      </c>
      <c r="Q227" s="26">
        <f t="shared" si="77"/>
        <v>0.28875000000000001</v>
      </c>
      <c r="R227" s="26">
        <f t="shared" si="77"/>
        <v>0.2290909090909091</v>
      </c>
      <c r="S227" s="26">
        <f t="shared" si="77"/>
        <v>0.39076923076923087</v>
      </c>
      <c r="T227" s="26">
        <f t="shared" si="77"/>
        <v>0.34</v>
      </c>
      <c r="U227" s="26">
        <f t="shared" si="77"/>
        <v>0.21857142857142858</v>
      </c>
      <c r="V227" s="26">
        <f t="shared" si="77"/>
        <v>0.1925</v>
      </c>
      <c r="W227" s="26">
        <f t="shared" si="77"/>
        <v>0.16625000000000001</v>
      </c>
      <c r="X227" s="26">
        <f t="shared" si="77"/>
        <v>0.37</v>
      </c>
      <c r="Y227" s="26">
        <f t="shared" si="77"/>
        <v>0.10666666666666669</v>
      </c>
      <c r="Z227" s="26">
        <f t="shared" si="77"/>
        <v>0.16545454545454544</v>
      </c>
      <c r="AA227" s="26">
        <f t="shared" si="77"/>
        <v>0.19833333333333333</v>
      </c>
      <c r="AB227" s="26">
        <f t="shared" si="77"/>
        <v>0.26800000000000002</v>
      </c>
      <c r="AC227" s="26">
        <f t="shared" si="77"/>
        <v>0.27875000000000005</v>
      </c>
      <c r="AD227" s="26">
        <f t="shared" si="77"/>
        <v>0.29416666666666669</v>
      </c>
      <c r="AE227" s="26">
        <f t="shared" si="77"/>
        <v>0.27250000000000002</v>
      </c>
      <c r="AF227" s="26">
        <f t="shared" si="77"/>
        <v>0.20400000000000004</v>
      </c>
      <c r="AG227" s="26">
        <f t="shared" si="77"/>
        <v>0.34333333333333338</v>
      </c>
      <c r="AH227" s="26">
        <f t="shared" si="77"/>
        <v>0.37571428571428572</v>
      </c>
      <c r="AI227" s="26">
        <f t="shared" si="77"/>
        <v>0.32999999999999996</v>
      </c>
      <c r="AJ227" s="26">
        <f t="shared" si="77"/>
        <v>0.40384615384615385</v>
      </c>
      <c r="AK227" s="26">
        <f t="shared" si="77"/>
        <v>0.17199999999999999</v>
      </c>
      <c r="AL227" s="26">
        <f t="shared" si="77"/>
        <v>0.65187499999999998</v>
      </c>
      <c r="AM227" s="26">
        <f t="shared" si="77"/>
        <v>0.35166666666666674</v>
      </c>
      <c r="AN227" s="26">
        <f t="shared" si="77"/>
        <v>0.15333333333333335</v>
      </c>
      <c r="AO227" s="26">
        <f t="shared" si="77"/>
        <v>0.58437499999999998</v>
      </c>
      <c r="AP227" s="26">
        <f t="shared" si="77"/>
        <v>0.33333333333333326</v>
      </c>
      <c r="AQ227" s="26">
        <f t="shared" si="77"/>
        <v>9.2499999999999999E-2</v>
      </c>
      <c r="AR227" s="26">
        <f t="shared" si="77"/>
        <v>0.5763636363636363</v>
      </c>
      <c r="AS227" s="26">
        <f t="shared" si="77"/>
        <v>0.41000000000000003</v>
      </c>
      <c r="AT227" s="26">
        <f t="shared" si="77"/>
        <v>0.5591666666666667</v>
      </c>
      <c r="AU227" s="26">
        <f t="shared" si="77"/>
        <v>0.16416666666666668</v>
      </c>
      <c r="AV227" s="26">
        <f t="shared" si="77"/>
        <v>0.16200000000000001</v>
      </c>
      <c r="AW227" s="26">
        <f t="shared" si="77"/>
        <v>0.22437500000000005</v>
      </c>
      <c r="AX227" s="26">
        <f t="shared" si="77"/>
        <v>0.13454545454545458</v>
      </c>
      <c r="AY227" s="26">
        <f t="shared" si="77"/>
        <v>0.38749999999999996</v>
      </c>
      <c r="AZ227" s="26">
        <f t="shared" si="77"/>
        <v>0.2106666666666667</v>
      </c>
      <c r="BA227" s="26">
        <f t="shared" si="77"/>
        <v>0.22000000000000003</v>
      </c>
      <c r="BB227" s="26">
        <f t="shared" si="77"/>
        <v>0.16818181818181818</v>
      </c>
      <c r="BC227" s="26">
        <f t="shared" si="77"/>
        <v>0.20250000000000001</v>
      </c>
      <c r="BD227" s="26">
        <f t="shared" si="77"/>
        <v>0.14833333333333334</v>
      </c>
      <c r="BE227" s="26">
        <f t="shared" si="77"/>
        <v>0.46000000000000008</v>
      </c>
      <c r="BF227" s="26">
        <f t="shared" si="77"/>
        <v>0.17125000000000001</v>
      </c>
      <c r="BG227" s="26">
        <f t="shared" si="77"/>
        <v>0.19090909090909092</v>
      </c>
      <c r="BH227" s="26">
        <f t="shared" si="77"/>
        <v>0.26500000000000001</v>
      </c>
      <c r="BI227" s="26">
        <f t="shared" si="77"/>
        <v>0.26666666666666666</v>
      </c>
      <c r="BJ227" s="26">
        <f t="shared" si="77"/>
        <v>0.33624999999999999</v>
      </c>
      <c r="BK227" s="26">
        <f t="shared" si="77"/>
        <v>0.21166666666666667</v>
      </c>
      <c r="BL227" s="26">
        <f t="shared" si="77"/>
        <v>0.45600000000000007</v>
      </c>
      <c r="BM227" s="26">
        <f t="shared" si="77"/>
        <v>0.21555555555555558</v>
      </c>
      <c r="BN227" s="26">
        <f t="shared" si="77"/>
        <v>0.18666666666666665</v>
      </c>
      <c r="BO227" s="26">
        <f t="shared" ref="BO227:CK227" si="78">AVERAGE(BO$66:BO$85,BO$94:BO$97)</f>
        <v>0.22785714285714284</v>
      </c>
      <c r="BP227" s="26">
        <f t="shared" si="78"/>
        <v>0.20666666666666669</v>
      </c>
      <c r="BQ227" s="26">
        <f t="shared" si="78"/>
        <v>0.12333333333333335</v>
      </c>
      <c r="BR227" s="26">
        <f t="shared" si="78"/>
        <v>0.10249999999999999</v>
      </c>
      <c r="BS227" s="26">
        <f t="shared" si="78"/>
        <v>0.23125000000000001</v>
      </c>
      <c r="BT227" s="26">
        <f t="shared" si="78"/>
        <v>0.32187499999999997</v>
      </c>
      <c r="BU227" s="26">
        <f t="shared" si="78"/>
        <v>0.19133333333333333</v>
      </c>
      <c r="BV227" s="26">
        <f t="shared" si="78"/>
        <v>0.40499999999999997</v>
      </c>
      <c r="BW227" s="26">
        <f t="shared" si="78"/>
        <v>0.17750000000000005</v>
      </c>
      <c r="BX227" s="26">
        <f t="shared" si="78"/>
        <v>0.23833333333333337</v>
      </c>
      <c r="BY227" s="26">
        <f t="shared" si="78"/>
        <v>0.28666666666666663</v>
      </c>
      <c r="BZ227" s="26">
        <f t="shared" si="78"/>
        <v>0.21937500000000004</v>
      </c>
      <c r="CA227" s="26">
        <f t="shared" si="78"/>
        <v>0.33499999999999996</v>
      </c>
      <c r="CB227" s="26">
        <f t="shared" si="78"/>
        <v>0.23</v>
      </c>
      <c r="CC227" s="26">
        <f t="shared" si="78"/>
        <v>0.43687500000000001</v>
      </c>
      <c r="CD227" s="26">
        <f t="shared" si="78"/>
        <v>0.58250000000000002</v>
      </c>
      <c r="CE227" s="26">
        <f t="shared" si="78"/>
        <v>0.18500000000000003</v>
      </c>
      <c r="CF227" s="26">
        <f t="shared" si="78"/>
        <v>0.12249999999999998</v>
      </c>
      <c r="CG227" s="26">
        <f t="shared" si="78"/>
        <v>0.12545454545454546</v>
      </c>
      <c r="CH227" s="26">
        <f t="shared" si="78"/>
        <v>0.25875000000000004</v>
      </c>
      <c r="CI227" s="26">
        <f t="shared" si="78"/>
        <v>0.26285714285714284</v>
      </c>
      <c r="CJ227" s="26">
        <f t="shared" si="78"/>
        <v>0.29428571428571432</v>
      </c>
      <c r="CK227" s="26">
        <f t="shared" si="78"/>
        <v>0.32133333333333336</v>
      </c>
    </row>
    <row r="228" spans="1:89" x14ac:dyDescent="0.25">
      <c r="A228" s="28" t="s">
        <v>64</v>
      </c>
      <c r="B228" s="26">
        <f>AVERAGE(B$26:B$97)</f>
        <v>0.33266666666666667</v>
      </c>
      <c r="C228" s="26">
        <f t="shared" ref="C228:BN228" si="79">AVERAGE(C$26:C$97)</f>
        <v>0.36051724137931035</v>
      </c>
      <c r="D228" s="26">
        <f t="shared" si="79"/>
        <v>0.46208333333333318</v>
      </c>
      <c r="E228" s="26">
        <f t="shared" si="79"/>
        <v>0.10787878787878791</v>
      </c>
      <c r="F228" s="26">
        <f t="shared" si="79"/>
        <v>0.1835416666666666</v>
      </c>
      <c r="G228" s="26">
        <f t="shared" si="79"/>
        <v>0.43937499999999996</v>
      </c>
      <c r="H228" s="26">
        <f t="shared" si="79"/>
        <v>0.24021276595744684</v>
      </c>
      <c r="I228" s="26">
        <f t="shared" si="79"/>
        <v>0.28222222222222215</v>
      </c>
      <c r="J228" s="26">
        <f t="shared" si="79"/>
        <v>0.15916666666666668</v>
      </c>
      <c r="K228" s="26">
        <f t="shared" si="79"/>
        <v>0.26032258064516128</v>
      </c>
      <c r="L228" s="26">
        <f t="shared" si="79"/>
        <v>0.28145833333333337</v>
      </c>
      <c r="M228" s="26">
        <f t="shared" si="79"/>
        <v>0.39</v>
      </c>
      <c r="N228" s="26">
        <f t="shared" si="79"/>
        <v>0.18230769230769231</v>
      </c>
      <c r="O228" s="26">
        <f t="shared" si="79"/>
        <v>0.29000000000000004</v>
      </c>
      <c r="P228" s="26">
        <f t="shared" si="79"/>
        <v>0.30055555555555563</v>
      </c>
      <c r="Q228" s="26">
        <f t="shared" si="79"/>
        <v>0.3470454545454546</v>
      </c>
      <c r="R228" s="26">
        <f t="shared" si="79"/>
        <v>0.25058823529411767</v>
      </c>
      <c r="S228" s="26">
        <f t="shared" si="79"/>
        <v>0.40486486486486495</v>
      </c>
      <c r="T228" s="26">
        <f t="shared" si="79"/>
        <v>0.25371428571428573</v>
      </c>
      <c r="U228" s="26">
        <f t="shared" si="79"/>
        <v>0.22044444444444444</v>
      </c>
      <c r="V228" s="26">
        <f t="shared" si="79"/>
        <v>0.21541666666666662</v>
      </c>
      <c r="W228" s="26">
        <f t="shared" si="79"/>
        <v>0.19249999999999995</v>
      </c>
      <c r="X228" s="26">
        <f t="shared" si="79"/>
        <v>0.29125000000000006</v>
      </c>
      <c r="Y228" s="26">
        <f t="shared" si="79"/>
        <v>0.16371428571428576</v>
      </c>
      <c r="Z228" s="26">
        <f t="shared" si="79"/>
        <v>0.24800000000000005</v>
      </c>
      <c r="AA228" s="26">
        <f t="shared" si="79"/>
        <v>0.22361111111111112</v>
      </c>
      <c r="AB228" s="26">
        <f t="shared" si="79"/>
        <v>0.17517241379310347</v>
      </c>
      <c r="AC228" s="26">
        <f t="shared" si="79"/>
        <v>0.28104166666666669</v>
      </c>
      <c r="AD228" s="26">
        <f t="shared" si="79"/>
        <v>0.35972972972972972</v>
      </c>
      <c r="AE228" s="26">
        <f t="shared" si="79"/>
        <v>0.22931034482758619</v>
      </c>
      <c r="AF228" s="26">
        <f t="shared" si="79"/>
        <v>0.24071428571428574</v>
      </c>
      <c r="AG228" s="26">
        <f t="shared" si="79"/>
        <v>0.35043478260869565</v>
      </c>
      <c r="AH228" s="26">
        <f t="shared" si="79"/>
        <v>0.30545454545454537</v>
      </c>
      <c r="AI228" s="26">
        <f t="shared" si="79"/>
        <v>0.29918918918918913</v>
      </c>
      <c r="AJ228" s="26">
        <f t="shared" si="79"/>
        <v>0.28578947368421054</v>
      </c>
      <c r="AK228" s="26">
        <f t="shared" si="79"/>
        <v>0.21866666666666668</v>
      </c>
      <c r="AL228" s="26">
        <f t="shared" si="79"/>
        <v>0.39553191489361694</v>
      </c>
      <c r="AM228" s="26">
        <f t="shared" si="79"/>
        <v>0.3108108108108108</v>
      </c>
      <c r="AN228" s="26">
        <f t="shared" si="79"/>
        <v>0.19700000000000004</v>
      </c>
      <c r="AO228" s="26">
        <f t="shared" si="79"/>
        <v>0.43208333333333332</v>
      </c>
      <c r="AP228" s="26">
        <f t="shared" si="79"/>
        <v>0.24755555555555553</v>
      </c>
      <c r="AQ228" s="26">
        <f t="shared" si="79"/>
        <v>0.1166666666666667</v>
      </c>
      <c r="AR228" s="26">
        <f t="shared" si="79"/>
        <v>0.33937499999999993</v>
      </c>
      <c r="AS228" s="26">
        <f t="shared" si="79"/>
        <v>0.30342105263157904</v>
      </c>
      <c r="AT228" s="26">
        <f t="shared" si="79"/>
        <v>0.36441176470588232</v>
      </c>
      <c r="AU228" s="26">
        <f t="shared" si="79"/>
        <v>0.1711111111111111</v>
      </c>
      <c r="AV228" s="26">
        <f t="shared" si="79"/>
        <v>0.20242424242424245</v>
      </c>
      <c r="AW228" s="26">
        <f t="shared" si="79"/>
        <v>0.32437500000000008</v>
      </c>
      <c r="AX228" s="26">
        <f t="shared" si="79"/>
        <v>0.16628571428571426</v>
      </c>
      <c r="AY228" s="26">
        <f t="shared" si="79"/>
        <v>0.31719999999999998</v>
      </c>
      <c r="AZ228" s="26">
        <f t="shared" si="79"/>
        <v>0.22500000000000001</v>
      </c>
      <c r="BA228" s="26">
        <f t="shared" si="79"/>
        <v>0.21000000000000005</v>
      </c>
      <c r="BB228" s="26">
        <f t="shared" si="79"/>
        <v>0.23193548387096771</v>
      </c>
      <c r="BC228" s="26">
        <f t="shared" si="79"/>
        <v>0.22500000000000001</v>
      </c>
      <c r="BD228" s="26">
        <f t="shared" si="79"/>
        <v>0.17193548387096771</v>
      </c>
      <c r="BE228" s="26">
        <f t="shared" si="79"/>
        <v>0.34916666666666668</v>
      </c>
      <c r="BF228" s="26">
        <f t="shared" si="79"/>
        <v>0.24749999999999997</v>
      </c>
      <c r="BG228" s="26">
        <f t="shared" si="79"/>
        <v>0.23428571428571426</v>
      </c>
      <c r="BH228" s="26">
        <f t="shared" si="79"/>
        <v>0.22692307692307698</v>
      </c>
      <c r="BI228" s="26">
        <f t="shared" si="79"/>
        <v>0.25057142857142861</v>
      </c>
      <c r="BJ228" s="26">
        <f t="shared" si="79"/>
        <v>0.28333333333333338</v>
      </c>
      <c r="BK228" s="26">
        <f t="shared" si="79"/>
        <v>0.19444444444444453</v>
      </c>
      <c r="BL228" s="26">
        <f t="shared" si="79"/>
        <v>0.44148148148148147</v>
      </c>
      <c r="BM228" s="26">
        <f t="shared" si="79"/>
        <v>0.31272727272727274</v>
      </c>
      <c r="BN228" s="26">
        <f t="shared" si="79"/>
        <v>0.21029411764705883</v>
      </c>
      <c r="BO228" s="26">
        <f t="shared" ref="BO228:CK228" si="80">AVERAGE(BO$26:BO$97)</f>
        <v>0.30522727272727268</v>
      </c>
      <c r="BP228" s="26">
        <f t="shared" si="80"/>
        <v>0.18689655172413794</v>
      </c>
      <c r="BQ228" s="26">
        <f t="shared" si="80"/>
        <v>0.15777777777777777</v>
      </c>
      <c r="BR228" s="26">
        <f t="shared" si="80"/>
        <v>0.11971428571428573</v>
      </c>
      <c r="BS228" s="26">
        <f t="shared" si="80"/>
        <v>0.15880000000000005</v>
      </c>
      <c r="BT228" s="26">
        <f t="shared" si="80"/>
        <v>0.35531914893617028</v>
      </c>
      <c r="BU228" s="26">
        <f t="shared" si="80"/>
        <v>0.23409090909090907</v>
      </c>
      <c r="BV228" s="26">
        <f t="shared" si="80"/>
        <v>0.3856</v>
      </c>
      <c r="BW228" s="26">
        <f t="shared" si="80"/>
        <v>0.15480000000000005</v>
      </c>
      <c r="BX228" s="26">
        <f t="shared" si="80"/>
        <v>0.25216216216216214</v>
      </c>
      <c r="BY228" s="26">
        <f t="shared" si="80"/>
        <v>0.30388888888888899</v>
      </c>
      <c r="BZ228" s="26">
        <f t="shared" si="80"/>
        <v>0.37511111111111117</v>
      </c>
      <c r="CA228" s="26">
        <f t="shared" si="80"/>
        <v>0.32948717948717948</v>
      </c>
      <c r="CB228" s="26">
        <f t="shared" si="80"/>
        <v>0.28041666666666659</v>
      </c>
      <c r="CC228" s="26">
        <f t="shared" si="80"/>
        <v>0.41354166666666653</v>
      </c>
      <c r="CD228" s="26">
        <f t="shared" si="80"/>
        <v>0.41916666666666652</v>
      </c>
      <c r="CE228" s="26">
        <f t="shared" si="80"/>
        <v>0.14611111111111114</v>
      </c>
      <c r="CF228" s="26">
        <f t="shared" si="80"/>
        <v>0.15055555555555561</v>
      </c>
      <c r="CG228" s="26">
        <f t="shared" si="80"/>
        <v>0.13172413793103452</v>
      </c>
      <c r="CH228" s="26">
        <f t="shared" si="80"/>
        <v>0.23723404255319153</v>
      </c>
      <c r="CI228" s="26">
        <f t="shared" si="80"/>
        <v>0.23941176470588238</v>
      </c>
      <c r="CJ228" s="26">
        <f t="shared" si="80"/>
        <v>0.24476190476190482</v>
      </c>
      <c r="CK228" s="26">
        <f t="shared" si="80"/>
        <v>0.296304347826087</v>
      </c>
    </row>
    <row r="229" spans="1:89" x14ac:dyDescent="0.25">
      <c r="A229" s="28" t="s">
        <v>503</v>
      </c>
      <c r="B229" s="26">
        <f>_xlfn.STDEV.S(B$26:B$97)</f>
        <v>0.20597219582881934</v>
      </c>
      <c r="C229" s="26">
        <f t="shared" ref="C229:BN229" si="81">_xlfn.STDEV.S(C$26:C$97)</f>
        <v>0.14410549758549032</v>
      </c>
      <c r="D229" s="26">
        <f t="shared" si="81"/>
        <v>0.12220898171275155</v>
      </c>
      <c r="E229" s="26">
        <f t="shared" si="81"/>
        <v>4.3139133608416917E-2</v>
      </c>
      <c r="F229" s="26">
        <f t="shared" si="81"/>
        <v>0.15732456738712525</v>
      </c>
      <c r="G229" s="26">
        <f t="shared" si="81"/>
        <v>0.20857330265555374</v>
      </c>
      <c r="H229" s="26">
        <f t="shared" si="81"/>
        <v>0.15973468983860495</v>
      </c>
      <c r="I229" s="26">
        <f t="shared" si="81"/>
        <v>0.10709438056782623</v>
      </c>
      <c r="J229" s="26">
        <f t="shared" si="81"/>
        <v>0.10006026552827378</v>
      </c>
      <c r="K229" s="26">
        <f t="shared" si="81"/>
        <v>9.9815959678057495E-2</v>
      </c>
      <c r="L229" s="26">
        <f t="shared" si="81"/>
        <v>0.22884529368050435</v>
      </c>
      <c r="M229" s="26">
        <f t="shared" si="81"/>
        <v>0.14641162397966787</v>
      </c>
      <c r="N229" s="26">
        <f t="shared" si="81"/>
        <v>0.13063866785321085</v>
      </c>
      <c r="O229" s="26">
        <f t="shared" si="81"/>
        <v>0.11375029861403703</v>
      </c>
      <c r="P229" s="26">
        <f t="shared" si="81"/>
        <v>0.18228618699247054</v>
      </c>
      <c r="Q229" s="26">
        <f t="shared" si="81"/>
        <v>0.27190610165715884</v>
      </c>
      <c r="R229" s="26">
        <f t="shared" si="81"/>
        <v>0.13533216546302898</v>
      </c>
      <c r="S229" s="26">
        <f t="shared" si="81"/>
        <v>0.1541395763877953</v>
      </c>
      <c r="T229" s="26">
        <f t="shared" si="81"/>
        <v>0.14501695061745901</v>
      </c>
      <c r="U229" s="26">
        <f t="shared" si="81"/>
        <v>0.13317718128929448</v>
      </c>
      <c r="V229" s="26">
        <f t="shared" si="81"/>
        <v>8.4027902543126282E-2</v>
      </c>
      <c r="W229" s="26">
        <f t="shared" si="81"/>
        <v>0.21012562380104391</v>
      </c>
      <c r="X229" s="26">
        <f t="shared" si="81"/>
        <v>0.12480637177156696</v>
      </c>
      <c r="Y229" s="26">
        <f t="shared" si="81"/>
        <v>9.8102159066176281E-2</v>
      </c>
      <c r="Z229" s="26">
        <f t="shared" si="81"/>
        <v>0.16021676493022147</v>
      </c>
      <c r="AA229" s="26">
        <f t="shared" si="81"/>
        <v>0.12226792074965714</v>
      </c>
      <c r="AB229" s="26">
        <f t="shared" si="81"/>
        <v>0.14497834049202887</v>
      </c>
      <c r="AC229" s="26">
        <f t="shared" si="81"/>
        <v>0.1459268190732009</v>
      </c>
      <c r="AD229" s="26">
        <f t="shared" si="81"/>
        <v>0.28296531478145764</v>
      </c>
      <c r="AE229" s="26">
        <f t="shared" si="81"/>
        <v>0.191943649366213</v>
      </c>
      <c r="AF229" s="26">
        <f t="shared" si="81"/>
        <v>0.13765267102283646</v>
      </c>
      <c r="AG229" s="26">
        <f t="shared" si="81"/>
        <v>0.12379115965095985</v>
      </c>
      <c r="AH229" s="26">
        <f t="shared" si="81"/>
        <v>0.18768422943566257</v>
      </c>
      <c r="AI229" s="26">
        <f t="shared" si="81"/>
        <v>0.13544942431234827</v>
      </c>
      <c r="AJ229" s="26">
        <f t="shared" si="81"/>
        <v>0.19851654678051753</v>
      </c>
      <c r="AK229" s="26">
        <f t="shared" si="81"/>
        <v>0.11410017780315967</v>
      </c>
      <c r="AL229" s="26">
        <f t="shared" si="81"/>
        <v>0.25917770058598033</v>
      </c>
      <c r="AM229" s="26">
        <f t="shared" si="81"/>
        <v>0.22274023707721338</v>
      </c>
      <c r="AN229" s="26">
        <f t="shared" si="81"/>
        <v>0.11987600431385922</v>
      </c>
      <c r="AO229" s="26">
        <f t="shared" si="81"/>
        <v>0.18403235531128329</v>
      </c>
      <c r="AP229" s="26">
        <f t="shared" si="81"/>
        <v>0.20446332806949161</v>
      </c>
      <c r="AQ229" s="26">
        <f t="shared" si="81"/>
        <v>7.1909766323870195E-2</v>
      </c>
      <c r="AR229" s="26">
        <f t="shared" si="81"/>
        <v>0.20874335994848006</v>
      </c>
      <c r="AS229" s="26">
        <f t="shared" si="81"/>
        <v>0.12085900464701581</v>
      </c>
      <c r="AT229" s="26">
        <f t="shared" si="81"/>
        <v>0.21874561365604839</v>
      </c>
      <c r="AU229" s="26">
        <f t="shared" si="81"/>
        <v>0.12473463896901366</v>
      </c>
      <c r="AV229" s="26">
        <f t="shared" si="81"/>
        <v>0.1107652445216431</v>
      </c>
      <c r="AW229" s="26">
        <f t="shared" si="81"/>
        <v>0.1567204619425597</v>
      </c>
      <c r="AX229" s="26">
        <f t="shared" si="81"/>
        <v>9.3150280675454639E-2</v>
      </c>
      <c r="AY229" s="26">
        <f t="shared" si="81"/>
        <v>0.12607934009979596</v>
      </c>
      <c r="AZ229" s="26">
        <f t="shared" si="81"/>
        <v>0.11377853732385372</v>
      </c>
      <c r="BA229" s="26">
        <f t="shared" si="81"/>
        <v>0.10210821199355966</v>
      </c>
      <c r="BB229" s="26">
        <f t="shared" si="81"/>
        <v>8.6116949738469437E-2</v>
      </c>
      <c r="BC229" s="26">
        <f t="shared" si="81"/>
        <v>0.2029564099697915</v>
      </c>
      <c r="BD229" s="26">
        <f t="shared" si="81"/>
        <v>0.17702013736368549</v>
      </c>
      <c r="BE229" s="26">
        <f t="shared" si="81"/>
        <v>0.35907994346259642</v>
      </c>
      <c r="BF229" s="26">
        <f t="shared" si="81"/>
        <v>0.12912965610233151</v>
      </c>
      <c r="BG229" s="26">
        <f t="shared" si="81"/>
        <v>0.13638797847416362</v>
      </c>
      <c r="BH229" s="26">
        <f t="shared" si="81"/>
        <v>7.8779146010564433E-2</v>
      </c>
      <c r="BI229" s="26">
        <f t="shared" si="81"/>
        <v>0.17806051279968677</v>
      </c>
      <c r="BJ229" s="26">
        <f t="shared" si="81"/>
        <v>8.4424737085075099E-2</v>
      </c>
      <c r="BK229" s="26">
        <f t="shared" si="81"/>
        <v>7.1331998207353933E-2</v>
      </c>
      <c r="BL229" s="26">
        <f t="shared" si="81"/>
        <v>0.12960602145626124</v>
      </c>
      <c r="BM229" s="26">
        <f t="shared" si="81"/>
        <v>0.13129815134058251</v>
      </c>
      <c r="BN229" s="26">
        <f t="shared" si="81"/>
        <v>0.14044270467946246</v>
      </c>
      <c r="BO229" s="26">
        <f t="shared" ref="BO229:CK229" si="82">_xlfn.STDEV.S(BO$26:BO$97)</f>
        <v>0.22443198209644241</v>
      </c>
      <c r="BP229" s="26">
        <f t="shared" si="82"/>
        <v>0.11035991276196074</v>
      </c>
      <c r="BQ229" s="26">
        <f t="shared" si="82"/>
        <v>0.11551403405427442</v>
      </c>
      <c r="BR229" s="26">
        <f t="shared" si="82"/>
        <v>5.8535344490502877E-2</v>
      </c>
      <c r="BS229" s="26">
        <f t="shared" si="82"/>
        <v>0.13207699774500223</v>
      </c>
      <c r="BT229" s="26">
        <f t="shared" si="82"/>
        <v>0.11507749872283193</v>
      </c>
      <c r="BU229" s="26">
        <f t="shared" si="82"/>
        <v>0.13411758433203805</v>
      </c>
      <c r="BV229" s="26">
        <f t="shared" si="82"/>
        <v>0.11409352888456596</v>
      </c>
      <c r="BW229" s="26">
        <f t="shared" si="82"/>
        <v>8.8370432460938633E-2</v>
      </c>
      <c r="BX229" s="26">
        <f t="shared" si="82"/>
        <v>0.14255866502241449</v>
      </c>
      <c r="BY229" s="26">
        <f t="shared" si="82"/>
        <v>0.14027071332203639</v>
      </c>
      <c r="BZ229" s="26">
        <f t="shared" si="82"/>
        <v>0.28208333892842746</v>
      </c>
      <c r="CA229" s="26">
        <f t="shared" si="82"/>
        <v>0.23513656410409131</v>
      </c>
      <c r="CB229" s="26">
        <f t="shared" si="82"/>
        <v>0.13989061461717517</v>
      </c>
      <c r="CC229" s="26">
        <f t="shared" si="82"/>
        <v>0.20334950086869211</v>
      </c>
      <c r="CD229" s="26">
        <f t="shared" si="82"/>
        <v>0.26945866290489329</v>
      </c>
      <c r="CE229" s="26">
        <f t="shared" si="82"/>
        <v>7.9112136608298952E-2</v>
      </c>
      <c r="CF229" s="26">
        <f t="shared" si="82"/>
        <v>9.4625410191809686E-2</v>
      </c>
      <c r="CG229" s="26">
        <f t="shared" si="82"/>
        <v>5.4580802846869676E-2</v>
      </c>
      <c r="CH229" s="26">
        <f t="shared" si="82"/>
        <v>0.15364699982440799</v>
      </c>
      <c r="CI229" s="26">
        <f t="shared" si="82"/>
        <v>7.8583720130308898E-2</v>
      </c>
      <c r="CJ229" s="26">
        <f t="shared" si="82"/>
        <v>0.14913143810219801</v>
      </c>
      <c r="CK229" s="26">
        <f t="shared" si="82"/>
        <v>0.18657567658134697</v>
      </c>
    </row>
    <row r="230" spans="1:89" x14ac:dyDescent="0.25">
      <c r="A230" s="28" t="s">
        <v>65</v>
      </c>
      <c r="B230" s="26">
        <f>MAX(B$26:B$45,B$86:B$89)</f>
        <v>0.32</v>
      </c>
      <c r="C230" s="26">
        <f t="shared" ref="C230:BN230" si="83">MAX(C$26:C$45,C$86:C$89)</f>
        <v>0.7</v>
      </c>
      <c r="D230" s="26">
        <f t="shared" si="83"/>
        <v>0.7</v>
      </c>
      <c r="E230" s="26">
        <f t="shared" si="83"/>
        <v>0.13</v>
      </c>
      <c r="F230" s="26">
        <f t="shared" si="83"/>
        <v>0.36</v>
      </c>
      <c r="G230" s="26">
        <f t="shared" si="83"/>
        <v>0.78</v>
      </c>
      <c r="H230" s="26">
        <f t="shared" si="83"/>
        <v>0.36</v>
      </c>
      <c r="I230" s="26">
        <f t="shared" si="83"/>
        <v>0.42</v>
      </c>
      <c r="J230" s="26">
        <f t="shared" si="83"/>
        <v>0.44</v>
      </c>
      <c r="K230" s="26">
        <f t="shared" si="83"/>
        <v>0.28000000000000003</v>
      </c>
      <c r="L230" s="26">
        <f t="shared" si="83"/>
        <v>0.54</v>
      </c>
      <c r="M230" s="26">
        <f t="shared" si="83"/>
        <v>0.62</v>
      </c>
      <c r="N230" s="26">
        <f t="shared" si="83"/>
        <v>0.68</v>
      </c>
      <c r="O230" s="26">
        <f t="shared" si="83"/>
        <v>0.5</v>
      </c>
      <c r="P230" s="26">
        <f t="shared" si="83"/>
        <v>0.68</v>
      </c>
      <c r="Q230" s="26">
        <f t="shared" si="83"/>
        <v>1.5</v>
      </c>
      <c r="R230" s="26">
        <f t="shared" si="83"/>
        <v>0.5</v>
      </c>
      <c r="S230" s="26">
        <f t="shared" si="83"/>
        <v>0.56000000000000005</v>
      </c>
      <c r="T230" s="26">
        <f t="shared" si="83"/>
        <v>0.4</v>
      </c>
      <c r="U230" s="26">
        <f t="shared" si="83"/>
        <v>0.44</v>
      </c>
      <c r="V230" s="26">
        <f t="shared" si="83"/>
        <v>0.36</v>
      </c>
      <c r="W230" s="26">
        <f t="shared" si="83"/>
        <v>0.8</v>
      </c>
      <c r="X230" s="26">
        <f t="shared" si="83"/>
        <v>0.5</v>
      </c>
      <c r="Y230" s="26">
        <f t="shared" si="83"/>
        <v>0.48</v>
      </c>
      <c r="Z230" s="26">
        <f t="shared" si="83"/>
        <v>0.68</v>
      </c>
      <c r="AA230" s="26">
        <f t="shared" si="83"/>
        <v>0.54</v>
      </c>
      <c r="AB230" s="26">
        <f t="shared" si="83"/>
        <v>0.28000000000000003</v>
      </c>
      <c r="AC230" s="26">
        <f t="shared" si="83"/>
        <v>0.84</v>
      </c>
      <c r="AD230" s="26">
        <f t="shared" si="83"/>
        <v>1.3</v>
      </c>
      <c r="AE230" s="26">
        <f t="shared" si="83"/>
        <v>0.8</v>
      </c>
      <c r="AF230" s="26">
        <f t="shared" si="83"/>
        <v>0.7</v>
      </c>
      <c r="AG230" s="26">
        <f t="shared" si="83"/>
        <v>0.62</v>
      </c>
      <c r="AH230" s="26">
        <f t="shared" si="83"/>
        <v>0.8</v>
      </c>
      <c r="AI230" s="26">
        <f t="shared" si="83"/>
        <v>0.64</v>
      </c>
      <c r="AJ230" s="26">
        <f t="shared" si="83"/>
        <v>0.57999999999999996</v>
      </c>
      <c r="AK230" s="26">
        <f t="shared" si="83"/>
        <v>0.56000000000000005</v>
      </c>
      <c r="AL230" s="26">
        <f t="shared" si="83"/>
        <v>0.68</v>
      </c>
      <c r="AM230" s="26">
        <f t="shared" si="83"/>
        <v>0.74</v>
      </c>
      <c r="AN230" s="26">
        <f t="shared" si="83"/>
        <v>0.54</v>
      </c>
      <c r="AO230" s="26">
        <f t="shared" si="83"/>
        <v>0.6</v>
      </c>
      <c r="AP230" s="26">
        <f t="shared" si="83"/>
        <v>0.88</v>
      </c>
      <c r="AQ230" s="26">
        <f t="shared" si="83"/>
        <v>0.3</v>
      </c>
      <c r="AR230" s="26">
        <f t="shared" si="83"/>
        <v>0.5</v>
      </c>
      <c r="AS230" s="26">
        <f t="shared" si="83"/>
        <v>0.38</v>
      </c>
      <c r="AT230" s="26">
        <f t="shared" si="83"/>
        <v>0.46</v>
      </c>
      <c r="AU230" s="26">
        <f t="shared" si="83"/>
        <v>0.5</v>
      </c>
      <c r="AV230" s="26">
        <f t="shared" si="83"/>
        <v>0.48</v>
      </c>
      <c r="AW230" s="26">
        <f t="shared" si="83"/>
        <v>0.59</v>
      </c>
      <c r="AX230" s="26">
        <f t="shared" si="83"/>
        <v>0.26</v>
      </c>
      <c r="AY230" s="26">
        <f t="shared" si="83"/>
        <v>0.36</v>
      </c>
      <c r="AZ230" s="26">
        <f t="shared" si="83"/>
        <v>0.56000000000000005</v>
      </c>
      <c r="BA230" s="26">
        <f t="shared" si="83"/>
        <v>0.53</v>
      </c>
      <c r="BB230" s="26">
        <f t="shared" si="83"/>
        <v>0.3</v>
      </c>
      <c r="BC230" s="26">
        <f t="shared" si="83"/>
        <v>0.7</v>
      </c>
      <c r="BD230" s="26">
        <f t="shared" si="83"/>
        <v>0.24</v>
      </c>
      <c r="BE230" s="26">
        <f t="shared" si="83"/>
        <v>0.42</v>
      </c>
      <c r="BF230" s="26">
        <f t="shared" si="83"/>
        <v>0.5</v>
      </c>
      <c r="BG230" s="26">
        <f t="shared" si="83"/>
        <v>0.62</v>
      </c>
      <c r="BH230" s="26">
        <f t="shared" si="83"/>
        <v>0.28000000000000003</v>
      </c>
      <c r="BI230" s="26">
        <f t="shared" si="83"/>
        <v>0.74</v>
      </c>
      <c r="BJ230" s="26">
        <f t="shared" si="83"/>
        <v>0.36</v>
      </c>
      <c r="BK230" s="26">
        <f t="shared" si="83"/>
        <v>0.3</v>
      </c>
      <c r="BL230" s="26">
        <f t="shared" si="83"/>
        <v>0.68</v>
      </c>
      <c r="BM230" s="26">
        <f t="shared" si="83"/>
        <v>0.4</v>
      </c>
      <c r="BN230" s="26">
        <f t="shared" si="83"/>
        <v>0.54</v>
      </c>
      <c r="BO230" s="26">
        <f t="shared" ref="BO230:CK230" si="84">MAX(BO$26:BO$45,BO$86:BO$89)</f>
        <v>1.08</v>
      </c>
      <c r="BP230" s="26">
        <f t="shared" si="84"/>
        <v>0.24</v>
      </c>
      <c r="BQ230" s="26">
        <f t="shared" si="84"/>
        <v>0.28000000000000003</v>
      </c>
      <c r="BR230" s="26">
        <f t="shared" si="84"/>
        <v>0.26</v>
      </c>
      <c r="BS230" s="26">
        <f t="shared" si="84"/>
        <v>0.18</v>
      </c>
      <c r="BT230" s="26">
        <f t="shared" si="84"/>
        <v>0.56000000000000005</v>
      </c>
      <c r="BU230" s="26">
        <f t="shared" si="84"/>
        <v>0.57999999999999996</v>
      </c>
      <c r="BV230" s="26">
        <f t="shared" si="84"/>
        <v>0.6</v>
      </c>
      <c r="BW230" s="26">
        <f t="shared" si="84"/>
        <v>0.44</v>
      </c>
      <c r="BX230" s="26">
        <f t="shared" si="84"/>
        <v>0.55000000000000004</v>
      </c>
      <c r="BY230" s="26">
        <f t="shared" si="84"/>
        <v>0.5</v>
      </c>
      <c r="BZ230" s="26">
        <f t="shared" si="84"/>
        <v>1.1000000000000001</v>
      </c>
      <c r="CA230" s="26">
        <f t="shared" si="84"/>
        <v>0.6</v>
      </c>
      <c r="CB230" s="26">
        <f t="shared" si="84"/>
        <v>0.5</v>
      </c>
      <c r="CC230" s="26">
        <f t="shared" si="84"/>
        <v>0.74</v>
      </c>
      <c r="CD230" s="26">
        <f t="shared" si="84"/>
        <v>0.86</v>
      </c>
      <c r="CE230" s="26">
        <f t="shared" si="84"/>
        <v>0.3</v>
      </c>
      <c r="CF230" s="26">
        <f t="shared" si="84"/>
        <v>0.38</v>
      </c>
      <c r="CG230" s="26">
        <f t="shared" si="84"/>
        <v>0.24</v>
      </c>
      <c r="CH230" s="26">
        <f t="shared" si="84"/>
        <v>0.59</v>
      </c>
      <c r="CI230" s="26">
        <f t="shared" si="84"/>
        <v>0.3</v>
      </c>
      <c r="CJ230" s="26">
        <f t="shared" si="84"/>
        <v>0.6</v>
      </c>
      <c r="CK230" s="26">
        <f t="shared" si="84"/>
        <v>0.64</v>
      </c>
    </row>
    <row r="231" spans="1:89" x14ac:dyDescent="0.25">
      <c r="A231" s="28" t="s">
        <v>66</v>
      </c>
      <c r="B231" s="26">
        <f>MAX(B$46:B$65,B$90:B$93)</f>
        <v>1</v>
      </c>
      <c r="C231" s="26">
        <f t="shared" ref="C231:BN231" si="85">MAX(C$46:C$65,C$90:C$93)</f>
        <v>0.46</v>
      </c>
      <c r="D231" s="26">
        <f t="shared" si="85"/>
        <v>0.68</v>
      </c>
      <c r="E231" s="26">
        <f t="shared" si="85"/>
        <v>0.24</v>
      </c>
      <c r="F231" s="26">
        <f t="shared" si="85"/>
        <v>0.59</v>
      </c>
      <c r="G231" s="26">
        <f t="shared" si="85"/>
        <v>0.46</v>
      </c>
      <c r="H231" s="26">
        <f t="shared" si="85"/>
        <v>0.62</v>
      </c>
      <c r="I231" s="26">
        <f t="shared" si="85"/>
        <v>0.5</v>
      </c>
      <c r="J231" s="26">
        <f t="shared" si="85"/>
        <v>0.44</v>
      </c>
      <c r="K231" s="26">
        <f t="shared" si="85"/>
        <v>0.52</v>
      </c>
      <c r="L231" s="26">
        <f t="shared" si="85"/>
        <v>1.5</v>
      </c>
      <c r="M231" s="26">
        <f t="shared" si="85"/>
        <v>0.48</v>
      </c>
      <c r="N231" s="26">
        <f t="shared" si="85"/>
        <v>0.28000000000000003</v>
      </c>
      <c r="O231" s="26">
        <f t="shared" si="85"/>
        <v>0.56000000000000005</v>
      </c>
      <c r="P231" s="26">
        <f t="shared" si="85"/>
        <v>0.36</v>
      </c>
      <c r="Q231" s="26">
        <f t="shared" si="85"/>
        <v>0.78</v>
      </c>
      <c r="R231" s="26">
        <f t="shared" si="85"/>
        <v>0.62</v>
      </c>
      <c r="S231" s="26">
        <f t="shared" si="85"/>
        <v>0.7</v>
      </c>
      <c r="T231" s="26">
        <f t="shared" si="85"/>
        <v>0.24</v>
      </c>
      <c r="U231" s="26">
        <f t="shared" si="85"/>
        <v>0.54</v>
      </c>
      <c r="V231" s="26">
        <f t="shared" si="85"/>
        <v>0.36</v>
      </c>
      <c r="W231" s="26">
        <f t="shared" si="85"/>
        <v>0.16</v>
      </c>
      <c r="X231" s="26">
        <f t="shared" si="85"/>
        <v>0.5</v>
      </c>
      <c r="Y231" s="26">
        <f t="shared" si="85"/>
        <v>0.26</v>
      </c>
      <c r="Z231" s="26">
        <f t="shared" si="85"/>
        <v>0.54</v>
      </c>
      <c r="AA231" s="26">
        <f t="shared" si="85"/>
        <v>0.56000000000000005</v>
      </c>
      <c r="AB231" s="26">
        <f t="shared" si="85"/>
        <v>0.2</v>
      </c>
      <c r="AC231" s="26">
        <f t="shared" si="85"/>
        <v>0.39</v>
      </c>
      <c r="AD231" s="26">
        <f t="shared" si="85"/>
        <v>1.2</v>
      </c>
      <c r="AE231" s="26">
        <f t="shared" si="85"/>
        <v>0.24</v>
      </c>
      <c r="AF231" s="26">
        <f t="shared" si="85"/>
        <v>0.48</v>
      </c>
      <c r="AG231" s="26">
        <f t="shared" si="85"/>
        <v>0.56000000000000005</v>
      </c>
      <c r="AH231" s="26">
        <f t="shared" si="85"/>
        <v>0.34</v>
      </c>
      <c r="AI231" s="26">
        <f t="shared" si="85"/>
        <v>0.36</v>
      </c>
      <c r="AJ231" s="26">
        <f t="shared" si="85"/>
        <v>0.38</v>
      </c>
      <c r="AK231" s="26">
        <f t="shared" si="85"/>
        <v>0.38</v>
      </c>
      <c r="AL231" s="26">
        <f t="shared" si="85"/>
        <v>0.66</v>
      </c>
      <c r="AM231" s="26">
        <f t="shared" si="85"/>
        <v>0.57999999999999996</v>
      </c>
      <c r="AN231" s="26">
        <f t="shared" si="85"/>
        <v>0.52</v>
      </c>
      <c r="AO231" s="26">
        <f t="shared" si="85"/>
        <v>0.65</v>
      </c>
      <c r="AP231" s="26">
        <f t="shared" si="85"/>
        <v>0.26</v>
      </c>
      <c r="AQ231" s="26">
        <f t="shared" si="85"/>
        <v>0.24</v>
      </c>
      <c r="AR231" s="26">
        <f t="shared" si="85"/>
        <v>0.26</v>
      </c>
      <c r="AS231" s="26">
        <f t="shared" si="85"/>
        <v>0.48</v>
      </c>
      <c r="AT231" s="26">
        <f t="shared" si="85"/>
        <v>0.62</v>
      </c>
      <c r="AU231" s="26">
        <f t="shared" si="85"/>
        <v>0.32</v>
      </c>
      <c r="AV231" s="26">
        <f t="shared" si="85"/>
        <v>0.28000000000000003</v>
      </c>
      <c r="AW231" s="26">
        <f t="shared" si="85"/>
        <v>0.88</v>
      </c>
      <c r="AX231" s="26">
        <f t="shared" si="85"/>
        <v>0.5</v>
      </c>
      <c r="AY231" s="26">
        <f t="shared" si="85"/>
        <v>0.44</v>
      </c>
      <c r="AZ231" s="26">
        <f t="shared" si="85"/>
        <v>0.4</v>
      </c>
      <c r="BA231" s="26">
        <f t="shared" si="85"/>
        <v>0.32</v>
      </c>
      <c r="BB231" s="26">
        <f t="shared" si="85"/>
        <v>0.42</v>
      </c>
      <c r="BC231" s="26">
        <f t="shared" si="85"/>
        <v>0.84</v>
      </c>
      <c r="BD231" s="26">
        <f t="shared" si="85"/>
        <v>0.86</v>
      </c>
      <c r="BE231" s="26">
        <f t="shared" si="85"/>
        <v>0.4</v>
      </c>
      <c r="BF231" s="26">
        <f t="shared" si="85"/>
        <v>0.48</v>
      </c>
      <c r="BG231" s="26">
        <f t="shared" si="85"/>
        <v>0.52</v>
      </c>
      <c r="BH231" s="26">
        <f t="shared" si="85"/>
        <v>0.4</v>
      </c>
      <c r="BI231" s="26">
        <f t="shared" si="85"/>
        <v>0.26</v>
      </c>
      <c r="BJ231" s="26">
        <f t="shared" si="85"/>
        <v>0.4</v>
      </c>
      <c r="BK231" s="26">
        <f t="shared" si="85"/>
        <v>0.3</v>
      </c>
      <c r="BL231" s="26">
        <f t="shared" si="85"/>
        <v>0.64</v>
      </c>
      <c r="BM231" s="26">
        <f t="shared" si="85"/>
        <v>0.62</v>
      </c>
      <c r="BN231" s="26">
        <f t="shared" si="85"/>
        <v>0.5</v>
      </c>
      <c r="BO231" s="26">
        <f t="shared" ref="BO231:CK231" si="86">MAX(BO$46:BO$65,BO$90:BO$93)</f>
        <v>0.62</v>
      </c>
      <c r="BP231" s="26">
        <f t="shared" si="86"/>
        <v>0.38</v>
      </c>
      <c r="BQ231" s="26">
        <f t="shared" si="86"/>
        <v>0.52</v>
      </c>
      <c r="BR231" s="26">
        <f t="shared" si="86"/>
        <v>0.3</v>
      </c>
      <c r="BS231" s="26">
        <f t="shared" si="86"/>
        <v>0.18</v>
      </c>
      <c r="BT231" s="26">
        <f t="shared" si="86"/>
        <v>0.5</v>
      </c>
      <c r="BU231" s="26">
        <f t="shared" si="86"/>
        <v>0.44</v>
      </c>
      <c r="BV231" s="26">
        <f t="shared" si="86"/>
        <v>0.52</v>
      </c>
      <c r="BW231" s="26">
        <f t="shared" si="86"/>
        <v>0.18</v>
      </c>
      <c r="BX231" s="26">
        <f t="shared" si="86"/>
        <v>0.69</v>
      </c>
      <c r="BY231" s="26">
        <f t="shared" si="86"/>
        <v>0.74</v>
      </c>
      <c r="BZ231" s="26">
        <f t="shared" si="86"/>
        <v>0.86</v>
      </c>
      <c r="CA231" s="26">
        <f t="shared" si="86"/>
        <v>0.52</v>
      </c>
      <c r="CB231" s="26">
        <f t="shared" si="86"/>
        <v>0.5</v>
      </c>
      <c r="CC231" s="26">
        <f t="shared" si="86"/>
        <v>0.68</v>
      </c>
      <c r="CD231" s="26">
        <f t="shared" si="86"/>
        <v>0.6</v>
      </c>
      <c r="CE231" s="26">
        <f t="shared" si="86"/>
        <v>0.34</v>
      </c>
      <c r="CF231" s="26">
        <f t="shared" si="86"/>
        <v>0.4</v>
      </c>
      <c r="CG231" s="26">
        <f t="shared" si="86"/>
        <v>0.19</v>
      </c>
      <c r="CH231" s="26">
        <f t="shared" si="86"/>
        <v>0.72</v>
      </c>
      <c r="CI231" s="26">
        <f t="shared" si="86"/>
        <v>0.3</v>
      </c>
      <c r="CJ231" s="26">
        <f t="shared" si="86"/>
        <v>0.4</v>
      </c>
      <c r="CK231" s="26">
        <f t="shared" si="86"/>
        <v>0.52</v>
      </c>
    </row>
    <row r="232" spans="1:89" x14ac:dyDescent="0.25">
      <c r="A232" s="28" t="s">
        <v>67</v>
      </c>
      <c r="B232" s="26">
        <f>MAX(B$66:B$85,B$94:B$97)</f>
        <v>0.92</v>
      </c>
      <c r="C232" s="26">
        <f t="shared" ref="C232:BN232" si="87">MAX(C$66:C$85,C$94:C$97)</f>
        <v>0.54</v>
      </c>
      <c r="D232" s="26">
        <f t="shared" si="87"/>
        <v>0.61</v>
      </c>
      <c r="E232" s="26">
        <f t="shared" si="87"/>
        <v>0.15</v>
      </c>
      <c r="F232" s="26">
        <f t="shared" si="87"/>
        <v>0.57999999999999996</v>
      </c>
      <c r="G232" s="26">
        <f t="shared" si="87"/>
        <v>0.88</v>
      </c>
      <c r="H232" s="26">
        <f t="shared" si="87"/>
        <v>0.28000000000000003</v>
      </c>
      <c r="I232" s="26">
        <f t="shared" si="87"/>
        <v>0.44</v>
      </c>
      <c r="J232" s="26">
        <f t="shared" si="87"/>
        <v>0.32</v>
      </c>
      <c r="K232" s="26">
        <f t="shared" si="87"/>
        <v>0.46</v>
      </c>
      <c r="L232" s="26">
        <f t="shared" si="87"/>
        <v>0.48</v>
      </c>
      <c r="M232" s="26">
        <f t="shared" si="87"/>
        <v>0.72</v>
      </c>
      <c r="N232" s="26">
        <f t="shared" si="87"/>
        <v>0.18</v>
      </c>
      <c r="O232" s="26">
        <f t="shared" si="87"/>
        <v>0.38</v>
      </c>
      <c r="P232" s="26">
        <f t="shared" si="87"/>
        <v>0.84</v>
      </c>
      <c r="Q232" s="26">
        <f t="shared" si="87"/>
        <v>0.57999999999999996</v>
      </c>
      <c r="R232" s="26">
        <f t="shared" si="87"/>
        <v>0.48</v>
      </c>
      <c r="S232" s="26">
        <f t="shared" si="87"/>
        <v>0.57999999999999996</v>
      </c>
      <c r="T232" s="26">
        <f t="shared" si="87"/>
        <v>0.76</v>
      </c>
      <c r="U232" s="26">
        <f t="shared" si="87"/>
        <v>0.66</v>
      </c>
      <c r="V232" s="26">
        <f t="shared" si="87"/>
        <v>0.3</v>
      </c>
      <c r="W232" s="26">
        <f t="shared" si="87"/>
        <v>0.6</v>
      </c>
      <c r="X232" s="26">
        <f t="shared" si="87"/>
        <v>0.5</v>
      </c>
      <c r="Y232" s="26">
        <f t="shared" si="87"/>
        <v>0.2</v>
      </c>
      <c r="Z232" s="26">
        <f t="shared" si="87"/>
        <v>0.3</v>
      </c>
      <c r="AA232" s="26">
        <f t="shared" si="87"/>
        <v>0.44</v>
      </c>
      <c r="AB232" s="26">
        <f t="shared" si="87"/>
        <v>0.68</v>
      </c>
      <c r="AC232" s="26">
        <f t="shared" si="87"/>
        <v>0.42</v>
      </c>
      <c r="AD232" s="26">
        <f t="shared" si="87"/>
        <v>0.78</v>
      </c>
      <c r="AE232" s="26">
        <f t="shared" si="87"/>
        <v>0.66</v>
      </c>
      <c r="AF232" s="26">
        <f t="shared" si="87"/>
        <v>0.46</v>
      </c>
      <c r="AG232" s="26">
        <f t="shared" si="87"/>
        <v>0.59</v>
      </c>
      <c r="AH232" s="26">
        <f t="shared" si="87"/>
        <v>0.76</v>
      </c>
      <c r="AI232" s="26">
        <f t="shared" si="87"/>
        <v>0.44</v>
      </c>
      <c r="AJ232" s="26">
        <f t="shared" si="87"/>
        <v>0.78</v>
      </c>
      <c r="AK232" s="26">
        <f t="shared" si="87"/>
        <v>0.24</v>
      </c>
      <c r="AL232" s="26">
        <f t="shared" si="87"/>
        <v>0.98</v>
      </c>
      <c r="AM232" s="26">
        <f t="shared" si="87"/>
        <v>1</v>
      </c>
      <c r="AN232" s="26">
        <f t="shared" si="87"/>
        <v>0.3</v>
      </c>
      <c r="AO232" s="26">
        <f t="shared" si="87"/>
        <v>0.8</v>
      </c>
      <c r="AP232" s="26">
        <f t="shared" si="87"/>
        <v>0.82</v>
      </c>
      <c r="AQ232" s="26">
        <f t="shared" si="87"/>
        <v>0.16</v>
      </c>
      <c r="AR232" s="26">
        <f t="shared" si="87"/>
        <v>0.78</v>
      </c>
      <c r="AS232" s="26">
        <f t="shared" si="87"/>
        <v>0.52</v>
      </c>
      <c r="AT232" s="26">
        <f t="shared" si="87"/>
        <v>0.82</v>
      </c>
      <c r="AU232" s="26">
        <f t="shared" si="87"/>
        <v>0.63</v>
      </c>
      <c r="AV232" s="26">
        <f t="shared" si="87"/>
        <v>0.22</v>
      </c>
      <c r="AW232" s="26">
        <f t="shared" si="87"/>
        <v>0.48</v>
      </c>
      <c r="AX232" s="26">
        <f t="shared" si="87"/>
        <v>0.26</v>
      </c>
      <c r="AY232" s="26">
        <f t="shared" si="87"/>
        <v>0.74</v>
      </c>
      <c r="AZ232" s="26">
        <f t="shared" si="87"/>
        <v>0.32</v>
      </c>
      <c r="BA232" s="26">
        <f t="shared" si="87"/>
        <v>0.36</v>
      </c>
      <c r="BB232" s="26">
        <f t="shared" si="87"/>
        <v>0.3</v>
      </c>
      <c r="BC232" s="26">
        <f t="shared" si="87"/>
        <v>0.4</v>
      </c>
      <c r="BD232" s="26">
        <f t="shared" si="87"/>
        <v>0.42</v>
      </c>
      <c r="BE232" s="26">
        <f t="shared" si="87"/>
        <v>2</v>
      </c>
      <c r="BF232" s="26">
        <f t="shared" si="87"/>
        <v>0.62</v>
      </c>
      <c r="BG232" s="26">
        <f t="shared" si="87"/>
        <v>0.5</v>
      </c>
      <c r="BH232" s="26">
        <f t="shared" si="87"/>
        <v>0.38</v>
      </c>
      <c r="BI232" s="26">
        <f t="shared" si="87"/>
        <v>0.72</v>
      </c>
      <c r="BJ232" s="26">
        <f t="shared" si="87"/>
        <v>0.46</v>
      </c>
      <c r="BK232" s="26">
        <f t="shared" si="87"/>
        <v>0.32</v>
      </c>
      <c r="BL232" s="26">
        <f t="shared" si="87"/>
        <v>0.66</v>
      </c>
      <c r="BM232" s="26">
        <f t="shared" si="87"/>
        <v>0.38</v>
      </c>
      <c r="BN232" s="26">
        <f t="shared" si="87"/>
        <v>0.4</v>
      </c>
      <c r="BO232" s="26">
        <f t="shared" ref="BO232:CK232" si="88">MAX(BO$66:BO$85,BO$94:BO$97)</f>
        <v>0.44</v>
      </c>
      <c r="BP232" s="26">
        <f t="shared" si="88"/>
        <v>0.42</v>
      </c>
      <c r="BQ232" s="26">
        <f t="shared" si="88"/>
        <v>0.26</v>
      </c>
      <c r="BR232" s="26">
        <f t="shared" si="88"/>
        <v>0.22</v>
      </c>
      <c r="BS232" s="26">
        <f t="shared" si="88"/>
        <v>0.77</v>
      </c>
      <c r="BT232" s="26">
        <f t="shared" si="88"/>
        <v>0.54</v>
      </c>
      <c r="BU232" s="26">
        <f t="shared" si="88"/>
        <v>0.54</v>
      </c>
      <c r="BV232" s="26">
        <f t="shared" si="88"/>
        <v>0.52</v>
      </c>
      <c r="BW232" s="26">
        <f t="shared" si="88"/>
        <v>0.28000000000000003</v>
      </c>
      <c r="BX232" s="26">
        <f t="shared" si="88"/>
        <v>0.52</v>
      </c>
      <c r="BY232" s="26">
        <f t="shared" si="88"/>
        <v>0.52</v>
      </c>
      <c r="BZ232" s="26">
        <f t="shared" si="88"/>
        <v>0.6</v>
      </c>
      <c r="CA232" s="26">
        <f t="shared" si="88"/>
        <v>1.4</v>
      </c>
      <c r="CB232" s="26">
        <f t="shared" si="88"/>
        <v>0.42</v>
      </c>
      <c r="CC232" s="26">
        <f t="shared" si="88"/>
        <v>1</v>
      </c>
      <c r="CD232" s="26">
        <f t="shared" si="88"/>
        <v>0.92</v>
      </c>
      <c r="CE232" s="26">
        <f t="shared" si="88"/>
        <v>0.36</v>
      </c>
      <c r="CF232" s="26">
        <f t="shared" si="88"/>
        <v>0.3</v>
      </c>
      <c r="CG232" s="26">
        <f t="shared" si="88"/>
        <v>0.22</v>
      </c>
      <c r="CH232" s="26">
        <f t="shared" si="88"/>
        <v>0.57999999999999996</v>
      </c>
      <c r="CI232" s="26">
        <f t="shared" si="88"/>
        <v>0.38</v>
      </c>
      <c r="CJ232" s="26">
        <f t="shared" si="88"/>
        <v>0.54</v>
      </c>
      <c r="CK232" s="26">
        <f t="shared" si="88"/>
        <v>1.08</v>
      </c>
    </row>
    <row r="233" spans="1:89" x14ac:dyDescent="0.25">
      <c r="A233" s="28" t="s">
        <v>32</v>
      </c>
      <c r="B233" s="26">
        <f>MAX(B$230:B$232)</f>
        <v>1</v>
      </c>
      <c r="C233" s="26">
        <f t="shared" ref="C233:BN233" si="89">MAX(C$230:C$232)</f>
        <v>0.7</v>
      </c>
      <c r="D233" s="26">
        <f t="shared" si="89"/>
        <v>0.7</v>
      </c>
      <c r="E233" s="26">
        <f t="shared" si="89"/>
        <v>0.24</v>
      </c>
      <c r="F233" s="26">
        <f t="shared" si="89"/>
        <v>0.59</v>
      </c>
      <c r="G233" s="26">
        <f t="shared" si="89"/>
        <v>0.88</v>
      </c>
      <c r="H233" s="26">
        <f t="shared" si="89"/>
        <v>0.62</v>
      </c>
      <c r="I233" s="26">
        <f t="shared" si="89"/>
        <v>0.5</v>
      </c>
      <c r="J233" s="26">
        <f t="shared" si="89"/>
        <v>0.44</v>
      </c>
      <c r="K233" s="26">
        <f t="shared" si="89"/>
        <v>0.52</v>
      </c>
      <c r="L233" s="26">
        <f t="shared" si="89"/>
        <v>1.5</v>
      </c>
      <c r="M233" s="26">
        <f t="shared" si="89"/>
        <v>0.72</v>
      </c>
      <c r="N233" s="26">
        <f t="shared" si="89"/>
        <v>0.68</v>
      </c>
      <c r="O233" s="26">
        <f t="shared" si="89"/>
        <v>0.56000000000000005</v>
      </c>
      <c r="P233" s="26">
        <f t="shared" si="89"/>
        <v>0.84</v>
      </c>
      <c r="Q233" s="26">
        <f t="shared" si="89"/>
        <v>1.5</v>
      </c>
      <c r="R233" s="26">
        <f t="shared" si="89"/>
        <v>0.62</v>
      </c>
      <c r="S233" s="26">
        <f t="shared" si="89"/>
        <v>0.7</v>
      </c>
      <c r="T233" s="26">
        <f t="shared" si="89"/>
        <v>0.76</v>
      </c>
      <c r="U233" s="26">
        <f t="shared" si="89"/>
        <v>0.66</v>
      </c>
      <c r="V233" s="26">
        <f t="shared" si="89"/>
        <v>0.36</v>
      </c>
      <c r="W233" s="26">
        <f t="shared" si="89"/>
        <v>0.8</v>
      </c>
      <c r="X233" s="26">
        <f t="shared" si="89"/>
        <v>0.5</v>
      </c>
      <c r="Y233" s="26">
        <f t="shared" si="89"/>
        <v>0.48</v>
      </c>
      <c r="Z233" s="26">
        <f t="shared" si="89"/>
        <v>0.68</v>
      </c>
      <c r="AA233" s="26">
        <f t="shared" si="89"/>
        <v>0.56000000000000005</v>
      </c>
      <c r="AB233" s="26">
        <f t="shared" si="89"/>
        <v>0.68</v>
      </c>
      <c r="AC233" s="26">
        <f t="shared" si="89"/>
        <v>0.84</v>
      </c>
      <c r="AD233" s="26">
        <f t="shared" si="89"/>
        <v>1.3</v>
      </c>
      <c r="AE233" s="26">
        <f t="shared" si="89"/>
        <v>0.8</v>
      </c>
      <c r="AF233" s="26">
        <f t="shared" si="89"/>
        <v>0.7</v>
      </c>
      <c r="AG233" s="26">
        <f t="shared" si="89"/>
        <v>0.62</v>
      </c>
      <c r="AH233" s="26">
        <f t="shared" si="89"/>
        <v>0.8</v>
      </c>
      <c r="AI233" s="26">
        <f t="shared" si="89"/>
        <v>0.64</v>
      </c>
      <c r="AJ233" s="26">
        <f t="shared" si="89"/>
        <v>0.78</v>
      </c>
      <c r="AK233" s="26">
        <f t="shared" si="89"/>
        <v>0.56000000000000005</v>
      </c>
      <c r="AL233" s="26">
        <f t="shared" si="89"/>
        <v>0.98</v>
      </c>
      <c r="AM233" s="26">
        <f t="shared" si="89"/>
        <v>1</v>
      </c>
      <c r="AN233" s="26">
        <f t="shared" si="89"/>
        <v>0.54</v>
      </c>
      <c r="AO233" s="26">
        <f t="shared" si="89"/>
        <v>0.8</v>
      </c>
      <c r="AP233" s="26">
        <f t="shared" si="89"/>
        <v>0.88</v>
      </c>
      <c r="AQ233" s="26">
        <f t="shared" si="89"/>
        <v>0.3</v>
      </c>
      <c r="AR233" s="26">
        <f t="shared" si="89"/>
        <v>0.78</v>
      </c>
      <c r="AS233" s="26">
        <f t="shared" si="89"/>
        <v>0.52</v>
      </c>
      <c r="AT233" s="26">
        <f t="shared" si="89"/>
        <v>0.82</v>
      </c>
      <c r="AU233" s="26">
        <f t="shared" si="89"/>
        <v>0.63</v>
      </c>
      <c r="AV233" s="26">
        <f t="shared" si="89"/>
        <v>0.48</v>
      </c>
      <c r="AW233" s="26">
        <f t="shared" si="89"/>
        <v>0.88</v>
      </c>
      <c r="AX233" s="26">
        <f t="shared" si="89"/>
        <v>0.5</v>
      </c>
      <c r="AY233" s="26">
        <f t="shared" si="89"/>
        <v>0.74</v>
      </c>
      <c r="AZ233" s="26">
        <f t="shared" si="89"/>
        <v>0.56000000000000005</v>
      </c>
      <c r="BA233" s="26">
        <f t="shared" si="89"/>
        <v>0.53</v>
      </c>
      <c r="BB233" s="26">
        <f t="shared" si="89"/>
        <v>0.42</v>
      </c>
      <c r="BC233" s="26">
        <f t="shared" si="89"/>
        <v>0.84</v>
      </c>
      <c r="BD233" s="26">
        <f t="shared" si="89"/>
        <v>0.86</v>
      </c>
      <c r="BE233" s="26">
        <f t="shared" si="89"/>
        <v>2</v>
      </c>
      <c r="BF233" s="26">
        <f t="shared" si="89"/>
        <v>0.62</v>
      </c>
      <c r="BG233" s="26">
        <f t="shared" si="89"/>
        <v>0.62</v>
      </c>
      <c r="BH233" s="26">
        <f t="shared" si="89"/>
        <v>0.4</v>
      </c>
      <c r="BI233" s="26">
        <f t="shared" si="89"/>
        <v>0.74</v>
      </c>
      <c r="BJ233" s="26">
        <f t="shared" si="89"/>
        <v>0.46</v>
      </c>
      <c r="BK233" s="26">
        <f t="shared" si="89"/>
        <v>0.32</v>
      </c>
      <c r="BL233" s="26">
        <f t="shared" si="89"/>
        <v>0.68</v>
      </c>
      <c r="BM233" s="26">
        <f t="shared" si="89"/>
        <v>0.62</v>
      </c>
      <c r="BN233" s="26">
        <f t="shared" si="89"/>
        <v>0.54</v>
      </c>
      <c r="BO233" s="26">
        <f t="shared" ref="BO233:CK233" si="90">MAX(BO$230:BO$232)</f>
        <v>1.08</v>
      </c>
      <c r="BP233" s="26">
        <f t="shared" si="90"/>
        <v>0.42</v>
      </c>
      <c r="BQ233" s="26">
        <f t="shared" si="90"/>
        <v>0.52</v>
      </c>
      <c r="BR233" s="26">
        <f t="shared" si="90"/>
        <v>0.3</v>
      </c>
      <c r="BS233" s="26">
        <f t="shared" si="90"/>
        <v>0.77</v>
      </c>
      <c r="BT233" s="26">
        <f t="shared" si="90"/>
        <v>0.56000000000000005</v>
      </c>
      <c r="BU233" s="26">
        <f t="shared" si="90"/>
        <v>0.57999999999999996</v>
      </c>
      <c r="BV233" s="26">
        <f t="shared" si="90"/>
        <v>0.6</v>
      </c>
      <c r="BW233" s="26">
        <f t="shared" si="90"/>
        <v>0.44</v>
      </c>
      <c r="BX233" s="26">
        <f t="shared" si="90"/>
        <v>0.69</v>
      </c>
      <c r="BY233" s="26">
        <f t="shared" si="90"/>
        <v>0.74</v>
      </c>
      <c r="BZ233" s="26">
        <f t="shared" si="90"/>
        <v>1.1000000000000001</v>
      </c>
      <c r="CA233" s="26">
        <f t="shared" si="90"/>
        <v>1.4</v>
      </c>
      <c r="CB233" s="26">
        <f t="shared" si="90"/>
        <v>0.5</v>
      </c>
      <c r="CC233" s="26">
        <f t="shared" si="90"/>
        <v>1</v>
      </c>
      <c r="CD233" s="26">
        <f t="shared" si="90"/>
        <v>0.92</v>
      </c>
      <c r="CE233" s="26">
        <f t="shared" si="90"/>
        <v>0.36</v>
      </c>
      <c r="CF233" s="26">
        <f t="shared" si="90"/>
        <v>0.4</v>
      </c>
      <c r="CG233" s="26">
        <f t="shared" si="90"/>
        <v>0.24</v>
      </c>
      <c r="CH233" s="26">
        <f t="shared" si="90"/>
        <v>0.72</v>
      </c>
      <c r="CI233" s="26">
        <f t="shared" si="90"/>
        <v>0.38</v>
      </c>
      <c r="CJ233" s="26">
        <f t="shared" si="90"/>
        <v>0.6</v>
      </c>
      <c r="CK233" s="26">
        <f t="shared" si="90"/>
        <v>1.08</v>
      </c>
    </row>
    <row r="236" spans="1:89" x14ac:dyDescent="0.25">
      <c r="A236" s="29" t="s">
        <v>508</v>
      </c>
      <c r="B236">
        <f>(B$211/B$214)</f>
        <v>0.375</v>
      </c>
      <c r="C236">
        <f t="shared" ref="C236:BN236" si="91">(C$211/C$214)</f>
        <v>0.69565217391304346</v>
      </c>
      <c r="D236">
        <f t="shared" si="91"/>
        <v>0.78260869565217395</v>
      </c>
      <c r="E236">
        <f t="shared" si="91"/>
        <v>0.16666666666666666</v>
      </c>
      <c r="F236">
        <f t="shared" si="91"/>
        <v>0.33333333333333331</v>
      </c>
      <c r="G236">
        <f t="shared" si="91"/>
        <v>0.29166666666666669</v>
      </c>
      <c r="H236">
        <f t="shared" si="91"/>
        <v>0.58333333333333337</v>
      </c>
      <c r="I236">
        <f t="shared" si="91"/>
        <v>0.83333333333333337</v>
      </c>
      <c r="J236">
        <f t="shared" si="91"/>
        <v>0.125</v>
      </c>
      <c r="K236">
        <f t="shared" si="91"/>
        <v>0.45833333333333331</v>
      </c>
      <c r="L236">
        <f t="shared" si="91"/>
        <v>0.35</v>
      </c>
      <c r="M236">
        <f t="shared" si="91"/>
        <v>0.7142857142857143</v>
      </c>
      <c r="N236">
        <f t="shared" si="91"/>
        <v>0.33333333333333331</v>
      </c>
      <c r="O236">
        <f t="shared" si="91"/>
        <v>0.79166666666666663</v>
      </c>
      <c r="P236">
        <f t="shared" si="91"/>
        <v>0.33333333333333331</v>
      </c>
      <c r="Q236">
        <f t="shared" si="91"/>
        <v>0.375</v>
      </c>
      <c r="R236">
        <f t="shared" si="91"/>
        <v>0.79166666666666663</v>
      </c>
      <c r="S236">
        <f t="shared" si="91"/>
        <v>0.83333333333333337</v>
      </c>
      <c r="T236">
        <f t="shared" si="91"/>
        <v>0.29166666666666669</v>
      </c>
      <c r="U236">
        <f t="shared" si="91"/>
        <v>0.45833333333333331</v>
      </c>
      <c r="V236">
        <f t="shared" si="91"/>
        <v>0.58333333333333337</v>
      </c>
      <c r="W236">
        <f t="shared" si="91"/>
        <v>8.3333333333333329E-2</v>
      </c>
      <c r="X236">
        <f t="shared" si="91"/>
        <v>0.79166666666666663</v>
      </c>
      <c r="Y236">
        <f t="shared" si="91"/>
        <v>0.75</v>
      </c>
      <c r="Z236">
        <f t="shared" si="91"/>
        <v>0.13043478260869565</v>
      </c>
      <c r="AA236">
        <f t="shared" si="91"/>
        <v>0.33333333333333331</v>
      </c>
      <c r="AB236">
        <f t="shared" si="91"/>
        <v>0.45833333333333331</v>
      </c>
      <c r="AC236">
        <f t="shared" si="91"/>
        <v>0.45833333333333331</v>
      </c>
      <c r="AD236">
        <f t="shared" si="91"/>
        <v>0.39130434782608697</v>
      </c>
      <c r="AE236">
        <f t="shared" si="91"/>
        <v>0.5</v>
      </c>
      <c r="AF236">
        <f t="shared" si="91"/>
        <v>0.33333333333333331</v>
      </c>
      <c r="AG236">
        <f t="shared" si="91"/>
        <v>0.77272727272727271</v>
      </c>
      <c r="AH236">
        <f t="shared" si="91"/>
        <v>0.52173913043478259</v>
      </c>
      <c r="AI236">
        <f t="shared" si="91"/>
        <v>0.79166666666666663</v>
      </c>
      <c r="AJ236">
        <f t="shared" si="91"/>
        <v>0.20833333333333334</v>
      </c>
      <c r="AK236">
        <f t="shared" si="91"/>
        <v>0.41666666666666669</v>
      </c>
      <c r="AL236">
        <f t="shared" si="91"/>
        <v>0.13043478260869565</v>
      </c>
      <c r="AM236">
        <f t="shared" si="91"/>
        <v>0.20833333333333334</v>
      </c>
      <c r="AN236">
        <f t="shared" si="91"/>
        <v>0.25</v>
      </c>
      <c r="AO236">
        <f t="shared" si="91"/>
        <v>0.52173913043478259</v>
      </c>
      <c r="AP236">
        <f t="shared" si="91"/>
        <v>0.375</v>
      </c>
      <c r="AQ236">
        <f t="shared" si="91"/>
        <v>0.45833333333333331</v>
      </c>
      <c r="AR236">
        <f t="shared" si="91"/>
        <v>0.41666666666666669</v>
      </c>
      <c r="AS236">
        <f t="shared" si="91"/>
        <v>0.91304347826086951</v>
      </c>
      <c r="AT236">
        <f t="shared" si="91"/>
        <v>0.29166666666666669</v>
      </c>
      <c r="AU236">
        <f t="shared" si="91"/>
        <v>0.29166666666666669</v>
      </c>
      <c r="AV236">
        <f t="shared" si="91"/>
        <v>0.30434782608695654</v>
      </c>
      <c r="AW236">
        <f t="shared" si="91"/>
        <v>0.58333333333333337</v>
      </c>
      <c r="AX236">
        <f t="shared" si="91"/>
        <v>0.5</v>
      </c>
      <c r="AY236">
        <f t="shared" si="91"/>
        <v>0.91304347826086951</v>
      </c>
      <c r="AZ236">
        <f t="shared" si="91"/>
        <v>0.16666666666666666</v>
      </c>
      <c r="BA236">
        <f t="shared" si="91"/>
        <v>0.70833333333333337</v>
      </c>
      <c r="BB236">
        <f t="shared" si="91"/>
        <v>0.375</v>
      </c>
      <c r="BC236">
        <f t="shared" si="91"/>
        <v>0.29166666666666669</v>
      </c>
      <c r="BD236">
        <f t="shared" si="91"/>
        <v>0.58333333333333337</v>
      </c>
      <c r="BE236">
        <f t="shared" si="91"/>
        <v>0.20833333333333334</v>
      </c>
      <c r="BF236">
        <f t="shared" si="91"/>
        <v>0.39130434782608697</v>
      </c>
      <c r="BG236">
        <f t="shared" si="91"/>
        <v>0.41666666666666669</v>
      </c>
      <c r="BH236">
        <f t="shared" si="91"/>
        <v>0.70833333333333337</v>
      </c>
      <c r="BI236">
        <f t="shared" si="91"/>
        <v>0.45833333333333331</v>
      </c>
      <c r="BJ236">
        <f t="shared" si="91"/>
        <v>0.75</v>
      </c>
      <c r="BK236">
        <f t="shared" si="91"/>
        <v>0.58333333333333337</v>
      </c>
      <c r="BL236">
        <f t="shared" si="91"/>
        <v>0.90909090909090906</v>
      </c>
      <c r="BM236">
        <f t="shared" si="91"/>
        <v>0.34782608695652173</v>
      </c>
      <c r="BN236">
        <f t="shared" si="91"/>
        <v>0.29166666666666669</v>
      </c>
      <c r="BO236">
        <f t="shared" ref="BO236:CK236" si="92">(BO$211/BO$214)</f>
        <v>0.29166666666666669</v>
      </c>
      <c r="BP236">
        <f t="shared" si="92"/>
        <v>0.33333333333333331</v>
      </c>
      <c r="BQ236">
        <f t="shared" si="92"/>
        <v>0.43478260869565216</v>
      </c>
      <c r="BR236">
        <f t="shared" si="92"/>
        <v>0.33333333333333331</v>
      </c>
      <c r="BS236">
        <f t="shared" si="92"/>
        <v>0.75</v>
      </c>
      <c r="BT236">
        <f t="shared" si="92"/>
        <v>0.70833333333333337</v>
      </c>
      <c r="BU236">
        <f t="shared" si="92"/>
        <v>0.5</v>
      </c>
      <c r="BV236">
        <f t="shared" si="92"/>
        <v>0.83333333333333337</v>
      </c>
      <c r="BW236">
        <f t="shared" si="92"/>
        <v>0.41666666666666669</v>
      </c>
      <c r="BX236">
        <f t="shared" si="92"/>
        <v>0.45833333333333331</v>
      </c>
      <c r="BY236">
        <f t="shared" si="92"/>
        <v>0.5</v>
      </c>
      <c r="BZ236">
        <f t="shared" si="92"/>
        <v>0.29166666666666669</v>
      </c>
      <c r="CA236">
        <f t="shared" si="92"/>
        <v>0.41666666666666669</v>
      </c>
      <c r="CB236">
        <f t="shared" si="92"/>
        <v>0.16666666666666666</v>
      </c>
      <c r="CC236">
        <f t="shared" si="92"/>
        <v>0.5</v>
      </c>
      <c r="CD236">
        <f t="shared" si="92"/>
        <v>0.25</v>
      </c>
      <c r="CE236">
        <f t="shared" si="92"/>
        <v>0.20833333333333334</v>
      </c>
      <c r="CF236">
        <f t="shared" si="92"/>
        <v>0.16666666666666666</v>
      </c>
      <c r="CG236">
        <f t="shared" si="92"/>
        <v>0.29166666666666669</v>
      </c>
      <c r="CH236">
        <f t="shared" si="92"/>
        <v>0.20833333333333334</v>
      </c>
      <c r="CI236">
        <f t="shared" si="92"/>
        <v>0.41666666666666669</v>
      </c>
      <c r="CJ236">
        <f t="shared" si="92"/>
        <v>0.33333333333333331</v>
      </c>
      <c r="CK236">
        <f t="shared" si="92"/>
        <v>0.41666666666666669</v>
      </c>
    </row>
    <row r="237" spans="1:89" x14ac:dyDescent="0.25">
      <c r="A237" s="29" t="s">
        <v>511</v>
      </c>
      <c r="B237" s="30">
        <f>COUNTIF(B$170:B$173,"pool") + COUNTIF(B$182:B$185,"pool")+COUNTIF(B$170:B$173, "glide")+COUNTIF(B$182:B$185, "glide")</f>
        <v>0</v>
      </c>
      <c r="C237" s="30">
        <f t="shared" ref="C237:BN237" si="93">COUNTIF(C$170:C$173,"pool") + COUNTIF(C$182:C$185,"pool")+COUNTIF(C$170:C$173, "glide")+COUNTIF(C$182:C$185, "glide")</f>
        <v>2</v>
      </c>
      <c r="D237" s="30">
        <f t="shared" si="93"/>
        <v>0</v>
      </c>
      <c r="E237" s="30">
        <f t="shared" si="93"/>
        <v>0</v>
      </c>
      <c r="F237" s="30">
        <f t="shared" si="93"/>
        <v>0</v>
      </c>
      <c r="G237" s="30">
        <f t="shared" si="93"/>
        <v>5</v>
      </c>
      <c r="H237" s="30">
        <f t="shared" si="93"/>
        <v>0</v>
      </c>
      <c r="I237" s="30">
        <f t="shared" si="93"/>
        <v>1</v>
      </c>
      <c r="J237" s="30">
        <f t="shared" si="93"/>
        <v>4</v>
      </c>
      <c r="K237" s="30">
        <f t="shared" si="93"/>
        <v>0</v>
      </c>
      <c r="L237" s="30">
        <f t="shared" si="93"/>
        <v>1</v>
      </c>
      <c r="M237" s="30">
        <f t="shared" si="93"/>
        <v>1</v>
      </c>
      <c r="N237" s="30">
        <f t="shared" si="93"/>
        <v>5</v>
      </c>
      <c r="O237" s="30">
        <f t="shared" si="93"/>
        <v>0</v>
      </c>
      <c r="P237" s="30">
        <f t="shared" si="93"/>
        <v>4</v>
      </c>
      <c r="Q237" s="30">
        <f t="shared" si="93"/>
        <v>3</v>
      </c>
      <c r="R237" s="30">
        <f t="shared" si="93"/>
        <v>0</v>
      </c>
      <c r="S237" s="30">
        <f t="shared" si="93"/>
        <v>0</v>
      </c>
      <c r="T237" s="30">
        <f t="shared" si="93"/>
        <v>4</v>
      </c>
      <c r="U237" s="30">
        <f t="shared" si="93"/>
        <v>0</v>
      </c>
      <c r="V237" s="30">
        <f t="shared" si="93"/>
        <v>3</v>
      </c>
      <c r="W237" s="30">
        <f t="shared" si="93"/>
        <v>4</v>
      </c>
      <c r="X237" s="30">
        <f t="shared" si="93"/>
        <v>0</v>
      </c>
      <c r="Y237" s="30">
        <f t="shared" si="93"/>
        <v>2</v>
      </c>
      <c r="Z237" s="30">
        <f t="shared" si="93"/>
        <v>3</v>
      </c>
      <c r="AA237" s="30">
        <f t="shared" si="93"/>
        <v>3</v>
      </c>
      <c r="AB237" s="30">
        <f t="shared" si="93"/>
        <v>0</v>
      </c>
      <c r="AC237" s="30">
        <f t="shared" si="93"/>
        <v>3</v>
      </c>
      <c r="AD237" s="30">
        <f t="shared" si="93"/>
        <v>1</v>
      </c>
      <c r="AE237" s="30">
        <f t="shared" si="93"/>
        <v>1</v>
      </c>
      <c r="AF237" s="30">
        <f t="shared" si="93"/>
        <v>5</v>
      </c>
      <c r="AG237" s="30">
        <f t="shared" si="93"/>
        <v>0</v>
      </c>
      <c r="AH237" s="30">
        <f t="shared" si="93"/>
        <v>1</v>
      </c>
      <c r="AI237" s="30">
        <f t="shared" si="93"/>
        <v>4</v>
      </c>
      <c r="AJ237" s="30">
        <f t="shared" si="93"/>
        <v>7</v>
      </c>
      <c r="AK237" s="30">
        <f t="shared" si="93"/>
        <v>3</v>
      </c>
      <c r="AL237" s="30">
        <f t="shared" si="93"/>
        <v>3</v>
      </c>
      <c r="AM237" s="30">
        <f t="shared" si="93"/>
        <v>4</v>
      </c>
      <c r="AN237" s="30">
        <f t="shared" si="93"/>
        <v>2</v>
      </c>
      <c r="AO237" s="30">
        <f t="shared" si="93"/>
        <v>1</v>
      </c>
      <c r="AP237" s="30">
        <f t="shared" si="93"/>
        <v>5</v>
      </c>
      <c r="AQ237" s="30">
        <f t="shared" si="93"/>
        <v>6</v>
      </c>
      <c r="AR237" s="30">
        <f t="shared" si="93"/>
        <v>0</v>
      </c>
      <c r="AS237" s="30">
        <f t="shared" si="93"/>
        <v>0</v>
      </c>
      <c r="AT237" s="30">
        <f t="shared" si="93"/>
        <v>1</v>
      </c>
      <c r="AU237" s="30">
        <f t="shared" si="93"/>
        <v>2</v>
      </c>
      <c r="AV237" s="30">
        <f t="shared" si="93"/>
        <v>0</v>
      </c>
      <c r="AW237" s="30">
        <f t="shared" si="93"/>
        <v>0</v>
      </c>
      <c r="AX237" s="30">
        <f t="shared" si="93"/>
        <v>0</v>
      </c>
      <c r="AY237" s="30">
        <f t="shared" si="93"/>
        <v>0</v>
      </c>
      <c r="AZ237" s="30">
        <f t="shared" si="93"/>
        <v>2</v>
      </c>
      <c r="BA237" s="30">
        <f t="shared" si="93"/>
        <v>2</v>
      </c>
      <c r="BB237" s="30">
        <f t="shared" si="93"/>
        <v>2</v>
      </c>
      <c r="BC237" s="30">
        <f t="shared" si="93"/>
        <v>3</v>
      </c>
      <c r="BD237" s="30">
        <f t="shared" si="93"/>
        <v>0</v>
      </c>
      <c r="BE237" s="30">
        <f t="shared" si="93"/>
        <v>4</v>
      </c>
      <c r="BF237" s="30">
        <f t="shared" si="93"/>
        <v>0</v>
      </c>
      <c r="BG237" s="30">
        <f t="shared" si="93"/>
        <v>1</v>
      </c>
      <c r="BH237" s="30">
        <f t="shared" si="93"/>
        <v>0</v>
      </c>
      <c r="BI237" s="30">
        <f t="shared" si="93"/>
        <v>4</v>
      </c>
      <c r="BJ237" s="30">
        <f t="shared" si="93"/>
        <v>0</v>
      </c>
      <c r="BK237" s="30">
        <f t="shared" si="93"/>
        <v>1</v>
      </c>
      <c r="BL237" s="30">
        <f>COUNTIF(BL$170:BL$173,"pool") + COUNTIF(BL$182:BL$185,"pool")+COUNTIF(BL$170:BL$173, "glide")+COUNTIF(BL$182:BL$185, "glide")</f>
        <v>0</v>
      </c>
      <c r="BM237" s="30">
        <f t="shared" si="93"/>
        <v>1</v>
      </c>
      <c r="BN237" s="30">
        <f t="shared" si="93"/>
        <v>5</v>
      </c>
      <c r="BO237" s="30">
        <f t="shared" ref="BO237:CK237" si="94">COUNTIF(BO$170:BO$173,"pool") + COUNTIF(BO$182:BO$185,"pool")+COUNTIF(BO$170:BO$173, "glide")+COUNTIF(BO$182:BO$185, "glide")</f>
        <v>5</v>
      </c>
      <c r="BP237" s="30">
        <f t="shared" si="94"/>
        <v>0</v>
      </c>
      <c r="BQ237" s="30">
        <f t="shared" si="94"/>
        <v>2</v>
      </c>
      <c r="BR237" s="30">
        <f t="shared" si="94"/>
        <v>0</v>
      </c>
      <c r="BS237" s="30">
        <f t="shared" si="94"/>
        <v>0</v>
      </c>
      <c r="BT237" s="30">
        <f t="shared" si="94"/>
        <v>0</v>
      </c>
      <c r="BU237" s="30">
        <f t="shared" si="94"/>
        <v>2</v>
      </c>
      <c r="BV237" s="30">
        <f t="shared" si="94"/>
        <v>1</v>
      </c>
      <c r="BW237" s="30">
        <f t="shared" si="94"/>
        <v>0</v>
      </c>
      <c r="BX237" s="30">
        <f t="shared" si="94"/>
        <v>1</v>
      </c>
      <c r="BY237" s="30">
        <f t="shared" si="94"/>
        <v>2</v>
      </c>
      <c r="BZ237" s="30">
        <f t="shared" si="94"/>
        <v>4</v>
      </c>
      <c r="CA237" s="30">
        <f t="shared" si="94"/>
        <v>5</v>
      </c>
      <c r="CB237" s="30">
        <f t="shared" si="94"/>
        <v>5</v>
      </c>
      <c r="CC237" s="30">
        <f t="shared" si="94"/>
        <v>0</v>
      </c>
      <c r="CD237" s="30">
        <f t="shared" si="94"/>
        <v>3</v>
      </c>
      <c r="CE237" s="30">
        <f t="shared" si="94"/>
        <v>3</v>
      </c>
      <c r="CF237" s="30">
        <f t="shared" si="94"/>
        <v>2</v>
      </c>
      <c r="CG237" s="30">
        <f t="shared" si="94"/>
        <v>3</v>
      </c>
      <c r="CH237" s="30">
        <f t="shared" si="94"/>
        <v>3</v>
      </c>
      <c r="CI237" s="30">
        <f t="shared" si="94"/>
        <v>3</v>
      </c>
      <c r="CJ237" s="30">
        <f t="shared" si="94"/>
        <v>4</v>
      </c>
      <c r="CK237" s="30">
        <f t="shared" si="94"/>
        <v>2</v>
      </c>
    </row>
    <row r="238" spans="1:89" x14ac:dyDescent="0.25">
      <c r="A238" s="29" t="s">
        <v>512</v>
      </c>
      <c r="B238" s="30">
        <f>COUNTIF(B$174:B$177,"pool") + COUNTIF(B$186:B$189,"pool")+COUNTIF(B$174:B$177, "glide")+COUNTIF(B$186:B$189, "glide")</f>
        <v>4</v>
      </c>
      <c r="C238" s="30">
        <f t="shared" ref="C238:BN238" si="95">COUNTIF(C$174:C$177,"pool") + COUNTIF(C$186:C$189,"pool")+COUNTIF(C$174:C$177, "glide")+COUNTIF(C$186:C$189, "glide")</f>
        <v>0</v>
      </c>
      <c r="D238" s="30">
        <f t="shared" si="95"/>
        <v>4</v>
      </c>
      <c r="E238" s="30">
        <f t="shared" si="95"/>
        <v>0</v>
      </c>
      <c r="F238" s="30">
        <f t="shared" si="95"/>
        <v>3</v>
      </c>
      <c r="G238" s="30">
        <f t="shared" si="95"/>
        <v>1</v>
      </c>
      <c r="H238" s="30">
        <f t="shared" si="95"/>
        <v>3</v>
      </c>
      <c r="I238" s="30">
        <f t="shared" si="95"/>
        <v>0</v>
      </c>
      <c r="J238" s="30">
        <f t="shared" si="95"/>
        <v>3</v>
      </c>
      <c r="K238" s="30">
        <f t="shared" si="95"/>
        <v>1</v>
      </c>
      <c r="L238" s="30">
        <f t="shared" si="95"/>
        <v>2</v>
      </c>
      <c r="M238" s="30">
        <f t="shared" si="95"/>
        <v>0</v>
      </c>
      <c r="N238" s="30">
        <f t="shared" si="95"/>
        <v>4</v>
      </c>
      <c r="O238" s="30">
        <f t="shared" si="95"/>
        <v>0</v>
      </c>
      <c r="P238" s="30">
        <f t="shared" si="95"/>
        <v>4</v>
      </c>
      <c r="Q238" s="30">
        <f t="shared" si="95"/>
        <v>3</v>
      </c>
      <c r="R238" s="30">
        <f t="shared" si="95"/>
        <v>2</v>
      </c>
      <c r="S238" s="30">
        <f t="shared" si="95"/>
        <v>2</v>
      </c>
      <c r="T238" s="30">
        <f t="shared" si="95"/>
        <v>2</v>
      </c>
      <c r="U238" s="30">
        <f t="shared" si="95"/>
        <v>2</v>
      </c>
      <c r="V238" s="30">
        <f t="shared" si="95"/>
        <v>2</v>
      </c>
      <c r="W238" s="30">
        <f t="shared" si="95"/>
        <v>0</v>
      </c>
      <c r="X238" s="30">
        <f t="shared" si="95"/>
        <v>0</v>
      </c>
      <c r="Y238" s="30">
        <f t="shared" si="95"/>
        <v>2</v>
      </c>
      <c r="Z238" s="30">
        <f t="shared" si="95"/>
        <v>4</v>
      </c>
      <c r="AA238" s="30">
        <f t="shared" si="95"/>
        <v>3</v>
      </c>
      <c r="AB238" s="30">
        <f t="shared" si="95"/>
        <v>2</v>
      </c>
      <c r="AC238" s="30">
        <f t="shared" si="95"/>
        <v>2</v>
      </c>
      <c r="AD238" s="30">
        <f t="shared" si="95"/>
        <v>4</v>
      </c>
      <c r="AE238" s="30">
        <f t="shared" si="95"/>
        <v>1</v>
      </c>
      <c r="AF238" s="30">
        <f t="shared" si="95"/>
        <v>2</v>
      </c>
      <c r="AG238" s="30">
        <f t="shared" si="95"/>
        <v>0</v>
      </c>
      <c r="AH238" s="30">
        <f t="shared" si="95"/>
        <v>2</v>
      </c>
      <c r="AI238" s="30">
        <f t="shared" si="95"/>
        <v>0</v>
      </c>
      <c r="AJ238" s="30">
        <f t="shared" si="95"/>
        <v>3</v>
      </c>
      <c r="AK238" s="30">
        <f t="shared" si="95"/>
        <v>5</v>
      </c>
      <c r="AL238" s="30">
        <f t="shared" si="95"/>
        <v>1</v>
      </c>
      <c r="AM238" s="30">
        <f t="shared" si="95"/>
        <v>1</v>
      </c>
      <c r="AN238" s="30">
        <f t="shared" si="95"/>
        <v>1</v>
      </c>
      <c r="AO238" s="30">
        <f t="shared" si="95"/>
        <v>1</v>
      </c>
      <c r="AP238" s="30">
        <f t="shared" si="95"/>
        <v>0</v>
      </c>
      <c r="AQ238" s="30">
        <f t="shared" si="95"/>
        <v>4</v>
      </c>
      <c r="AR238" s="30">
        <f t="shared" si="95"/>
        <v>0</v>
      </c>
      <c r="AS238" s="30">
        <f t="shared" si="95"/>
        <v>0</v>
      </c>
      <c r="AT238" s="30">
        <f t="shared" si="95"/>
        <v>5</v>
      </c>
      <c r="AU238" s="30">
        <f t="shared" si="95"/>
        <v>2</v>
      </c>
      <c r="AV238" s="30">
        <f t="shared" si="95"/>
        <v>0</v>
      </c>
      <c r="AW238" s="30">
        <f t="shared" si="95"/>
        <v>3</v>
      </c>
      <c r="AX238" s="30">
        <f t="shared" si="95"/>
        <v>0</v>
      </c>
      <c r="AY238" s="30">
        <f t="shared" si="95"/>
        <v>0</v>
      </c>
      <c r="AZ238" s="30">
        <f t="shared" si="95"/>
        <v>3</v>
      </c>
      <c r="BA238" s="30">
        <f t="shared" si="95"/>
        <v>0</v>
      </c>
      <c r="BB238" s="30">
        <f t="shared" si="95"/>
        <v>6</v>
      </c>
      <c r="BC238" s="30">
        <f t="shared" si="95"/>
        <v>1</v>
      </c>
      <c r="BD238" s="30">
        <f t="shared" si="95"/>
        <v>2</v>
      </c>
      <c r="BE238" s="30">
        <f t="shared" si="95"/>
        <v>8</v>
      </c>
      <c r="BF238" s="30">
        <f t="shared" si="95"/>
        <v>1</v>
      </c>
      <c r="BG238" s="30">
        <f t="shared" si="95"/>
        <v>3</v>
      </c>
      <c r="BH238" s="30">
        <f t="shared" si="95"/>
        <v>0</v>
      </c>
      <c r="BI238" s="30">
        <f t="shared" si="95"/>
        <v>0</v>
      </c>
      <c r="BJ238" s="30">
        <f t="shared" si="95"/>
        <v>0</v>
      </c>
      <c r="BK238" s="30">
        <f t="shared" si="95"/>
        <v>0</v>
      </c>
      <c r="BL238" s="30">
        <f t="shared" si="95"/>
        <v>0</v>
      </c>
      <c r="BM238" s="30">
        <f t="shared" si="95"/>
        <v>3</v>
      </c>
      <c r="BN238" s="30">
        <f t="shared" si="95"/>
        <v>5</v>
      </c>
      <c r="BO238" s="30">
        <f t="shared" ref="BO238:CK238" si="96">COUNTIF(BO$174:BO$177,"pool") + COUNTIF(BO$186:BO$189,"pool")+COUNTIF(BO$174:BO$177, "glide")+COUNTIF(BO$186:BO$189, "glide")</f>
        <v>1</v>
      </c>
      <c r="BP238" s="30">
        <f t="shared" si="96"/>
        <v>4</v>
      </c>
      <c r="BQ238" s="30">
        <f t="shared" si="96"/>
        <v>3</v>
      </c>
      <c r="BR238" s="30">
        <f t="shared" si="96"/>
        <v>0</v>
      </c>
      <c r="BS238" s="30">
        <f t="shared" si="96"/>
        <v>0</v>
      </c>
      <c r="BT238" s="30">
        <f t="shared" si="96"/>
        <v>3</v>
      </c>
      <c r="BU238" s="30">
        <f t="shared" si="96"/>
        <v>2</v>
      </c>
      <c r="BV238" s="30">
        <f t="shared" si="96"/>
        <v>1</v>
      </c>
      <c r="BW238" s="30">
        <f t="shared" si="96"/>
        <v>2</v>
      </c>
      <c r="BX238" s="30">
        <f t="shared" si="96"/>
        <v>2</v>
      </c>
      <c r="BY238" s="30">
        <f t="shared" si="96"/>
        <v>3</v>
      </c>
      <c r="BZ238" s="30">
        <f t="shared" si="96"/>
        <v>2</v>
      </c>
      <c r="CA238" s="30">
        <f t="shared" si="96"/>
        <v>2</v>
      </c>
      <c r="CB238" s="30">
        <f t="shared" si="96"/>
        <v>7</v>
      </c>
      <c r="CC238" s="30">
        <f t="shared" si="96"/>
        <v>1</v>
      </c>
      <c r="CD238" s="30">
        <f t="shared" si="96"/>
        <v>5</v>
      </c>
      <c r="CE238" s="30">
        <f t="shared" si="96"/>
        <v>6</v>
      </c>
      <c r="CF238" s="30">
        <f t="shared" si="96"/>
        <v>1</v>
      </c>
      <c r="CG238" s="30">
        <f t="shared" si="96"/>
        <v>0</v>
      </c>
      <c r="CH238" s="30">
        <f t="shared" si="96"/>
        <v>3</v>
      </c>
      <c r="CI238" s="30">
        <f t="shared" si="96"/>
        <v>3</v>
      </c>
      <c r="CJ238" s="30">
        <f t="shared" si="96"/>
        <v>0</v>
      </c>
      <c r="CK238" s="30">
        <f t="shared" si="96"/>
        <v>1</v>
      </c>
    </row>
    <row r="239" spans="1:89" x14ac:dyDescent="0.25">
      <c r="A239" s="29" t="s">
        <v>513</v>
      </c>
      <c r="B239" s="30">
        <f>COUNTIF(B$178:B$181,"pool") + COUNTIF(B$190:B$193,"pool")+COUNTIF(B$178:B$181, "glide")+COUNTIF(B$190:B$193, "glide")</f>
        <v>5</v>
      </c>
      <c r="C239" s="30">
        <f t="shared" ref="C239:BN239" si="97">COUNTIF(C$178:C$181,"pool") + COUNTIF(C$190:C$193,"pool")+COUNTIF(C$178:C$181, "glide")+COUNTIF(C$190:C$193, "glide")</f>
        <v>0</v>
      </c>
      <c r="D239" s="30">
        <f t="shared" si="97"/>
        <v>0</v>
      </c>
      <c r="E239" s="30">
        <f t="shared" si="97"/>
        <v>0</v>
      </c>
      <c r="F239" s="30">
        <f t="shared" si="97"/>
        <v>3</v>
      </c>
      <c r="G239" s="30">
        <f t="shared" si="97"/>
        <v>5</v>
      </c>
      <c r="H239" s="30">
        <f t="shared" si="97"/>
        <v>0</v>
      </c>
      <c r="I239" s="30">
        <f t="shared" si="97"/>
        <v>0</v>
      </c>
      <c r="J239" s="30">
        <f t="shared" si="97"/>
        <v>7</v>
      </c>
      <c r="K239" s="30">
        <f t="shared" si="97"/>
        <v>3</v>
      </c>
      <c r="L239" s="30">
        <f t="shared" si="97"/>
        <v>3</v>
      </c>
      <c r="M239" s="30">
        <f t="shared" si="97"/>
        <v>1</v>
      </c>
      <c r="N239" s="30">
        <f t="shared" si="97"/>
        <v>0</v>
      </c>
      <c r="O239" s="30">
        <f t="shared" si="97"/>
        <v>0</v>
      </c>
      <c r="P239" s="30">
        <f t="shared" si="97"/>
        <v>4</v>
      </c>
      <c r="Q239" s="30">
        <f t="shared" si="97"/>
        <v>2</v>
      </c>
      <c r="R239" s="30">
        <f t="shared" si="97"/>
        <v>0</v>
      </c>
      <c r="S239" s="30">
        <f t="shared" si="97"/>
        <v>0</v>
      </c>
      <c r="T239" s="30">
        <f t="shared" si="97"/>
        <v>7</v>
      </c>
      <c r="U239" s="30">
        <f t="shared" si="97"/>
        <v>1</v>
      </c>
      <c r="V239" s="30">
        <f t="shared" si="97"/>
        <v>3</v>
      </c>
      <c r="W239" s="30">
        <f t="shared" si="97"/>
        <v>2</v>
      </c>
      <c r="X239" s="30">
        <f t="shared" si="97"/>
        <v>2</v>
      </c>
      <c r="Y239" s="30">
        <f t="shared" si="97"/>
        <v>0</v>
      </c>
      <c r="Z239" s="30">
        <f t="shared" si="97"/>
        <v>0</v>
      </c>
      <c r="AA239" s="30">
        <f t="shared" si="97"/>
        <v>1</v>
      </c>
      <c r="AB239" s="30">
        <f t="shared" si="97"/>
        <v>4</v>
      </c>
      <c r="AC239" s="30">
        <f t="shared" si="97"/>
        <v>0</v>
      </c>
      <c r="AD239" s="30">
        <f t="shared" si="97"/>
        <v>3</v>
      </c>
      <c r="AE239" s="30">
        <f t="shared" si="97"/>
        <v>2</v>
      </c>
      <c r="AF239" s="30">
        <f t="shared" si="97"/>
        <v>2</v>
      </c>
      <c r="AG239" s="30">
        <f t="shared" si="97"/>
        <v>1</v>
      </c>
      <c r="AH239" s="30">
        <f t="shared" si="97"/>
        <v>1</v>
      </c>
      <c r="AI239" s="30">
        <f t="shared" si="97"/>
        <v>0</v>
      </c>
      <c r="AJ239" s="30">
        <f t="shared" si="97"/>
        <v>5</v>
      </c>
      <c r="AK239" s="30">
        <f t="shared" si="97"/>
        <v>1</v>
      </c>
      <c r="AL239" s="30">
        <f t="shared" si="97"/>
        <v>8</v>
      </c>
      <c r="AM239" s="30">
        <f t="shared" si="97"/>
        <v>4</v>
      </c>
      <c r="AN239" s="30">
        <f t="shared" si="97"/>
        <v>0</v>
      </c>
      <c r="AO239" s="30">
        <f t="shared" si="97"/>
        <v>7</v>
      </c>
      <c r="AP239" s="30">
        <f t="shared" si="97"/>
        <v>4</v>
      </c>
      <c r="AQ239" s="30">
        <f t="shared" si="97"/>
        <v>3</v>
      </c>
      <c r="AR239" s="30">
        <f t="shared" si="97"/>
        <v>8</v>
      </c>
      <c r="AS239" s="30">
        <f t="shared" si="97"/>
        <v>0</v>
      </c>
      <c r="AT239" s="30">
        <f t="shared" si="97"/>
        <v>8</v>
      </c>
      <c r="AU239" s="30">
        <f t="shared" si="97"/>
        <v>2</v>
      </c>
      <c r="AV239" s="30">
        <f t="shared" si="97"/>
        <v>0</v>
      </c>
      <c r="AW239" s="30">
        <f t="shared" si="97"/>
        <v>0</v>
      </c>
      <c r="AX239" s="30">
        <f t="shared" si="97"/>
        <v>0</v>
      </c>
      <c r="AY239" s="30">
        <f t="shared" si="97"/>
        <v>1</v>
      </c>
      <c r="AZ239" s="30">
        <f t="shared" si="97"/>
        <v>2</v>
      </c>
      <c r="BA239" s="30">
        <f t="shared" si="97"/>
        <v>0</v>
      </c>
      <c r="BB239" s="30">
        <f t="shared" si="97"/>
        <v>1</v>
      </c>
      <c r="BC239" s="30">
        <f t="shared" si="97"/>
        <v>3</v>
      </c>
      <c r="BD239" s="30">
        <f t="shared" si="97"/>
        <v>1</v>
      </c>
      <c r="BE239" s="30">
        <f t="shared" si="97"/>
        <v>7</v>
      </c>
      <c r="BF239" s="30">
        <f t="shared" si="97"/>
        <v>1</v>
      </c>
      <c r="BG239" s="30">
        <f t="shared" si="97"/>
        <v>1</v>
      </c>
      <c r="BH239" s="30">
        <f t="shared" si="97"/>
        <v>0</v>
      </c>
      <c r="BI239" s="30">
        <f t="shared" si="97"/>
        <v>1</v>
      </c>
      <c r="BJ239" s="30">
        <f t="shared" si="97"/>
        <v>2</v>
      </c>
      <c r="BK239" s="30">
        <f t="shared" si="97"/>
        <v>0</v>
      </c>
      <c r="BL239" s="30">
        <f t="shared" si="97"/>
        <v>0</v>
      </c>
      <c r="BM239" s="30">
        <f t="shared" si="97"/>
        <v>0</v>
      </c>
      <c r="BN239" s="30">
        <f t="shared" si="97"/>
        <v>3</v>
      </c>
      <c r="BO239" s="30">
        <f t="shared" ref="BO239:CK239" si="98">COUNTIF(BO$178:BO$181,"pool") + COUNTIF(BO$190:BO$193,"pool")+COUNTIF(BO$178:BO$181, "glide")+COUNTIF(BO$190:BO$193, "glide")</f>
        <v>1</v>
      </c>
      <c r="BP239" s="30">
        <f t="shared" si="98"/>
        <v>4</v>
      </c>
      <c r="BQ239" s="30">
        <f t="shared" si="98"/>
        <v>0</v>
      </c>
      <c r="BR239" s="30">
        <f t="shared" si="98"/>
        <v>0</v>
      </c>
      <c r="BS239" s="30">
        <f t="shared" si="98"/>
        <v>0</v>
      </c>
      <c r="BT239" s="30">
        <f t="shared" si="98"/>
        <v>2</v>
      </c>
      <c r="BU239" s="30">
        <f t="shared" si="98"/>
        <v>2</v>
      </c>
      <c r="BV239" s="30">
        <f t="shared" si="98"/>
        <v>0</v>
      </c>
      <c r="BW239" s="30">
        <f t="shared" si="98"/>
        <v>2</v>
      </c>
      <c r="BX239" s="30">
        <f t="shared" si="98"/>
        <v>4</v>
      </c>
      <c r="BY239" s="30">
        <f t="shared" si="98"/>
        <v>2</v>
      </c>
      <c r="BZ239" s="30">
        <f t="shared" si="98"/>
        <v>1</v>
      </c>
      <c r="CA239" s="30">
        <f t="shared" si="98"/>
        <v>2</v>
      </c>
      <c r="CB239" s="30">
        <f t="shared" si="98"/>
        <v>5</v>
      </c>
      <c r="CC239" s="30">
        <f t="shared" si="98"/>
        <v>0</v>
      </c>
      <c r="CD239" s="30">
        <f t="shared" si="98"/>
        <v>5</v>
      </c>
      <c r="CE239" s="30">
        <f t="shared" si="98"/>
        <v>5</v>
      </c>
      <c r="CF239" s="30">
        <f t="shared" si="98"/>
        <v>1</v>
      </c>
      <c r="CG239" s="30">
        <f t="shared" si="98"/>
        <v>2</v>
      </c>
      <c r="CH239" s="30">
        <f t="shared" si="98"/>
        <v>3</v>
      </c>
      <c r="CI239" s="30">
        <f t="shared" si="98"/>
        <v>6</v>
      </c>
      <c r="CJ239" s="30">
        <f t="shared" si="98"/>
        <v>5</v>
      </c>
      <c r="CK239" s="30">
        <f t="shared" si="98"/>
        <v>5</v>
      </c>
    </row>
    <row r="240" spans="1:89" x14ac:dyDescent="0.25">
      <c r="A240" s="29" t="s">
        <v>510</v>
      </c>
      <c r="B240">
        <f>COUNTIF(B$170:B$193, "pool") + COUNTIF(B$170:B$193, "glide")</f>
        <v>9</v>
      </c>
      <c r="C240">
        <f t="shared" ref="C240:BN240" si="99">COUNTIF(C$170:C$193, "pool") + COUNTIF(C$170:C$193, "glide")</f>
        <v>2</v>
      </c>
      <c r="D240">
        <f t="shared" si="99"/>
        <v>4</v>
      </c>
      <c r="E240">
        <f t="shared" si="99"/>
        <v>0</v>
      </c>
      <c r="F240">
        <f t="shared" si="99"/>
        <v>6</v>
      </c>
      <c r="G240">
        <f t="shared" si="99"/>
        <v>11</v>
      </c>
      <c r="H240">
        <f t="shared" si="99"/>
        <v>3</v>
      </c>
      <c r="I240">
        <f t="shared" si="99"/>
        <v>1</v>
      </c>
      <c r="J240">
        <f t="shared" si="99"/>
        <v>14</v>
      </c>
      <c r="K240">
        <f t="shared" si="99"/>
        <v>4</v>
      </c>
      <c r="L240">
        <f t="shared" si="99"/>
        <v>6</v>
      </c>
      <c r="M240">
        <f t="shared" si="99"/>
        <v>2</v>
      </c>
      <c r="N240">
        <f t="shared" si="99"/>
        <v>9</v>
      </c>
      <c r="O240">
        <f t="shared" si="99"/>
        <v>0</v>
      </c>
      <c r="P240">
        <f t="shared" si="99"/>
        <v>12</v>
      </c>
      <c r="Q240">
        <f t="shared" si="99"/>
        <v>8</v>
      </c>
      <c r="R240">
        <f t="shared" si="99"/>
        <v>2</v>
      </c>
      <c r="S240">
        <f t="shared" si="99"/>
        <v>2</v>
      </c>
      <c r="T240">
        <f t="shared" si="99"/>
        <v>13</v>
      </c>
      <c r="U240">
        <f t="shared" si="99"/>
        <v>3</v>
      </c>
      <c r="V240">
        <f t="shared" si="99"/>
        <v>8</v>
      </c>
      <c r="W240">
        <f t="shared" si="99"/>
        <v>6</v>
      </c>
      <c r="X240">
        <f t="shared" si="99"/>
        <v>2</v>
      </c>
      <c r="Y240">
        <f t="shared" si="99"/>
        <v>4</v>
      </c>
      <c r="Z240">
        <f t="shared" si="99"/>
        <v>7</v>
      </c>
      <c r="AA240">
        <f t="shared" si="99"/>
        <v>7</v>
      </c>
      <c r="AB240">
        <f t="shared" si="99"/>
        <v>6</v>
      </c>
      <c r="AC240">
        <f t="shared" si="99"/>
        <v>5</v>
      </c>
      <c r="AD240">
        <f t="shared" si="99"/>
        <v>8</v>
      </c>
      <c r="AE240">
        <f t="shared" si="99"/>
        <v>4</v>
      </c>
      <c r="AF240">
        <f t="shared" si="99"/>
        <v>9</v>
      </c>
      <c r="AG240">
        <f t="shared" si="99"/>
        <v>1</v>
      </c>
      <c r="AH240">
        <f t="shared" si="99"/>
        <v>4</v>
      </c>
      <c r="AI240">
        <f t="shared" si="99"/>
        <v>4</v>
      </c>
      <c r="AJ240">
        <f t="shared" si="99"/>
        <v>15</v>
      </c>
      <c r="AK240">
        <f t="shared" si="99"/>
        <v>9</v>
      </c>
      <c r="AL240">
        <f t="shared" si="99"/>
        <v>12</v>
      </c>
      <c r="AM240">
        <f t="shared" si="99"/>
        <v>9</v>
      </c>
      <c r="AN240">
        <f t="shared" si="99"/>
        <v>3</v>
      </c>
      <c r="AO240">
        <f t="shared" si="99"/>
        <v>9</v>
      </c>
      <c r="AP240">
        <f t="shared" si="99"/>
        <v>9</v>
      </c>
      <c r="AQ240">
        <f t="shared" si="99"/>
        <v>13</v>
      </c>
      <c r="AR240">
        <f t="shared" si="99"/>
        <v>8</v>
      </c>
      <c r="AS240">
        <f t="shared" si="99"/>
        <v>0</v>
      </c>
      <c r="AT240">
        <f t="shared" si="99"/>
        <v>14</v>
      </c>
      <c r="AU240">
        <f t="shared" si="99"/>
        <v>6</v>
      </c>
      <c r="AV240">
        <f t="shared" si="99"/>
        <v>0</v>
      </c>
      <c r="AW240">
        <f t="shared" si="99"/>
        <v>3</v>
      </c>
      <c r="AX240">
        <f t="shared" si="99"/>
        <v>0</v>
      </c>
      <c r="AY240">
        <f t="shared" si="99"/>
        <v>1</v>
      </c>
      <c r="AZ240">
        <f t="shared" si="99"/>
        <v>7</v>
      </c>
      <c r="BA240">
        <f t="shared" si="99"/>
        <v>2</v>
      </c>
      <c r="BB240">
        <f t="shared" si="99"/>
        <v>9</v>
      </c>
      <c r="BC240">
        <f t="shared" si="99"/>
        <v>7</v>
      </c>
      <c r="BD240">
        <f t="shared" si="99"/>
        <v>3</v>
      </c>
      <c r="BE240">
        <f t="shared" si="99"/>
        <v>19</v>
      </c>
      <c r="BF240">
        <f t="shared" si="99"/>
        <v>2</v>
      </c>
      <c r="BG240">
        <f t="shared" si="99"/>
        <v>5</v>
      </c>
      <c r="BH240">
        <f t="shared" si="99"/>
        <v>0</v>
      </c>
      <c r="BI240">
        <f t="shared" si="99"/>
        <v>5</v>
      </c>
      <c r="BJ240">
        <f t="shared" si="99"/>
        <v>2</v>
      </c>
      <c r="BK240">
        <f t="shared" si="99"/>
        <v>1</v>
      </c>
      <c r="BL240">
        <f t="shared" si="99"/>
        <v>0</v>
      </c>
      <c r="BM240">
        <f t="shared" si="99"/>
        <v>4</v>
      </c>
      <c r="BN240">
        <f t="shared" si="99"/>
        <v>13</v>
      </c>
      <c r="BO240">
        <f t="shared" ref="BO240:CK240" si="100">COUNTIF(BO$170:BO$193, "pool") + COUNTIF(BO$170:BO$193, "glide")</f>
        <v>7</v>
      </c>
      <c r="BP240">
        <f t="shared" si="100"/>
        <v>8</v>
      </c>
      <c r="BQ240">
        <f t="shared" si="100"/>
        <v>5</v>
      </c>
      <c r="BR240">
        <f t="shared" si="100"/>
        <v>0</v>
      </c>
      <c r="BS240">
        <f t="shared" si="100"/>
        <v>0</v>
      </c>
      <c r="BT240">
        <f t="shared" si="100"/>
        <v>5</v>
      </c>
      <c r="BU240">
        <f t="shared" si="100"/>
        <v>6</v>
      </c>
      <c r="BV240">
        <f t="shared" si="100"/>
        <v>2</v>
      </c>
      <c r="BW240">
        <f t="shared" si="100"/>
        <v>4</v>
      </c>
      <c r="BX240">
        <f t="shared" si="100"/>
        <v>7</v>
      </c>
      <c r="BY240">
        <f t="shared" si="100"/>
        <v>7</v>
      </c>
      <c r="BZ240">
        <f t="shared" si="100"/>
        <v>7</v>
      </c>
      <c r="CA240">
        <f t="shared" si="100"/>
        <v>9</v>
      </c>
      <c r="CB240">
        <f t="shared" si="100"/>
        <v>17</v>
      </c>
      <c r="CC240">
        <f t="shared" si="100"/>
        <v>1</v>
      </c>
      <c r="CD240">
        <f t="shared" si="100"/>
        <v>13</v>
      </c>
      <c r="CE240">
        <f t="shared" si="100"/>
        <v>14</v>
      </c>
      <c r="CF240">
        <f t="shared" si="100"/>
        <v>4</v>
      </c>
      <c r="CG240">
        <f t="shared" si="100"/>
        <v>5</v>
      </c>
      <c r="CH240">
        <f t="shared" si="100"/>
        <v>9</v>
      </c>
      <c r="CI240">
        <f t="shared" si="100"/>
        <v>12</v>
      </c>
      <c r="CJ240">
        <f t="shared" si="100"/>
        <v>9</v>
      </c>
      <c r="CK240">
        <f t="shared" si="100"/>
        <v>8</v>
      </c>
    </row>
    <row r="241" spans="1:89" x14ac:dyDescent="0.25">
      <c r="A241" s="29" t="s">
        <v>514</v>
      </c>
      <c r="B241">
        <f>(B$237/8)*100</f>
        <v>0</v>
      </c>
      <c r="C241">
        <f t="shared" ref="C241:BN241" si="101">(C$237/8)*100</f>
        <v>25</v>
      </c>
      <c r="D241">
        <f t="shared" si="101"/>
        <v>0</v>
      </c>
      <c r="E241">
        <f t="shared" si="101"/>
        <v>0</v>
      </c>
      <c r="F241">
        <f t="shared" si="101"/>
        <v>0</v>
      </c>
      <c r="G241">
        <f t="shared" si="101"/>
        <v>62.5</v>
      </c>
      <c r="H241">
        <f t="shared" si="101"/>
        <v>0</v>
      </c>
      <c r="I241">
        <f t="shared" si="101"/>
        <v>12.5</v>
      </c>
      <c r="J241">
        <f t="shared" si="101"/>
        <v>50</v>
      </c>
      <c r="K241">
        <f t="shared" si="101"/>
        <v>0</v>
      </c>
      <c r="L241">
        <f t="shared" si="101"/>
        <v>12.5</v>
      </c>
      <c r="M241">
        <f t="shared" si="101"/>
        <v>12.5</v>
      </c>
      <c r="N241">
        <f t="shared" si="101"/>
        <v>62.5</v>
      </c>
      <c r="O241">
        <f t="shared" si="101"/>
        <v>0</v>
      </c>
      <c r="P241">
        <f t="shared" si="101"/>
        <v>50</v>
      </c>
      <c r="Q241">
        <f t="shared" si="101"/>
        <v>37.5</v>
      </c>
      <c r="R241">
        <f t="shared" si="101"/>
        <v>0</v>
      </c>
      <c r="S241">
        <f t="shared" si="101"/>
        <v>0</v>
      </c>
      <c r="T241">
        <f t="shared" si="101"/>
        <v>50</v>
      </c>
      <c r="U241">
        <f t="shared" si="101"/>
        <v>0</v>
      </c>
      <c r="V241">
        <f t="shared" si="101"/>
        <v>37.5</v>
      </c>
      <c r="W241">
        <f t="shared" si="101"/>
        <v>50</v>
      </c>
      <c r="X241">
        <f t="shared" si="101"/>
        <v>0</v>
      </c>
      <c r="Y241">
        <f t="shared" si="101"/>
        <v>25</v>
      </c>
      <c r="Z241">
        <f t="shared" si="101"/>
        <v>37.5</v>
      </c>
      <c r="AA241">
        <f t="shared" si="101"/>
        <v>37.5</v>
      </c>
      <c r="AB241">
        <f t="shared" si="101"/>
        <v>0</v>
      </c>
      <c r="AC241">
        <f t="shared" si="101"/>
        <v>37.5</v>
      </c>
      <c r="AD241">
        <f t="shared" si="101"/>
        <v>12.5</v>
      </c>
      <c r="AE241">
        <f t="shared" si="101"/>
        <v>12.5</v>
      </c>
      <c r="AF241">
        <f t="shared" si="101"/>
        <v>62.5</v>
      </c>
      <c r="AG241">
        <f t="shared" si="101"/>
        <v>0</v>
      </c>
      <c r="AH241">
        <f t="shared" si="101"/>
        <v>12.5</v>
      </c>
      <c r="AI241">
        <f t="shared" si="101"/>
        <v>50</v>
      </c>
      <c r="AJ241">
        <f t="shared" si="101"/>
        <v>87.5</v>
      </c>
      <c r="AK241">
        <f t="shared" si="101"/>
        <v>37.5</v>
      </c>
      <c r="AL241">
        <f t="shared" si="101"/>
        <v>37.5</v>
      </c>
      <c r="AM241">
        <f t="shared" si="101"/>
        <v>50</v>
      </c>
      <c r="AN241">
        <f t="shared" si="101"/>
        <v>25</v>
      </c>
      <c r="AO241">
        <f t="shared" si="101"/>
        <v>12.5</v>
      </c>
      <c r="AP241">
        <f t="shared" si="101"/>
        <v>62.5</v>
      </c>
      <c r="AQ241">
        <f t="shared" si="101"/>
        <v>75</v>
      </c>
      <c r="AR241">
        <f t="shared" si="101"/>
        <v>0</v>
      </c>
      <c r="AS241">
        <f t="shared" si="101"/>
        <v>0</v>
      </c>
      <c r="AT241">
        <f t="shared" si="101"/>
        <v>12.5</v>
      </c>
      <c r="AU241">
        <f t="shared" si="101"/>
        <v>25</v>
      </c>
      <c r="AV241">
        <f t="shared" si="101"/>
        <v>0</v>
      </c>
      <c r="AW241">
        <f t="shared" si="101"/>
        <v>0</v>
      </c>
      <c r="AX241">
        <f t="shared" si="101"/>
        <v>0</v>
      </c>
      <c r="AY241">
        <f t="shared" si="101"/>
        <v>0</v>
      </c>
      <c r="AZ241">
        <f t="shared" si="101"/>
        <v>25</v>
      </c>
      <c r="BA241">
        <f t="shared" si="101"/>
        <v>25</v>
      </c>
      <c r="BB241">
        <f t="shared" si="101"/>
        <v>25</v>
      </c>
      <c r="BC241">
        <f t="shared" si="101"/>
        <v>37.5</v>
      </c>
      <c r="BD241">
        <f t="shared" si="101"/>
        <v>0</v>
      </c>
      <c r="BE241">
        <f t="shared" si="101"/>
        <v>50</v>
      </c>
      <c r="BF241">
        <f t="shared" si="101"/>
        <v>0</v>
      </c>
      <c r="BG241">
        <f t="shared" si="101"/>
        <v>12.5</v>
      </c>
      <c r="BH241">
        <f t="shared" si="101"/>
        <v>0</v>
      </c>
      <c r="BI241">
        <f t="shared" si="101"/>
        <v>50</v>
      </c>
      <c r="BJ241">
        <f t="shared" si="101"/>
        <v>0</v>
      </c>
      <c r="BK241">
        <f t="shared" si="101"/>
        <v>12.5</v>
      </c>
      <c r="BL241">
        <f t="shared" si="101"/>
        <v>0</v>
      </c>
      <c r="BM241">
        <f t="shared" si="101"/>
        <v>12.5</v>
      </c>
      <c r="BN241">
        <f t="shared" si="101"/>
        <v>62.5</v>
      </c>
      <c r="BO241">
        <f t="shared" ref="BO241:CK241" si="102">(BO$237/8)*100</f>
        <v>62.5</v>
      </c>
      <c r="BP241">
        <f t="shared" si="102"/>
        <v>0</v>
      </c>
      <c r="BQ241">
        <f t="shared" si="102"/>
        <v>25</v>
      </c>
      <c r="BR241">
        <f t="shared" si="102"/>
        <v>0</v>
      </c>
      <c r="BS241">
        <f t="shared" si="102"/>
        <v>0</v>
      </c>
      <c r="BT241">
        <f t="shared" si="102"/>
        <v>0</v>
      </c>
      <c r="BU241">
        <f t="shared" si="102"/>
        <v>25</v>
      </c>
      <c r="BV241">
        <f t="shared" si="102"/>
        <v>12.5</v>
      </c>
      <c r="BW241">
        <f t="shared" si="102"/>
        <v>0</v>
      </c>
      <c r="BX241">
        <f t="shared" si="102"/>
        <v>12.5</v>
      </c>
      <c r="BY241">
        <f t="shared" si="102"/>
        <v>25</v>
      </c>
      <c r="BZ241">
        <f t="shared" si="102"/>
        <v>50</v>
      </c>
      <c r="CA241">
        <f t="shared" si="102"/>
        <v>62.5</v>
      </c>
      <c r="CB241">
        <f t="shared" si="102"/>
        <v>62.5</v>
      </c>
      <c r="CC241">
        <f t="shared" si="102"/>
        <v>0</v>
      </c>
      <c r="CD241">
        <f t="shared" si="102"/>
        <v>37.5</v>
      </c>
      <c r="CE241">
        <f t="shared" si="102"/>
        <v>37.5</v>
      </c>
      <c r="CF241">
        <f t="shared" si="102"/>
        <v>25</v>
      </c>
      <c r="CG241">
        <f t="shared" si="102"/>
        <v>37.5</v>
      </c>
      <c r="CH241">
        <f t="shared" si="102"/>
        <v>37.5</v>
      </c>
      <c r="CI241">
        <f t="shared" si="102"/>
        <v>37.5</v>
      </c>
      <c r="CJ241">
        <f t="shared" si="102"/>
        <v>50</v>
      </c>
      <c r="CK241">
        <f t="shared" si="102"/>
        <v>25</v>
      </c>
    </row>
    <row r="242" spans="1:89" x14ac:dyDescent="0.25">
      <c r="A242" s="29" t="s">
        <v>515</v>
      </c>
      <c r="B242">
        <f>(B$238/8)*100</f>
        <v>50</v>
      </c>
      <c r="C242">
        <f t="shared" ref="C242:BN242" si="103">(C$238/8)*100</f>
        <v>0</v>
      </c>
      <c r="D242">
        <f t="shared" si="103"/>
        <v>50</v>
      </c>
      <c r="E242">
        <f t="shared" si="103"/>
        <v>0</v>
      </c>
      <c r="F242">
        <f t="shared" si="103"/>
        <v>37.5</v>
      </c>
      <c r="G242">
        <f t="shared" si="103"/>
        <v>12.5</v>
      </c>
      <c r="H242">
        <f t="shared" si="103"/>
        <v>37.5</v>
      </c>
      <c r="I242">
        <f t="shared" si="103"/>
        <v>0</v>
      </c>
      <c r="J242">
        <f t="shared" si="103"/>
        <v>37.5</v>
      </c>
      <c r="K242">
        <f t="shared" si="103"/>
        <v>12.5</v>
      </c>
      <c r="L242">
        <f t="shared" si="103"/>
        <v>25</v>
      </c>
      <c r="M242">
        <f t="shared" si="103"/>
        <v>0</v>
      </c>
      <c r="N242">
        <f t="shared" si="103"/>
        <v>50</v>
      </c>
      <c r="O242">
        <f t="shared" si="103"/>
        <v>0</v>
      </c>
      <c r="P242">
        <f t="shared" si="103"/>
        <v>50</v>
      </c>
      <c r="Q242">
        <f t="shared" si="103"/>
        <v>37.5</v>
      </c>
      <c r="R242">
        <f t="shared" si="103"/>
        <v>25</v>
      </c>
      <c r="S242">
        <f t="shared" si="103"/>
        <v>25</v>
      </c>
      <c r="T242">
        <f t="shared" si="103"/>
        <v>25</v>
      </c>
      <c r="U242">
        <f t="shared" si="103"/>
        <v>25</v>
      </c>
      <c r="V242">
        <f t="shared" si="103"/>
        <v>25</v>
      </c>
      <c r="W242">
        <f t="shared" si="103"/>
        <v>0</v>
      </c>
      <c r="X242">
        <f t="shared" si="103"/>
        <v>0</v>
      </c>
      <c r="Y242">
        <f t="shared" si="103"/>
        <v>25</v>
      </c>
      <c r="Z242">
        <f t="shared" si="103"/>
        <v>50</v>
      </c>
      <c r="AA242">
        <f t="shared" si="103"/>
        <v>37.5</v>
      </c>
      <c r="AB242">
        <f t="shared" si="103"/>
        <v>25</v>
      </c>
      <c r="AC242">
        <f t="shared" si="103"/>
        <v>25</v>
      </c>
      <c r="AD242">
        <f t="shared" si="103"/>
        <v>50</v>
      </c>
      <c r="AE242">
        <f t="shared" si="103"/>
        <v>12.5</v>
      </c>
      <c r="AF242">
        <f t="shared" si="103"/>
        <v>25</v>
      </c>
      <c r="AG242">
        <f t="shared" si="103"/>
        <v>0</v>
      </c>
      <c r="AH242">
        <f t="shared" si="103"/>
        <v>25</v>
      </c>
      <c r="AI242">
        <f t="shared" si="103"/>
        <v>0</v>
      </c>
      <c r="AJ242">
        <f t="shared" si="103"/>
        <v>37.5</v>
      </c>
      <c r="AK242">
        <f t="shared" si="103"/>
        <v>62.5</v>
      </c>
      <c r="AL242">
        <f t="shared" si="103"/>
        <v>12.5</v>
      </c>
      <c r="AM242">
        <f t="shared" si="103"/>
        <v>12.5</v>
      </c>
      <c r="AN242">
        <f t="shared" si="103"/>
        <v>12.5</v>
      </c>
      <c r="AO242">
        <f t="shared" si="103"/>
        <v>12.5</v>
      </c>
      <c r="AP242">
        <f t="shared" si="103"/>
        <v>0</v>
      </c>
      <c r="AQ242">
        <f t="shared" si="103"/>
        <v>50</v>
      </c>
      <c r="AR242">
        <f t="shared" si="103"/>
        <v>0</v>
      </c>
      <c r="AS242">
        <f t="shared" si="103"/>
        <v>0</v>
      </c>
      <c r="AT242">
        <f t="shared" si="103"/>
        <v>62.5</v>
      </c>
      <c r="AU242">
        <f t="shared" si="103"/>
        <v>25</v>
      </c>
      <c r="AV242">
        <f t="shared" si="103"/>
        <v>0</v>
      </c>
      <c r="AW242">
        <f t="shared" si="103"/>
        <v>37.5</v>
      </c>
      <c r="AX242">
        <f t="shared" si="103"/>
        <v>0</v>
      </c>
      <c r="AY242">
        <f t="shared" si="103"/>
        <v>0</v>
      </c>
      <c r="AZ242">
        <f t="shared" si="103"/>
        <v>37.5</v>
      </c>
      <c r="BA242">
        <f t="shared" si="103"/>
        <v>0</v>
      </c>
      <c r="BB242">
        <f t="shared" si="103"/>
        <v>75</v>
      </c>
      <c r="BC242">
        <f t="shared" si="103"/>
        <v>12.5</v>
      </c>
      <c r="BD242">
        <f t="shared" si="103"/>
        <v>25</v>
      </c>
      <c r="BE242">
        <f t="shared" si="103"/>
        <v>100</v>
      </c>
      <c r="BF242">
        <f t="shared" si="103"/>
        <v>12.5</v>
      </c>
      <c r="BG242">
        <f t="shared" si="103"/>
        <v>37.5</v>
      </c>
      <c r="BH242">
        <f t="shared" si="103"/>
        <v>0</v>
      </c>
      <c r="BI242">
        <f t="shared" si="103"/>
        <v>0</v>
      </c>
      <c r="BJ242">
        <f t="shared" si="103"/>
        <v>0</v>
      </c>
      <c r="BK242">
        <f t="shared" si="103"/>
        <v>0</v>
      </c>
      <c r="BL242">
        <f t="shared" si="103"/>
        <v>0</v>
      </c>
      <c r="BM242">
        <f t="shared" si="103"/>
        <v>37.5</v>
      </c>
      <c r="BN242">
        <f t="shared" si="103"/>
        <v>62.5</v>
      </c>
      <c r="BO242">
        <f t="shared" ref="BO242:CK242" si="104">(BO$238/8)*100</f>
        <v>12.5</v>
      </c>
      <c r="BP242">
        <f t="shared" si="104"/>
        <v>50</v>
      </c>
      <c r="BQ242">
        <f t="shared" si="104"/>
        <v>37.5</v>
      </c>
      <c r="BR242">
        <f t="shared" si="104"/>
        <v>0</v>
      </c>
      <c r="BS242">
        <f t="shared" si="104"/>
        <v>0</v>
      </c>
      <c r="BT242">
        <f t="shared" si="104"/>
        <v>37.5</v>
      </c>
      <c r="BU242">
        <f t="shared" si="104"/>
        <v>25</v>
      </c>
      <c r="BV242">
        <f t="shared" si="104"/>
        <v>12.5</v>
      </c>
      <c r="BW242">
        <f t="shared" si="104"/>
        <v>25</v>
      </c>
      <c r="BX242">
        <f t="shared" si="104"/>
        <v>25</v>
      </c>
      <c r="BY242">
        <f t="shared" si="104"/>
        <v>37.5</v>
      </c>
      <c r="BZ242">
        <f t="shared" si="104"/>
        <v>25</v>
      </c>
      <c r="CA242">
        <f t="shared" si="104"/>
        <v>25</v>
      </c>
      <c r="CB242">
        <f t="shared" si="104"/>
        <v>87.5</v>
      </c>
      <c r="CC242">
        <f t="shared" si="104"/>
        <v>12.5</v>
      </c>
      <c r="CD242">
        <f t="shared" si="104"/>
        <v>62.5</v>
      </c>
      <c r="CE242">
        <f t="shared" si="104"/>
        <v>75</v>
      </c>
      <c r="CF242">
        <f t="shared" si="104"/>
        <v>12.5</v>
      </c>
      <c r="CG242">
        <f t="shared" si="104"/>
        <v>0</v>
      </c>
      <c r="CH242">
        <f t="shared" si="104"/>
        <v>37.5</v>
      </c>
      <c r="CI242">
        <f t="shared" si="104"/>
        <v>37.5</v>
      </c>
      <c r="CJ242">
        <f t="shared" si="104"/>
        <v>0</v>
      </c>
      <c r="CK242">
        <f t="shared" si="104"/>
        <v>12.5</v>
      </c>
    </row>
    <row r="243" spans="1:89" x14ac:dyDescent="0.25">
      <c r="A243" s="29" t="s">
        <v>516</v>
      </c>
      <c r="B243">
        <f>(B$239/8)*100</f>
        <v>62.5</v>
      </c>
      <c r="C243">
        <f t="shared" ref="C243:BN243" si="105">(C$239/8)*100</f>
        <v>0</v>
      </c>
      <c r="D243">
        <f t="shared" si="105"/>
        <v>0</v>
      </c>
      <c r="E243">
        <f t="shared" si="105"/>
        <v>0</v>
      </c>
      <c r="F243">
        <f t="shared" si="105"/>
        <v>37.5</v>
      </c>
      <c r="G243">
        <f t="shared" si="105"/>
        <v>62.5</v>
      </c>
      <c r="H243">
        <f t="shared" si="105"/>
        <v>0</v>
      </c>
      <c r="I243">
        <f t="shared" si="105"/>
        <v>0</v>
      </c>
      <c r="J243">
        <f t="shared" si="105"/>
        <v>87.5</v>
      </c>
      <c r="K243">
        <f t="shared" si="105"/>
        <v>37.5</v>
      </c>
      <c r="L243">
        <f t="shared" si="105"/>
        <v>37.5</v>
      </c>
      <c r="M243">
        <f t="shared" si="105"/>
        <v>12.5</v>
      </c>
      <c r="N243">
        <f t="shared" si="105"/>
        <v>0</v>
      </c>
      <c r="O243">
        <f t="shared" si="105"/>
        <v>0</v>
      </c>
      <c r="P243">
        <f t="shared" si="105"/>
        <v>50</v>
      </c>
      <c r="Q243">
        <f t="shared" si="105"/>
        <v>25</v>
      </c>
      <c r="R243">
        <f t="shared" si="105"/>
        <v>0</v>
      </c>
      <c r="S243">
        <f t="shared" si="105"/>
        <v>0</v>
      </c>
      <c r="T243">
        <f t="shared" si="105"/>
        <v>87.5</v>
      </c>
      <c r="U243">
        <f t="shared" si="105"/>
        <v>12.5</v>
      </c>
      <c r="V243">
        <f t="shared" si="105"/>
        <v>37.5</v>
      </c>
      <c r="W243">
        <f t="shared" si="105"/>
        <v>25</v>
      </c>
      <c r="X243">
        <f t="shared" si="105"/>
        <v>25</v>
      </c>
      <c r="Y243">
        <f t="shared" si="105"/>
        <v>0</v>
      </c>
      <c r="Z243">
        <f t="shared" si="105"/>
        <v>0</v>
      </c>
      <c r="AA243">
        <f t="shared" si="105"/>
        <v>12.5</v>
      </c>
      <c r="AB243">
        <f t="shared" si="105"/>
        <v>50</v>
      </c>
      <c r="AC243">
        <f t="shared" si="105"/>
        <v>0</v>
      </c>
      <c r="AD243">
        <f t="shared" si="105"/>
        <v>37.5</v>
      </c>
      <c r="AE243">
        <f t="shared" si="105"/>
        <v>25</v>
      </c>
      <c r="AF243">
        <f t="shared" si="105"/>
        <v>25</v>
      </c>
      <c r="AG243">
        <f t="shared" si="105"/>
        <v>12.5</v>
      </c>
      <c r="AH243">
        <f t="shared" si="105"/>
        <v>12.5</v>
      </c>
      <c r="AI243">
        <f t="shared" si="105"/>
        <v>0</v>
      </c>
      <c r="AJ243">
        <f t="shared" si="105"/>
        <v>62.5</v>
      </c>
      <c r="AK243">
        <f t="shared" si="105"/>
        <v>12.5</v>
      </c>
      <c r="AL243">
        <f t="shared" si="105"/>
        <v>100</v>
      </c>
      <c r="AM243">
        <f t="shared" si="105"/>
        <v>50</v>
      </c>
      <c r="AN243">
        <f t="shared" si="105"/>
        <v>0</v>
      </c>
      <c r="AO243">
        <f t="shared" si="105"/>
        <v>87.5</v>
      </c>
      <c r="AP243">
        <f t="shared" si="105"/>
        <v>50</v>
      </c>
      <c r="AQ243">
        <f t="shared" si="105"/>
        <v>37.5</v>
      </c>
      <c r="AR243">
        <f t="shared" si="105"/>
        <v>100</v>
      </c>
      <c r="AS243">
        <f t="shared" si="105"/>
        <v>0</v>
      </c>
      <c r="AT243">
        <f t="shared" si="105"/>
        <v>100</v>
      </c>
      <c r="AU243">
        <f t="shared" si="105"/>
        <v>25</v>
      </c>
      <c r="AV243">
        <f t="shared" si="105"/>
        <v>0</v>
      </c>
      <c r="AW243">
        <f t="shared" si="105"/>
        <v>0</v>
      </c>
      <c r="AX243">
        <f t="shared" si="105"/>
        <v>0</v>
      </c>
      <c r="AY243">
        <f t="shared" si="105"/>
        <v>12.5</v>
      </c>
      <c r="AZ243">
        <f t="shared" si="105"/>
        <v>25</v>
      </c>
      <c r="BA243">
        <f t="shared" si="105"/>
        <v>0</v>
      </c>
      <c r="BB243">
        <f t="shared" si="105"/>
        <v>12.5</v>
      </c>
      <c r="BC243">
        <f t="shared" si="105"/>
        <v>37.5</v>
      </c>
      <c r="BD243">
        <f t="shared" si="105"/>
        <v>12.5</v>
      </c>
      <c r="BE243">
        <f t="shared" si="105"/>
        <v>87.5</v>
      </c>
      <c r="BF243">
        <f t="shared" si="105"/>
        <v>12.5</v>
      </c>
      <c r="BG243">
        <f t="shared" si="105"/>
        <v>12.5</v>
      </c>
      <c r="BH243">
        <f t="shared" si="105"/>
        <v>0</v>
      </c>
      <c r="BI243">
        <f t="shared" si="105"/>
        <v>12.5</v>
      </c>
      <c r="BJ243">
        <f t="shared" si="105"/>
        <v>25</v>
      </c>
      <c r="BK243">
        <f t="shared" si="105"/>
        <v>0</v>
      </c>
      <c r="BL243">
        <f t="shared" si="105"/>
        <v>0</v>
      </c>
      <c r="BM243">
        <f t="shared" si="105"/>
        <v>0</v>
      </c>
      <c r="BN243">
        <f t="shared" si="105"/>
        <v>37.5</v>
      </c>
      <c r="BO243">
        <f t="shared" ref="BO243:CK243" si="106">(BO$239/8)*100</f>
        <v>12.5</v>
      </c>
      <c r="BP243">
        <f t="shared" si="106"/>
        <v>50</v>
      </c>
      <c r="BQ243">
        <f t="shared" si="106"/>
        <v>0</v>
      </c>
      <c r="BR243">
        <f t="shared" si="106"/>
        <v>0</v>
      </c>
      <c r="BS243">
        <f t="shared" si="106"/>
        <v>0</v>
      </c>
      <c r="BT243">
        <f t="shared" si="106"/>
        <v>25</v>
      </c>
      <c r="BU243">
        <f t="shared" si="106"/>
        <v>25</v>
      </c>
      <c r="BV243">
        <f t="shared" si="106"/>
        <v>0</v>
      </c>
      <c r="BW243">
        <f t="shared" si="106"/>
        <v>25</v>
      </c>
      <c r="BX243">
        <f t="shared" si="106"/>
        <v>50</v>
      </c>
      <c r="BY243">
        <f t="shared" si="106"/>
        <v>25</v>
      </c>
      <c r="BZ243">
        <f t="shared" si="106"/>
        <v>12.5</v>
      </c>
      <c r="CA243">
        <f t="shared" si="106"/>
        <v>25</v>
      </c>
      <c r="CB243">
        <f t="shared" si="106"/>
        <v>62.5</v>
      </c>
      <c r="CC243">
        <f t="shared" si="106"/>
        <v>0</v>
      </c>
      <c r="CD243">
        <f t="shared" si="106"/>
        <v>62.5</v>
      </c>
      <c r="CE243">
        <f t="shared" si="106"/>
        <v>62.5</v>
      </c>
      <c r="CF243">
        <f t="shared" si="106"/>
        <v>12.5</v>
      </c>
      <c r="CG243">
        <f t="shared" si="106"/>
        <v>25</v>
      </c>
      <c r="CH243">
        <f t="shared" si="106"/>
        <v>37.5</v>
      </c>
      <c r="CI243">
        <f t="shared" si="106"/>
        <v>75</v>
      </c>
      <c r="CJ243">
        <f t="shared" si="106"/>
        <v>62.5</v>
      </c>
      <c r="CK243">
        <f t="shared" si="106"/>
        <v>62.5</v>
      </c>
    </row>
    <row r="244" spans="1:89" x14ac:dyDescent="0.25">
      <c r="A244" s="29" t="s">
        <v>509</v>
      </c>
      <c r="B244">
        <f>(B$240/24)*100</f>
        <v>37.5</v>
      </c>
      <c r="C244">
        <f t="shared" ref="C244:BN244" si="107">(C$240/24)*100</f>
        <v>8.3333333333333321</v>
      </c>
      <c r="D244">
        <f t="shared" si="107"/>
        <v>16.666666666666664</v>
      </c>
      <c r="E244">
        <f t="shared" si="107"/>
        <v>0</v>
      </c>
      <c r="F244">
        <f t="shared" si="107"/>
        <v>25</v>
      </c>
      <c r="G244">
        <f t="shared" si="107"/>
        <v>45.833333333333329</v>
      </c>
      <c r="H244">
        <f t="shared" si="107"/>
        <v>12.5</v>
      </c>
      <c r="I244">
        <f t="shared" si="107"/>
        <v>4.1666666666666661</v>
      </c>
      <c r="J244">
        <f t="shared" si="107"/>
        <v>58.333333333333336</v>
      </c>
      <c r="K244">
        <f t="shared" si="107"/>
        <v>16.666666666666664</v>
      </c>
      <c r="L244">
        <f t="shared" si="107"/>
        <v>25</v>
      </c>
      <c r="M244">
        <f t="shared" si="107"/>
        <v>8.3333333333333321</v>
      </c>
      <c r="N244">
        <f t="shared" si="107"/>
        <v>37.5</v>
      </c>
      <c r="O244">
        <f t="shared" si="107"/>
        <v>0</v>
      </c>
      <c r="P244">
        <f t="shared" si="107"/>
        <v>50</v>
      </c>
      <c r="Q244">
        <f t="shared" si="107"/>
        <v>33.333333333333329</v>
      </c>
      <c r="R244">
        <f t="shared" si="107"/>
        <v>8.3333333333333321</v>
      </c>
      <c r="S244">
        <f t="shared" si="107"/>
        <v>8.3333333333333321</v>
      </c>
      <c r="T244">
        <f t="shared" si="107"/>
        <v>54.166666666666664</v>
      </c>
      <c r="U244">
        <f t="shared" si="107"/>
        <v>12.5</v>
      </c>
      <c r="V244">
        <f t="shared" si="107"/>
        <v>33.333333333333329</v>
      </c>
      <c r="W244">
        <f t="shared" si="107"/>
        <v>25</v>
      </c>
      <c r="X244">
        <f t="shared" si="107"/>
        <v>8.3333333333333321</v>
      </c>
      <c r="Y244">
        <f t="shared" si="107"/>
        <v>16.666666666666664</v>
      </c>
      <c r="Z244">
        <f t="shared" si="107"/>
        <v>29.166666666666668</v>
      </c>
      <c r="AA244">
        <f t="shared" si="107"/>
        <v>29.166666666666668</v>
      </c>
      <c r="AB244">
        <f t="shared" si="107"/>
        <v>25</v>
      </c>
      <c r="AC244">
        <f t="shared" si="107"/>
        <v>20.833333333333336</v>
      </c>
      <c r="AD244">
        <f t="shared" si="107"/>
        <v>33.333333333333329</v>
      </c>
      <c r="AE244">
        <f t="shared" si="107"/>
        <v>16.666666666666664</v>
      </c>
      <c r="AF244">
        <f t="shared" si="107"/>
        <v>37.5</v>
      </c>
      <c r="AG244">
        <f t="shared" si="107"/>
        <v>4.1666666666666661</v>
      </c>
      <c r="AH244">
        <f t="shared" si="107"/>
        <v>16.666666666666664</v>
      </c>
      <c r="AI244">
        <f t="shared" si="107"/>
        <v>16.666666666666664</v>
      </c>
      <c r="AJ244">
        <f t="shared" si="107"/>
        <v>62.5</v>
      </c>
      <c r="AK244">
        <f t="shared" si="107"/>
        <v>37.5</v>
      </c>
      <c r="AL244">
        <f t="shared" si="107"/>
        <v>50</v>
      </c>
      <c r="AM244">
        <f t="shared" si="107"/>
        <v>37.5</v>
      </c>
      <c r="AN244">
        <f t="shared" si="107"/>
        <v>12.5</v>
      </c>
      <c r="AO244">
        <f t="shared" si="107"/>
        <v>37.5</v>
      </c>
      <c r="AP244">
        <f t="shared" si="107"/>
        <v>37.5</v>
      </c>
      <c r="AQ244">
        <f t="shared" si="107"/>
        <v>54.166666666666664</v>
      </c>
      <c r="AR244">
        <f t="shared" si="107"/>
        <v>33.333333333333329</v>
      </c>
      <c r="AS244">
        <f t="shared" si="107"/>
        <v>0</v>
      </c>
      <c r="AT244">
        <f t="shared" si="107"/>
        <v>58.333333333333336</v>
      </c>
      <c r="AU244">
        <f t="shared" si="107"/>
        <v>25</v>
      </c>
      <c r="AV244">
        <f t="shared" si="107"/>
        <v>0</v>
      </c>
      <c r="AW244">
        <f t="shared" si="107"/>
        <v>12.5</v>
      </c>
      <c r="AX244">
        <f t="shared" si="107"/>
        <v>0</v>
      </c>
      <c r="AY244">
        <f t="shared" si="107"/>
        <v>4.1666666666666661</v>
      </c>
      <c r="AZ244">
        <f t="shared" si="107"/>
        <v>29.166666666666668</v>
      </c>
      <c r="BA244">
        <f t="shared" si="107"/>
        <v>8.3333333333333321</v>
      </c>
      <c r="BB244">
        <f t="shared" si="107"/>
        <v>37.5</v>
      </c>
      <c r="BC244">
        <f t="shared" si="107"/>
        <v>29.166666666666668</v>
      </c>
      <c r="BD244">
        <f t="shared" si="107"/>
        <v>12.5</v>
      </c>
      <c r="BE244">
        <f t="shared" si="107"/>
        <v>79.166666666666657</v>
      </c>
      <c r="BF244">
        <f t="shared" si="107"/>
        <v>8.3333333333333321</v>
      </c>
      <c r="BG244">
        <f t="shared" si="107"/>
        <v>20.833333333333336</v>
      </c>
      <c r="BH244">
        <f t="shared" si="107"/>
        <v>0</v>
      </c>
      <c r="BI244">
        <f t="shared" si="107"/>
        <v>20.833333333333336</v>
      </c>
      <c r="BJ244">
        <f t="shared" si="107"/>
        <v>8.3333333333333321</v>
      </c>
      <c r="BK244">
        <f t="shared" si="107"/>
        <v>4.1666666666666661</v>
      </c>
      <c r="BL244">
        <f t="shared" si="107"/>
        <v>0</v>
      </c>
      <c r="BM244">
        <f t="shared" si="107"/>
        <v>16.666666666666664</v>
      </c>
      <c r="BN244">
        <f t="shared" si="107"/>
        <v>54.166666666666664</v>
      </c>
      <c r="BO244">
        <f t="shared" ref="BO244:CK244" si="108">(BO$240/24)*100</f>
        <v>29.166666666666668</v>
      </c>
      <c r="BP244">
        <f t="shared" si="108"/>
        <v>33.333333333333329</v>
      </c>
      <c r="BQ244">
        <f t="shared" si="108"/>
        <v>20.833333333333336</v>
      </c>
      <c r="BR244">
        <f t="shared" si="108"/>
        <v>0</v>
      </c>
      <c r="BS244">
        <f t="shared" si="108"/>
        <v>0</v>
      </c>
      <c r="BT244">
        <f t="shared" si="108"/>
        <v>20.833333333333336</v>
      </c>
      <c r="BU244">
        <f t="shared" si="108"/>
        <v>25</v>
      </c>
      <c r="BV244">
        <f t="shared" si="108"/>
        <v>8.3333333333333321</v>
      </c>
      <c r="BW244">
        <f t="shared" si="108"/>
        <v>16.666666666666664</v>
      </c>
      <c r="BX244">
        <f t="shared" si="108"/>
        <v>29.166666666666668</v>
      </c>
      <c r="BY244">
        <f t="shared" si="108"/>
        <v>29.166666666666668</v>
      </c>
      <c r="BZ244">
        <f t="shared" si="108"/>
        <v>29.166666666666668</v>
      </c>
      <c r="CA244">
        <f t="shared" si="108"/>
        <v>37.5</v>
      </c>
      <c r="CB244">
        <f t="shared" si="108"/>
        <v>70.833333333333343</v>
      </c>
      <c r="CC244">
        <f t="shared" si="108"/>
        <v>4.1666666666666661</v>
      </c>
      <c r="CD244">
        <f t="shared" si="108"/>
        <v>54.166666666666664</v>
      </c>
      <c r="CE244">
        <f t="shared" si="108"/>
        <v>58.333333333333336</v>
      </c>
      <c r="CF244">
        <f t="shared" si="108"/>
        <v>16.666666666666664</v>
      </c>
      <c r="CG244">
        <f t="shared" si="108"/>
        <v>20.833333333333336</v>
      </c>
      <c r="CH244">
        <f t="shared" si="108"/>
        <v>37.5</v>
      </c>
      <c r="CI244">
        <f t="shared" si="108"/>
        <v>50</v>
      </c>
      <c r="CJ244">
        <f t="shared" si="108"/>
        <v>37.5</v>
      </c>
      <c r="CK244">
        <f t="shared" si="108"/>
        <v>33.333333333333329</v>
      </c>
    </row>
    <row r="246" spans="1:89" x14ac:dyDescent="0.25">
      <c r="A246" s="31" t="s">
        <v>54</v>
      </c>
      <c r="B246">
        <f>AVERAGE(B$2:B$5,B$14:B$17)</f>
        <v>2.7874999999999996</v>
      </c>
      <c r="C246">
        <f t="shared" ref="C246:BN246" si="109">AVERAGE(C$2:C$5,C$14:C$17)</f>
        <v>6.9375000000000009</v>
      </c>
      <c r="D246">
        <f t="shared" si="109"/>
        <v>3.9624999999999995</v>
      </c>
      <c r="E246">
        <f t="shared" si="109"/>
        <v>1.7875000000000001</v>
      </c>
      <c r="F246">
        <f t="shared" si="109"/>
        <v>1.65</v>
      </c>
      <c r="G246">
        <f t="shared" si="109"/>
        <v>4.8250000000000002</v>
      </c>
      <c r="H246">
        <f t="shared" si="109"/>
        <v>2.5874999999999995</v>
      </c>
      <c r="I246">
        <f t="shared" si="109"/>
        <v>1.8124999999999998</v>
      </c>
      <c r="J246">
        <f t="shared" si="109"/>
        <v>2.9874999999999998</v>
      </c>
      <c r="K246">
        <f t="shared" si="109"/>
        <v>1.9125000000000001</v>
      </c>
      <c r="L246">
        <f t="shared" si="109"/>
        <v>6.0124999999999993</v>
      </c>
      <c r="M246">
        <f t="shared" si="109"/>
        <v>3.9499999999999997</v>
      </c>
      <c r="N246">
        <f t="shared" si="109"/>
        <v>1.5750000000000002</v>
      </c>
      <c r="O246">
        <f t="shared" si="109"/>
        <v>1.875</v>
      </c>
      <c r="P246">
        <f t="shared" si="109"/>
        <v>2.5124999999999997</v>
      </c>
      <c r="Q246">
        <f t="shared" si="109"/>
        <v>8.2874999999999996</v>
      </c>
      <c r="R246">
        <f t="shared" si="109"/>
        <v>2.3374999999999999</v>
      </c>
      <c r="S246">
        <f t="shared" si="109"/>
        <v>2.6625000000000005</v>
      </c>
      <c r="T246">
        <f t="shared" si="109"/>
        <v>2.85</v>
      </c>
      <c r="U246">
        <f t="shared" si="109"/>
        <v>4.0625</v>
      </c>
      <c r="V246">
        <f t="shared" si="109"/>
        <v>0.91250000000000009</v>
      </c>
      <c r="W246">
        <f t="shared" si="109"/>
        <v>2.6625000000000001</v>
      </c>
      <c r="X246">
        <f t="shared" si="109"/>
        <v>1.5875000000000001</v>
      </c>
      <c r="Y246">
        <f t="shared" si="109"/>
        <v>1.9</v>
      </c>
      <c r="Z246">
        <f t="shared" si="109"/>
        <v>2.8624999999999998</v>
      </c>
      <c r="AA246">
        <f t="shared" si="109"/>
        <v>2.6750000000000003</v>
      </c>
      <c r="AB246">
        <f t="shared" si="109"/>
        <v>1.4</v>
      </c>
      <c r="AC246">
        <f t="shared" si="109"/>
        <v>5.0999999999999996</v>
      </c>
      <c r="AD246">
        <f t="shared" si="109"/>
        <v>3.4249999999999998</v>
      </c>
      <c r="AE246">
        <f t="shared" si="109"/>
        <v>3.7499999999999996</v>
      </c>
      <c r="AF246">
        <f t="shared" si="109"/>
        <v>3.9499999999999997</v>
      </c>
      <c r="AG246">
        <f t="shared" si="109"/>
        <v>5.5875000000000004</v>
      </c>
      <c r="AH246">
        <f t="shared" si="109"/>
        <v>4.4625000000000004</v>
      </c>
      <c r="AI246">
        <f t="shared" si="109"/>
        <v>3.3874999999999997</v>
      </c>
      <c r="AJ246">
        <f t="shared" si="109"/>
        <v>3.2749999999999999</v>
      </c>
      <c r="AK246">
        <f t="shared" si="109"/>
        <v>1.3624999999999998</v>
      </c>
      <c r="AL246">
        <f t="shared" si="109"/>
        <v>4.6125000000000007</v>
      </c>
      <c r="AM246">
        <f t="shared" si="109"/>
        <v>4.1500000000000004</v>
      </c>
      <c r="AN246">
        <f t="shared" si="109"/>
        <v>4.3999999999999995</v>
      </c>
      <c r="AO246">
        <f t="shared" si="109"/>
        <v>7.65</v>
      </c>
      <c r="AP246">
        <f t="shared" si="109"/>
        <v>4.0875000000000004</v>
      </c>
      <c r="AQ246">
        <f t="shared" si="109"/>
        <v>1.85</v>
      </c>
      <c r="AR246">
        <f t="shared" si="109"/>
        <v>1.85</v>
      </c>
      <c r="AS246">
        <f t="shared" si="109"/>
        <v>2.0125000000000002</v>
      </c>
      <c r="AT246">
        <f t="shared" si="109"/>
        <v>2.3874999999999997</v>
      </c>
      <c r="AU246">
        <f t="shared" si="109"/>
        <v>4.7374999999999998</v>
      </c>
      <c r="AV246">
        <f t="shared" si="109"/>
        <v>3.5124999999999997</v>
      </c>
      <c r="AW246">
        <f t="shared" si="109"/>
        <v>5.6875</v>
      </c>
      <c r="AX246">
        <f t="shared" si="109"/>
        <v>3.2374999999999998</v>
      </c>
      <c r="AY246">
        <f t="shared" si="109"/>
        <v>2.0625</v>
      </c>
      <c r="AZ246">
        <f t="shared" si="109"/>
        <v>4.3874999999999993</v>
      </c>
      <c r="BA246">
        <f t="shared" si="109"/>
        <v>1.0375000000000001</v>
      </c>
      <c r="BB246">
        <f t="shared" si="109"/>
        <v>1.5750000000000002</v>
      </c>
      <c r="BC246">
        <f t="shared" si="109"/>
        <v>1.9624999999999999</v>
      </c>
      <c r="BD246">
        <f t="shared" si="109"/>
        <v>2.0374999999999996</v>
      </c>
      <c r="BE246">
        <f t="shared" si="109"/>
        <v>0.95</v>
      </c>
      <c r="BF246">
        <f t="shared" si="109"/>
        <v>7.5625</v>
      </c>
      <c r="BG246">
        <f t="shared" si="109"/>
        <v>3.0750000000000002</v>
      </c>
      <c r="BH246">
        <f t="shared" si="109"/>
        <v>1.4125000000000001</v>
      </c>
      <c r="BI246">
        <f t="shared" si="109"/>
        <v>3.8124999999999996</v>
      </c>
      <c r="BJ246">
        <f t="shared" si="109"/>
        <v>1.5375000000000001</v>
      </c>
      <c r="BK246">
        <f t="shared" si="109"/>
        <v>2</v>
      </c>
      <c r="BL246">
        <f t="shared" si="109"/>
        <v>3.2250000000000001</v>
      </c>
      <c r="BM246">
        <f t="shared" si="109"/>
        <v>2.5125000000000002</v>
      </c>
      <c r="BN246">
        <f t="shared" si="109"/>
        <v>4.0375000000000005</v>
      </c>
      <c r="BO246">
        <f t="shared" ref="BO246:CK246" si="110">AVERAGE(BO$2:BO$5,BO$14:BO$17)</f>
        <v>3.6124999999999998</v>
      </c>
      <c r="BP246">
        <f t="shared" si="110"/>
        <v>2</v>
      </c>
      <c r="BQ246">
        <f t="shared" si="110"/>
        <v>2.4750000000000001</v>
      </c>
      <c r="BR246">
        <f t="shared" si="110"/>
        <v>2.6625000000000001</v>
      </c>
      <c r="BS246">
        <f t="shared" si="110"/>
        <v>1.1875</v>
      </c>
      <c r="BT246">
        <f t="shared" si="110"/>
        <v>2.6375000000000002</v>
      </c>
      <c r="BU246">
        <f t="shared" si="110"/>
        <v>5.4</v>
      </c>
      <c r="BV246">
        <f t="shared" si="110"/>
        <v>1.35</v>
      </c>
      <c r="BW246">
        <f t="shared" si="110"/>
        <v>1.7249999999999999</v>
      </c>
      <c r="BX246">
        <f t="shared" si="110"/>
        <v>2.6499999999999995</v>
      </c>
      <c r="BY246">
        <f t="shared" si="110"/>
        <v>4.2374999999999998</v>
      </c>
      <c r="BZ246">
        <f t="shared" si="110"/>
        <v>7.416666666666667</v>
      </c>
      <c r="CA246">
        <f t="shared" si="110"/>
        <v>3.25</v>
      </c>
      <c r="CB246">
        <f t="shared" si="110"/>
        <v>1.3250000000000002</v>
      </c>
      <c r="CC246">
        <f t="shared" si="110"/>
        <v>6.8250000000000011</v>
      </c>
      <c r="CD246">
        <f t="shared" si="110"/>
        <v>4.9999999999999991</v>
      </c>
      <c r="CE246">
        <f t="shared" si="110"/>
        <v>2.4499999999999997</v>
      </c>
      <c r="CF246">
        <f t="shared" si="110"/>
        <v>2.7500000000000004</v>
      </c>
      <c r="CG246">
        <f t="shared" si="110"/>
        <v>3.1124999999999994</v>
      </c>
      <c r="CH246">
        <f t="shared" si="110"/>
        <v>5.2874999999999996</v>
      </c>
      <c r="CI246">
        <f t="shared" si="110"/>
        <v>1.675</v>
      </c>
      <c r="CJ246">
        <f t="shared" si="110"/>
        <v>3.2875000000000001</v>
      </c>
      <c r="CK246">
        <f t="shared" si="110"/>
        <v>3.2124999999999999</v>
      </c>
    </row>
    <row r="247" spans="1:89" x14ac:dyDescent="0.25">
      <c r="A247" s="31" t="s">
        <v>53</v>
      </c>
      <c r="B247">
        <f>AVERAGE(B$6:B$9,B$18:B$21)</f>
        <v>3.2875000000000001</v>
      </c>
      <c r="C247">
        <f t="shared" ref="C247:BN247" si="111">AVERAGE(C$6:C$9,C$18:C$21)</f>
        <v>7.0125000000000002</v>
      </c>
      <c r="D247">
        <f t="shared" si="111"/>
        <v>3.95</v>
      </c>
      <c r="E247">
        <f t="shared" si="111"/>
        <v>1.9375</v>
      </c>
      <c r="F247">
        <f t="shared" si="111"/>
        <v>2.1874999999999996</v>
      </c>
      <c r="G247">
        <f t="shared" si="111"/>
        <v>2.3874999999999997</v>
      </c>
      <c r="H247">
        <f t="shared" si="111"/>
        <v>2.8124999999999996</v>
      </c>
      <c r="I247">
        <f t="shared" si="111"/>
        <v>1.5750000000000002</v>
      </c>
      <c r="J247">
        <f t="shared" si="111"/>
        <v>2.7374999999999998</v>
      </c>
      <c r="K247">
        <f t="shared" si="111"/>
        <v>2.4500000000000002</v>
      </c>
      <c r="L247">
        <f t="shared" si="111"/>
        <v>4.9249999999999998</v>
      </c>
      <c r="M247">
        <f t="shared" si="111"/>
        <v>3.8962499999999998</v>
      </c>
      <c r="N247">
        <f t="shared" si="111"/>
        <v>1.7625</v>
      </c>
      <c r="O247">
        <f t="shared" si="111"/>
        <v>1.8125000000000002</v>
      </c>
      <c r="P247">
        <f t="shared" si="111"/>
        <v>2.95</v>
      </c>
      <c r="Q247">
        <f t="shared" si="111"/>
        <v>3.9125000000000005</v>
      </c>
      <c r="R247">
        <f t="shared" si="111"/>
        <v>2.8874999999999997</v>
      </c>
      <c r="S247">
        <f t="shared" si="111"/>
        <v>2.3249999999999997</v>
      </c>
      <c r="T247">
        <f t="shared" si="111"/>
        <v>2.125</v>
      </c>
      <c r="U247">
        <f t="shared" si="111"/>
        <v>3.5124999999999997</v>
      </c>
      <c r="V247">
        <f t="shared" si="111"/>
        <v>1.0249999999999999</v>
      </c>
      <c r="W247">
        <f t="shared" si="111"/>
        <v>2.1374999999999997</v>
      </c>
      <c r="X247">
        <f t="shared" si="111"/>
        <v>1.5125000000000002</v>
      </c>
      <c r="Y247">
        <f t="shared" si="111"/>
        <v>2.2374999999999998</v>
      </c>
      <c r="Z247">
        <f t="shared" si="111"/>
        <v>3.5750000000000002</v>
      </c>
      <c r="AA247">
        <f t="shared" si="111"/>
        <v>3.1374999999999997</v>
      </c>
      <c r="AB247">
        <f t="shared" si="111"/>
        <v>1.5625</v>
      </c>
      <c r="AC247">
        <f t="shared" si="111"/>
        <v>4.7749999999999995</v>
      </c>
      <c r="AD247">
        <f t="shared" si="111"/>
        <v>2.5874999999999999</v>
      </c>
      <c r="AE247">
        <f t="shared" si="111"/>
        <v>4.3375000000000004</v>
      </c>
      <c r="AF247">
        <f t="shared" si="111"/>
        <v>3.4499999999999997</v>
      </c>
      <c r="AG247">
        <f t="shared" si="111"/>
        <v>5.3624999999999998</v>
      </c>
      <c r="AH247">
        <f t="shared" si="111"/>
        <v>4.2374999999999998</v>
      </c>
      <c r="AI247">
        <f t="shared" si="111"/>
        <v>3.5874999999999999</v>
      </c>
      <c r="AJ247">
        <f t="shared" si="111"/>
        <v>2.3374999999999999</v>
      </c>
      <c r="AK247">
        <f t="shared" si="111"/>
        <v>1.4249999999999998</v>
      </c>
      <c r="AL247">
        <f t="shared" si="111"/>
        <v>4.3187500000000005</v>
      </c>
      <c r="AM247">
        <f t="shared" si="111"/>
        <v>3.375</v>
      </c>
      <c r="AN247">
        <f t="shared" si="111"/>
        <v>3.1124999999999994</v>
      </c>
      <c r="AO247">
        <f t="shared" si="111"/>
        <v>5.7</v>
      </c>
      <c r="AP247">
        <f t="shared" si="111"/>
        <v>4.5375000000000005</v>
      </c>
      <c r="AQ247">
        <f t="shared" si="111"/>
        <v>1.7000000000000002</v>
      </c>
      <c r="AR247">
        <f t="shared" si="111"/>
        <v>1.85</v>
      </c>
      <c r="AS247">
        <f t="shared" si="111"/>
        <v>2.0875000000000004</v>
      </c>
      <c r="AT247">
        <f t="shared" si="111"/>
        <v>3.1124999999999998</v>
      </c>
      <c r="AU247">
        <f t="shared" si="111"/>
        <v>4.1500000000000004</v>
      </c>
      <c r="AV247">
        <f t="shared" si="111"/>
        <v>2.8125</v>
      </c>
      <c r="AW247">
        <f t="shared" si="111"/>
        <v>5.9249999999999998</v>
      </c>
      <c r="AX247">
        <f t="shared" si="111"/>
        <v>2.1875</v>
      </c>
      <c r="AY247">
        <f t="shared" si="111"/>
        <v>1.95</v>
      </c>
      <c r="AZ247">
        <f t="shared" si="111"/>
        <v>4.8375000000000004</v>
      </c>
      <c r="BA247">
        <f t="shared" si="111"/>
        <v>0.92499999999999993</v>
      </c>
      <c r="BB247">
        <f t="shared" si="111"/>
        <v>3.6749999999999998</v>
      </c>
      <c r="BC247">
        <f t="shared" si="111"/>
        <v>2.0625</v>
      </c>
      <c r="BD247">
        <f t="shared" si="111"/>
        <v>1.6124999999999998</v>
      </c>
      <c r="BE247">
        <f t="shared" si="111"/>
        <v>0.68749999999999989</v>
      </c>
      <c r="BF247">
        <f t="shared" si="111"/>
        <v>5.1500000000000012</v>
      </c>
      <c r="BG247">
        <f t="shared" si="111"/>
        <v>2.6999999999999997</v>
      </c>
      <c r="BH247">
        <f t="shared" si="111"/>
        <v>1.9625000000000001</v>
      </c>
      <c r="BI247">
        <f t="shared" si="111"/>
        <v>2.6875</v>
      </c>
      <c r="BJ247">
        <f t="shared" si="111"/>
        <v>1.5249999999999999</v>
      </c>
      <c r="BK247">
        <f t="shared" si="111"/>
        <v>1.7000000000000002</v>
      </c>
      <c r="BL247">
        <f t="shared" si="111"/>
        <v>2.5750000000000002</v>
      </c>
      <c r="BM247">
        <f t="shared" si="111"/>
        <v>3.3499999999999996</v>
      </c>
      <c r="BN247">
        <f t="shared" si="111"/>
        <v>3.2124999999999995</v>
      </c>
      <c r="BO247">
        <f t="shared" ref="BO247:CK247" si="112">AVERAGE(BO$6:BO$9,BO$18:BO$21)</f>
        <v>3.9624999999999999</v>
      </c>
      <c r="BP247">
        <f t="shared" si="112"/>
        <v>2.1625000000000001</v>
      </c>
      <c r="BQ247">
        <f t="shared" si="112"/>
        <v>2.625</v>
      </c>
      <c r="BR247">
        <f t="shared" si="112"/>
        <v>2.3624999999999998</v>
      </c>
      <c r="BS247">
        <f t="shared" si="112"/>
        <v>1.3875000000000002</v>
      </c>
      <c r="BT247">
        <f t="shared" si="112"/>
        <v>3.3625000000000003</v>
      </c>
      <c r="BU247">
        <f t="shared" si="112"/>
        <v>4.1375000000000002</v>
      </c>
      <c r="BV247">
        <f t="shared" si="112"/>
        <v>1.35</v>
      </c>
      <c r="BW247">
        <f t="shared" si="112"/>
        <v>2.3250000000000002</v>
      </c>
      <c r="BX247">
        <f t="shared" si="112"/>
        <v>3.9</v>
      </c>
      <c r="BY247">
        <f t="shared" si="112"/>
        <v>4.6499999999999995</v>
      </c>
      <c r="BZ247">
        <f t="shared" si="112"/>
        <v>7.2624999999999993</v>
      </c>
      <c r="CA247">
        <f t="shared" si="112"/>
        <v>3.0625</v>
      </c>
      <c r="CB247">
        <f t="shared" si="112"/>
        <v>1.2749999999999999</v>
      </c>
      <c r="CC247">
        <f t="shared" si="112"/>
        <v>6.2</v>
      </c>
      <c r="CD247">
        <f t="shared" si="112"/>
        <v>4.3624999999999998</v>
      </c>
      <c r="CE247">
        <f t="shared" si="112"/>
        <v>2.6999999999999997</v>
      </c>
      <c r="CF247">
        <f t="shared" si="112"/>
        <v>2.5</v>
      </c>
      <c r="CG247">
        <f t="shared" si="112"/>
        <v>2.7125000000000004</v>
      </c>
      <c r="CH247">
        <f t="shared" si="112"/>
        <v>4.9124999999999996</v>
      </c>
      <c r="CI247">
        <f t="shared" si="112"/>
        <v>1.6749999999999998</v>
      </c>
      <c r="CJ247">
        <f t="shared" si="112"/>
        <v>3.7</v>
      </c>
      <c r="CK247">
        <f t="shared" si="112"/>
        <v>4.9750000000000005</v>
      </c>
    </row>
    <row r="248" spans="1:89" x14ac:dyDescent="0.25">
      <c r="A248" s="31" t="s">
        <v>52</v>
      </c>
      <c r="B248">
        <f>AVERAGE(B$10:B$13,B$22:B$25)</f>
        <v>3.3000000000000003</v>
      </c>
      <c r="C248">
        <f t="shared" ref="C248:BN248" si="113">AVERAGE(C$10:C$13,C$22:C$25)</f>
        <v>6.8</v>
      </c>
      <c r="D248">
        <f t="shared" si="113"/>
        <v>3.5625000000000004</v>
      </c>
      <c r="E248">
        <f t="shared" si="113"/>
        <v>2.5874999999999999</v>
      </c>
      <c r="F248">
        <f t="shared" si="113"/>
        <v>2.3374999999999999</v>
      </c>
      <c r="G248">
        <f t="shared" si="113"/>
        <v>3.7625000000000002</v>
      </c>
      <c r="H248">
        <f t="shared" si="113"/>
        <v>2.3250000000000002</v>
      </c>
      <c r="I248">
        <f t="shared" si="113"/>
        <v>1.2250000000000001</v>
      </c>
      <c r="J248">
        <f t="shared" si="113"/>
        <v>2.9750000000000001</v>
      </c>
      <c r="K248">
        <f t="shared" si="113"/>
        <v>2.1875</v>
      </c>
      <c r="L248">
        <f t="shared" si="113"/>
        <v>6.2500000000000009</v>
      </c>
      <c r="M248">
        <f t="shared" si="113"/>
        <v>4.2874999999999996</v>
      </c>
      <c r="N248">
        <f t="shared" si="113"/>
        <v>1.1625000000000001</v>
      </c>
      <c r="O248">
        <f t="shared" si="113"/>
        <v>2.0375000000000001</v>
      </c>
      <c r="P248">
        <f t="shared" si="113"/>
        <v>4.3249999999999993</v>
      </c>
      <c r="Q248">
        <f t="shared" si="113"/>
        <v>5.5749999999999993</v>
      </c>
      <c r="R248">
        <f t="shared" si="113"/>
        <v>1.9000000000000001</v>
      </c>
      <c r="S248">
        <f t="shared" si="113"/>
        <v>2.0249999999999999</v>
      </c>
      <c r="T248">
        <f t="shared" si="113"/>
        <v>3.1875000000000004</v>
      </c>
      <c r="U248">
        <f t="shared" si="113"/>
        <v>2.8125</v>
      </c>
      <c r="V248">
        <f t="shared" si="113"/>
        <v>0.91249999999999998</v>
      </c>
      <c r="W248">
        <f t="shared" si="113"/>
        <v>1.9499999999999997</v>
      </c>
      <c r="X248">
        <f t="shared" si="113"/>
        <v>2</v>
      </c>
      <c r="Y248">
        <f t="shared" si="113"/>
        <v>2.2124999999999999</v>
      </c>
      <c r="Z248">
        <f t="shared" si="113"/>
        <v>4.242857142857142</v>
      </c>
      <c r="AA248">
        <f t="shared" si="113"/>
        <v>2.7624999999999997</v>
      </c>
      <c r="AB248">
        <f t="shared" si="113"/>
        <v>1.9375</v>
      </c>
      <c r="AC248">
        <f t="shared" si="113"/>
        <v>4.6375000000000002</v>
      </c>
      <c r="AD248">
        <f t="shared" si="113"/>
        <v>2.8875000000000002</v>
      </c>
      <c r="AE248">
        <f t="shared" si="113"/>
        <v>3.2249999999999996</v>
      </c>
      <c r="AF248">
        <f t="shared" si="113"/>
        <v>3.1624999999999996</v>
      </c>
      <c r="AG248">
        <f t="shared" si="113"/>
        <v>5.3624999999999989</v>
      </c>
      <c r="AH248">
        <f t="shared" si="113"/>
        <v>4.6625000000000005</v>
      </c>
      <c r="AI248">
        <f t="shared" si="113"/>
        <v>2.5374999999999996</v>
      </c>
      <c r="AJ248">
        <f t="shared" si="113"/>
        <v>3.1625000000000001</v>
      </c>
      <c r="AK248">
        <f t="shared" si="113"/>
        <v>1.4375</v>
      </c>
      <c r="AL248">
        <f t="shared" si="113"/>
        <v>7.3687500000000004</v>
      </c>
      <c r="AM248">
        <f t="shared" si="113"/>
        <v>4.2375000000000007</v>
      </c>
      <c r="AN248">
        <f t="shared" si="113"/>
        <v>2.4874999999999998</v>
      </c>
      <c r="AO248">
        <f t="shared" si="113"/>
        <v>3.8874999999999997</v>
      </c>
      <c r="AP248">
        <f t="shared" si="113"/>
        <v>4.4124999999999996</v>
      </c>
      <c r="AQ248">
        <f t="shared" si="113"/>
        <v>1.9874999999999998</v>
      </c>
      <c r="AR248">
        <f t="shared" si="113"/>
        <v>4.0125000000000002</v>
      </c>
      <c r="AS248">
        <f t="shared" si="113"/>
        <v>1.85</v>
      </c>
      <c r="AT248">
        <f t="shared" si="113"/>
        <v>3.5250000000000008</v>
      </c>
      <c r="AU248">
        <f t="shared" si="113"/>
        <v>4.9874999999999998</v>
      </c>
      <c r="AV248">
        <f t="shared" si="113"/>
        <v>2.2249999999999996</v>
      </c>
      <c r="AW248">
        <f t="shared" si="113"/>
        <v>6.375</v>
      </c>
      <c r="AX248">
        <f t="shared" si="113"/>
        <v>1.7749999999999999</v>
      </c>
      <c r="AY248">
        <f t="shared" si="113"/>
        <v>2.5187500000000003</v>
      </c>
      <c r="AZ248">
        <f t="shared" si="113"/>
        <v>3.9375</v>
      </c>
      <c r="BA248">
        <f t="shared" si="113"/>
        <v>0.95</v>
      </c>
      <c r="BB248">
        <f t="shared" si="113"/>
        <v>2.7</v>
      </c>
      <c r="BC248">
        <f t="shared" si="113"/>
        <v>1.8875</v>
      </c>
      <c r="BD248">
        <f t="shared" si="113"/>
        <v>1.9375</v>
      </c>
      <c r="BE248">
        <f t="shared" si="113"/>
        <v>1.1000000000000001</v>
      </c>
      <c r="BF248">
        <f t="shared" si="113"/>
        <v>5.7249999999999996</v>
      </c>
      <c r="BG248">
        <f t="shared" si="113"/>
        <v>3.1857142857142859</v>
      </c>
      <c r="BH248">
        <f t="shared" si="113"/>
        <v>2.3000000000000003</v>
      </c>
      <c r="BI248">
        <f t="shared" si="113"/>
        <v>2.7375000000000003</v>
      </c>
      <c r="BJ248">
        <f t="shared" si="113"/>
        <v>1.125</v>
      </c>
      <c r="BK248">
        <f t="shared" si="113"/>
        <v>1.6875</v>
      </c>
      <c r="BL248">
        <f t="shared" si="113"/>
        <v>2.9499999999999997</v>
      </c>
      <c r="BM248">
        <f t="shared" si="113"/>
        <v>2.65</v>
      </c>
      <c r="BN248">
        <f t="shared" si="113"/>
        <v>2.8250000000000002</v>
      </c>
      <c r="BO248">
        <f t="shared" ref="BO248:CK248" si="114">AVERAGE(BO$10:BO$13,BO$22:BO$25)</f>
        <v>3.9250000000000003</v>
      </c>
      <c r="BP248">
        <f t="shared" si="114"/>
        <v>2.1250000000000004</v>
      </c>
      <c r="BQ248">
        <f t="shared" si="114"/>
        <v>2.7250000000000001</v>
      </c>
      <c r="BR248">
        <f t="shared" si="114"/>
        <v>2.5999999999999996</v>
      </c>
      <c r="BS248">
        <f t="shared" si="114"/>
        <v>1.4124999999999999</v>
      </c>
      <c r="BT248">
        <f t="shared" si="114"/>
        <v>2.8875000000000002</v>
      </c>
      <c r="BU248">
        <f t="shared" si="114"/>
        <v>3.9999999999999996</v>
      </c>
      <c r="BV248">
        <f t="shared" si="114"/>
        <v>0.97499999999999998</v>
      </c>
      <c r="BW248">
        <f t="shared" si="114"/>
        <v>1.4125000000000001</v>
      </c>
      <c r="BX248">
        <f t="shared" si="114"/>
        <v>3.2</v>
      </c>
      <c r="BY248">
        <f t="shared" si="114"/>
        <v>5</v>
      </c>
      <c r="BZ248">
        <f t="shared" si="114"/>
        <v>7.7999999999999989</v>
      </c>
      <c r="CA248">
        <f t="shared" si="114"/>
        <v>2.4249999999999998</v>
      </c>
      <c r="CB248">
        <f t="shared" si="114"/>
        <v>1.6499999999999997</v>
      </c>
      <c r="CC248">
        <f t="shared" si="114"/>
        <v>6.2750000000000012</v>
      </c>
      <c r="CD248">
        <f t="shared" si="114"/>
        <v>4.2750000000000004</v>
      </c>
      <c r="CE248">
        <f t="shared" si="114"/>
        <v>3.4999999999999996</v>
      </c>
      <c r="CF248">
        <f t="shared" si="114"/>
        <v>3.4250000000000003</v>
      </c>
      <c r="CG248">
        <f t="shared" si="114"/>
        <v>2.875</v>
      </c>
      <c r="CH248">
        <f t="shared" si="114"/>
        <v>4.1999999999999993</v>
      </c>
      <c r="CI248">
        <f t="shared" si="114"/>
        <v>2.375</v>
      </c>
      <c r="CJ248">
        <f t="shared" si="114"/>
        <v>3.45</v>
      </c>
      <c r="CK248">
        <f t="shared" si="114"/>
        <v>8.7249999999999996</v>
      </c>
    </row>
    <row r="250" spans="1:89" x14ac:dyDescent="0.25">
      <c r="A250" s="31" t="s">
        <v>521</v>
      </c>
      <c r="B250">
        <f>(B$195/B$228)</f>
        <v>9.3937875751503004</v>
      </c>
      <c r="C250">
        <f t="shared" ref="C250:BN250" si="115">(C$195/C$228)</f>
        <v>19.185397736330305</v>
      </c>
      <c r="D250">
        <f t="shared" si="115"/>
        <v>8.2777276825969359</v>
      </c>
      <c r="E250">
        <f t="shared" si="115"/>
        <v>19.504915730337071</v>
      </c>
      <c r="F250">
        <f t="shared" si="115"/>
        <v>11.21452894438139</v>
      </c>
      <c r="G250">
        <f t="shared" si="115"/>
        <v>8.3262209577999062</v>
      </c>
      <c r="H250">
        <f t="shared" si="115"/>
        <v>10.719663418954825</v>
      </c>
      <c r="I250">
        <f t="shared" si="115"/>
        <v>5.4478346456692917</v>
      </c>
      <c r="J250">
        <f t="shared" si="115"/>
        <v>18.219895287958114</v>
      </c>
      <c r="K250">
        <f t="shared" si="115"/>
        <v>8.3870301528294089</v>
      </c>
      <c r="L250">
        <f t="shared" si="115"/>
        <v>20.355292376017765</v>
      </c>
      <c r="M250">
        <f t="shared" si="115"/>
        <v>10.370726495726496</v>
      </c>
      <c r="N250">
        <f t="shared" si="115"/>
        <v>8.2278481012658222</v>
      </c>
      <c r="O250">
        <f t="shared" si="115"/>
        <v>6.580459770114941</v>
      </c>
      <c r="P250">
        <f t="shared" si="115"/>
        <v>10.854898336414044</v>
      </c>
      <c r="Q250">
        <f t="shared" si="115"/>
        <v>17.072691552062867</v>
      </c>
      <c r="R250">
        <f t="shared" si="115"/>
        <v>9.4776995305164302</v>
      </c>
      <c r="S250">
        <f t="shared" si="115"/>
        <v>5.773531375166888</v>
      </c>
      <c r="T250">
        <f t="shared" si="115"/>
        <v>10.724005255255255</v>
      </c>
      <c r="U250">
        <f t="shared" si="115"/>
        <v>15.706905241935486</v>
      </c>
      <c r="V250">
        <f t="shared" si="115"/>
        <v>4.4100580270793053</v>
      </c>
      <c r="W250">
        <f t="shared" si="115"/>
        <v>11.688311688311694</v>
      </c>
      <c r="X250">
        <f t="shared" si="115"/>
        <v>5.8369098712446315</v>
      </c>
      <c r="Y250">
        <f t="shared" si="115"/>
        <v>12.929028504944732</v>
      </c>
      <c r="Z250">
        <f t="shared" si="115"/>
        <v>14.235624123422157</v>
      </c>
      <c r="AA250">
        <f t="shared" si="115"/>
        <v>12.782608695652176</v>
      </c>
      <c r="AB250">
        <f t="shared" si="115"/>
        <v>9.3241469816272957</v>
      </c>
      <c r="AC250">
        <f t="shared" si="115"/>
        <v>17.212750185322459</v>
      </c>
      <c r="AD250">
        <f t="shared" si="115"/>
        <v>8.2469321312296522</v>
      </c>
      <c r="AE250">
        <f t="shared" si="115"/>
        <v>16.444235588972433</v>
      </c>
      <c r="AF250">
        <f t="shared" si="115"/>
        <v>14.626607319485661</v>
      </c>
      <c r="AG250">
        <f t="shared" si="115"/>
        <v>15.516439205955335</v>
      </c>
      <c r="AH250">
        <f t="shared" si="115"/>
        <v>14.582093253968258</v>
      </c>
      <c r="AI250">
        <f t="shared" si="115"/>
        <v>10.598087925323702</v>
      </c>
      <c r="AJ250">
        <f t="shared" si="115"/>
        <v>10.234806629834255</v>
      </c>
      <c r="AK250">
        <f t="shared" si="115"/>
        <v>6.4405487804878048</v>
      </c>
      <c r="AL250">
        <f t="shared" si="115"/>
        <v>13.736776044468353</v>
      </c>
      <c r="AM250">
        <f t="shared" si="115"/>
        <v>12.61485507246377</v>
      </c>
      <c r="AN250">
        <f t="shared" si="115"/>
        <v>16.920473773265652</v>
      </c>
      <c r="AO250">
        <f t="shared" si="115"/>
        <v>13.297974927675989</v>
      </c>
      <c r="AP250">
        <f t="shared" si="115"/>
        <v>17.554982046678639</v>
      </c>
      <c r="AQ250">
        <f t="shared" si="115"/>
        <v>15.821428571428568</v>
      </c>
      <c r="AR250">
        <f t="shared" si="115"/>
        <v>7.575199508901167</v>
      </c>
      <c r="AS250">
        <f t="shared" si="115"/>
        <v>6.5365712633709148</v>
      </c>
      <c r="AT250">
        <f t="shared" si="115"/>
        <v>8.2553134248049513</v>
      </c>
      <c r="AU250">
        <f t="shared" si="115"/>
        <v>27.029220779220775</v>
      </c>
      <c r="AV250">
        <f t="shared" si="115"/>
        <v>14.079341317365268</v>
      </c>
      <c r="AW250">
        <f t="shared" si="115"/>
        <v>18.484264611432234</v>
      </c>
      <c r="AX250">
        <f t="shared" si="115"/>
        <v>14.432989690721648</v>
      </c>
      <c r="AY250">
        <f t="shared" si="115"/>
        <v>6.8634405212274077</v>
      </c>
      <c r="AZ250">
        <f t="shared" si="115"/>
        <v>19.5</v>
      </c>
      <c r="BA250">
        <f t="shared" si="115"/>
        <v>4.6230158730158726</v>
      </c>
      <c r="BB250">
        <f t="shared" si="115"/>
        <v>11.42559109874826</v>
      </c>
      <c r="BC250">
        <f t="shared" si="115"/>
        <v>8.7592592592592577</v>
      </c>
      <c r="BD250">
        <f t="shared" si="115"/>
        <v>10.832551594746718</v>
      </c>
      <c r="BE250">
        <f t="shared" si="115"/>
        <v>2.6133651551312651</v>
      </c>
      <c r="BF250">
        <f t="shared" si="115"/>
        <v>24.831649831649834</v>
      </c>
      <c r="BG250">
        <f t="shared" si="115"/>
        <v>12.712089077412514</v>
      </c>
      <c r="BH250">
        <f t="shared" si="115"/>
        <v>8.3361581920903927</v>
      </c>
      <c r="BI250">
        <f t="shared" si="115"/>
        <v>12.288578487267198</v>
      </c>
      <c r="BJ250">
        <f t="shared" si="115"/>
        <v>4.9264705882352944</v>
      </c>
      <c r="BK250">
        <f t="shared" si="115"/>
        <v>9.2357142857142822</v>
      </c>
      <c r="BL250">
        <f t="shared" si="115"/>
        <v>6.606543624161076</v>
      </c>
      <c r="BM250">
        <f t="shared" si="115"/>
        <v>9.073401162790697</v>
      </c>
      <c r="BN250">
        <f t="shared" si="115"/>
        <v>15.969696969696967</v>
      </c>
      <c r="BO250">
        <f t="shared" ref="BO250:CK250" si="116">(BO$195/BO$228)</f>
        <v>12.558947629684788</v>
      </c>
      <c r="BP250">
        <f t="shared" si="116"/>
        <v>11.213868388683888</v>
      </c>
      <c r="BQ250">
        <f t="shared" si="116"/>
        <v>16.531690140845068</v>
      </c>
      <c r="BR250">
        <f t="shared" si="116"/>
        <v>21.231105807478119</v>
      </c>
      <c r="BS250">
        <f t="shared" si="116"/>
        <v>8.3700671704450027</v>
      </c>
      <c r="BT250">
        <f t="shared" si="116"/>
        <v>8.3375748502993989</v>
      </c>
      <c r="BU250">
        <f t="shared" si="116"/>
        <v>19.276699029126217</v>
      </c>
      <c r="BV250">
        <f t="shared" si="116"/>
        <v>3.1768672199170123</v>
      </c>
      <c r="BW250">
        <f t="shared" si="116"/>
        <v>11.762489233419464</v>
      </c>
      <c r="BX250">
        <f t="shared" si="116"/>
        <v>12.888531618435156</v>
      </c>
      <c r="BY250">
        <f t="shared" si="116"/>
        <v>15.233089579524677</v>
      </c>
      <c r="BZ250">
        <f t="shared" si="116"/>
        <v>19.994075829383885</v>
      </c>
      <c r="CA250">
        <f t="shared" si="116"/>
        <v>8.8394941634241242</v>
      </c>
      <c r="CB250">
        <f t="shared" si="116"/>
        <v>5.0520059435364058</v>
      </c>
      <c r="CC250">
        <f t="shared" si="116"/>
        <v>15.556675062972296</v>
      </c>
      <c r="CD250">
        <f t="shared" si="116"/>
        <v>10.844930417495034</v>
      </c>
      <c r="CE250">
        <f t="shared" si="116"/>
        <v>19.733840304182511</v>
      </c>
      <c r="CF250">
        <f t="shared" si="116"/>
        <v>19.206642066420653</v>
      </c>
      <c r="CG250">
        <f t="shared" si="116"/>
        <v>22.015706806282715</v>
      </c>
      <c r="CH250">
        <f t="shared" si="116"/>
        <v>20.233183856502247</v>
      </c>
      <c r="CI250">
        <f t="shared" si="116"/>
        <v>7.9709254709254695</v>
      </c>
      <c r="CJ250">
        <f t="shared" si="116"/>
        <v>14.214494163424124</v>
      </c>
      <c r="CK250">
        <f t="shared" si="116"/>
        <v>19.026045487894347</v>
      </c>
    </row>
  </sheetData>
  <pageMargins left="0.7" right="0.7" top="0.75" bottom="0.75" header="0.3" footer="0.3"/>
  <pageSetup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K312"/>
  <sheetViews>
    <sheetView topLeftCell="A268" zoomScale="90" zoomScaleNormal="90" workbookViewId="0">
      <pane xSplit="1" topLeftCell="BI1" activePane="topRight" state="frozen"/>
      <selection pane="topRight" activeCell="BL306" sqref="BL306"/>
    </sheetView>
  </sheetViews>
  <sheetFormatPr defaultRowHeight="15" x14ac:dyDescent="0.25"/>
  <cols>
    <col min="1" max="1" width="15.5703125" customWidth="1"/>
    <col min="2" max="2" width="10.85546875" customWidth="1"/>
  </cols>
  <sheetData>
    <row r="1" spans="1:89" x14ac:dyDescent="0.25">
      <c r="B1" s="17">
        <v>1</v>
      </c>
      <c r="C1" s="17">
        <v>8</v>
      </c>
      <c r="D1" s="17">
        <v>10</v>
      </c>
      <c r="E1" s="17">
        <v>11</v>
      </c>
      <c r="F1" s="17">
        <v>12</v>
      </c>
      <c r="G1" s="17">
        <v>13</v>
      </c>
      <c r="H1" s="17">
        <v>14</v>
      </c>
      <c r="I1" s="17">
        <v>16</v>
      </c>
      <c r="J1" s="17">
        <v>18</v>
      </c>
      <c r="K1" s="17">
        <v>22</v>
      </c>
      <c r="L1" s="17">
        <v>26</v>
      </c>
      <c r="M1" s="17">
        <v>27</v>
      </c>
      <c r="N1" s="17">
        <v>29</v>
      </c>
      <c r="O1" s="17">
        <v>32</v>
      </c>
      <c r="P1" s="17">
        <v>34</v>
      </c>
      <c r="Q1" s="17">
        <v>35</v>
      </c>
      <c r="R1" s="17">
        <v>36</v>
      </c>
      <c r="S1" s="17">
        <v>38</v>
      </c>
      <c r="T1" s="17">
        <v>41</v>
      </c>
      <c r="U1" s="17">
        <v>48</v>
      </c>
      <c r="V1" s="17">
        <v>57</v>
      </c>
      <c r="W1" s="17">
        <v>61</v>
      </c>
      <c r="X1" s="17">
        <v>75</v>
      </c>
      <c r="Y1" s="17">
        <v>84</v>
      </c>
      <c r="Z1" s="17">
        <v>85</v>
      </c>
      <c r="AA1" s="17">
        <v>86</v>
      </c>
      <c r="AB1" s="17">
        <v>93</v>
      </c>
      <c r="AC1" s="17">
        <v>96</v>
      </c>
      <c r="AD1" s="17">
        <v>108</v>
      </c>
      <c r="AE1" s="17">
        <v>109</v>
      </c>
      <c r="AF1" s="17">
        <v>117</v>
      </c>
      <c r="AG1" s="17">
        <v>118</v>
      </c>
      <c r="AH1" s="17">
        <v>123</v>
      </c>
      <c r="AI1" s="17">
        <v>128</v>
      </c>
      <c r="AJ1" s="17">
        <v>130</v>
      </c>
      <c r="AK1" s="17">
        <v>135</v>
      </c>
      <c r="AL1" s="17">
        <v>149</v>
      </c>
      <c r="AM1" s="17">
        <v>154</v>
      </c>
      <c r="AN1" s="17">
        <v>156</v>
      </c>
      <c r="AO1" s="17">
        <v>157</v>
      </c>
      <c r="AP1" s="17">
        <v>163</v>
      </c>
      <c r="AQ1" s="17">
        <v>170</v>
      </c>
      <c r="AR1" s="17" t="s">
        <v>4</v>
      </c>
      <c r="AS1" s="17" t="s">
        <v>5</v>
      </c>
      <c r="AT1" s="17" t="s">
        <v>6</v>
      </c>
      <c r="AU1" s="17" t="s">
        <v>7</v>
      </c>
      <c r="AV1" s="17" t="s">
        <v>8</v>
      </c>
      <c r="AW1" s="18">
        <v>1</v>
      </c>
      <c r="AX1" s="18">
        <v>4</v>
      </c>
      <c r="AY1" s="18">
        <v>17</v>
      </c>
      <c r="AZ1" s="18">
        <v>20</v>
      </c>
      <c r="BA1" s="18">
        <v>25</v>
      </c>
      <c r="BB1" s="18">
        <v>29</v>
      </c>
      <c r="BC1" s="18">
        <v>33</v>
      </c>
      <c r="BD1" s="18">
        <v>36</v>
      </c>
      <c r="BE1" s="18">
        <v>39</v>
      </c>
      <c r="BF1" s="18">
        <v>40</v>
      </c>
      <c r="BG1" s="18">
        <v>41</v>
      </c>
      <c r="BH1" s="18">
        <v>52</v>
      </c>
      <c r="BI1" s="18">
        <v>56</v>
      </c>
      <c r="BJ1" s="18">
        <v>57</v>
      </c>
      <c r="BK1" s="18">
        <v>65</v>
      </c>
      <c r="BL1" s="18">
        <v>73</v>
      </c>
      <c r="BM1" s="18">
        <v>77</v>
      </c>
      <c r="BN1" s="18">
        <v>80</v>
      </c>
      <c r="BO1" s="18">
        <v>82</v>
      </c>
      <c r="BP1" s="18">
        <v>101</v>
      </c>
      <c r="BQ1" s="18">
        <v>103</v>
      </c>
      <c r="BR1" s="18">
        <v>105</v>
      </c>
      <c r="BS1" s="18">
        <v>113</v>
      </c>
      <c r="BT1" s="18">
        <v>119</v>
      </c>
      <c r="BU1" s="18">
        <v>120</v>
      </c>
      <c r="BV1" s="18">
        <v>129</v>
      </c>
      <c r="BW1" s="18">
        <v>150</v>
      </c>
      <c r="BX1" s="18">
        <v>161</v>
      </c>
      <c r="BY1" s="18">
        <v>178</v>
      </c>
      <c r="BZ1" s="18">
        <v>193</v>
      </c>
      <c r="CA1" s="18">
        <v>201</v>
      </c>
      <c r="CB1" s="18">
        <v>202</v>
      </c>
      <c r="CC1" s="18">
        <v>203</v>
      </c>
      <c r="CD1" s="18">
        <v>204</v>
      </c>
      <c r="CE1" s="19">
        <v>5</v>
      </c>
      <c r="CF1" s="19">
        <v>8</v>
      </c>
      <c r="CG1" s="19">
        <v>10</v>
      </c>
      <c r="CH1" s="19">
        <v>17</v>
      </c>
      <c r="CI1" s="19" t="s">
        <v>11</v>
      </c>
      <c r="CJ1" s="19">
        <v>24</v>
      </c>
      <c r="CK1" s="19">
        <v>61</v>
      </c>
    </row>
    <row r="2" spans="1:89" x14ac:dyDescent="0.25">
      <c r="A2" s="23" t="s">
        <v>260</v>
      </c>
      <c r="B2">
        <v>0.06</v>
      </c>
      <c r="C2">
        <v>0</v>
      </c>
      <c r="D2">
        <v>0.08</v>
      </c>
      <c r="E2">
        <v>0.38</v>
      </c>
      <c r="F2">
        <v>0</v>
      </c>
      <c r="H2">
        <v>0.21</v>
      </c>
      <c r="J2">
        <v>0</v>
      </c>
      <c r="L2">
        <v>0.56999999999999995</v>
      </c>
      <c r="O2">
        <v>0.2</v>
      </c>
      <c r="U2">
        <v>0.52</v>
      </c>
      <c r="V2">
        <v>0.12</v>
      </c>
      <c r="AA2">
        <v>0.27</v>
      </c>
      <c r="AB2">
        <v>0.46</v>
      </c>
      <c r="AG2">
        <v>0.31</v>
      </c>
      <c r="AL2">
        <v>0.56000000000000005</v>
      </c>
      <c r="AO2">
        <v>0.2</v>
      </c>
      <c r="AR2">
        <v>0.17</v>
      </c>
      <c r="AT2">
        <v>0.2</v>
      </c>
      <c r="AU2">
        <v>0</v>
      </c>
      <c r="AV2">
        <v>0.78</v>
      </c>
      <c r="AX2">
        <v>0.84</v>
      </c>
      <c r="BH2">
        <v>0.5</v>
      </c>
      <c r="BJ2">
        <v>0.59</v>
      </c>
      <c r="BK2">
        <v>0.41</v>
      </c>
      <c r="BL2">
        <v>0.18</v>
      </c>
      <c r="BQ2">
        <v>0.03</v>
      </c>
      <c r="BR2">
        <v>0.56999999999999995</v>
      </c>
      <c r="BY2">
        <v>0.39</v>
      </c>
      <c r="CA2">
        <v>7.0000000000000007E-2</v>
      </c>
      <c r="CF2">
        <v>0.02</v>
      </c>
      <c r="CH2">
        <v>0.16</v>
      </c>
    </row>
    <row r="3" spans="1:89" x14ac:dyDescent="0.25">
      <c r="A3" s="23"/>
      <c r="B3">
        <v>0.19</v>
      </c>
      <c r="C3">
        <v>0.34</v>
      </c>
      <c r="D3">
        <v>0.24</v>
      </c>
      <c r="G3">
        <v>0.04</v>
      </c>
      <c r="H3">
        <v>0.28000000000000003</v>
      </c>
      <c r="I3">
        <v>0</v>
      </c>
      <c r="J3">
        <v>0</v>
      </c>
      <c r="L3">
        <v>0.46</v>
      </c>
      <c r="M3">
        <v>0.23</v>
      </c>
      <c r="P3">
        <v>0.03</v>
      </c>
      <c r="Q3">
        <v>0.01</v>
      </c>
      <c r="S3">
        <v>0.18</v>
      </c>
      <c r="T3">
        <v>0.05</v>
      </c>
      <c r="U3">
        <v>0.56000000000000005</v>
      </c>
      <c r="Y3">
        <v>0.17</v>
      </c>
      <c r="AA3">
        <v>0.19</v>
      </c>
      <c r="AC3">
        <v>0.09</v>
      </c>
      <c r="AD3">
        <v>0.48</v>
      </c>
      <c r="AF3">
        <v>0.04</v>
      </c>
      <c r="AG3">
        <v>0.25</v>
      </c>
      <c r="AH3">
        <v>0.08</v>
      </c>
      <c r="AI3">
        <v>0.06</v>
      </c>
      <c r="AJ3">
        <v>0.01</v>
      </c>
      <c r="AK3">
        <v>0.13</v>
      </c>
      <c r="AL3">
        <v>0.31</v>
      </c>
      <c r="AM3">
        <v>0</v>
      </c>
      <c r="AN3">
        <v>0.22</v>
      </c>
      <c r="AO3">
        <v>7.0000000000000007E-2</v>
      </c>
      <c r="AP3">
        <v>0</v>
      </c>
      <c r="AR3">
        <v>0.2</v>
      </c>
      <c r="AT3">
        <v>0.01</v>
      </c>
      <c r="AU3">
        <v>7.0000000000000007E-2</v>
      </c>
      <c r="AV3">
        <v>0.33</v>
      </c>
      <c r="AW3">
        <v>0.21</v>
      </c>
      <c r="AX3">
        <v>0.31</v>
      </c>
      <c r="AZ3">
        <v>0.03</v>
      </c>
      <c r="BF3">
        <v>0.21</v>
      </c>
      <c r="BG3">
        <v>0.25</v>
      </c>
      <c r="BI3">
        <v>0.19</v>
      </c>
      <c r="BK3">
        <v>0.37</v>
      </c>
      <c r="BM3">
        <v>0.68</v>
      </c>
      <c r="BN3">
        <v>0.32</v>
      </c>
      <c r="BO3">
        <v>0.06</v>
      </c>
      <c r="BQ3">
        <v>0.3</v>
      </c>
      <c r="BR3">
        <v>0.46</v>
      </c>
      <c r="BT3">
        <v>0.04</v>
      </c>
      <c r="BU3">
        <v>0.16</v>
      </c>
      <c r="BW3">
        <v>0.08</v>
      </c>
      <c r="BX3">
        <v>0.53</v>
      </c>
      <c r="BY3">
        <v>0.09</v>
      </c>
      <c r="BZ3">
        <v>7.0000000000000007E-2</v>
      </c>
      <c r="CA3">
        <v>0.09</v>
      </c>
      <c r="CC3">
        <v>0.09</v>
      </c>
      <c r="CE3">
        <v>0.22</v>
      </c>
      <c r="CF3">
        <v>0.04</v>
      </c>
      <c r="CH3">
        <v>0.06</v>
      </c>
      <c r="CJ3">
        <v>0.1</v>
      </c>
      <c r="CK3">
        <v>0.1</v>
      </c>
    </row>
    <row r="4" spans="1:89" x14ac:dyDescent="0.25">
      <c r="A4" s="23"/>
      <c r="B4">
        <v>0.11</v>
      </c>
      <c r="C4">
        <v>0.39</v>
      </c>
      <c r="D4">
        <v>0.27</v>
      </c>
      <c r="F4">
        <v>0.93</v>
      </c>
      <c r="G4">
        <v>7.0000000000000007E-2</v>
      </c>
      <c r="H4">
        <v>0.12</v>
      </c>
      <c r="I4">
        <v>0.49</v>
      </c>
      <c r="J4">
        <v>0.02</v>
      </c>
      <c r="K4">
        <v>0.16</v>
      </c>
      <c r="L4">
        <v>0.23</v>
      </c>
      <c r="M4">
        <v>0.2</v>
      </c>
      <c r="N4">
        <v>0.06</v>
      </c>
      <c r="Q4">
        <v>2E-3</v>
      </c>
      <c r="R4">
        <v>0.41</v>
      </c>
      <c r="W4">
        <v>0.14000000000000001</v>
      </c>
      <c r="X4">
        <v>0.79</v>
      </c>
      <c r="AC4">
        <v>0.25</v>
      </c>
      <c r="AE4">
        <v>0.13</v>
      </c>
      <c r="AG4">
        <v>0.27</v>
      </c>
      <c r="AH4">
        <v>0.13</v>
      </c>
      <c r="AI4">
        <v>0.34</v>
      </c>
      <c r="AJ4">
        <v>0.01</v>
      </c>
      <c r="AN4">
        <v>0.26</v>
      </c>
      <c r="AO4">
        <v>0</v>
      </c>
      <c r="AP4">
        <v>0</v>
      </c>
      <c r="AQ4">
        <v>0</v>
      </c>
      <c r="AS4">
        <v>0.27</v>
      </c>
      <c r="AW4">
        <v>0.35</v>
      </c>
      <c r="AY4">
        <v>0.27</v>
      </c>
      <c r="AZ4">
        <v>0.43</v>
      </c>
      <c r="BA4">
        <v>7.0000000000000007E-2</v>
      </c>
      <c r="BB4">
        <v>0.18</v>
      </c>
      <c r="BC4">
        <v>0.2</v>
      </c>
      <c r="BD4">
        <v>0.14000000000000001</v>
      </c>
      <c r="BE4">
        <v>0.08</v>
      </c>
      <c r="BF4">
        <v>0.04</v>
      </c>
      <c r="BO4">
        <v>0.03</v>
      </c>
      <c r="BP4">
        <v>0.44</v>
      </c>
      <c r="BS4">
        <v>0.27</v>
      </c>
      <c r="BT4">
        <v>0.13</v>
      </c>
      <c r="BU4">
        <v>0.2</v>
      </c>
      <c r="BV4">
        <v>0.26</v>
      </c>
      <c r="BZ4">
        <v>0.13</v>
      </c>
      <c r="CB4">
        <v>0.06</v>
      </c>
      <c r="CC4">
        <v>0.19</v>
      </c>
      <c r="CD4">
        <v>0.03</v>
      </c>
      <c r="CG4">
        <v>0.2</v>
      </c>
      <c r="CH4">
        <v>0.03</v>
      </c>
      <c r="CI4">
        <v>0.05</v>
      </c>
      <c r="CJ4">
        <v>0.2</v>
      </c>
      <c r="CK4">
        <v>7.0000000000000007E-2</v>
      </c>
    </row>
    <row r="5" spans="1:89" x14ac:dyDescent="0.25">
      <c r="A5" s="23"/>
      <c r="C5">
        <v>0.3</v>
      </c>
      <c r="D5">
        <v>0.28000000000000003</v>
      </c>
      <c r="G5">
        <v>0.06</v>
      </c>
      <c r="M5">
        <v>0.22</v>
      </c>
      <c r="P5">
        <v>7.0000000000000007E-2</v>
      </c>
      <c r="Q5">
        <v>0.13</v>
      </c>
      <c r="S5">
        <v>0.18</v>
      </c>
      <c r="T5">
        <v>0</v>
      </c>
      <c r="Y5">
        <v>0.17</v>
      </c>
      <c r="Z5">
        <v>0.5</v>
      </c>
      <c r="AC5">
        <v>0.43</v>
      </c>
      <c r="AD5">
        <v>0.47</v>
      </c>
      <c r="AF5">
        <v>0.01</v>
      </c>
      <c r="AH5">
        <v>0.04</v>
      </c>
      <c r="AI5">
        <v>7.0000000000000007E-2</v>
      </c>
      <c r="AJ5">
        <v>0.02</v>
      </c>
      <c r="AK5">
        <v>0.17</v>
      </c>
      <c r="AM5">
        <v>0.03</v>
      </c>
      <c r="AN5">
        <v>0.16</v>
      </c>
      <c r="AP5">
        <v>7.0000000000000007E-2</v>
      </c>
      <c r="AW5">
        <v>0.15</v>
      </c>
      <c r="AZ5">
        <v>0.33</v>
      </c>
      <c r="BF5">
        <v>0.16</v>
      </c>
      <c r="BG5">
        <v>0.14000000000000001</v>
      </c>
      <c r="BI5">
        <v>7.0000000000000007E-2</v>
      </c>
      <c r="BM5">
        <v>0</v>
      </c>
      <c r="BN5">
        <v>0.41</v>
      </c>
      <c r="BO5">
        <v>0.06</v>
      </c>
      <c r="BT5">
        <v>0.11</v>
      </c>
      <c r="BU5">
        <v>7.0000000000000007E-2</v>
      </c>
      <c r="BW5">
        <v>0.1</v>
      </c>
      <c r="BX5">
        <v>0.54</v>
      </c>
      <c r="BZ5">
        <v>0.11</v>
      </c>
      <c r="CC5">
        <v>0.12</v>
      </c>
      <c r="CE5">
        <v>0.12</v>
      </c>
      <c r="CJ5">
        <v>0.1</v>
      </c>
      <c r="CK5">
        <v>0.06</v>
      </c>
    </row>
    <row r="6" spans="1:89" x14ac:dyDescent="0.25">
      <c r="A6" s="23"/>
      <c r="C6">
        <v>0.14000000000000001</v>
      </c>
      <c r="D6">
        <v>0.28000000000000003</v>
      </c>
      <c r="F6">
        <v>0</v>
      </c>
    </row>
    <row r="7" spans="1:89" x14ac:dyDescent="0.25">
      <c r="A7" s="23" t="s">
        <v>261</v>
      </c>
      <c r="B7">
        <v>0.21</v>
      </c>
      <c r="C7">
        <v>0.02</v>
      </c>
      <c r="D7">
        <v>0.12</v>
      </c>
      <c r="E7">
        <v>0.42</v>
      </c>
      <c r="F7">
        <v>0.25</v>
      </c>
      <c r="H7">
        <v>0.28000000000000003</v>
      </c>
      <c r="J7">
        <v>0</v>
      </c>
      <c r="L7">
        <v>0.11</v>
      </c>
      <c r="O7">
        <v>0.22</v>
      </c>
      <c r="U7">
        <v>0.61</v>
      </c>
      <c r="V7">
        <v>0.25</v>
      </c>
      <c r="AA7">
        <v>0.62</v>
      </c>
      <c r="AB7">
        <v>0.5</v>
      </c>
      <c r="AG7">
        <v>0.3</v>
      </c>
      <c r="AL7">
        <v>0</v>
      </c>
      <c r="AO7">
        <v>0.13</v>
      </c>
      <c r="AR7">
        <v>0.04</v>
      </c>
      <c r="AT7">
        <v>0.06</v>
      </c>
      <c r="AU7">
        <v>0.1</v>
      </c>
      <c r="AV7">
        <v>0.64</v>
      </c>
      <c r="AX7">
        <v>0.93</v>
      </c>
      <c r="AZ7">
        <v>0.24</v>
      </c>
      <c r="BH7">
        <v>0.54</v>
      </c>
      <c r="BJ7">
        <v>0.34</v>
      </c>
      <c r="BK7">
        <v>0.18</v>
      </c>
      <c r="BL7">
        <v>0.25</v>
      </c>
      <c r="BQ7">
        <v>0.82</v>
      </c>
      <c r="BR7">
        <v>0.3</v>
      </c>
      <c r="BY7">
        <v>0</v>
      </c>
      <c r="CA7">
        <v>0.11</v>
      </c>
      <c r="CF7">
        <v>0.12</v>
      </c>
      <c r="CH7">
        <v>0.15</v>
      </c>
    </row>
    <row r="8" spans="1:89" x14ac:dyDescent="0.25">
      <c r="A8" s="23"/>
      <c r="B8">
        <v>0.26</v>
      </c>
      <c r="C8">
        <v>0.08</v>
      </c>
      <c r="D8">
        <v>0.25</v>
      </c>
      <c r="G8">
        <v>0.06</v>
      </c>
      <c r="H8">
        <v>0.49</v>
      </c>
      <c r="I8">
        <v>0.44</v>
      </c>
      <c r="J8">
        <v>0.2</v>
      </c>
      <c r="L8">
        <v>0.21</v>
      </c>
      <c r="M8">
        <v>0.45</v>
      </c>
      <c r="P8">
        <v>0.16</v>
      </c>
      <c r="Q8">
        <v>0</v>
      </c>
      <c r="R8">
        <v>0.64</v>
      </c>
      <c r="S8">
        <v>0.26</v>
      </c>
      <c r="T8">
        <v>0.21</v>
      </c>
      <c r="U8">
        <v>0.27</v>
      </c>
      <c r="W8">
        <v>0</v>
      </c>
      <c r="Y8">
        <v>0.04</v>
      </c>
      <c r="AA8">
        <v>0.3</v>
      </c>
      <c r="AB8">
        <v>0.38</v>
      </c>
      <c r="AC8">
        <v>0</v>
      </c>
      <c r="AD8">
        <v>0.1</v>
      </c>
      <c r="AE8">
        <v>0.35</v>
      </c>
      <c r="AF8">
        <v>0.04</v>
      </c>
      <c r="AG8">
        <v>0.21</v>
      </c>
      <c r="AH8">
        <v>0.1</v>
      </c>
      <c r="AJ8">
        <v>0</v>
      </c>
      <c r="AL8">
        <v>0.19</v>
      </c>
      <c r="AM8">
        <v>7.0000000000000007E-2</v>
      </c>
      <c r="AN8">
        <v>0.03</v>
      </c>
      <c r="AO8">
        <v>0.96</v>
      </c>
      <c r="AP8">
        <v>0.01</v>
      </c>
      <c r="AR8">
        <v>0.28000000000000003</v>
      </c>
      <c r="AS8">
        <v>0.16</v>
      </c>
      <c r="AT8">
        <v>0.1</v>
      </c>
      <c r="AU8">
        <v>0.24</v>
      </c>
      <c r="AV8">
        <v>0.12</v>
      </c>
      <c r="AW8">
        <v>0.46</v>
      </c>
      <c r="AX8">
        <v>0.74</v>
      </c>
      <c r="AZ8">
        <v>0.1</v>
      </c>
      <c r="BF8">
        <v>0.05</v>
      </c>
      <c r="BG8">
        <v>0.11</v>
      </c>
      <c r="BI8">
        <v>0.19</v>
      </c>
      <c r="BK8">
        <v>0.05</v>
      </c>
      <c r="BM8">
        <v>0.21</v>
      </c>
      <c r="BN8">
        <v>0</v>
      </c>
      <c r="BO8">
        <v>0.89</v>
      </c>
      <c r="BQ8">
        <v>0.39</v>
      </c>
      <c r="BR8">
        <v>0.08</v>
      </c>
      <c r="BT8">
        <v>0.35</v>
      </c>
      <c r="BU8">
        <v>0.06</v>
      </c>
      <c r="BX8">
        <v>0.02</v>
      </c>
      <c r="BY8">
        <v>0.44</v>
      </c>
      <c r="BZ8">
        <v>0.19</v>
      </c>
      <c r="CA8">
        <v>0</v>
      </c>
      <c r="CC8">
        <v>0.34</v>
      </c>
      <c r="CE8">
        <v>0</v>
      </c>
      <c r="CF8">
        <v>0.25</v>
      </c>
      <c r="CH8">
        <v>0.13</v>
      </c>
      <c r="CJ8">
        <v>0.05</v>
      </c>
      <c r="CK8">
        <v>0.01</v>
      </c>
    </row>
    <row r="9" spans="1:89" x14ac:dyDescent="0.25">
      <c r="A9" s="23"/>
      <c r="B9">
        <v>0.45</v>
      </c>
      <c r="C9">
        <v>0.22</v>
      </c>
      <c r="D9">
        <v>0.33</v>
      </c>
      <c r="F9">
        <v>0.1</v>
      </c>
      <c r="G9">
        <v>0.13</v>
      </c>
      <c r="H9">
        <v>0.31</v>
      </c>
      <c r="I9">
        <v>0.48</v>
      </c>
      <c r="J9">
        <v>0</v>
      </c>
      <c r="K9">
        <v>0.28999999999999998</v>
      </c>
      <c r="L9">
        <v>0.1</v>
      </c>
      <c r="M9">
        <v>0.42</v>
      </c>
      <c r="N9">
        <v>0.19</v>
      </c>
      <c r="Q9">
        <v>0</v>
      </c>
      <c r="U9">
        <v>0.26</v>
      </c>
      <c r="X9">
        <v>0.34</v>
      </c>
      <c r="Z9">
        <v>0.25</v>
      </c>
      <c r="AC9">
        <v>7.0000000000000007E-2</v>
      </c>
      <c r="AD9">
        <v>0.11</v>
      </c>
      <c r="AF9">
        <v>0.22</v>
      </c>
      <c r="AG9">
        <v>0.32</v>
      </c>
      <c r="AH9">
        <v>0.22</v>
      </c>
      <c r="AI9">
        <v>0.23</v>
      </c>
      <c r="AJ9">
        <v>0.01</v>
      </c>
      <c r="AK9">
        <v>0.9</v>
      </c>
      <c r="AL9">
        <v>0</v>
      </c>
      <c r="AN9">
        <v>0.04</v>
      </c>
      <c r="AO9">
        <v>0.33</v>
      </c>
      <c r="AP9">
        <v>0.02</v>
      </c>
      <c r="AQ9">
        <v>0.19</v>
      </c>
      <c r="AS9">
        <v>0.32</v>
      </c>
      <c r="AW9">
        <v>0.55000000000000004</v>
      </c>
      <c r="AY9">
        <v>0.35</v>
      </c>
      <c r="AZ9">
        <v>0.03</v>
      </c>
      <c r="BA9">
        <v>0.25</v>
      </c>
      <c r="BB9">
        <v>0.33</v>
      </c>
      <c r="BC9">
        <v>0.03</v>
      </c>
      <c r="BD9">
        <v>0.2</v>
      </c>
      <c r="BE9">
        <v>0.05</v>
      </c>
      <c r="BF9">
        <v>0.18</v>
      </c>
      <c r="BO9">
        <v>0.28999999999999998</v>
      </c>
      <c r="BP9">
        <v>0.31</v>
      </c>
      <c r="BS9">
        <v>0.35</v>
      </c>
      <c r="BT9">
        <v>0.24</v>
      </c>
      <c r="BU9">
        <v>7.0000000000000007E-2</v>
      </c>
      <c r="BV9">
        <v>0.27</v>
      </c>
      <c r="BW9">
        <v>0.3</v>
      </c>
      <c r="BZ9">
        <v>0.47</v>
      </c>
      <c r="CB9">
        <v>0</v>
      </c>
      <c r="CC9">
        <v>0.41</v>
      </c>
      <c r="CD9">
        <v>0.2</v>
      </c>
      <c r="CG9">
        <v>0.09</v>
      </c>
      <c r="CH9">
        <v>0.36</v>
      </c>
      <c r="CI9">
        <v>0.08</v>
      </c>
      <c r="CJ9">
        <v>0.04</v>
      </c>
    </row>
    <row r="10" spans="1:89" x14ac:dyDescent="0.25">
      <c r="A10" s="23"/>
      <c r="C10">
        <v>0.2</v>
      </c>
      <c r="D10">
        <v>0.37</v>
      </c>
      <c r="G10">
        <v>0.01</v>
      </c>
      <c r="M10">
        <v>0</v>
      </c>
      <c r="P10">
        <v>0.11</v>
      </c>
      <c r="Q10">
        <v>0</v>
      </c>
      <c r="R10">
        <v>0.13</v>
      </c>
      <c r="S10">
        <v>0.13</v>
      </c>
      <c r="T10">
        <v>0</v>
      </c>
      <c r="W10">
        <v>0</v>
      </c>
      <c r="Y10">
        <v>0.11</v>
      </c>
      <c r="AC10">
        <v>0</v>
      </c>
      <c r="AD10">
        <v>7.0000000000000007E-2</v>
      </c>
      <c r="AE10">
        <v>0.42</v>
      </c>
      <c r="AF10">
        <v>0.06</v>
      </c>
      <c r="AH10">
        <v>0.15</v>
      </c>
      <c r="AJ10">
        <v>0.05</v>
      </c>
      <c r="AM10">
        <v>0.11</v>
      </c>
      <c r="AN10">
        <v>0.1</v>
      </c>
      <c r="AP10">
        <v>0.01</v>
      </c>
      <c r="AS10">
        <v>0.06</v>
      </c>
      <c r="AW10">
        <v>0.5</v>
      </c>
      <c r="BF10">
        <v>0.1</v>
      </c>
      <c r="BG10">
        <v>0.12</v>
      </c>
      <c r="BI10">
        <v>0.02</v>
      </c>
      <c r="BM10">
        <v>0.21</v>
      </c>
      <c r="BN10">
        <v>0</v>
      </c>
      <c r="BO10">
        <v>0.17</v>
      </c>
      <c r="BT10">
        <v>0</v>
      </c>
      <c r="BU10">
        <v>0</v>
      </c>
      <c r="BX10">
        <v>0.09</v>
      </c>
      <c r="BZ10">
        <v>0.28999999999999998</v>
      </c>
      <c r="CC10">
        <v>0.13</v>
      </c>
      <c r="CE10">
        <v>0.69</v>
      </c>
      <c r="CJ10">
        <v>0</v>
      </c>
      <c r="CK10">
        <v>0.38</v>
      </c>
    </row>
    <row r="11" spans="1:89" x14ac:dyDescent="0.25">
      <c r="A11" s="23"/>
      <c r="C11">
        <v>0.08</v>
      </c>
      <c r="D11">
        <v>0.26</v>
      </c>
      <c r="F11">
        <v>0.04</v>
      </c>
    </row>
    <row r="12" spans="1:89" x14ac:dyDescent="0.25">
      <c r="A12" s="23" t="s">
        <v>262</v>
      </c>
      <c r="B12">
        <v>0.19</v>
      </c>
      <c r="C12">
        <v>0</v>
      </c>
      <c r="D12">
        <v>0.15</v>
      </c>
      <c r="E12">
        <v>0.69</v>
      </c>
      <c r="F12">
        <v>0.08</v>
      </c>
      <c r="H12">
        <v>0.19</v>
      </c>
      <c r="J12">
        <v>0.02</v>
      </c>
      <c r="L12">
        <v>0.18</v>
      </c>
      <c r="O12">
        <v>0.25</v>
      </c>
      <c r="U12">
        <v>0.03</v>
      </c>
      <c r="V12">
        <v>0.06</v>
      </c>
      <c r="AA12">
        <v>0.03</v>
      </c>
      <c r="AB12">
        <v>0.13</v>
      </c>
      <c r="AG12">
        <v>0.16</v>
      </c>
      <c r="AL12">
        <v>0.03</v>
      </c>
      <c r="AO12">
        <v>0.15</v>
      </c>
      <c r="AR12">
        <v>1.1000000000000001</v>
      </c>
      <c r="AT12">
        <v>0.28999999999999998</v>
      </c>
      <c r="AU12">
        <v>0.4</v>
      </c>
      <c r="AV12">
        <v>7.0000000000000007E-2</v>
      </c>
      <c r="AX12">
        <v>0.03</v>
      </c>
      <c r="AZ12">
        <v>0.15</v>
      </c>
      <c r="BH12">
        <v>0.82</v>
      </c>
      <c r="BJ12">
        <v>0.44</v>
      </c>
      <c r="BK12">
        <v>0.44</v>
      </c>
      <c r="BL12">
        <v>0.34</v>
      </c>
      <c r="BQ12">
        <v>0.12</v>
      </c>
      <c r="BR12">
        <v>0.23</v>
      </c>
      <c r="BY12">
        <v>0.08</v>
      </c>
      <c r="CA12">
        <v>0.02</v>
      </c>
      <c r="CF12">
        <v>0.06</v>
      </c>
      <c r="CH12">
        <v>0</v>
      </c>
    </row>
    <row r="13" spans="1:89" x14ac:dyDescent="0.25">
      <c r="A13" s="23"/>
      <c r="B13">
        <v>0.18</v>
      </c>
      <c r="C13">
        <v>0.5</v>
      </c>
      <c r="D13">
        <v>0.23</v>
      </c>
      <c r="G13">
        <v>0</v>
      </c>
      <c r="H13">
        <v>0.74</v>
      </c>
      <c r="I13">
        <v>0.08</v>
      </c>
      <c r="J13">
        <v>0.04</v>
      </c>
      <c r="K13">
        <v>0.35</v>
      </c>
      <c r="L13">
        <v>0.45</v>
      </c>
      <c r="M13">
        <v>0.09</v>
      </c>
      <c r="P13">
        <v>0.08</v>
      </c>
      <c r="Q13">
        <v>0.27</v>
      </c>
      <c r="R13">
        <v>0.27</v>
      </c>
      <c r="S13">
        <v>0.22</v>
      </c>
      <c r="T13">
        <v>0.02</v>
      </c>
      <c r="U13">
        <v>0.15</v>
      </c>
      <c r="W13">
        <v>0.04</v>
      </c>
      <c r="Y13">
        <v>0.13</v>
      </c>
      <c r="Z13">
        <v>0.36</v>
      </c>
      <c r="AA13">
        <v>0</v>
      </c>
      <c r="AC13">
        <v>0.01</v>
      </c>
      <c r="AD13">
        <v>0.22</v>
      </c>
      <c r="AE13">
        <v>0.27</v>
      </c>
      <c r="AF13">
        <v>0.12</v>
      </c>
      <c r="AG13">
        <v>0.2</v>
      </c>
      <c r="AH13">
        <v>0</v>
      </c>
      <c r="AI13">
        <v>0.17</v>
      </c>
      <c r="AK13">
        <v>0.32</v>
      </c>
      <c r="AL13">
        <v>0.11</v>
      </c>
      <c r="AM13">
        <v>0.06</v>
      </c>
      <c r="AN13">
        <v>0.06</v>
      </c>
      <c r="AO13">
        <v>0.13</v>
      </c>
      <c r="AP13">
        <v>0.13</v>
      </c>
      <c r="AS13">
        <v>0.53</v>
      </c>
      <c r="AU13">
        <v>0.2</v>
      </c>
      <c r="AV13">
        <v>0.1</v>
      </c>
      <c r="AW13">
        <v>0.27</v>
      </c>
      <c r="AX13">
        <v>0.24</v>
      </c>
      <c r="AZ13">
        <v>0.18</v>
      </c>
      <c r="BF13">
        <v>0.09</v>
      </c>
      <c r="BG13">
        <v>0.12</v>
      </c>
      <c r="BI13">
        <v>7.0000000000000007E-2</v>
      </c>
      <c r="BK13">
        <v>0</v>
      </c>
      <c r="BM13">
        <v>0.78</v>
      </c>
      <c r="BO13">
        <v>0.17</v>
      </c>
      <c r="BQ13">
        <v>0.17</v>
      </c>
      <c r="BR13">
        <v>0.26</v>
      </c>
      <c r="BT13">
        <v>0.12</v>
      </c>
      <c r="BU13">
        <v>0.01</v>
      </c>
      <c r="BX13">
        <v>0.19</v>
      </c>
      <c r="BY13">
        <v>0.04</v>
      </c>
      <c r="BZ13">
        <v>0.34</v>
      </c>
      <c r="CA13">
        <v>0</v>
      </c>
      <c r="CC13">
        <v>0.43</v>
      </c>
      <c r="CE13">
        <v>0.21</v>
      </c>
      <c r="CF13">
        <v>0.21</v>
      </c>
      <c r="CH13">
        <v>0.16</v>
      </c>
      <c r="CI13">
        <v>0.09</v>
      </c>
      <c r="CJ13">
        <v>0</v>
      </c>
      <c r="CK13">
        <v>0.05</v>
      </c>
    </row>
    <row r="14" spans="1:89" x14ac:dyDescent="0.25">
      <c r="A14" s="23"/>
      <c r="B14">
        <v>7.0000000000000007E-2</v>
      </c>
      <c r="C14">
        <v>0.38</v>
      </c>
      <c r="D14">
        <v>0.32</v>
      </c>
      <c r="F14">
        <v>0.16</v>
      </c>
      <c r="G14">
        <v>0.03</v>
      </c>
      <c r="H14">
        <v>0.5</v>
      </c>
      <c r="J14">
        <v>0</v>
      </c>
      <c r="L14">
        <v>0.41</v>
      </c>
      <c r="M14">
        <v>0.42</v>
      </c>
      <c r="N14">
        <v>0</v>
      </c>
      <c r="Q14">
        <v>0.3</v>
      </c>
      <c r="U14">
        <v>0.05</v>
      </c>
      <c r="X14">
        <v>0.35</v>
      </c>
      <c r="AC14">
        <v>0.74</v>
      </c>
      <c r="AF14">
        <v>0.1</v>
      </c>
      <c r="AG14">
        <v>0.02</v>
      </c>
      <c r="AH14">
        <v>0.14000000000000001</v>
      </c>
      <c r="AI14">
        <v>36</v>
      </c>
      <c r="AJ14">
        <v>7.0000000000000007E-2</v>
      </c>
      <c r="AL14">
        <v>0.18</v>
      </c>
      <c r="AM14">
        <v>0.05</v>
      </c>
      <c r="AN14">
        <v>0.18</v>
      </c>
      <c r="AO14">
        <v>0.08</v>
      </c>
      <c r="AQ14">
        <v>0.2</v>
      </c>
      <c r="AS14">
        <v>0.55000000000000004</v>
      </c>
      <c r="AW14">
        <v>0.2</v>
      </c>
      <c r="AY14">
        <v>0.51</v>
      </c>
      <c r="AZ14">
        <v>0.05</v>
      </c>
      <c r="BA14">
        <v>0.13</v>
      </c>
      <c r="BB14">
        <v>0.2</v>
      </c>
      <c r="BC14">
        <v>0.25</v>
      </c>
      <c r="BD14">
        <v>0.36</v>
      </c>
      <c r="BE14">
        <v>0.14000000000000001</v>
      </c>
      <c r="BF14">
        <v>0.22</v>
      </c>
      <c r="BN14">
        <v>0.47</v>
      </c>
      <c r="BO14">
        <v>0.17</v>
      </c>
      <c r="BP14">
        <v>0.16</v>
      </c>
      <c r="BS14">
        <v>0.3</v>
      </c>
      <c r="BT14">
        <v>0.14000000000000001</v>
      </c>
      <c r="BV14">
        <v>0.19</v>
      </c>
      <c r="BW14">
        <v>0.27</v>
      </c>
      <c r="BZ14">
        <v>0.54</v>
      </c>
      <c r="CA14">
        <v>0.06</v>
      </c>
      <c r="CB14">
        <v>0.05</v>
      </c>
      <c r="CC14">
        <v>0.38</v>
      </c>
      <c r="CD14">
        <v>0.05</v>
      </c>
      <c r="CG14">
        <v>0.39</v>
      </c>
      <c r="CH14">
        <v>0.08</v>
      </c>
      <c r="CJ14">
        <v>7.0000000000000007E-2</v>
      </c>
      <c r="CK14">
        <v>7.0000000000000007E-2</v>
      </c>
    </row>
    <row r="15" spans="1:89" x14ac:dyDescent="0.25">
      <c r="A15" s="23"/>
      <c r="C15">
        <v>0.01</v>
      </c>
      <c r="D15">
        <v>0.39</v>
      </c>
      <c r="G15">
        <v>0.06</v>
      </c>
      <c r="I15">
        <v>0.11</v>
      </c>
      <c r="K15">
        <v>0.27</v>
      </c>
      <c r="M15">
        <v>0.45</v>
      </c>
      <c r="P15">
        <v>0.06</v>
      </c>
      <c r="Q15">
        <v>0.25</v>
      </c>
      <c r="R15">
        <v>0.06</v>
      </c>
      <c r="S15">
        <v>0.1</v>
      </c>
      <c r="T15">
        <v>0.05</v>
      </c>
      <c r="W15">
        <v>0.15</v>
      </c>
      <c r="Y15">
        <v>0.04</v>
      </c>
      <c r="Z15">
        <v>0.13</v>
      </c>
      <c r="AC15">
        <v>0.89</v>
      </c>
      <c r="AD15">
        <v>0.26</v>
      </c>
      <c r="AE15">
        <v>0.71</v>
      </c>
      <c r="AF15">
        <v>0</v>
      </c>
      <c r="AH15">
        <v>0.51</v>
      </c>
      <c r="AI15">
        <v>0.11</v>
      </c>
      <c r="AK15">
        <v>0.27</v>
      </c>
      <c r="AM15">
        <v>0.03</v>
      </c>
      <c r="AN15">
        <v>0.16</v>
      </c>
      <c r="AP15">
        <v>0.08</v>
      </c>
      <c r="AS15">
        <v>0.24</v>
      </c>
      <c r="AW15">
        <v>0.06</v>
      </c>
      <c r="BF15">
        <v>0.24</v>
      </c>
      <c r="BG15">
        <v>0.05</v>
      </c>
      <c r="BI15">
        <v>0.45</v>
      </c>
      <c r="BM15">
        <v>0.28999999999999998</v>
      </c>
      <c r="BO15">
        <v>0.06</v>
      </c>
      <c r="BT15">
        <v>0.01</v>
      </c>
      <c r="BU15">
        <v>0.1</v>
      </c>
      <c r="BX15">
        <v>0.13</v>
      </c>
      <c r="BZ15">
        <v>0.21</v>
      </c>
      <c r="CC15">
        <v>0.03</v>
      </c>
      <c r="CE15">
        <v>0.15</v>
      </c>
      <c r="CI15">
        <v>0.03</v>
      </c>
      <c r="CJ15">
        <v>0.03</v>
      </c>
      <c r="CK15">
        <v>0.12</v>
      </c>
    </row>
    <row r="16" spans="1:89" x14ac:dyDescent="0.25">
      <c r="A16" s="23"/>
      <c r="C16">
        <v>0.16</v>
      </c>
      <c r="D16">
        <v>0</v>
      </c>
      <c r="F16">
        <v>0.03</v>
      </c>
    </row>
    <row r="17" spans="1:89" x14ac:dyDescent="0.25">
      <c r="A17" s="23" t="s">
        <v>263</v>
      </c>
      <c r="B17">
        <v>0.03</v>
      </c>
      <c r="C17">
        <v>0.15</v>
      </c>
      <c r="D17">
        <v>0.05</v>
      </c>
      <c r="E17">
        <v>0.47</v>
      </c>
      <c r="F17">
        <v>0.02</v>
      </c>
      <c r="H17">
        <v>0.19</v>
      </c>
      <c r="J17">
        <v>0.13</v>
      </c>
      <c r="L17">
        <v>0.16</v>
      </c>
      <c r="O17">
        <v>0.22</v>
      </c>
      <c r="U17">
        <v>0</v>
      </c>
      <c r="V17">
        <v>0.04</v>
      </c>
      <c r="AA17">
        <v>0.23</v>
      </c>
      <c r="AB17">
        <v>0.11</v>
      </c>
      <c r="AG17">
        <v>0.37</v>
      </c>
      <c r="AL17">
        <v>0.28999999999999998</v>
      </c>
      <c r="AO17">
        <v>0.06</v>
      </c>
      <c r="AR17">
        <v>0.42</v>
      </c>
      <c r="AT17">
        <v>0.2</v>
      </c>
      <c r="AU17">
        <v>0.31</v>
      </c>
      <c r="AV17">
        <v>0.12</v>
      </c>
      <c r="AX17">
        <v>0.08</v>
      </c>
      <c r="AZ17">
        <v>0</v>
      </c>
      <c r="BH17">
        <v>0.42</v>
      </c>
      <c r="BJ17">
        <v>0.4</v>
      </c>
      <c r="BK17">
        <v>0.75</v>
      </c>
      <c r="BL17">
        <v>0.56999999999999995</v>
      </c>
      <c r="BQ17">
        <v>0.11</v>
      </c>
      <c r="BR17">
        <v>0.24</v>
      </c>
      <c r="BY17">
        <v>0.14000000000000001</v>
      </c>
      <c r="CA17">
        <v>0.05</v>
      </c>
      <c r="CF17">
        <v>0.08</v>
      </c>
      <c r="CH17">
        <v>0.12</v>
      </c>
    </row>
    <row r="18" spans="1:89" x14ac:dyDescent="0.25">
      <c r="A18" s="23"/>
      <c r="B18">
        <v>0.15</v>
      </c>
      <c r="C18">
        <v>0.3</v>
      </c>
      <c r="D18">
        <v>0.28999999999999998</v>
      </c>
      <c r="G18">
        <v>0.28999999999999998</v>
      </c>
      <c r="H18">
        <v>0.27</v>
      </c>
      <c r="I18">
        <v>0.21</v>
      </c>
      <c r="J18">
        <v>0.25</v>
      </c>
      <c r="K18">
        <v>0.53</v>
      </c>
      <c r="L18">
        <v>0.56000000000000005</v>
      </c>
      <c r="M18">
        <v>0.39</v>
      </c>
      <c r="P18">
        <v>0.04</v>
      </c>
      <c r="Q18">
        <v>0.01</v>
      </c>
      <c r="R18">
        <v>0.22</v>
      </c>
      <c r="S18">
        <v>0.3</v>
      </c>
      <c r="T18">
        <v>0.01</v>
      </c>
      <c r="U18">
        <v>0.18</v>
      </c>
      <c r="W18">
        <v>0</v>
      </c>
      <c r="Y18">
        <v>0.28999999999999998</v>
      </c>
      <c r="Z18">
        <v>0</v>
      </c>
      <c r="AA18">
        <v>0.13</v>
      </c>
      <c r="AC18">
        <v>0.08</v>
      </c>
      <c r="AD18">
        <v>0.13</v>
      </c>
      <c r="AE18">
        <v>0</v>
      </c>
      <c r="AF18">
        <v>0.6</v>
      </c>
      <c r="AG18">
        <v>0.6</v>
      </c>
      <c r="AH18">
        <v>0.41</v>
      </c>
      <c r="AI18">
        <v>0.06</v>
      </c>
      <c r="AL18">
        <v>1.02</v>
      </c>
      <c r="AM18">
        <v>0.2</v>
      </c>
      <c r="AN18">
        <v>0.4</v>
      </c>
      <c r="AO18">
        <v>0.03</v>
      </c>
      <c r="AS18">
        <v>0.2</v>
      </c>
      <c r="AT18">
        <v>0.01</v>
      </c>
      <c r="AU18">
        <v>0.27</v>
      </c>
      <c r="AV18">
        <v>0.02</v>
      </c>
      <c r="AW18">
        <v>0.23</v>
      </c>
      <c r="AX18">
        <v>0.13</v>
      </c>
      <c r="AY18">
        <v>0.4</v>
      </c>
      <c r="AZ18">
        <v>0.05</v>
      </c>
      <c r="BF18">
        <v>0.5</v>
      </c>
      <c r="BG18">
        <v>0.14000000000000001</v>
      </c>
      <c r="BI18">
        <v>0.01</v>
      </c>
      <c r="BK18">
        <v>0.52</v>
      </c>
      <c r="BL18">
        <v>0</v>
      </c>
      <c r="BM18">
        <v>0.15</v>
      </c>
      <c r="BN18">
        <v>0.03</v>
      </c>
      <c r="BO18">
        <v>0.09</v>
      </c>
      <c r="BP18">
        <v>0.21</v>
      </c>
      <c r="BQ18">
        <v>0.01</v>
      </c>
      <c r="BR18">
        <v>0.09</v>
      </c>
      <c r="BT18">
        <v>0.18</v>
      </c>
      <c r="BU18">
        <v>0.05</v>
      </c>
      <c r="BX18">
        <v>0.48</v>
      </c>
      <c r="BY18">
        <v>0.05</v>
      </c>
      <c r="CA18">
        <v>0.15</v>
      </c>
      <c r="CC18">
        <v>0.4</v>
      </c>
      <c r="CE18">
        <v>0.43</v>
      </c>
      <c r="CF18">
        <v>0.3</v>
      </c>
      <c r="CH18">
        <v>0.47</v>
      </c>
      <c r="CI18">
        <v>0.18</v>
      </c>
      <c r="CJ18">
        <v>0.3</v>
      </c>
      <c r="CK18">
        <v>0.1</v>
      </c>
    </row>
    <row r="19" spans="1:89" x14ac:dyDescent="0.25">
      <c r="A19" s="23"/>
      <c r="B19">
        <v>7.0000000000000007E-2</v>
      </c>
      <c r="C19">
        <v>0.27</v>
      </c>
      <c r="D19">
        <v>0.28000000000000003</v>
      </c>
      <c r="F19">
        <v>0.44</v>
      </c>
      <c r="H19">
        <v>0.22</v>
      </c>
      <c r="J19">
        <v>0</v>
      </c>
      <c r="L19">
        <v>0.3</v>
      </c>
      <c r="M19">
        <v>0.62</v>
      </c>
      <c r="N19">
        <v>0.06</v>
      </c>
      <c r="Q19">
        <v>0.1</v>
      </c>
      <c r="U19">
        <v>0.06</v>
      </c>
      <c r="W19">
        <v>0</v>
      </c>
      <c r="X19">
        <v>0.1</v>
      </c>
      <c r="AC19">
        <v>0.12</v>
      </c>
      <c r="AH19">
        <v>0.35</v>
      </c>
      <c r="AJ19">
        <v>0.02</v>
      </c>
      <c r="AK19">
        <v>0.05</v>
      </c>
      <c r="AL19">
        <v>0.8</v>
      </c>
      <c r="AN19">
        <v>0.4</v>
      </c>
      <c r="AO19">
        <v>0.03</v>
      </c>
      <c r="AP19">
        <v>0.08</v>
      </c>
      <c r="AQ19">
        <v>0</v>
      </c>
      <c r="AS19">
        <v>0.39</v>
      </c>
      <c r="AW19">
        <v>0.24</v>
      </c>
      <c r="AZ19">
        <v>0</v>
      </c>
      <c r="BA19">
        <v>0.33</v>
      </c>
      <c r="BB19">
        <v>0.68</v>
      </c>
      <c r="BC19">
        <v>0.23</v>
      </c>
      <c r="BD19">
        <v>0.14000000000000001</v>
      </c>
      <c r="BE19">
        <v>0.03</v>
      </c>
      <c r="BF19">
        <v>1.04</v>
      </c>
      <c r="BM19">
        <v>0.25</v>
      </c>
      <c r="BO19">
        <v>0.05</v>
      </c>
      <c r="BS19">
        <v>0.34</v>
      </c>
      <c r="BV19">
        <v>0.26</v>
      </c>
      <c r="BW19">
        <v>7.0000000000000007E-2</v>
      </c>
      <c r="BZ19">
        <v>0.11</v>
      </c>
      <c r="CA19">
        <v>0</v>
      </c>
      <c r="CB19">
        <v>0.05</v>
      </c>
      <c r="CC19">
        <v>0.45</v>
      </c>
      <c r="CD19">
        <v>0.01</v>
      </c>
      <c r="CG19">
        <v>0.34</v>
      </c>
      <c r="CH19">
        <v>0.28999999999999998</v>
      </c>
      <c r="CJ19">
        <v>0.17</v>
      </c>
      <c r="CK19">
        <v>0.08</v>
      </c>
    </row>
    <row r="20" spans="1:89" x14ac:dyDescent="0.25">
      <c r="A20" s="23"/>
      <c r="C20">
        <v>0.25</v>
      </c>
      <c r="D20">
        <v>0.3</v>
      </c>
      <c r="G20">
        <v>0.33</v>
      </c>
      <c r="I20">
        <v>0.18</v>
      </c>
      <c r="K20">
        <v>0.11</v>
      </c>
      <c r="M20">
        <v>0.6</v>
      </c>
      <c r="P20">
        <v>0.06</v>
      </c>
      <c r="Q20">
        <v>0.2</v>
      </c>
      <c r="R20">
        <v>0.26</v>
      </c>
      <c r="S20">
        <v>0.22</v>
      </c>
      <c r="T20">
        <v>0.02</v>
      </c>
      <c r="Z20">
        <v>0.01</v>
      </c>
      <c r="AC20">
        <v>0.05</v>
      </c>
      <c r="AD20">
        <v>0.22</v>
      </c>
      <c r="AE20">
        <v>0.03</v>
      </c>
      <c r="AF20">
        <v>0.56000000000000005</v>
      </c>
      <c r="AH20">
        <v>0.59</v>
      </c>
      <c r="AI20">
        <v>0.12</v>
      </c>
      <c r="AM20">
        <v>0.25</v>
      </c>
      <c r="AN20">
        <v>0.6</v>
      </c>
      <c r="AP20">
        <v>7.0000000000000007E-2</v>
      </c>
      <c r="AS20">
        <v>0.1</v>
      </c>
      <c r="AW20">
        <v>0.15</v>
      </c>
      <c r="AY20">
        <v>0.55000000000000004</v>
      </c>
      <c r="BF20">
        <v>0.35</v>
      </c>
      <c r="BG20">
        <v>0</v>
      </c>
      <c r="BI20">
        <v>0</v>
      </c>
      <c r="BM20">
        <v>0.12</v>
      </c>
      <c r="BN20">
        <v>0</v>
      </c>
      <c r="BO20">
        <v>0</v>
      </c>
      <c r="BP20">
        <v>0.17</v>
      </c>
      <c r="BT20">
        <v>0.28000000000000003</v>
      </c>
      <c r="BU20">
        <v>0.59</v>
      </c>
      <c r="BX20">
        <v>0.4</v>
      </c>
      <c r="CC20">
        <v>0.34</v>
      </c>
      <c r="CE20">
        <v>0.25</v>
      </c>
      <c r="CI20">
        <v>0.02</v>
      </c>
      <c r="CK20">
        <v>0</v>
      </c>
    </row>
    <row r="21" spans="1:89" x14ac:dyDescent="0.25">
      <c r="A21" s="23"/>
      <c r="C21">
        <v>0.03</v>
      </c>
      <c r="D21">
        <v>0.21</v>
      </c>
      <c r="F21">
        <v>0</v>
      </c>
    </row>
    <row r="22" spans="1:89" x14ac:dyDescent="0.25">
      <c r="A22" s="23" t="s">
        <v>264</v>
      </c>
      <c r="B22">
        <v>0.08</v>
      </c>
      <c r="C22">
        <v>0.21</v>
      </c>
      <c r="D22">
        <v>0.11</v>
      </c>
      <c r="E22">
        <v>0.44</v>
      </c>
      <c r="F22">
        <v>0</v>
      </c>
      <c r="H22">
        <v>0.34</v>
      </c>
      <c r="J22">
        <v>0.05</v>
      </c>
      <c r="L22">
        <v>0.16</v>
      </c>
      <c r="O22">
        <v>0.45</v>
      </c>
      <c r="U22">
        <v>0.09</v>
      </c>
      <c r="V22">
        <v>0.25</v>
      </c>
      <c r="AA22">
        <v>0.5</v>
      </c>
      <c r="AB22">
        <v>0.26</v>
      </c>
      <c r="AE22">
        <v>0.06</v>
      </c>
      <c r="AG22">
        <v>0.44</v>
      </c>
      <c r="AL22">
        <v>0.15</v>
      </c>
      <c r="AO22">
        <v>0.33</v>
      </c>
      <c r="AR22">
        <v>0.54</v>
      </c>
      <c r="AT22">
        <v>0.03</v>
      </c>
      <c r="AU22">
        <v>0.2</v>
      </c>
      <c r="AV22">
        <v>0.4</v>
      </c>
      <c r="AX22">
        <v>0.71</v>
      </c>
      <c r="AZ22">
        <v>0.1</v>
      </c>
      <c r="BH22">
        <v>0.54</v>
      </c>
      <c r="BJ22">
        <v>0.41</v>
      </c>
      <c r="BK22">
        <v>0.19</v>
      </c>
      <c r="BL22">
        <v>0.64</v>
      </c>
      <c r="BQ22">
        <v>0</v>
      </c>
      <c r="BR22">
        <v>0.39</v>
      </c>
      <c r="BY22">
        <v>0.34</v>
      </c>
      <c r="CA22">
        <v>0.14000000000000001</v>
      </c>
      <c r="CF22">
        <v>0.01</v>
      </c>
      <c r="CH22">
        <v>0.1</v>
      </c>
    </row>
    <row r="23" spans="1:89" x14ac:dyDescent="0.25">
      <c r="A23" s="23"/>
      <c r="B23">
        <v>7.0000000000000007E-2</v>
      </c>
      <c r="C23">
        <v>0.44</v>
      </c>
      <c r="D23">
        <v>0.23</v>
      </c>
      <c r="G23">
        <v>0.13</v>
      </c>
      <c r="H23">
        <v>0.18</v>
      </c>
      <c r="I23">
        <v>0.12</v>
      </c>
      <c r="J23">
        <v>0</v>
      </c>
      <c r="L23">
        <v>0.74</v>
      </c>
      <c r="M23">
        <v>0.79</v>
      </c>
      <c r="P23">
        <v>0</v>
      </c>
      <c r="Q23">
        <v>0.35</v>
      </c>
      <c r="R23">
        <v>0.11</v>
      </c>
      <c r="S23">
        <v>0.11</v>
      </c>
      <c r="U23">
        <v>0.19</v>
      </c>
      <c r="Y23">
        <v>0.08</v>
      </c>
      <c r="AA23">
        <v>0.65</v>
      </c>
      <c r="AB23">
        <v>0.16</v>
      </c>
      <c r="AC23">
        <v>0.85</v>
      </c>
      <c r="AD23">
        <v>0.35</v>
      </c>
      <c r="AE23">
        <v>0.08</v>
      </c>
      <c r="AF23">
        <v>0.46</v>
      </c>
      <c r="AG23">
        <v>0.49</v>
      </c>
      <c r="AH23">
        <v>0.3</v>
      </c>
      <c r="AI23">
        <v>0.11</v>
      </c>
      <c r="AJ23">
        <v>0.01</v>
      </c>
      <c r="AK23">
        <v>0.11</v>
      </c>
      <c r="AL23">
        <v>0.6</v>
      </c>
      <c r="AM23">
        <v>0.04</v>
      </c>
      <c r="AN23">
        <v>0.56000000000000005</v>
      </c>
      <c r="AO23">
        <v>0.35</v>
      </c>
      <c r="AP23">
        <v>0.02</v>
      </c>
      <c r="AR23">
        <v>0.33</v>
      </c>
      <c r="AS23">
        <v>0.47</v>
      </c>
      <c r="AT23">
        <v>0.47</v>
      </c>
      <c r="AU23">
        <v>0.19</v>
      </c>
      <c r="AV23">
        <v>0.3</v>
      </c>
      <c r="AW23">
        <v>0.24</v>
      </c>
      <c r="AX23">
        <v>0.48</v>
      </c>
      <c r="AZ23">
        <v>0.1</v>
      </c>
      <c r="BB23">
        <v>0.04</v>
      </c>
      <c r="BF23">
        <v>0.3</v>
      </c>
      <c r="BG23">
        <v>0.34</v>
      </c>
      <c r="BI23">
        <v>7.0000000000000007E-2</v>
      </c>
      <c r="BK23">
        <v>0.08</v>
      </c>
      <c r="BM23">
        <v>0.5</v>
      </c>
      <c r="BN23">
        <v>0</v>
      </c>
      <c r="BO23">
        <v>0.3</v>
      </c>
      <c r="BP23">
        <v>0.2</v>
      </c>
      <c r="BQ23">
        <v>0</v>
      </c>
      <c r="BS23">
        <v>0.13</v>
      </c>
      <c r="BT23">
        <v>0.19</v>
      </c>
      <c r="BU23">
        <v>0</v>
      </c>
      <c r="BX23">
        <v>0.11</v>
      </c>
      <c r="BY23">
        <v>0.04</v>
      </c>
      <c r="BZ23">
        <v>0.03</v>
      </c>
      <c r="CA23">
        <v>0.56000000000000005</v>
      </c>
      <c r="CC23">
        <v>0.43</v>
      </c>
      <c r="CE23">
        <v>0.02</v>
      </c>
      <c r="CF23">
        <v>0.06</v>
      </c>
      <c r="CH23">
        <v>0.12</v>
      </c>
      <c r="CJ23">
        <v>0.41</v>
      </c>
      <c r="CK23">
        <v>0.61</v>
      </c>
    </row>
    <row r="24" spans="1:89" x14ac:dyDescent="0.25">
      <c r="A24" s="23"/>
      <c r="B24">
        <v>0</v>
      </c>
      <c r="C24">
        <v>0.36</v>
      </c>
      <c r="D24">
        <v>0.26</v>
      </c>
      <c r="F24">
        <v>0</v>
      </c>
      <c r="H24">
        <v>0.2</v>
      </c>
      <c r="J24">
        <v>0</v>
      </c>
      <c r="K24">
        <v>0.14000000000000001</v>
      </c>
      <c r="L24">
        <v>0.68</v>
      </c>
      <c r="M24">
        <v>0.47</v>
      </c>
      <c r="N24">
        <v>0.11</v>
      </c>
      <c r="Q24">
        <v>0.34</v>
      </c>
      <c r="T24">
        <v>0.56000000000000005</v>
      </c>
      <c r="U24">
        <v>0.15</v>
      </c>
      <c r="W24">
        <v>0.27</v>
      </c>
      <c r="X24">
        <v>0.96</v>
      </c>
      <c r="Z24">
        <v>0.48</v>
      </c>
      <c r="AC24">
        <v>0.89</v>
      </c>
      <c r="AG24">
        <v>0.43</v>
      </c>
      <c r="AH24">
        <v>0.3</v>
      </c>
      <c r="AI24">
        <v>0.28000000000000003</v>
      </c>
      <c r="AJ24">
        <v>0.05</v>
      </c>
      <c r="AL24">
        <v>0.41</v>
      </c>
      <c r="AN24">
        <v>0.2</v>
      </c>
      <c r="AO24">
        <v>0.28000000000000003</v>
      </c>
      <c r="AP24">
        <v>0.08</v>
      </c>
      <c r="AQ24">
        <v>0.09</v>
      </c>
      <c r="AS24">
        <v>0.09</v>
      </c>
      <c r="AW24">
        <v>0.27</v>
      </c>
      <c r="AY24">
        <v>0.31</v>
      </c>
      <c r="AZ24">
        <v>0.05</v>
      </c>
      <c r="BA24">
        <v>0.93</v>
      </c>
      <c r="BC24">
        <v>0.25</v>
      </c>
      <c r="BD24">
        <v>0.1</v>
      </c>
      <c r="BE24">
        <v>0.12</v>
      </c>
      <c r="BF24">
        <v>0.2</v>
      </c>
      <c r="BO24">
        <v>7.0000000000000007E-2</v>
      </c>
      <c r="BT24">
        <v>0.38</v>
      </c>
      <c r="BU24">
        <v>0.27</v>
      </c>
      <c r="BV24">
        <v>0.4</v>
      </c>
      <c r="BW24">
        <v>0.34</v>
      </c>
      <c r="BZ24">
        <v>0.05</v>
      </c>
      <c r="CB24">
        <v>7.0000000000000007E-2</v>
      </c>
      <c r="CC24">
        <v>0.4</v>
      </c>
      <c r="CD24">
        <v>0.28999999999999998</v>
      </c>
      <c r="CG24">
        <v>0.17</v>
      </c>
      <c r="CH24">
        <v>0.15</v>
      </c>
      <c r="CI24">
        <v>0.14000000000000001</v>
      </c>
      <c r="CK24">
        <v>0.36</v>
      </c>
    </row>
    <row r="25" spans="1:89" x14ac:dyDescent="0.25">
      <c r="A25" s="23"/>
      <c r="C25">
        <v>0.25</v>
      </c>
      <c r="D25">
        <v>0.36</v>
      </c>
      <c r="G25">
        <v>0.13</v>
      </c>
      <c r="I25">
        <v>0.05</v>
      </c>
      <c r="M25">
        <v>0.09</v>
      </c>
      <c r="P25">
        <v>0.02</v>
      </c>
      <c r="Q25">
        <v>0.46</v>
      </c>
      <c r="R25">
        <v>0</v>
      </c>
      <c r="S25">
        <v>0.28999999999999998</v>
      </c>
      <c r="Y25">
        <v>0.09</v>
      </c>
      <c r="Z25">
        <v>0.26</v>
      </c>
      <c r="AC25">
        <v>0.83</v>
      </c>
      <c r="AD25">
        <v>0.28999999999999998</v>
      </c>
      <c r="AF25">
        <v>0.5</v>
      </c>
      <c r="AH25">
        <v>0.12</v>
      </c>
      <c r="AI25">
        <v>0.25</v>
      </c>
      <c r="AJ25">
        <v>0.03</v>
      </c>
      <c r="AK25">
        <v>0.08</v>
      </c>
      <c r="AM25">
        <v>0.11</v>
      </c>
      <c r="AP25">
        <v>0.12</v>
      </c>
      <c r="AS25">
        <v>0.03</v>
      </c>
      <c r="AW25">
        <v>0.15</v>
      </c>
      <c r="BB25">
        <v>0.05</v>
      </c>
      <c r="BF25">
        <v>0.18</v>
      </c>
      <c r="BG25">
        <v>0.25</v>
      </c>
      <c r="BI25">
        <v>0.24</v>
      </c>
      <c r="BM25">
        <v>0.39</v>
      </c>
      <c r="BN25">
        <v>0.04</v>
      </c>
      <c r="BO25">
        <v>0.11</v>
      </c>
      <c r="BP25">
        <v>7.0000000000000007E-2</v>
      </c>
      <c r="BS25">
        <v>0.15</v>
      </c>
      <c r="BT25">
        <v>0.15</v>
      </c>
      <c r="BU25">
        <v>0.22</v>
      </c>
      <c r="BX25">
        <v>0.45</v>
      </c>
      <c r="BZ25">
        <v>0.04</v>
      </c>
      <c r="CC25">
        <v>0.1</v>
      </c>
      <c r="CE25">
        <v>0.04</v>
      </c>
      <c r="CJ25">
        <v>0.4</v>
      </c>
      <c r="CK25">
        <v>0.47</v>
      </c>
    </row>
    <row r="26" spans="1:89" x14ac:dyDescent="0.25">
      <c r="A26" s="23"/>
      <c r="C26">
        <v>0.15</v>
      </c>
      <c r="D26">
        <v>0</v>
      </c>
      <c r="F26">
        <v>0</v>
      </c>
    </row>
    <row r="27" spans="1:89" x14ac:dyDescent="0.25">
      <c r="A27" s="23" t="s">
        <v>265</v>
      </c>
      <c r="B27">
        <v>0.25</v>
      </c>
      <c r="C27">
        <v>0.32</v>
      </c>
      <c r="D27">
        <v>0.08</v>
      </c>
      <c r="E27">
        <v>0</v>
      </c>
      <c r="F27">
        <v>0</v>
      </c>
      <c r="H27">
        <v>0.12</v>
      </c>
      <c r="J27">
        <v>0.16</v>
      </c>
      <c r="L27">
        <v>0.11</v>
      </c>
      <c r="O27">
        <v>0.27</v>
      </c>
      <c r="U27">
        <v>0</v>
      </c>
      <c r="V27">
        <v>0.12</v>
      </c>
      <c r="AA27">
        <v>0.08</v>
      </c>
      <c r="AB27">
        <v>0.11</v>
      </c>
      <c r="AE27">
        <v>0.45</v>
      </c>
      <c r="AG27">
        <v>0.24</v>
      </c>
      <c r="AL27">
        <v>0.71</v>
      </c>
      <c r="AO27">
        <v>0.21</v>
      </c>
      <c r="AR27">
        <v>0.13</v>
      </c>
      <c r="AT27">
        <v>0.04</v>
      </c>
      <c r="AU27">
        <v>0.02</v>
      </c>
      <c r="AV27">
        <v>0.11</v>
      </c>
      <c r="AX27">
        <v>0.38</v>
      </c>
      <c r="AZ27">
        <v>0.38</v>
      </c>
      <c r="BH27">
        <v>0.41</v>
      </c>
      <c r="BJ27">
        <v>0.24</v>
      </c>
      <c r="BK27">
        <v>0</v>
      </c>
      <c r="BL27">
        <v>1.23</v>
      </c>
      <c r="BQ27">
        <v>0.52</v>
      </c>
      <c r="BR27">
        <v>0.44</v>
      </c>
      <c r="BY27">
        <v>0.21</v>
      </c>
      <c r="CA27">
        <v>0</v>
      </c>
      <c r="CF27">
        <v>0</v>
      </c>
      <c r="CH27">
        <v>0</v>
      </c>
    </row>
    <row r="28" spans="1:89" x14ac:dyDescent="0.25">
      <c r="A28" s="23"/>
      <c r="B28">
        <v>0</v>
      </c>
      <c r="C28">
        <v>0.42</v>
      </c>
      <c r="D28">
        <v>0.23</v>
      </c>
      <c r="E28">
        <v>7.0000000000000007E-2</v>
      </c>
      <c r="H28">
        <v>0.17</v>
      </c>
      <c r="I28">
        <v>0.13</v>
      </c>
      <c r="J28">
        <v>0.19</v>
      </c>
      <c r="K28">
        <v>0.21</v>
      </c>
      <c r="L28">
        <v>0.13</v>
      </c>
      <c r="M28">
        <v>0.1</v>
      </c>
      <c r="P28">
        <v>7.0000000000000007E-2</v>
      </c>
      <c r="R28">
        <v>7.0000000000000007E-2</v>
      </c>
      <c r="S28">
        <v>0.17</v>
      </c>
      <c r="T28">
        <v>0</v>
      </c>
      <c r="U28">
        <v>0.09</v>
      </c>
      <c r="W28">
        <v>0.22</v>
      </c>
      <c r="Y28">
        <v>0.08</v>
      </c>
      <c r="Z28">
        <v>0.06</v>
      </c>
      <c r="AA28">
        <v>0.08</v>
      </c>
      <c r="AB28">
        <v>0.08</v>
      </c>
      <c r="AC28">
        <v>0.36</v>
      </c>
      <c r="AD28">
        <v>7.0000000000000007E-2</v>
      </c>
      <c r="AE28">
        <v>0.13</v>
      </c>
      <c r="AF28">
        <v>0.08</v>
      </c>
      <c r="AG28">
        <v>0.3</v>
      </c>
      <c r="AI28">
        <v>0.25</v>
      </c>
      <c r="AJ28">
        <v>0.1</v>
      </c>
      <c r="AL28">
        <v>0.43</v>
      </c>
      <c r="AM28">
        <v>0.39</v>
      </c>
      <c r="AN28">
        <v>0.39</v>
      </c>
      <c r="AO28">
        <v>0.21</v>
      </c>
      <c r="AP28">
        <v>0.34</v>
      </c>
      <c r="AR28">
        <v>0.89</v>
      </c>
      <c r="AS28">
        <v>0.57999999999999996</v>
      </c>
      <c r="AT28">
        <v>0.01</v>
      </c>
      <c r="AU28">
        <v>0.01</v>
      </c>
      <c r="AV28">
        <v>0.34</v>
      </c>
      <c r="AW28">
        <v>0</v>
      </c>
      <c r="AX28">
        <v>0.18</v>
      </c>
      <c r="AZ28">
        <v>0.14000000000000001</v>
      </c>
      <c r="BB28">
        <v>0.03</v>
      </c>
      <c r="BD28">
        <v>0</v>
      </c>
      <c r="BF28">
        <v>0.16</v>
      </c>
      <c r="BG28">
        <v>0.11</v>
      </c>
      <c r="BH28">
        <v>0.61</v>
      </c>
      <c r="BI28">
        <v>0.44</v>
      </c>
      <c r="BK28">
        <v>0.27</v>
      </c>
      <c r="BM28">
        <v>0.09</v>
      </c>
      <c r="BO28">
        <v>0.76</v>
      </c>
      <c r="BP28">
        <v>0.04</v>
      </c>
      <c r="BQ28">
        <v>0.35</v>
      </c>
      <c r="BR28">
        <v>0.05</v>
      </c>
      <c r="BT28">
        <v>0.15</v>
      </c>
      <c r="BU28">
        <v>0.48</v>
      </c>
      <c r="BX28">
        <v>0.43</v>
      </c>
      <c r="BY28">
        <v>0.14000000000000001</v>
      </c>
      <c r="BZ28">
        <v>0.03</v>
      </c>
      <c r="CA28">
        <v>0.06</v>
      </c>
      <c r="CC28">
        <v>0.6</v>
      </c>
      <c r="CE28">
        <v>0.39</v>
      </c>
      <c r="CF28">
        <v>0.04</v>
      </c>
      <c r="CG28">
        <v>0.02</v>
      </c>
      <c r="CH28">
        <v>0.36</v>
      </c>
      <c r="CI28">
        <v>0.03</v>
      </c>
      <c r="CJ28">
        <v>0.15</v>
      </c>
      <c r="CK28">
        <v>0.05</v>
      </c>
    </row>
    <row r="29" spans="1:89" x14ac:dyDescent="0.25">
      <c r="A29" s="23"/>
      <c r="B29">
        <v>0</v>
      </c>
      <c r="C29">
        <v>0.25</v>
      </c>
      <c r="D29">
        <v>0.33</v>
      </c>
      <c r="E29">
        <v>0.17</v>
      </c>
      <c r="F29">
        <v>0.03</v>
      </c>
      <c r="H29">
        <v>0.24</v>
      </c>
      <c r="J29">
        <v>0.26</v>
      </c>
      <c r="L29">
        <v>0.13</v>
      </c>
      <c r="M29">
        <v>0.36</v>
      </c>
      <c r="N29">
        <v>0</v>
      </c>
      <c r="Q29">
        <v>0.61</v>
      </c>
      <c r="U29">
        <v>0.19</v>
      </c>
      <c r="X29">
        <v>0.55000000000000004</v>
      </c>
      <c r="Z29">
        <v>7.0000000000000007E-2</v>
      </c>
      <c r="AC29">
        <v>0.25</v>
      </c>
      <c r="AF29">
        <v>0.08</v>
      </c>
      <c r="AG29">
        <v>0.34</v>
      </c>
      <c r="AH29">
        <v>1.24</v>
      </c>
      <c r="AI29">
        <v>0.27</v>
      </c>
      <c r="AK29">
        <v>0.13</v>
      </c>
      <c r="AL29">
        <v>0.41</v>
      </c>
      <c r="AO29">
        <v>0.13</v>
      </c>
      <c r="AP29">
        <v>0.15</v>
      </c>
      <c r="AQ29">
        <v>7.0000000000000007E-2</v>
      </c>
      <c r="AS29">
        <v>0.53</v>
      </c>
      <c r="AW29">
        <v>0.15</v>
      </c>
      <c r="AY29">
        <v>0.7</v>
      </c>
      <c r="AZ29">
        <v>0.25</v>
      </c>
      <c r="BA29">
        <v>0.28000000000000003</v>
      </c>
      <c r="BC29">
        <v>0.11</v>
      </c>
      <c r="BE29">
        <v>0.04</v>
      </c>
      <c r="BF29">
        <v>0.52</v>
      </c>
      <c r="BS29">
        <v>0.33</v>
      </c>
      <c r="BT29">
        <v>0.28000000000000003</v>
      </c>
      <c r="BV29">
        <v>0.1</v>
      </c>
      <c r="BW29">
        <v>0.23</v>
      </c>
      <c r="BZ29">
        <v>0.17</v>
      </c>
      <c r="CA29">
        <v>0.08</v>
      </c>
      <c r="CB29">
        <v>0.02</v>
      </c>
      <c r="CC29">
        <v>0</v>
      </c>
      <c r="CD29">
        <v>0.06</v>
      </c>
      <c r="CK29">
        <v>0.2</v>
      </c>
    </row>
    <row r="30" spans="1:89" x14ac:dyDescent="0.25">
      <c r="A30" s="23"/>
      <c r="D30">
        <v>0.27</v>
      </c>
      <c r="G30">
        <v>0.2</v>
      </c>
      <c r="I30">
        <v>0.28000000000000003</v>
      </c>
      <c r="K30">
        <v>0.25</v>
      </c>
      <c r="M30">
        <v>0.62</v>
      </c>
      <c r="P30">
        <v>0.08</v>
      </c>
      <c r="R30">
        <v>0.22</v>
      </c>
      <c r="S30">
        <v>0.06</v>
      </c>
      <c r="T30">
        <v>0.01</v>
      </c>
      <c r="W30">
        <v>0.27</v>
      </c>
      <c r="Y30">
        <v>0.13</v>
      </c>
      <c r="Z30">
        <v>0.01</v>
      </c>
      <c r="AC30">
        <v>0.14000000000000001</v>
      </c>
      <c r="AD30">
        <v>0.12</v>
      </c>
      <c r="AF30">
        <v>0.05</v>
      </c>
      <c r="AI30">
        <v>0.26</v>
      </c>
      <c r="AJ30">
        <v>0.06</v>
      </c>
      <c r="AM30">
        <v>0.2</v>
      </c>
      <c r="AN30">
        <v>0.25</v>
      </c>
      <c r="AP30">
        <v>0.17</v>
      </c>
      <c r="AS30">
        <v>0.21</v>
      </c>
      <c r="AW30">
        <v>0.11</v>
      </c>
      <c r="BB30">
        <v>0.06</v>
      </c>
      <c r="BD30">
        <v>0</v>
      </c>
      <c r="BF30">
        <v>0.2</v>
      </c>
      <c r="BG30">
        <v>0.1</v>
      </c>
      <c r="BI30">
        <v>0.13</v>
      </c>
      <c r="BM30">
        <v>0.05</v>
      </c>
      <c r="BN30">
        <v>0.27</v>
      </c>
      <c r="BO30">
        <v>0.41</v>
      </c>
      <c r="BP30">
        <v>0.03</v>
      </c>
      <c r="BT30">
        <v>0.16</v>
      </c>
      <c r="BU30">
        <v>0</v>
      </c>
      <c r="BX30">
        <v>0.33</v>
      </c>
      <c r="BZ30">
        <v>0.14000000000000001</v>
      </c>
      <c r="CC30">
        <v>0.24</v>
      </c>
      <c r="CE30">
        <v>0.51</v>
      </c>
      <c r="CG30">
        <v>0.39</v>
      </c>
      <c r="CI30">
        <v>7.0000000000000007E-2</v>
      </c>
      <c r="CJ30">
        <v>0.08</v>
      </c>
      <c r="CK30">
        <v>0.04</v>
      </c>
    </row>
    <row r="31" spans="1:89" x14ac:dyDescent="0.25">
      <c r="A31" s="23"/>
      <c r="D31">
        <v>0.1</v>
      </c>
      <c r="F31">
        <v>0</v>
      </c>
    </row>
    <row r="32" spans="1:89" x14ac:dyDescent="0.25">
      <c r="A32" s="23" t="s">
        <v>266</v>
      </c>
      <c r="B32">
        <v>0.11</v>
      </c>
      <c r="C32">
        <v>0.37</v>
      </c>
      <c r="D32">
        <v>0.34</v>
      </c>
      <c r="E32">
        <v>0.3</v>
      </c>
      <c r="F32">
        <v>0</v>
      </c>
      <c r="H32">
        <v>7.0000000000000007E-2</v>
      </c>
      <c r="J32">
        <v>0.15</v>
      </c>
      <c r="L32">
        <v>0.96</v>
      </c>
      <c r="O32">
        <v>0.28999999999999998</v>
      </c>
      <c r="U32">
        <v>0</v>
      </c>
      <c r="V32">
        <v>0.16</v>
      </c>
      <c r="AA32">
        <v>0.08</v>
      </c>
      <c r="AB32">
        <v>0.26</v>
      </c>
      <c r="AE32">
        <v>0.12</v>
      </c>
      <c r="AG32">
        <v>0.68</v>
      </c>
      <c r="AL32">
        <v>0.03</v>
      </c>
      <c r="AO32">
        <v>0.01</v>
      </c>
      <c r="AR32">
        <v>0.73</v>
      </c>
      <c r="AT32">
        <v>0.78</v>
      </c>
      <c r="AU32">
        <v>0.41</v>
      </c>
      <c r="AV32">
        <v>0.78</v>
      </c>
      <c r="AX32">
        <v>0</v>
      </c>
      <c r="AZ32">
        <v>0.49</v>
      </c>
      <c r="BH32">
        <v>0.34</v>
      </c>
      <c r="BJ32">
        <v>0.35</v>
      </c>
      <c r="BK32">
        <v>0.52</v>
      </c>
      <c r="BL32">
        <v>0.64</v>
      </c>
      <c r="BQ32">
        <v>0.13</v>
      </c>
      <c r="BR32">
        <v>0.03</v>
      </c>
      <c r="BY32">
        <v>0.53</v>
      </c>
      <c r="CA32">
        <v>0.1</v>
      </c>
      <c r="CF32">
        <v>0.35</v>
      </c>
      <c r="CH32">
        <v>0.08</v>
      </c>
    </row>
    <row r="33" spans="1:89" x14ac:dyDescent="0.25">
      <c r="A33" s="23"/>
      <c r="B33">
        <v>0.21</v>
      </c>
      <c r="C33">
        <v>0.25</v>
      </c>
      <c r="D33">
        <v>0.35</v>
      </c>
      <c r="H33">
        <v>7.0000000000000007E-2</v>
      </c>
      <c r="I33">
        <v>0.11</v>
      </c>
      <c r="J33">
        <v>0.44</v>
      </c>
      <c r="K33">
        <v>0.24</v>
      </c>
      <c r="L33">
        <v>1.34</v>
      </c>
      <c r="M33">
        <v>0.13</v>
      </c>
      <c r="P33">
        <v>0.56999999999999995</v>
      </c>
      <c r="Q33">
        <v>0.38</v>
      </c>
      <c r="R33">
        <v>0.18</v>
      </c>
      <c r="S33">
        <v>0.18</v>
      </c>
      <c r="T33">
        <v>0.13</v>
      </c>
      <c r="U33">
        <v>0</v>
      </c>
      <c r="Y33">
        <v>0.24</v>
      </c>
      <c r="Z33">
        <v>0.18</v>
      </c>
      <c r="AA33">
        <v>0.92</v>
      </c>
      <c r="AC33">
        <v>0.17</v>
      </c>
      <c r="AD33">
        <v>0.05</v>
      </c>
      <c r="AF33">
        <v>0.52</v>
      </c>
      <c r="AG33">
        <v>0.4</v>
      </c>
      <c r="AH33">
        <v>0.17</v>
      </c>
      <c r="AI33">
        <v>0.26</v>
      </c>
      <c r="AJ33">
        <v>0</v>
      </c>
      <c r="AL33">
        <v>0.27</v>
      </c>
      <c r="AM33">
        <v>0.74</v>
      </c>
      <c r="AN33">
        <v>0.16</v>
      </c>
      <c r="AO33">
        <v>0.13</v>
      </c>
      <c r="AP33">
        <v>0.43</v>
      </c>
      <c r="AS33">
        <v>0.22</v>
      </c>
      <c r="AU33">
        <v>0.35</v>
      </c>
      <c r="AW33">
        <v>0.01</v>
      </c>
      <c r="AX33">
        <v>0.34</v>
      </c>
      <c r="AZ33">
        <v>0.04</v>
      </c>
      <c r="BB33">
        <v>0.05</v>
      </c>
      <c r="BD33">
        <v>0.26</v>
      </c>
      <c r="BF33">
        <v>0.15</v>
      </c>
      <c r="BG33">
        <v>0.86</v>
      </c>
      <c r="BK33">
        <v>0.8</v>
      </c>
      <c r="BM33">
        <v>7.0000000000000007E-2</v>
      </c>
      <c r="BN33">
        <v>0.1</v>
      </c>
      <c r="BO33">
        <v>0.05</v>
      </c>
      <c r="BP33">
        <v>0.03</v>
      </c>
      <c r="BQ33">
        <v>0.12</v>
      </c>
      <c r="BR33">
        <v>0.32</v>
      </c>
      <c r="BT33">
        <v>0.15</v>
      </c>
      <c r="BU33">
        <v>0.14000000000000001</v>
      </c>
      <c r="BX33">
        <v>0</v>
      </c>
      <c r="BY33">
        <v>0.46</v>
      </c>
      <c r="BZ33">
        <v>0.26</v>
      </c>
      <c r="CA33">
        <v>0.13</v>
      </c>
      <c r="CC33">
        <v>0.23</v>
      </c>
      <c r="CE33">
        <v>0.01</v>
      </c>
      <c r="CF33">
        <v>0.14000000000000001</v>
      </c>
      <c r="CH33">
        <v>0.01</v>
      </c>
      <c r="CJ33">
        <v>0.01</v>
      </c>
      <c r="CK33">
        <v>0.48</v>
      </c>
    </row>
    <row r="34" spans="1:89" x14ac:dyDescent="0.25">
      <c r="A34" s="23"/>
      <c r="B34">
        <v>0.22</v>
      </c>
      <c r="C34">
        <v>0.2</v>
      </c>
      <c r="D34">
        <v>0.4</v>
      </c>
      <c r="F34">
        <v>0</v>
      </c>
      <c r="H34">
        <v>0.03</v>
      </c>
      <c r="J34">
        <v>7.0000000000000007E-2</v>
      </c>
      <c r="L34">
        <v>0.68</v>
      </c>
      <c r="M34">
        <v>0.24</v>
      </c>
      <c r="N34">
        <v>0.31</v>
      </c>
      <c r="Q34">
        <v>0.22</v>
      </c>
      <c r="U34">
        <v>0.1</v>
      </c>
      <c r="W34">
        <v>0.28999999999999998</v>
      </c>
      <c r="X34">
        <v>0.25</v>
      </c>
      <c r="AC34">
        <v>0.16</v>
      </c>
      <c r="AG34">
        <v>0.06</v>
      </c>
      <c r="AH34">
        <v>0.2</v>
      </c>
      <c r="AI34">
        <v>0.31</v>
      </c>
      <c r="AJ34">
        <v>0.01</v>
      </c>
      <c r="AK34">
        <v>0.15</v>
      </c>
      <c r="AL34">
        <v>0.06</v>
      </c>
      <c r="AO34">
        <v>0.09</v>
      </c>
      <c r="AP34">
        <v>0.28000000000000003</v>
      </c>
      <c r="AQ34">
        <v>0.02</v>
      </c>
      <c r="AS34">
        <v>0.24</v>
      </c>
      <c r="AW34">
        <v>0.13</v>
      </c>
      <c r="AY34">
        <v>0.41</v>
      </c>
      <c r="AZ34">
        <v>0.13</v>
      </c>
      <c r="BA34">
        <v>0.61</v>
      </c>
      <c r="BC34">
        <v>0.12</v>
      </c>
      <c r="BE34">
        <v>0.16</v>
      </c>
      <c r="BF34">
        <v>0.55000000000000004</v>
      </c>
      <c r="BI34">
        <v>0.37</v>
      </c>
      <c r="BO34">
        <v>0.08</v>
      </c>
      <c r="BS34">
        <v>0.75</v>
      </c>
      <c r="BT34">
        <v>0.19</v>
      </c>
      <c r="BU34">
        <v>0.14000000000000001</v>
      </c>
      <c r="BV34">
        <v>0.45</v>
      </c>
      <c r="BW34">
        <v>0.13</v>
      </c>
      <c r="BX34">
        <v>0.01</v>
      </c>
      <c r="BZ34">
        <v>0.39</v>
      </c>
      <c r="CB34">
        <v>0.03</v>
      </c>
      <c r="CC34">
        <v>0.37</v>
      </c>
      <c r="CD34">
        <v>0.16</v>
      </c>
      <c r="CG34">
        <v>0.3</v>
      </c>
      <c r="CH34">
        <v>0</v>
      </c>
      <c r="CI34">
        <v>0.11</v>
      </c>
      <c r="CJ34">
        <v>0.44</v>
      </c>
      <c r="CK34">
        <v>0.78</v>
      </c>
    </row>
    <row r="35" spans="1:89" x14ac:dyDescent="0.25">
      <c r="A35" s="23"/>
      <c r="D35">
        <v>0.34</v>
      </c>
      <c r="G35">
        <v>0.4</v>
      </c>
      <c r="I35">
        <v>0.09</v>
      </c>
      <c r="K35">
        <v>0.13</v>
      </c>
      <c r="M35">
        <v>0.42</v>
      </c>
      <c r="P35">
        <v>0.14000000000000001</v>
      </c>
      <c r="R35">
        <v>0.3</v>
      </c>
      <c r="S35">
        <v>0.18</v>
      </c>
      <c r="T35">
        <v>0.1</v>
      </c>
      <c r="Y35">
        <v>0.16</v>
      </c>
      <c r="Z35">
        <v>0.17</v>
      </c>
      <c r="AC35">
        <v>0.17</v>
      </c>
      <c r="AD35">
        <v>0.15</v>
      </c>
      <c r="AF35">
        <v>0.51</v>
      </c>
      <c r="AH35">
        <v>0.05</v>
      </c>
      <c r="AI35">
        <v>0.13</v>
      </c>
      <c r="AJ35">
        <v>0</v>
      </c>
      <c r="AM35">
        <v>0.18</v>
      </c>
      <c r="AN35">
        <v>0.11</v>
      </c>
      <c r="AP35">
        <v>0.28999999999999998</v>
      </c>
      <c r="AS35">
        <v>7.0000000000000007E-2</v>
      </c>
      <c r="AW35">
        <v>0.4</v>
      </c>
      <c r="BB35">
        <v>0.14000000000000001</v>
      </c>
      <c r="BD35">
        <v>0.13</v>
      </c>
      <c r="BF35">
        <v>0.66</v>
      </c>
      <c r="BG35">
        <v>0.17</v>
      </c>
      <c r="BM35">
        <v>0.05</v>
      </c>
      <c r="BN35">
        <v>0.1</v>
      </c>
      <c r="BO35">
        <v>0</v>
      </c>
      <c r="BP35">
        <v>0</v>
      </c>
      <c r="BT35">
        <v>0.05</v>
      </c>
      <c r="BU35">
        <v>0.04</v>
      </c>
      <c r="BX35">
        <v>0.04</v>
      </c>
      <c r="BZ35">
        <v>0.09</v>
      </c>
      <c r="CC35">
        <v>0.25</v>
      </c>
      <c r="CE35">
        <v>0</v>
      </c>
      <c r="CJ35">
        <v>0.23</v>
      </c>
      <c r="CK35">
        <v>0.16</v>
      </c>
    </row>
    <row r="36" spans="1:89" x14ac:dyDescent="0.25">
      <c r="A36" s="23"/>
      <c r="D36">
        <v>0.23</v>
      </c>
      <c r="F36">
        <v>0.52</v>
      </c>
    </row>
    <row r="37" spans="1:89" x14ac:dyDescent="0.25">
      <c r="A37" s="23" t="s">
        <v>267</v>
      </c>
      <c r="B37">
        <v>0.06</v>
      </c>
      <c r="C37">
        <v>0.75</v>
      </c>
      <c r="D37">
        <v>0.21</v>
      </c>
      <c r="E37">
        <v>0.03</v>
      </c>
      <c r="F37">
        <v>0</v>
      </c>
      <c r="H37">
        <v>0.25</v>
      </c>
      <c r="J37">
        <v>0</v>
      </c>
      <c r="L37">
        <v>0.43</v>
      </c>
      <c r="O37">
        <v>0.44</v>
      </c>
      <c r="U37">
        <v>0.04</v>
      </c>
      <c r="V37">
        <v>0.12</v>
      </c>
      <c r="AA37">
        <v>0.06</v>
      </c>
      <c r="AB37">
        <v>0.08</v>
      </c>
      <c r="AE37">
        <v>0.28999999999999998</v>
      </c>
      <c r="AG37">
        <v>0.18</v>
      </c>
      <c r="AL37">
        <v>0.11</v>
      </c>
      <c r="AO37">
        <v>0.13</v>
      </c>
      <c r="AR37">
        <v>0.5</v>
      </c>
      <c r="AT37">
        <v>0.02</v>
      </c>
      <c r="AU37">
        <v>0.28999999999999998</v>
      </c>
      <c r="AV37">
        <v>0.63</v>
      </c>
      <c r="AX37">
        <v>0.11</v>
      </c>
      <c r="AZ37">
        <v>0</v>
      </c>
      <c r="BH37">
        <v>0.33</v>
      </c>
      <c r="BJ37">
        <v>0.34</v>
      </c>
      <c r="BK37">
        <v>0.21</v>
      </c>
      <c r="BL37">
        <v>0.6</v>
      </c>
      <c r="BQ37">
        <v>0.19</v>
      </c>
      <c r="BR37">
        <v>0</v>
      </c>
      <c r="BY37">
        <v>0.12</v>
      </c>
      <c r="CA37">
        <v>0.27</v>
      </c>
      <c r="CF37">
        <v>0.04</v>
      </c>
      <c r="CH37">
        <v>0.16</v>
      </c>
    </row>
    <row r="38" spans="1:89" x14ac:dyDescent="0.25">
      <c r="A38" s="23"/>
      <c r="B38">
        <v>0.02</v>
      </c>
      <c r="C38">
        <v>0.62</v>
      </c>
      <c r="D38">
        <v>0.3</v>
      </c>
      <c r="E38">
        <v>0.34</v>
      </c>
      <c r="H38">
        <v>0.15</v>
      </c>
      <c r="I38">
        <v>0.11</v>
      </c>
      <c r="J38">
        <v>0</v>
      </c>
      <c r="K38">
        <v>0.32</v>
      </c>
      <c r="L38">
        <v>0.42</v>
      </c>
      <c r="M38">
        <v>1.46</v>
      </c>
      <c r="N38">
        <v>0.19</v>
      </c>
      <c r="P38">
        <v>0</v>
      </c>
      <c r="Q38">
        <v>0</v>
      </c>
      <c r="R38">
        <v>0.13</v>
      </c>
      <c r="S38">
        <v>0.06</v>
      </c>
      <c r="T38">
        <v>0.28000000000000003</v>
      </c>
      <c r="U38">
        <v>0.09</v>
      </c>
      <c r="Y38">
        <v>7.0000000000000007E-2</v>
      </c>
      <c r="Z38">
        <v>7.0000000000000007E-2</v>
      </c>
      <c r="AA38">
        <v>7.0000000000000007E-2</v>
      </c>
      <c r="AC38">
        <v>0.14000000000000001</v>
      </c>
      <c r="AD38">
        <v>0.06</v>
      </c>
      <c r="AF38">
        <v>0.17</v>
      </c>
      <c r="AG38">
        <v>0.97</v>
      </c>
      <c r="AH38">
        <v>0.47</v>
      </c>
      <c r="AI38">
        <v>0.03</v>
      </c>
      <c r="AK38">
        <v>0.24</v>
      </c>
      <c r="AL38">
        <v>0.1</v>
      </c>
      <c r="AM38">
        <v>0.6</v>
      </c>
      <c r="AN38">
        <v>0.21</v>
      </c>
      <c r="AO38">
        <v>0.18</v>
      </c>
      <c r="AP38">
        <v>0.05</v>
      </c>
      <c r="AR38">
        <v>0.36</v>
      </c>
      <c r="AS38">
        <v>0.15</v>
      </c>
      <c r="AT38">
        <v>0</v>
      </c>
      <c r="AU38">
        <v>0.31</v>
      </c>
      <c r="AV38">
        <v>0.72</v>
      </c>
      <c r="AW38">
        <v>0.19</v>
      </c>
      <c r="AX38">
        <v>0.17</v>
      </c>
      <c r="AZ38">
        <v>0.17</v>
      </c>
      <c r="BB38">
        <v>0.06</v>
      </c>
      <c r="BD38">
        <v>0.23</v>
      </c>
      <c r="BF38">
        <v>0.28000000000000003</v>
      </c>
      <c r="BG38">
        <v>0.47</v>
      </c>
      <c r="BH38">
        <v>0.62</v>
      </c>
      <c r="BI38">
        <v>0.03</v>
      </c>
      <c r="BK38">
        <v>0.27</v>
      </c>
      <c r="BN38">
        <v>0</v>
      </c>
      <c r="BO38">
        <v>0.32</v>
      </c>
      <c r="BQ38">
        <v>0.52</v>
      </c>
      <c r="BR38">
        <v>0.15</v>
      </c>
      <c r="BT38">
        <v>0.4</v>
      </c>
      <c r="BU38">
        <v>0.12</v>
      </c>
      <c r="BV38">
        <v>0.96</v>
      </c>
      <c r="BX38">
        <v>0.18</v>
      </c>
      <c r="BY38">
        <v>0.11</v>
      </c>
      <c r="BZ38">
        <v>0.64</v>
      </c>
      <c r="CA38">
        <v>0.3</v>
      </c>
      <c r="CC38">
        <v>0.6</v>
      </c>
      <c r="CE38">
        <v>0.01</v>
      </c>
      <c r="CF38">
        <v>0.24</v>
      </c>
      <c r="CG38">
        <v>0.16</v>
      </c>
      <c r="CH38">
        <v>0.15</v>
      </c>
      <c r="CI38">
        <v>0</v>
      </c>
      <c r="CJ38">
        <v>0.13</v>
      </c>
      <c r="CK38">
        <v>0.26</v>
      </c>
    </row>
    <row r="39" spans="1:89" x14ac:dyDescent="0.25">
      <c r="A39" s="23"/>
      <c r="B39">
        <v>0</v>
      </c>
      <c r="C39">
        <v>0.09</v>
      </c>
      <c r="D39">
        <v>0.46</v>
      </c>
      <c r="E39">
        <v>0.1</v>
      </c>
      <c r="F39">
        <v>0.19</v>
      </c>
      <c r="H39">
        <v>0.02</v>
      </c>
      <c r="J39">
        <v>0.01</v>
      </c>
      <c r="L39">
        <v>0.14000000000000001</v>
      </c>
      <c r="M39">
        <v>0.64</v>
      </c>
      <c r="Q39">
        <v>0</v>
      </c>
      <c r="U39">
        <v>0.28000000000000003</v>
      </c>
      <c r="W39">
        <v>0.28999999999999998</v>
      </c>
      <c r="X39">
        <v>0.28999999999999998</v>
      </c>
      <c r="Z39">
        <v>0.04</v>
      </c>
      <c r="AC39">
        <v>0.2</v>
      </c>
      <c r="AG39">
        <v>0.5</v>
      </c>
      <c r="AH39">
        <v>0.41</v>
      </c>
      <c r="AI39">
        <v>0.37</v>
      </c>
      <c r="AJ39">
        <v>0.32</v>
      </c>
      <c r="AL39">
        <v>0.05</v>
      </c>
      <c r="AO39">
        <v>0.13</v>
      </c>
      <c r="AP39">
        <v>0.02</v>
      </c>
      <c r="AQ39">
        <v>0.06</v>
      </c>
      <c r="AS39">
        <v>0.2</v>
      </c>
      <c r="AW39">
        <v>0.16</v>
      </c>
      <c r="AY39">
        <v>0.54</v>
      </c>
      <c r="BA39">
        <v>0.21</v>
      </c>
      <c r="BC39">
        <v>0.08</v>
      </c>
      <c r="BE39">
        <v>0.11</v>
      </c>
      <c r="BF39">
        <v>0.68</v>
      </c>
      <c r="BM39">
        <v>0.42</v>
      </c>
      <c r="BP39">
        <v>0.02</v>
      </c>
      <c r="BS39">
        <v>0.21</v>
      </c>
      <c r="BT39">
        <v>0.22</v>
      </c>
      <c r="BU39">
        <v>0.19</v>
      </c>
      <c r="BW39">
        <v>0.45</v>
      </c>
      <c r="CB39">
        <v>0.03</v>
      </c>
      <c r="CC39">
        <v>0.47</v>
      </c>
      <c r="CD39">
        <v>0.13</v>
      </c>
      <c r="CH39">
        <v>0.1</v>
      </c>
      <c r="CK39">
        <v>0.2</v>
      </c>
    </row>
    <row r="40" spans="1:89" x14ac:dyDescent="0.25">
      <c r="A40" s="23"/>
      <c r="D40">
        <v>0.45</v>
      </c>
      <c r="G40">
        <v>0.17</v>
      </c>
      <c r="I40">
        <v>0.1</v>
      </c>
      <c r="K40">
        <v>0.18</v>
      </c>
      <c r="M40">
        <v>0.57999999999999996</v>
      </c>
      <c r="N40">
        <v>0.03</v>
      </c>
      <c r="P40">
        <v>0.14000000000000001</v>
      </c>
      <c r="R40">
        <v>0.32</v>
      </c>
      <c r="S40">
        <v>0.14000000000000001</v>
      </c>
      <c r="T40">
        <v>0.06</v>
      </c>
      <c r="Y40">
        <v>0.11</v>
      </c>
      <c r="Z40">
        <v>0.03</v>
      </c>
      <c r="AC40">
        <v>0.38</v>
      </c>
      <c r="AD40">
        <v>7.0000000000000007E-2</v>
      </c>
      <c r="AF40">
        <v>0.12</v>
      </c>
      <c r="AH40">
        <v>0</v>
      </c>
      <c r="AI40">
        <v>0.41</v>
      </c>
      <c r="AK40">
        <v>0.05</v>
      </c>
      <c r="AM40">
        <v>0.02</v>
      </c>
      <c r="AN40">
        <v>0.64</v>
      </c>
      <c r="AP40">
        <v>0.01</v>
      </c>
      <c r="AS40">
        <v>0.34</v>
      </c>
      <c r="AW40">
        <v>0.16</v>
      </c>
      <c r="BB40">
        <v>0.23</v>
      </c>
      <c r="BD40">
        <v>1</v>
      </c>
      <c r="BF40">
        <v>0.42</v>
      </c>
      <c r="BG40">
        <v>0.48</v>
      </c>
      <c r="BI40">
        <v>0.05</v>
      </c>
      <c r="BN40">
        <v>0.13</v>
      </c>
      <c r="BO40">
        <v>0.17</v>
      </c>
      <c r="BT40">
        <v>0.01</v>
      </c>
      <c r="BU40">
        <v>0.02</v>
      </c>
      <c r="BV40">
        <v>0.42</v>
      </c>
      <c r="BX40">
        <v>0.2</v>
      </c>
      <c r="BZ40">
        <v>0.65</v>
      </c>
      <c r="CC40">
        <v>0.28999999999999998</v>
      </c>
      <c r="CE40">
        <v>0.09</v>
      </c>
      <c r="CG40">
        <v>0.4</v>
      </c>
      <c r="CI40">
        <v>0.28000000000000003</v>
      </c>
      <c r="CJ40">
        <v>0.14000000000000001</v>
      </c>
      <c r="CK40">
        <v>0.04</v>
      </c>
    </row>
    <row r="41" spans="1:89" x14ac:dyDescent="0.25">
      <c r="A41" s="23"/>
      <c r="D41">
        <v>0.2</v>
      </c>
      <c r="F41">
        <v>0.06</v>
      </c>
    </row>
    <row r="42" spans="1:89" x14ac:dyDescent="0.25">
      <c r="A42" s="23" t="s">
        <v>268</v>
      </c>
      <c r="B42">
        <v>0.68</v>
      </c>
      <c r="C42">
        <v>0.15</v>
      </c>
      <c r="D42">
        <v>0.22</v>
      </c>
      <c r="E42">
        <v>0.31</v>
      </c>
      <c r="F42">
        <v>0</v>
      </c>
      <c r="H42">
        <v>0.28000000000000003</v>
      </c>
      <c r="J42">
        <v>0.02</v>
      </c>
      <c r="L42">
        <v>0.17</v>
      </c>
      <c r="O42">
        <v>0.34</v>
      </c>
      <c r="U42">
        <v>0.14000000000000001</v>
      </c>
      <c r="V42">
        <v>0.31</v>
      </c>
      <c r="AA42">
        <v>0.02</v>
      </c>
      <c r="AB42">
        <v>0.56000000000000005</v>
      </c>
      <c r="AE42">
        <v>0.12</v>
      </c>
      <c r="AG42">
        <v>0.25</v>
      </c>
      <c r="AL42">
        <v>7.0000000000000007E-2</v>
      </c>
      <c r="AO42">
        <v>0.1</v>
      </c>
      <c r="AR42">
        <v>0.06</v>
      </c>
      <c r="AT42">
        <v>0</v>
      </c>
      <c r="AU42">
        <v>0</v>
      </c>
      <c r="AV42">
        <v>1.1499999999999999</v>
      </c>
      <c r="AX42">
        <v>0.12</v>
      </c>
      <c r="AZ42">
        <v>0.25</v>
      </c>
      <c r="BH42">
        <v>0.26</v>
      </c>
      <c r="BJ42">
        <v>0.12</v>
      </c>
      <c r="BK42">
        <v>0.08</v>
      </c>
      <c r="BL42">
        <v>0.19</v>
      </c>
      <c r="BQ42">
        <v>0.19</v>
      </c>
      <c r="BR42">
        <v>0.13</v>
      </c>
      <c r="BY42">
        <v>0.56000000000000005</v>
      </c>
      <c r="CA42">
        <v>0.63</v>
      </c>
      <c r="CF42">
        <v>0.1</v>
      </c>
      <c r="CH42">
        <v>0.53</v>
      </c>
    </row>
    <row r="43" spans="1:89" x14ac:dyDescent="0.25">
      <c r="A43" s="23"/>
      <c r="B43">
        <v>0.62</v>
      </c>
      <c r="C43">
        <v>0.28000000000000003</v>
      </c>
      <c r="D43">
        <v>0.49</v>
      </c>
      <c r="E43">
        <v>0.26</v>
      </c>
      <c r="H43">
        <v>0.22</v>
      </c>
      <c r="I43">
        <v>0.16</v>
      </c>
      <c r="J43">
        <v>0</v>
      </c>
      <c r="L43">
        <v>0.14000000000000001</v>
      </c>
      <c r="M43">
        <v>0.21</v>
      </c>
      <c r="P43">
        <v>0.06</v>
      </c>
      <c r="Q43">
        <v>0.48</v>
      </c>
      <c r="R43">
        <v>0.56000000000000005</v>
      </c>
      <c r="T43">
        <v>0.02</v>
      </c>
      <c r="U43">
        <v>0.2</v>
      </c>
      <c r="Y43">
        <v>0.3</v>
      </c>
      <c r="Z43">
        <v>0.28999999999999998</v>
      </c>
      <c r="AA43">
        <v>0.19</v>
      </c>
      <c r="AC43">
        <v>0.3</v>
      </c>
      <c r="AD43">
        <v>0.19</v>
      </c>
      <c r="AF43">
        <v>0.04</v>
      </c>
      <c r="AG43">
        <v>0.35</v>
      </c>
      <c r="AH43">
        <v>0.3</v>
      </c>
      <c r="AJ43">
        <v>0.06</v>
      </c>
      <c r="AL43">
        <v>0.06</v>
      </c>
      <c r="AM43">
        <v>7.0000000000000007E-2</v>
      </c>
      <c r="AN43">
        <v>0.08</v>
      </c>
      <c r="AO43">
        <v>0.09</v>
      </c>
      <c r="AP43">
        <v>0.28000000000000003</v>
      </c>
      <c r="AR43">
        <v>0.05</v>
      </c>
      <c r="AT43">
        <v>0.09</v>
      </c>
      <c r="AU43">
        <v>0.08</v>
      </c>
      <c r="AW43">
        <v>0.22</v>
      </c>
      <c r="AX43">
        <v>0.14000000000000001</v>
      </c>
      <c r="AZ43">
        <v>0.46</v>
      </c>
      <c r="BB43">
        <v>0.54</v>
      </c>
      <c r="BD43">
        <v>0.24</v>
      </c>
      <c r="BF43">
        <v>0.86</v>
      </c>
      <c r="BG43">
        <v>0.2</v>
      </c>
      <c r="BI43">
        <v>0.08</v>
      </c>
      <c r="BK43">
        <v>0.31</v>
      </c>
      <c r="BL43">
        <v>0.16</v>
      </c>
      <c r="BM43">
        <v>0.2</v>
      </c>
      <c r="BN43">
        <v>0.03</v>
      </c>
      <c r="BO43">
        <v>0.13</v>
      </c>
      <c r="BP43">
        <v>0.3</v>
      </c>
      <c r="BQ43">
        <v>0.05</v>
      </c>
      <c r="BR43">
        <v>0.2</v>
      </c>
      <c r="BT43">
        <v>0.15</v>
      </c>
      <c r="BU43">
        <v>0.26</v>
      </c>
      <c r="BX43">
        <v>0.01</v>
      </c>
      <c r="BY43">
        <v>0.08</v>
      </c>
      <c r="BZ43">
        <v>0.34</v>
      </c>
      <c r="CA43">
        <v>0.57999999999999996</v>
      </c>
      <c r="CC43">
        <v>0.27</v>
      </c>
      <c r="CE43">
        <v>0.08</v>
      </c>
      <c r="CF43">
        <v>0.24</v>
      </c>
      <c r="CH43">
        <v>0.4</v>
      </c>
      <c r="CI43">
        <v>0.15</v>
      </c>
      <c r="CJ43">
        <v>0</v>
      </c>
      <c r="CK43">
        <v>0.06</v>
      </c>
    </row>
    <row r="44" spans="1:89" x14ac:dyDescent="0.25">
      <c r="A44" s="23"/>
      <c r="C44">
        <v>0.25</v>
      </c>
      <c r="D44">
        <v>0.45</v>
      </c>
      <c r="F44">
        <v>7.0000000000000007E-2</v>
      </c>
      <c r="G44">
        <v>0.34</v>
      </c>
      <c r="H44">
        <v>0.21</v>
      </c>
      <c r="J44">
        <v>0</v>
      </c>
      <c r="K44">
        <v>0.13</v>
      </c>
      <c r="L44">
        <v>0.08</v>
      </c>
      <c r="M44">
        <v>0.18</v>
      </c>
      <c r="N44">
        <v>0.12</v>
      </c>
      <c r="Q44">
        <v>0.21</v>
      </c>
      <c r="S44">
        <v>0.45</v>
      </c>
      <c r="U44">
        <v>0.21</v>
      </c>
      <c r="W44">
        <v>0.11</v>
      </c>
      <c r="X44">
        <v>0.39</v>
      </c>
      <c r="AC44">
        <v>0.19</v>
      </c>
      <c r="AG44">
        <v>0.25</v>
      </c>
      <c r="AH44">
        <v>0.16</v>
      </c>
      <c r="AI44">
        <v>0.27</v>
      </c>
      <c r="AK44">
        <v>0.14000000000000001</v>
      </c>
      <c r="AL44">
        <v>0.05</v>
      </c>
      <c r="AO44">
        <v>0.01</v>
      </c>
      <c r="AP44">
        <v>0.19</v>
      </c>
      <c r="AQ44">
        <v>0.12</v>
      </c>
      <c r="AS44">
        <v>0.83</v>
      </c>
      <c r="AW44">
        <v>0.22</v>
      </c>
      <c r="AY44">
        <v>0.78</v>
      </c>
      <c r="BA44">
        <v>0.36</v>
      </c>
      <c r="BC44">
        <v>0.11</v>
      </c>
      <c r="BE44">
        <v>0.02</v>
      </c>
      <c r="BF44">
        <v>0.74</v>
      </c>
      <c r="BL44">
        <v>0.6</v>
      </c>
      <c r="BO44">
        <v>0.1</v>
      </c>
      <c r="BS44">
        <v>0.34</v>
      </c>
      <c r="BT44">
        <v>0.06</v>
      </c>
      <c r="BU44">
        <v>0.23</v>
      </c>
      <c r="BV44">
        <v>0.31</v>
      </c>
      <c r="BW44">
        <v>7.0000000000000007E-2</v>
      </c>
      <c r="BZ44">
        <v>0.79</v>
      </c>
      <c r="CB44">
        <v>0.01</v>
      </c>
      <c r="CC44">
        <v>0.31</v>
      </c>
      <c r="CD44">
        <v>0.09</v>
      </c>
      <c r="CG44">
        <v>0.06</v>
      </c>
      <c r="CH44">
        <v>0.16</v>
      </c>
      <c r="CJ44">
        <v>0.03</v>
      </c>
      <c r="CK44">
        <v>0.12</v>
      </c>
    </row>
    <row r="45" spans="1:89" x14ac:dyDescent="0.25">
      <c r="A45" s="23"/>
      <c r="D45">
        <v>0.45</v>
      </c>
      <c r="I45">
        <v>0.13</v>
      </c>
      <c r="M45">
        <v>0.15</v>
      </c>
      <c r="P45">
        <v>0.04</v>
      </c>
      <c r="Q45">
        <v>0.5</v>
      </c>
      <c r="R45">
        <v>0.23</v>
      </c>
      <c r="T45">
        <v>0.03</v>
      </c>
      <c r="Y45">
        <v>0.28000000000000003</v>
      </c>
      <c r="Z45">
        <v>0.25</v>
      </c>
      <c r="AC45">
        <v>0.1</v>
      </c>
      <c r="AD45">
        <v>0.13</v>
      </c>
      <c r="AF45">
        <v>0.1</v>
      </c>
      <c r="AH45">
        <v>0.2</v>
      </c>
      <c r="AJ45">
        <v>0.04</v>
      </c>
      <c r="AM45">
        <v>0.05</v>
      </c>
      <c r="AN45">
        <v>0.46</v>
      </c>
      <c r="AP45">
        <v>0.2</v>
      </c>
      <c r="AW45">
        <v>0.09</v>
      </c>
      <c r="BB45">
        <v>0.17</v>
      </c>
      <c r="BD45">
        <v>0.19</v>
      </c>
      <c r="BF45">
        <v>0.36</v>
      </c>
      <c r="BG45">
        <v>0.28000000000000003</v>
      </c>
      <c r="BI45">
        <v>0.1</v>
      </c>
      <c r="BM45">
        <v>0.94</v>
      </c>
      <c r="BN45">
        <v>0.08</v>
      </c>
      <c r="BO45">
        <v>0.26</v>
      </c>
      <c r="BP45">
        <v>0.15</v>
      </c>
      <c r="BT45">
        <v>0.15</v>
      </c>
      <c r="BU45">
        <v>0.02</v>
      </c>
      <c r="BX45">
        <v>0.02</v>
      </c>
      <c r="BZ45">
        <v>1.1599999999999999</v>
      </c>
      <c r="CC45">
        <v>0.14000000000000001</v>
      </c>
      <c r="CE45">
        <v>0.02</v>
      </c>
      <c r="CI45">
        <v>7.0000000000000007E-2</v>
      </c>
      <c r="CJ45">
        <v>0.02</v>
      </c>
      <c r="CK45">
        <v>0.22</v>
      </c>
    </row>
    <row r="46" spans="1:89" x14ac:dyDescent="0.25">
      <c r="A46" s="23"/>
      <c r="D46">
        <v>0</v>
      </c>
      <c r="F46">
        <v>0.01</v>
      </c>
    </row>
    <row r="47" spans="1:89" x14ac:dyDescent="0.25">
      <c r="A47" s="23" t="s">
        <v>269</v>
      </c>
      <c r="B47">
        <v>0.01</v>
      </c>
      <c r="C47">
        <v>0.25</v>
      </c>
      <c r="D47">
        <v>0.23</v>
      </c>
      <c r="E47">
        <v>0.04</v>
      </c>
      <c r="F47">
        <v>0.6</v>
      </c>
      <c r="H47">
        <v>0.42</v>
      </c>
      <c r="J47">
        <v>0</v>
      </c>
      <c r="L47">
        <v>0.06</v>
      </c>
      <c r="O47">
        <v>0.83</v>
      </c>
      <c r="U47">
        <v>0.12</v>
      </c>
      <c r="V47">
        <v>0.27</v>
      </c>
      <c r="AA47">
        <v>0.24</v>
      </c>
      <c r="AB47">
        <v>0.36</v>
      </c>
      <c r="AE47">
        <v>0.46</v>
      </c>
      <c r="AG47">
        <v>0.21</v>
      </c>
      <c r="AL47">
        <v>0.02</v>
      </c>
      <c r="AO47">
        <v>0.08</v>
      </c>
      <c r="AR47">
        <v>0.04</v>
      </c>
      <c r="AT47">
        <v>0</v>
      </c>
      <c r="AU47">
        <v>0.09</v>
      </c>
      <c r="AV47">
        <v>0.52</v>
      </c>
      <c r="AX47">
        <v>0</v>
      </c>
      <c r="AZ47">
        <v>0.08</v>
      </c>
      <c r="BH47">
        <v>0.42</v>
      </c>
      <c r="BJ47">
        <v>0.17</v>
      </c>
      <c r="BK47">
        <v>0.18</v>
      </c>
      <c r="BL47">
        <v>0.33</v>
      </c>
      <c r="BQ47">
        <v>0.28999999999999998</v>
      </c>
      <c r="BR47">
        <v>0.41</v>
      </c>
      <c r="BY47">
        <v>0.3</v>
      </c>
      <c r="CA47">
        <v>0.19</v>
      </c>
      <c r="CF47">
        <v>0.11</v>
      </c>
      <c r="CH47">
        <v>0.37</v>
      </c>
    </row>
    <row r="48" spans="1:89" x14ac:dyDescent="0.25">
      <c r="A48" s="23"/>
      <c r="B48">
        <v>0.19</v>
      </c>
      <c r="C48">
        <v>0.28000000000000003</v>
      </c>
      <c r="D48">
        <v>0.52</v>
      </c>
      <c r="E48">
        <v>0.6</v>
      </c>
      <c r="H48">
        <v>0.3</v>
      </c>
      <c r="I48">
        <v>0.46</v>
      </c>
      <c r="J48">
        <v>0.04</v>
      </c>
      <c r="L48">
        <v>7.0000000000000007E-2</v>
      </c>
      <c r="M48">
        <v>0.17</v>
      </c>
      <c r="P48">
        <v>0.02</v>
      </c>
      <c r="Q48">
        <v>0.3</v>
      </c>
      <c r="R48">
        <v>0.23</v>
      </c>
      <c r="S48">
        <v>0.23</v>
      </c>
      <c r="T48">
        <v>0.01</v>
      </c>
      <c r="U48">
        <v>0.2</v>
      </c>
      <c r="Y48">
        <v>0.45</v>
      </c>
      <c r="Z48">
        <v>0.26</v>
      </c>
      <c r="AA48">
        <v>0.21</v>
      </c>
      <c r="AC48">
        <v>0.19</v>
      </c>
      <c r="AD48">
        <v>0.38</v>
      </c>
      <c r="AF48">
        <v>0.28000000000000003</v>
      </c>
      <c r="AG48">
        <v>0.18</v>
      </c>
      <c r="AH48">
        <v>0.3</v>
      </c>
      <c r="AK48">
        <v>0.42</v>
      </c>
      <c r="AL48">
        <v>0.02</v>
      </c>
      <c r="AM48">
        <v>0.8</v>
      </c>
      <c r="AN48">
        <v>0.04</v>
      </c>
      <c r="AO48">
        <v>0.12</v>
      </c>
      <c r="AP48">
        <v>0</v>
      </c>
      <c r="AR48">
        <v>7.0000000000000007E-2</v>
      </c>
      <c r="AT48">
        <v>0.02</v>
      </c>
      <c r="AU48">
        <v>0.71</v>
      </c>
      <c r="AV48">
        <v>0.53</v>
      </c>
      <c r="AW48">
        <v>0.44</v>
      </c>
      <c r="AX48">
        <v>0.03</v>
      </c>
      <c r="AZ48">
        <v>0.1</v>
      </c>
      <c r="BB48">
        <v>0.01</v>
      </c>
      <c r="BF48">
        <v>0.16</v>
      </c>
      <c r="BG48">
        <v>0.19</v>
      </c>
      <c r="BI48">
        <v>0.12</v>
      </c>
      <c r="BK48">
        <v>0.26</v>
      </c>
      <c r="BN48">
        <v>0.16</v>
      </c>
      <c r="BO48">
        <v>0.61</v>
      </c>
      <c r="BQ48">
        <v>0.11</v>
      </c>
      <c r="BR48">
        <v>0.35</v>
      </c>
      <c r="BT48">
        <v>7.0000000000000007E-2</v>
      </c>
      <c r="BU48">
        <v>0.06</v>
      </c>
      <c r="BX48">
        <v>0.08</v>
      </c>
      <c r="BY48">
        <v>0.27</v>
      </c>
      <c r="BZ48">
        <v>0.59</v>
      </c>
      <c r="CA48">
        <v>0.18</v>
      </c>
      <c r="CC48">
        <v>0.47</v>
      </c>
      <c r="CE48">
        <v>0.04</v>
      </c>
      <c r="CF48">
        <v>0.3</v>
      </c>
      <c r="CH48">
        <v>0.47</v>
      </c>
      <c r="CI48">
        <v>0.01</v>
      </c>
      <c r="CJ48">
        <v>0.03</v>
      </c>
      <c r="CK48">
        <v>0.41</v>
      </c>
    </row>
    <row r="49" spans="1:89" x14ac:dyDescent="0.25">
      <c r="A49" s="23"/>
      <c r="C49">
        <v>0.18</v>
      </c>
      <c r="D49">
        <v>0.37</v>
      </c>
      <c r="E49">
        <v>0.23</v>
      </c>
      <c r="F49">
        <v>0.56000000000000005</v>
      </c>
      <c r="G49">
        <v>0.04</v>
      </c>
      <c r="H49">
        <v>0.22</v>
      </c>
      <c r="J49">
        <v>0.02</v>
      </c>
      <c r="K49">
        <v>0.13</v>
      </c>
      <c r="L49">
        <v>0.05</v>
      </c>
      <c r="M49">
        <v>0.16</v>
      </c>
      <c r="N49">
        <v>0.05</v>
      </c>
      <c r="Q49">
        <v>0.17</v>
      </c>
      <c r="S49">
        <v>0.21</v>
      </c>
      <c r="U49">
        <v>0.68</v>
      </c>
      <c r="W49">
        <v>0.06</v>
      </c>
      <c r="X49">
        <v>0.18</v>
      </c>
      <c r="AC49">
        <v>0.15</v>
      </c>
      <c r="AF49">
        <v>0.23</v>
      </c>
      <c r="AG49">
        <v>0.11</v>
      </c>
      <c r="AI49">
        <v>0.31</v>
      </c>
      <c r="AJ49">
        <v>0.08</v>
      </c>
      <c r="AL49">
        <v>0</v>
      </c>
      <c r="AO49">
        <v>0.04</v>
      </c>
      <c r="AP49">
        <v>0.09</v>
      </c>
      <c r="AQ49">
        <v>0.01</v>
      </c>
      <c r="AS49">
        <v>0.23</v>
      </c>
      <c r="AW49">
        <v>0.37</v>
      </c>
      <c r="AY49">
        <v>0.22</v>
      </c>
      <c r="AZ49">
        <v>0.02</v>
      </c>
      <c r="BA49">
        <v>0.27</v>
      </c>
      <c r="BC49">
        <v>0.28000000000000003</v>
      </c>
      <c r="BD49">
        <v>0.2</v>
      </c>
      <c r="BE49">
        <v>0.15</v>
      </c>
      <c r="BF49">
        <v>0.46</v>
      </c>
      <c r="BM49">
        <v>0.31</v>
      </c>
      <c r="BP49">
        <v>0.41</v>
      </c>
      <c r="BS49">
        <v>0.21</v>
      </c>
      <c r="BT49">
        <v>0.14000000000000001</v>
      </c>
      <c r="BU49">
        <v>0.1</v>
      </c>
      <c r="BV49">
        <v>0.55000000000000004</v>
      </c>
      <c r="BW49">
        <v>0.13</v>
      </c>
      <c r="BZ49">
        <v>0.28999999999999998</v>
      </c>
      <c r="CB49">
        <v>0.03</v>
      </c>
      <c r="CC49">
        <v>0.82</v>
      </c>
      <c r="CD49">
        <v>0.02</v>
      </c>
      <c r="CG49">
        <v>0.08</v>
      </c>
      <c r="CH49">
        <v>0.22</v>
      </c>
      <c r="CI49">
        <v>0.02</v>
      </c>
    </row>
    <row r="50" spans="1:89" x14ac:dyDescent="0.25">
      <c r="A50" s="23"/>
      <c r="D50">
        <v>0.44</v>
      </c>
      <c r="I50">
        <v>0.39</v>
      </c>
      <c r="M50">
        <v>0.21</v>
      </c>
      <c r="P50">
        <v>0</v>
      </c>
      <c r="Q50">
        <v>0</v>
      </c>
      <c r="R50">
        <v>0.11</v>
      </c>
      <c r="S50">
        <v>0.18</v>
      </c>
      <c r="T50">
        <v>0</v>
      </c>
      <c r="Y50">
        <v>0.46</v>
      </c>
      <c r="Z50">
        <v>0.67</v>
      </c>
      <c r="AC50">
        <v>0.08</v>
      </c>
      <c r="AD50">
        <v>0.56000000000000005</v>
      </c>
      <c r="AF50">
        <v>0.14000000000000001</v>
      </c>
      <c r="AH50">
        <v>0.21</v>
      </c>
      <c r="AK50">
        <v>0.38</v>
      </c>
      <c r="AM50">
        <v>0.42</v>
      </c>
      <c r="AN50">
        <v>0.01</v>
      </c>
      <c r="AP50">
        <v>0.03</v>
      </c>
      <c r="AW50">
        <v>0.25</v>
      </c>
      <c r="BB50">
        <v>0</v>
      </c>
      <c r="BF50">
        <v>0.32</v>
      </c>
      <c r="BG50">
        <v>0.17</v>
      </c>
      <c r="BI50">
        <v>0.28000000000000003</v>
      </c>
      <c r="BN50">
        <v>0.2</v>
      </c>
      <c r="BO50">
        <v>0.05</v>
      </c>
      <c r="BT50">
        <v>0.11</v>
      </c>
      <c r="BU50">
        <v>0.02</v>
      </c>
      <c r="BX50">
        <v>0.16</v>
      </c>
      <c r="BZ50">
        <v>0.32</v>
      </c>
      <c r="CC50">
        <v>0.54</v>
      </c>
      <c r="CE50">
        <v>0.05</v>
      </c>
      <c r="CI50">
        <v>0</v>
      </c>
      <c r="CJ50">
        <v>0.04</v>
      </c>
      <c r="CK50">
        <v>0.19</v>
      </c>
    </row>
    <row r="51" spans="1:89" x14ac:dyDescent="0.25">
      <c r="A51" s="23"/>
      <c r="D51">
        <v>0.08</v>
      </c>
      <c r="F51">
        <v>0.21</v>
      </c>
    </row>
    <row r="52" spans="1:89" x14ac:dyDescent="0.25">
      <c r="A52" s="23" t="s">
        <v>270</v>
      </c>
      <c r="B52">
        <v>0.12</v>
      </c>
      <c r="C52">
        <v>0</v>
      </c>
      <c r="D52">
        <v>0.39</v>
      </c>
      <c r="E52">
        <v>0.34</v>
      </c>
      <c r="F52">
        <v>7.0000000000000007E-2</v>
      </c>
      <c r="H52">
        <v>0.1</v>
      </c>
      <c r="J52">
        <v>0.02</v>
      </c>
      <c r="L52">
        <v>0.38</v>
      </c>
      <c r="O52">
        <v>0.46</v>
      </c>
      <c r="U52">
        <v>0.12</v>
      </c>
      <c r="V52">
        <v>0.05</v>
      </c>
      <c r="AA52">
        <v>0.11</v>
      </c>
      <c r="AB52">
        <v>0.03</v>
      </c>
      <c r="AE52">
        <v>0.11</v>
      </c>
      <c r="AG52">
        <v>0.03</v>
      </c>
      <c r="AL52">
        <v>0.03</v>
      </c>
      <c r="AO52">
        <v>0.09</v>
      </c>
      <c r="AR52">
        <v>0.02</v>
      </c>
      <c r="AT52">
        <v>0.02</v>
      </c>
      <c r="AU52">
        <v>0.27</v>
      </c>
      <c r="AV52">
        <v>1.23</v>
      </c>
      <c r="AX52">
        <v>0.75</v>
      </c>
      <c r="AZ52">
        <v>0.2</v>
      </c>
      <c r="BH52">
        <v>0.23</v>
      </c>
      <c r="BJ52">
        <v>0.25</v>
      </c>
      <c r="BK52">
        <v>0</v>
      </c>
      <c r="BL52">
        <v>0.21</v>
      </c>
      <c r="BQ52">
        <v>0.03</v>
      </c>
      <c r="BR52">
        <v>0.14000000000000001</v>
      </c>
      <c r="BY52">
        <v>0.46</v>
      </c>
      <c r="CA52">
        <v>7.0000000000000007E-2</v>
      </c>
      <c r="CF52">
        <v>0.04</v>
      </c>
      <c r="CH52">
        <v>0</v>
      </c>
    </row>
    <row r="53" spans="1:89" x14ac:dyDescent="0.25">
      <c r="A53" s="23"/>
      <c r="B53">
        <v>0.08</v>
      </c>
      <c r="C53">
        <v>0.35</v>
      </c>
      <c r="D53">
        <v>0.48</v>
      </c>
      <c r="E53">
        <v>0.48</v>
      </c>
      <c r="H53">
        <v>0.2</v>
      </c>
      <c r="I53">
        <v>0.17</v>
      </c>
      <c r="J53">
        <v>0</v>
      </c>
      <c r="K53">
        <v>0.23</v>
      </c>
      <c r="L53">
        <v>0.11</v>
      </c>
      <c r="M53">
        <v>0.16</v>
      </c>
      <c r="N53">
        <v>0.21</v>
      </c>
      <c r="P53">
        <v>0</v>
      </c>
      <c r="Q53">
        <v>0.13</v>
      </c>
      <c r="S53">
        <v>0.1</v>
      </c>
      <c r="T53">
        <v>0.01</v>
      </c>
      <c r="U53">
        <v>0.44</v>
      </c>
      <c r="Y53">
        <v>0.26</v>
      </c>
      <c r="Z53">
        <v>0.02</v>
      </c>
      <c r="AA53">
        <v>0.18</v>
      </c>
      <c r="AB53">
        <v>0.04</v>
      </c>
      <c r="AC53">
        <v>0.28000000000000003</v>
      </c>
      <c r="AD53">
        <v>0.11</v>
      </c>
      <c r="AF53">
        <v>0.01</v>
      </c>
      <c r="AG53">
        <v>0.32</v>
      </c>
      <c r="AH53">
        <v>0.06</v>
      </c>
      <c r="AJ53">
        <v>0.01</v>
      </c>
      <c r="AL53">
        <v>0.02</v>
      </c>
      <c r="AM53">
        <v>0.48</v>
      </c>
      <c r="AN53">
        <v>0.15</v>
      </c>
      <c r="AO53">
        <v>0.11</v>
      </c>
      <c r="AP53">
        <v>0</v>
      </c>
      <c r="AR53">
        <v>0.09</v>
      </c>
      <c r="AT53">
        <v>0.04</v>
      </c>
      <c r="AU53">
        <v>1.04</v>
      </c>
      <c r="AW53">
        <v>0.36</v>
      </c>
      <c r="AZ53">
        <v>0.01</v>
      </c>
      <c r="BD53">
        <v>7.0000000000000007E-2</v>
      </c>
      <c r="BF53">
        <v>0.31</v>
      </c>
      <c r="BG53">
        <v>0.12</v>
      </c>
      <c r="BI53">
        <v>0.34</v>
      </c>
      <c r="BK53">
        <v>0.15</v>
      </c>
      <c r="BN53">
        <v>0.26</v>
      </c>
      <c r="BO53">
        <v>0.04</v>
      </c>
      <c r="BQ53">
        <v>0.19</v>
      </c>
      <c r="BR53">
        <v>0.17</v>
      </c>
      <c r="BT53">
        <v>0</v>
      </c>
      <c r="BU53">
        <v>0.66</v>
      </c>
      <c r="BX53">
        <v>0.24</v>
      </c>
      <c r="BY53">
        <v>7.0000000000000007E-2</v>
      </c>
      <c r="BZ53">
        <v>0.05</v>
      </c>
      <c r="CA53">
        <v>7.0000000000000007E-2</v>
      </c>
      <c r="CC53">
        <v>7.0000000000000007E-2</v>
      </c>
      <c r="CE53">
        <v>0.32</v>
      </c>
      <c r="CF53">
        <v>0.24</v>
      </c>
      <c r="CG53">
        <v>0</v>
      </c>
      <c r="CH53">
        <v>0.01</v>
      </c>
      <c r="CI53">
        <v>0.01</v>
      </c>
      <c r="CJ53">
        <v>0.04</v>
      </c>
      <c r="CK53">
        <v>0.05</v>
      </c>
    </row>
    <row r="54" spans="1:89" x14ac:dyDescent="0.25">
      <c r="A54" s="23"/>
      <c r="C54">
        <v>0.39</v>
      </c>
      <c r="D54">
        <v>0.49</v>
      </c>
      <c r="F54">
        <v>0.2</v>
      </c>
      <c r="G54">
        <v>0.6</v>
      </c>
      <c r="H54">
        <v>0.17</v>
      </c>
      <c r="J54">
        <v>0</v>
      </c>
      <c r="L54">
        <v>0.27</v>
      </c>
      <c r="M54">
        <v>0.24</v>
      </c>
      <c r="Q54">
        <v>0.17</v>
      </c>
      <c r="R54">
        <v>0.27</v>
      </c>
      <c r="S54">
        <v>0.28000000000000003</v>
      </c>
      <c r="U54">
        <v>0.15</v>
      </c>
      <c r="W54">
        <v>0.24</v>
      </c>
      <c r="X54">
        <v>0.26</v>
      </c>
      <c r="AC54">
        <v>0.53</v>
      </c>
      <c r="AF54">
        <v>0.1</v>
      </c>
      <c r="AG54">
        <v>0.27</v>
      </c>
      <c r="AI54">
        <v>0.24</v>
      </c>
      <c r="AJ54">
        <v>0.01</v>
      </c>
      <c r="AK54">
        <v>0.18</v>
      </c>
      <c r="AL54">
        <v>0</v>
      </c>
      <c r="AO54">
        <v>0.09</v>
      </c>
      <c r="AP54">
        <v>0</v>
      </c>
      <c r="AQ54">
        <v>7.0000000000000007E-2</v>
      </c>
      <c r="AS54">
        <v>0.22</v>
      </c>
      <c r="AW54">
        <v>0.59</v>
      </c>
      <c r="AY54">
        <v>0.45</v>
      </c>
      <c r="AZ54">
        <v>0.11</v>
      </c>
      <c r="BA54">
        <v>0.19</v>
      </c>
      <c r="BB54">
        <v>0.67</v>
      </c>
      <c r="BC54">
        <v>0.12</v>
      </c>
      <c r="BE54">
        <v>0.1</v>
      </c>
      <c r="BF54">
        <v>0.33</v>
      </c>
      <c r="BM54">
        <v>0.41</v>
      </c>
      <c r="BP54">
        <v>0.13</v>
      </c>
      <c r="BS54">
        <v>0.42</v>
      </c>
      <c r="BT54">
        <v>0.18</v>
      </c>
      <c r="BV54">
        <v>0.36</v>
      </c>
      <c r="BW54">
        <v>0.1</v>
      </c>
      <c r="BZ54">
        <v>0.1</v>
      </c>
      <c r="CB54">
        <v>0.06</v>
      </c>
      <c r="CC54">
        <v>0.87</v>
      </c>
      <c r="CD54">
        <v>0.48</v>
      </c>
      <c r="CG54">
        <v>7.0000000000000007E-2</v>
      </c>
      <c r="CH54">
        <v>0.15</v>
      </c>
      <c r="CI54">
        <v>0.02</v>
      </c>
      <c r="CK54">
        <v>0.1</v>
      </c>
    </row>
    <row r="55" spans="1:89" x14ac:dyDescent="0.25">
      <c r="A55" s="23"/>
      <c r="D55">
        <v>0.37</v>
      </c>
      <c r="I55">
        <v>0.26</v>
      </c>
      <c r="K55">
        <v>0.21</v>
      </c>
      <c r="M55">
        <v>0.21</v>
      </c>
      <c r="N55">
        <v>0.08</v>
      </c>
      <c r="P55">
        <v>0.12</v>
      </c>
      <c r="Q55">
        <v>0.16</v>
      </c>
      <c r="S55">
        <v>7.0000000000000007E-2</v>
      </c>
      <c r="T55">
        <v>0.03</v>
      </c>
      <c r="Y55">
        <v>0.28999999999999998</v>
      </c>
      <c r="Z55">
        <v>0.12</v>
      </c>
      <c r="AC55">
        <v>0.15</v>
      </c>
      <c r="AD55">
        <v>0</v>
      </c>
      <c r="AF55">
        <v>0.2</v>
      </c>
      <c r="AH55">
        <v>0.22</v>
      </c>
      <c r="AJ55">
        <v>0</v>
      </c>
      <c r="AM55">
        <v>0.59</v>
      </c>
      <c r="AN55">
        <v>0.19</v>
      </c>
      <c r="AP55">
        <v>0.09</v>
      </c>
      <c r="AW55">
        <v>0.01</v>
      </c>
      <c r="BD55">
        <v>7.0000000000000007E-2</v>
      </c>
      <c r="BF55">
        <v>0.25</v>
      </c>
      <c r="BG55">
        <v>0.5</v>
      </c>
      <c r="BI55">
        <v>0.25</v>
      </c>
      <c r="BN55">
        <v>0.16</v>
      </c>
      <c r="BO55">
        <v>0.38</v>
      </c>
      <c r="BT55">
        <v>0.1</v>
      </c>
      <c r="BU55">
        <v>0.66</v>
      </c>
      <c r="BX55">
        <v>0.24</v>
      </c>
      <c r="BZ55">
        <v>0.04</v>
      </c>
      <c r="CC55">
        <v>0.11</v>
      </c>
      <c r="CE55">
        <v>0.12</v>
      </c>
      <c r="CG55">
        <v>0.01</v>
      </c>
      <c r="CI55">
        <v>0</v>
      </c>
      <c r="CJ55">
        <v>0.19</v>
      </c>
      <c r="CK55">
        <v>0</v>
      </c>
    </row>
    <row r="56" spans="1:89" x14ac:dyDescent="0.25">
      <c r="A56" s="23"/>
      <c r="D56">
        <v>0.14000000000000001</v>
      </c>
      <c r="F56">
        <v>0.03</v>
      </c>
    </row>
    <row r="57" spans="1:89" x14ac:dyDescent="0.25">
      <c r="A57" s="23" t="s">
        <v>271</v>
      </c>
      <c r="B57">
        <v>0.16</v>
      </c>
      <c r="C57">
        <v>0.68</v>
      </c>
      <c r="D57">
        <v>0.51</v>
      </c>
      <c r="E57">
        <v>0.38</v>
      </c>
      <c r="F57">
        <v>0</v>
      </c>
      <c r="H57">
        <v>0.15</v>
      </c>
      <c r="J57">
        <v>0.01</v>
      </c>
      <c r="L57">
        <v>0.81</v>
      </c>
      <c r="O57">
        <v>0.32</v>
      </c>
      <c r="U57">
        <v>0.56999999999999995</v>
      </c>
      <c r="V57">
        <v>0.37</v>
      </c>
      <c r="AA57">
        <v>0.12</v>
      </c>
      <c r="AB57">
        <v>0</v>
      </c>
      <c r="AE57">
        <v>7.0000000000000007E-2</v>
      </c>
      <c r="AG57">
        <v>0.61</v>
      </c>
      <c r="AL57">
        <v>0</v>
      </c>
      <c r="AO57">
        <v>7.0000000000000007E-2</v>
      </c>
      <c r="AR57">
        <v>7.0000000000000007E-2</v>
      </c>
      <c r="AT57">
        <v>0.01</v>
      </c>
      <c r="AU57">
        <v>0.06</v>
      </c>
      <c r="AV57">
        <v>0.39</v>
      </c>
      <c r="AX57">
        <v>0.04</v>
      </c>
      <c r="AZ57">
        <v>0.31</v>
      </c>
      <c r="BH57">
        <v>0.27</v>
      </c>
      <c r="BJ57">
        <v>0.44</v>
      </c>
      <c r="BK57">
        <v>0.35</v>
      </c>
      <c r="BL57">
        <v>0.09</v>
      </c>
      <c r="BQ57">
        <v>0.1</v>
      </c>
      <c r="BR57">
        <v>0.16</v>
      </c>
      <c r="BY57">
        <v>0.11</v>
      </c>
      <c r="CA57">
        <v>0.35</v>
      </c>
      <c r="CF57">
        <v>0.09</v>
      </c>
      <c r="CH57">
        <v>7.0000000000000007E-2</v>
      </c>
    </row>
    <row r="58" spans="1:89" x14ac:dyDescent="0.25">
      <c r="A58" s="23"/>
      <c r="B58">
        <v>0</v>
      </c>
      <c r="C58">
        <v>0.15</v>
      </c>
      <c r="D58">
        <v>0.84</v>
      </c>
      <c r="E58">
        <v>0.56999999999999995</v>
      </c>
      <c r="H58">
        <v>0.05</v>
      </c>
      <c r="I58">
        <v>0.09</v>
      </c>
      <c r="J58">
        <v>0</v>
      </c>
      <c r="K58">
        <v>0.2</v>
      </c>
      <c r="L58">
        <v>1.2</v>
      </c>
      <c r="M58">
        <v>0.15</v>
      </c>
      <c r="P58">
        <v>0.09</v>
      </c>
      <c r="Q58">
        <v>0.08</v>
      </c>
      <c r="R58">
        <v>0.64</v>
      </c>
      <c r="S58">
        <v>0.36</v>
      </c>
      <c r="T58">
        <v>0.09</v>
      </c>
      <c r="Y58">
        <v>0.14000000000000001</v>
      </c>
      <c r="Z58">
        <v>0.1</v>
      </c>
      <c r="AA58">
        <v>0</v>
      </c>
      <c r="AB58">
        <v>0.02</v>
      </c>
      <c r="AC58">
        <v>0.4</v>
      </c>
      <c r="AD58">
        <v>7.0000000000000007E-2</v>
      </c>
      <c r="AF58">
        <v>0.11</v>
      </c>
      <c r="AG58">
        <v>0.84</v>
      </c>
      <c r="AH58">
        <v>7.0000000000000007E-2</v>
      </c>
      <c r="AJ58">
        <v>0</v>
      </c>
      <c r="AK58">
        <v>0.12</v>
      </c>
      <c r="AL58">
        <v>0.01</v>
      </c>
      <c r="AM58">
        <v>0</v>
      </c>
      <c r="AN58">
        <v>0.3</v>
      </c>
      <c r="AO58">
        <v>0.17</v>
      </c>
      <c r="AP58">
        <v>0.09</v>
      </c>
      <c r="AT58">
        <v>0</v>
      </c>
      <c r="AU58">
        <v>0.11</v>
      </c>
      <c r="AV58">
        <v>0.67</v>
      </c>
      <c r="AW58">
        <v>0.05</v>
      </c>
      <c r="AX58">
        <v>0.27</v>
      </c>
      <c r="AZ58">
        <v>0.28999999999999998</v>
      </c>
      <c r="BB58">
        <v>0.16</v>
      </c>
      <c r="BD58">
        <v>0</v>
      </c>
      <c r="BF58">
        <v>0.4</v>
      </c>
      <c r="BI58">
        <v>0.08</v>
      </c>
      <c r="BK58">
        <v>0.88</v>
      </c>
      <c r="BN58">
        <v>0.09</v>
      </c>
      <c r="BO58">
        <v>0</v>
      </c>
      <c r="BQ58">
        <v>7.0000000000000007E-2</v>
      </c>
      <c r="BR58">
        <v>0.09</v>
      </c>
      <c r="BT58">
        <v>0.43</v>
      </c>
      <c r="BU58">
        <v>0.12</v>
      </c>
      <c r="BX58">
        <v>0.6</v>
      </c>
      <c r="BY58">
        <v>0.13</v>
      </c>
      <c r="BZ58">
        <v>0.24</v>
      </c>
      <c r="CA58">
        <v>0.72</v>
      </c>
      <c r="CC58">
        <v>0.26</v>
      </c>
      <c r="CE58">
        <v>0</v>
      </c>
      <c r="CF58">
        <v>0.06</v>
      </c>
      <c r="CG58">
        <v>0.17</v>
      </c>
      <c r="CH58">
        <v>7.0000000000000007E-2</v>
      </c>
      <c r="CI58">
        <v>0.03</v>
      </c>
      <c r="CJ58">
        <v>0.09</v>
      </c>
      <c r="CK58">
        <v>0</v>
      </c>
    </row>
    <row r="59" spans="1:89" x14ac:dyDescent="0.25">
      <c r="A59" s="23"/>
      <c r="B59">
        <v>0</v>
      </c>
      <c r="C59">
        <v>0.74</v>
      </c>
      <c r="D59">
        <v>1.01</v>
      </c>
      <c r="F59">
        <v>0</v>
      </c>
      <c r="G59">
        <v>0.03</v>
      </c>
      <c r="J59">
        <v>0</v>
      </c>
      <c r="L59">
        <v>7.0000000000000007E-2</v>
      </c>
      <c r="M59">
        <v>0.22</v>
      </c>
      <c r="N59">
        <v>0.49</v>
      </c>
      <c r="Q59">
        <v>0.22</v>
      </c>
      <c r="W59">
        <v>0.18</v>
      </c>
      <c r="X59">
        <v>0.24</v>
      </c>
      <c r="AC59">
        <v>0.41</v>
      </c>
      <c r="AF59">
        <v>0.19</v>
      </c>
      <c r="AG59">
        <v>0.12</v>
      </c>
      <c r="AH59">
        <v>0.15</v>
      </c>
      <c r="AI59">
        <v>0.33</v>
      </c>
      <c r="AJ59">
        <v>0</v>
      </c>
      <c r="AL59">
        <v>0</v>
      </c>
      <c r="AM59">
        <v>0.02</v>
      </c>
      <c r="AO59">
        <v>0.11</v>
      </c>
      <c r="AQ59">
        <v>0.25</v>
      </c>
      <c r="AS59">
        <v>0.23</v>
      </c>
      <c r="AW59">
        <v>0.17</v>
      </c>
      <c r="AY59">
        <v>0.22</v>
      </c>
      <c r="AZ59">
        <v>0.17</v>
      </c>
      <c r="BA59">
        <v>0.23</v>
      </c>
      <c r="BC59">
        <v>0.16</v>
      </c>
      <c r="BD59">
        <v>0</v>
      </c>
      <c r="BE59">
        <v>0.19</v>
      </c>
      <c r="BF59">
        <v>0.39</v>
      </c>
      <c r="BG59">
        <v>0.39</v>
      </c>
      <c r="BM59">
        <v>0.56999999999999995</v>
      </c>
      <c r="BO59">
        <v>0.04</v>
      </c>
      <c r="BP59">
        <v>0.01</v>
      </c>
      <c r="BS59">
        <v>0.26</v>
      </c>
      <c r="BT59">
        <v>0.15</v>
      </c>
      <c r="BU59">
        <v>0.25</v>
      </c>
      <c r="BV59">
        <v>0.25</v>
      </c>
      <c r="BW59">
        <v>0.03</v>
      </c>
      <c r="BZ59">
        <v>0.33</v>
      </c>
      <c r="CB59">
        <v>0.2</v>
      </c>
      <c r="CC59">
        <v>0.53</v>
      </c>
      <c r="CD59">
        <v>0.03</v>
      </c>
      <c r="CH59">
        <v>0.05</v>
      </c>
      <c r="CJ59">
        <v>0.24</v>
      </c>
      <c r="CK59">
        <v>0.01</v>
      </c>
    </row>
    <row r="60" spans="1:89" x14ac:dyDescent="0.25">
      <c r="A60" s="23"/>
      <c r="D60">
        <v>0.4</v>
      </c>
      <c r="I60">
        <v>0.21</v>
      </c>
      <c r="K60">
        <v>0.15</v>
      </c>
      <c r="M60">
        <v>0.27</v>
      </c>
      <c r="P60">
        <v>0.11</v>
      </c>
      <c r="Q60">
        <v>0.09</v>
      </c>
      <c r="R60">
        <v>0.49</v>
      </c>
      <c r="S60">
        <v>0.56999999999999995</v>
      </c>
      <c r="T60">
        <v>0</v>
      </c>
      <c r="Y60">
        <v>0.13</v>
      </c>
      <c r="Z60">
        <v>0.04</v>
      </c>
      <c r="AC60">
        <v>0.2</v>
      </c>
      <c r="AD60">
        <v>0.26</v>
      </c>
      <c r="AF60">
        <v>0.1</v>
      </c>
      <c r="AH60">
        <v>0.08</v>
      </c>
      <c r="AJ60">
        <v>0</v>
      </c>
      <c r="AK60">
        <v>0.11</v>
      </c>
      <c r="AN60">
        <v>0.12</v>
      </c>
      <c r="AP60">
        <v>0.16</v>
      </c>
      <c r="AW60">
        <v>0.32</v>
      </c>
      <c r="BB60">
        <v>0.06</v>
      </c>
      <c r="BD60">
        <v>0</v>
      </c>
      <c r="BF60">
        <v>0.24</v>
      </c>
      <c r="BI60">
        <v>0.05</v>
      </c>
      <c r="BN60">
        <v>0.09</v>
      </c>
      <c r="BO60">
        <v>0.34</v>
      </c>
      <c r="BT60">
        <v>0.27</v>
      </c>
      <c r="BU60">
        <v>0.12</v>
      </c>
      <c r="BX60">
        <v>0.12</v>
      </c>
      <c r="BZ60">
        <v>0.96</v>
      </c>
      <c r="CC60">
        <v>0.77</v>
      </c>
      <c r="CE60">
        <v>0.04</v>
      </c>
      <c r="CG60">
        <v>1.06</v>
      </c>
      <c r="CI60">
        <v>0.05</v>
      </c>
      <c r="CJ60">
        <v>0.28999999999999998</v>
      </c>
      <c r="CK60">
        <v>7.0000000000000007E-2</v>
      </c>
    </row>
    <row r="61" spans="1:89" x14ac:dyDescent="0.25">
      <c r="A61" s="23"/>
      <c r="D61">
        <v>0</v>
      </c>
      <c r="F61">
        <v>0</v>
      </c>
    </row>
    <row r="62" spans="1:89" x14ac:dyDescent="0.25">
      <c r="A62" s="23" t="s">
        <v>272</v>
      </c>
      <c r="B62">
        <v>0.57999999999999996</v>
      </c>
      <c r="C62">
        <v>0.83</v>
      </c>
      <c r="D62">
        <v>0.28999999999999998</v>
      </c>
      <c r="E62">
        <v>0.64</v>
      </c>
      <c r="F62">
        <v>0.12</v>
      </c>
      <c r="G62">
        <v>0.1</v>
      </c>
      <c r="H62">
        <v>0.28999999999999998</v>
      </c>
      <c r="I62">
        <v>0.13</v>
      </c>
      <c r="J62">
        <v>0</v>
      </c>
      <c r="K62">
        <v>0.28000000000000003</v>
      </c>
      <c r="L62">
        <v>0.16</v>
      </c>
      <c r="M62">
        <v>0.32</v>
      </c>
      <c r="N62">
        <v>0.09</v>
      </c>
      <c r="O62">
        <v>0.46</v>
      </c>
      <c r="P62">
        <v>0.01</v>
      </c>
      <c r="Q62">
        <v>0.01</v>
      </c>
      <c r="R62">
        <v>0.56000000000000005</v>
      </c>
      <c r="S62">
        <v>0.22</v>
      </c>
      <c r="T62">
        <v>0.08</v>
      </c>
      <c r="U62">
        <v>0.5</v>
      </c>
      <c r="V62">
        <v>0.03</v>
      </c>
      <c r="W62">
        <v>0.14000000000000001</v>
      </c>
      <c r="X62">
        <v>0.78</v>
      </c>
      <c r="Y62">
        <v>0.35</v>
      </c>
      <c r="Z62">
        <v>0.54</v>
      </c>
      <c r="AA62">
        <v>0</v>
      </c>
      <c r="AB62">
        <v>0.2</v>
      </c>
      <c r="AC62">
        <v>0.15</v>
      </c>
      <c r="AD62">
        <v>0.33</v>
      </c>
      <c r="AE62">
        <v>0.08</v>
      </c>
      <c r="AF62">
        <v>0.01</v>
      </c>
      <c r="AG62">
        <v>0.21</v>
      </c>
      <c r="AH62">
        <v>0.09</v>
      </c>
      <c r="AI62">
        <v>0.1</v>
      </c>
      <c r="AJ62">
        <v>0</v>
      </c>
      <c r="AK62">
        <v>0.33</v>
      </c>
      <c r="AL62">
        <v>0.38</v>
      </c>
      <c r="AM62">
        <v>0.06</v>
      </c>
      <c r="AN62">
        <v>0.03</v>
      </c>
      <c r="AO62">
        <v>1.1000000000000001</v>
      </c>
      <c r="AP62">
        <v>0</v>
      </c>
      <c r="AQ62">
        <v>0</v>
      </c>
      <c r="AR62">
        <v>0.44</v>
      </c>
      <c r="AS62">
        <v>0.31</v>
      </c>
      <c r="AT62">
        <v>0.12</v>
      </c>
      <c r="AU62">
        <v>0.06</v>
      </c>
      <c r="AV62">
        <v>0.37</v>
      </c>
      <c r="AW62">
        <v>0.56000000000000005</v>
      </c>
      <c r="AX62">
        <v>0.7</v>
      </c>
      <c r="AY62">
        <v>0.34</v>
      </c>
      <c r="AZ62">
        <v>0.55000000000000004</v>
      </c>
      <c r="BA62">
        <v>0.15</v>
      </c>
      <c r="BB62">
        <v>0.06</v>
      </c>
      <c r="BC62">
        <v>0.28999999999999998</v>
      </c>
      <c r="BD62">
        <v>0.05</v>
      </c>
      <c r="BE62">
        <v>0.09</v>
      </c>
      <c r="BF62">
        <v>0.16</v>
      </c>
      <c r="BG62">
        <v>0.08</v>
      </c>
      <c r="BH62">
        <v>0.46</v>
      </c>
      <c r="BI62">
        <v>0.03</v>
      </c>
      <c r="BJ62">
        <v>0.67</v>
      </c>
      <c r="BK62">
        <v>0.39</v>
      </c>
      <c r="BL62">
        <v>0.21</v>
      </c>
      <c r="BM62">
        <v>0.86</v>
      </c>
      <c r="BN62">
        <v>0.19</v>
      </c>
      <c r="BO62">
        <v>0.12</v>
      </c>
      <c r="BP62">
        <v>0.06</v>
      </c>
      <c r="BQ62">
        <v>0.14000000000000001</v>
      </c>
      <c r="BR62">
        <v>0.62</v>
      </c>
      <c r="BS62">
        <v>0.41</v>
      </c>
      <c r="BT62">
        <v>0.17</v>
      </c>
      <c r="BU62">
        <v>0.27</v>
      </c>
      <c r="BV62">
        <v>0.31</v>
      </c>
      <c r="BW62">
        <v>0.23</v>
      </c>
      <c r="BX62">
        <v>0.31</v>
      </c>
      <c r="BY62">
        <v>0.27</v>
      </c>
      <c r="BZ62">
        <v>0.16</v>
      </c>
      <c r="CA62">
        <v>7.0000000000000007E-2</v>
      </c>
      <c r="CB62">
        <v>0.04</v>
      </c>
      <c r="CC62">
        <v>0.18</v>
      </c>
      <c r="CD62">
        <v>0.23</v>
      </c>
      <c r="CE62">
        <v>0.01</v>
      </c>
      <c r="CF62">
        <v>0.26</v>
      </c>
      <c r="CG62">
        <v>0.01</v>
      </c>
      <c r="CH62">
        <v>0.01</v>
      </c>
      <c r="CI62">
        <v>0.02</v>
      </c>
      <c r="CJ62">
        <v>0.06</v>
      </c>
      <c r="CK62">
        <v>0.15</v>
      </c>
    </row>
    <row r="63" spans="1:89" x14ac:dyDescent="0.25">
      <c r="A63" s="23" t="s">
        <v>273</v>
      </c>
      <c r="B63">
        <v>0.28999999999999998</v>
      </c>
      <c r="C63">
        <v>0.28000000000000003</v>
      </c>
      <c r="D63">
        <v>0.36</v>
      </c>
      <c r="E63">
        <v>0.21</v>
      </c>
      <c r="F63">
        <v>0.02</v>
      </c>
      <c r="G63">
        <v>0.05</v>
      </c>
      <c r="H63">
        <v>0.57999999999999996</v>
      </c>
      <c r="I63">
        <v>0.61</v>
      </c>
      <c r="J63">
        <v>0.02</v>
      </c>
      <c r="K63">
        <v>0.46</v>
      </c>
      <c r="L63">
        <v>0.21</v>
      </c>
      <c r="M63">
        <v>1.01</v>
      </c>
      <c r="N63">
        <v>0.03</v>
      </c>
      <c r="O63">
        <v>0.59</v>
      </c>
      <c r="P63">
        <v>0.08</v>
      </c>
      <c r="Q63">
        <v>0</v>
      </c>
      <c r="R63">
        <v>0.35</v>
      </c>
      <c r="S63">
        <v>0.35</v>
      </c>
      <c r="T63">
        <v>0.08</v>
      </c>
      <c r="U63">
        <v>0.47</v>
      </c>
      <c r="V63">
        <v>0.21</v>
      </c>
      <c r="W63">
        <v>0.36</v>
      </c>
      <c r="X63">
        <v>0.62</v>
      </c>
      <c r="Y63">
        <v>0.13</v>
      </c>
      <c r="Z63">
        <v>0.28999999999999998</v>
      </c>
      <c r="AA63">
        <v>0.18</v>
      </c>
      <c r="AB63">
        <v>0.09</v>
      </c>
      <c r="AC63">
        <v>0.31</v>
      </c>
      <c r="AD63">
        <v>0.02</v>
      </c>
      <c r="AE63">
        <v>0.63</v>
      </c>
      <c r="AF63">
        <v>0.24</v>
      </c>
      <c r="AG63">
        <v>0.13</v>
      </c>
      <c r="AH63">
        <v>0.28999999999999998</v>
      </c>
      <c r="AI63">
        <v>0.13</v>
      </c>
      <c r="AJ63">
        <v>0.15</v>
      </c>
      <c r="AK63">
        <v>0.08</v>
      </c>
      <c r="AL63">
        <v>0.77</v>
      </c>
      <c r="AM63">
        <v>0.97</v>
      </c>
      <c r="AN63">
        <v>0.42</v>
      </c>
      <c r="AO63">
        <v>0.12</v>
      </c>
      <c r="AP63">
        <v>0.47</v>
      </c>
      <c r="AQ63">
        <v>0.02</v>
      </c>
      <c r="AR63">
        <v>0.2</v>
      </c>
      <c r="AS63">
        <v>0.77</v>
      </c>
      <c r="AT63">
        <v>7.0000000000000007E-2</v>
      </c>
      <c r="AU63">
        <v>0.2</v>
      </c>
      <c r="AV63">
        <v>0.78</v>
      </c>
      <c r="AW63">
        <v>0.38</v>
      </c>
      <c r="AX63">
        <v>0.14000000000000001</v>
      </c>
      <c r="AY63">
        <v>0.57999999999999996</v>
      </c>
      <c r="AZ63">
        <v>0.61</v>
      </c>
      <c r="BA63">
        <v>0.67</v>
      </c>
      <c r="BB63">
        <v>0.18</v>
      </c>
      <c r="BC63">
        <v>0.03</v>
      </c>
      <c r="BD63">
        <v>0.09</v>
      </c>
      <c r="BE63">
        <v>0.03</v>
      </c>
      <c r="BF63">
        <v>0.36</v>
      </c>
      <c r="BG63">
        <v>0.14000000000000001</v>
      </c>
      <c r="BH63">
        <v>0.59</v>
      </c>
      <c r="BI63">
        <v>0.03</v>
      </c>
      <c r="BJ63">
        <v>0.42</v>
      </c>
      <c r="BK63">
        <v>0.34</v>
      </c>
      <c r="BL63">
        <v>0.24</v>
      </c>
      <c r="BM63">
        <v>0.41</v>
      </c>
      <c r="BN63">
        <v>0.04</v>
      </c>
      <c r="BO63">
        <v>0.03</v>
      </c>
      <c r="BP63">
        <v>0.15</v>
      </c>
      <c r="BQ63">
        <v>1.04</v>
      </c>
      <c r="BR63">
        <v>0.52</v>
      </c>
      <c r="BS63">
        <v>0.31</v>
      </c>
      <c r="BT63">
        <v>0.39</v>
      </c>
      <c r="BU63">
        <v>0.03</v>
      </c>
      <c r="BV63">
        <v>0.13</v>
      </c>
      <c r="BW63">
        <v>0.34</v>
      </c>
      <c r="BX63">
        <v>0.38</v>
      </c>
      <c r="BY63">
        <v>0.48</v>
      </c>
      <c r="BZ63">
        <v>0.45</v>
      </c>
      <c r="CA63">
        <v>0.09</v>
      </c>
      <c r="CB63">
        <v>0</v>
      </c>
      <c r="CC63">
        <v>0.62</v>
      </c>
      <c r="CD63">
        <v>0.36</v>
      </c>
      <c r="CE63">
        <v>0.06</v>
      </c>
      <c r="CF63">
        <v>0.23</v>
      </c>
      <c r="CG63">
        <v>0.04</v>
      </c>
      <c r="CH63">
        <v>0.32</v>
      </c>
      <c r="CI63">
        <v>0.12</v>
      </c>
      <c r="CJ63">
        <v>0.25</v>
      </c>
      <c r="CK63">
        <v>0.69</v>
      </c>
    </row>
    <row r="64" spans="1:89" x14ac:dyDescent="0.25">
      <c r="A64" s="23" t="s">
        <v>274</v>
      </c>
      <c r="B64">
        <v>0.26</v>
      </c>
      <c r="C64">
        <v>0.62</v>
      </c>
      <c r="D64">
        <v>0.33</v>
      </c>
      <c r="E64">
        <v>0.6</v>
      </c>
      <c r="F64">
        <v>0.09</v>
      </c>
      <c r="G64">
        <v>0.17</v>
      </c>
      <c r="H64">
        <v>0.27</v>
      </c>
      <c r="I64">
        <v>0.12</v>
      </c>
      <c r="J64">
        <v>7.0000000000000007E-2</v>
      </c>
      <c r="K64">
        <v>0.6</v>
      </c>
      <c r="L64">
        <v>0.54</v>
      </c>
      <c r="M64">
        <v>1.1499999999999999</v>
      </c>
      <c r="N64">
        <v>0.28000000000000003</v>
      </c>
      <c r="O64">
        <v>0.99</v>
      </c>
      <c r="P64">
        <v>0.15</v>
      </c>
      <c r="Q64">
        <v>0.1</v>
      </c>
      <c r="R64">
        <v>0.43</v>
      </c>
      <c r="S64">
        <v>0.25</v>
      </c>
      <c r="T64">
        <v>0.3</v>
      </c>
      <c r="U64">
        <v>0.25</v>
      </c>
      <c r="V64">
        <v>7.0000000000000007E-2</v>
      </c>
      <c r="W64">
        <v>0.05</v>
      </c>
      <c r="X64">
        <v>0.4</v>
      </c>
      <c r="Y64">
        <v>0.56000000000000005</v>
      </c>
      <c r="Z64">
        <v>0</v>
      </c>
      <c r="AA64">
        <v>0.72</v>
      </c>
      <c r="AB64">
        <v>0.12</v>
      </c>
      <c r="AC64">
        <v>0.56999999999999995</v>
      </c>
      <c r="AD64">
        <v>0.84</v>
      </c>
      <c r="AE64">
        <v>0.35</v>
      </c>
      <c r="AF64">
        <v>0.09</v>
      </c>
      <c r="AG64">
        <v>0.31</v>
      </c>
      <c r="AH64">
        <v>0.03</v>
      </c>
      <c r="AI64">
        <v>0.28999999999999998</v>
      </c>
      <c r="AJ64">
        <v>0.02</v>
      </c>
      <c r="AK64">
        <v>0.36</v>
      </c>
      <c r="AL64">
        <v>0.61</v>
      </c>
      <c r="AM64">
        <v>0.01</v>
      </c>
      <c r="AN64">
        <v>0.24</v>
      </c>
      <c r="AO64">
        <v>0.2</v>
      </c>
      <c r="AP64">
        <v>0.1</v>
      </c>
      <c r="AQ64">
        <v>0.03</v>
      </c>
      <c r="AR64">
        <v>0.18</v>
      </c>
      <c r="AS64">
        <v>0.72</v>
      </c>
      <c r="AT64">
        <v>0.32</v>
      </c>
      <c r="AU64">
        <v>0.28000000000000003</v>
      </c>
      <c r="AV64">
        <v>0.13</v>
      </c>
      <c r="AW64">
        <v>0.2</v>
      </c>
      <c r="AX64">
        <v>0.34</v>
      </c>
      <c r="AY64">
        <v>0.79</v>
      </c>
      <c r="AZ64">
        <v>0.11</v>
      </c>
      <c r="BA64">
        <v>0.31</v>
      </c>
      <c r="BB64">
        <v>0.53</v>
      </c>
      <c r="BC64">
        <v>0.24</v>
      </c>
      <c r="BD64">
        <v>0.31</v>
      </c>
      <c r="BE64">
        <v>0.06</v>
      </c>
      <c r="BF64">
        <v>0.32</v>
      </c>
      <c r="BG64">
        <v>0.26</v>
      </c>
      <c r="BH64">
        <v>0.99</v>
      </c>
      <c r="BI64">
        <v>0.01</v>
      </c>
      <c r="BJ64">
        <v>0.3</v>
      </c>
      <c r="BK64">
        <v>0.32</v>
      </c>
      <c r="BL64">
        <v>0.27</v>
      </c>
      <c r="BM64">
        <v>0.43</v>
      </c>
      <c r="BN64">
        <v>0.03</v>
      </c>
      <c r="BO64">
        <v>0.12</v>
      </c>
      <c r="BP64">
        <v>0.11</v>
      </c>
      <c r="BQ64">
        <v>0</v>
      </c>
      <c r="BR64">
        <v>0.7</v>
      </c>
      <c r="BS64">
        <v>0.39</v>
      </c>
      <c r="BT64">
        <v>0.22</v>
      </c>
      <c r="BU64">
        <v>0.23</v>
      </c>
      <c r="BV64">
        <v>0.86</v>
      </c>
      <c r="BW64">
        <v>0.01</v>
      </c>
      <c r="BX64">
        <v>0.12</v>
      </c>
      <c r="BY64">
        <v>0.26</v>
      </c>
      <c r="BZ64">
        <v>0.13</v>
      </c>
      <c r="CA64">
        <v>1.03</v>
      </c>
      <c r="CB64">
        <v>0.01</v>
      </c>
      <c r="CC64">
        <v>0.26</v>
      </c>
      <c r="CD64">
        <v>0.41</v>
      </c>
      <c r="CE64">
        <v>0.04</v>
      </c>
      <c r="CF64">
        <v>0.02</v>
      </c>
      <c r="CG64">
        <v>0.34</v>
      </c>
      <c r="CH64">
        <v>0.13</v>
      </c>
      <c r="CI64">
        <v>0.02</v>
      </c>
      <c r="CJ64">
        <v>0.06</v>
      </c>
      <c r="CK64">
        <v>7.0000000000000007E-2</v>
      </c>
    </row>
    <row r="65" spans="1:89" x14ac:dyDescent="0.25">
      <c r="A65" s="23" t="s">
        <v>275</v>
      </c>
      <c r="B65">
        <v>0.51</v>
      </c>
      <c r="C65">
        <v>0.25</v>
      </c>
      <c r="D65">
        <v>0.27</v>
      </c>
      <c r="E65">
        <v>0.33</v>
      </c>
      <c r="F65">
        <v>0.15</v>
      </c>
      <c r="G65">
        <v>0.23</v>
      </c>
      <c r="H65">
        <v>0.32</v>
      </c>
      <c r="I65">
        <v>0.21</v>
      </c>
      <c r="J65">
        <v>0.04</v>
      </c>
      <c r="K65">
        <v>0.38</v>
      </c>
      <c r="L65">
        <v>0.72</v>
      </c>
      <c r="M65">
        <v>0.28000000000000003</v>
      </c>
      <c r="N65">
        <v>0.05</v>
      </c>
      <c r="O65">
        <v>0.37</v>
      </c>
      <c r="P65">
        <v>0.53</v>
      </c>
      <c r="Q65">
        <v>0.55000000000000004</v>
      </c>
      <c r="R65">
        <v>0.16</v>
      </c>
      <c r="S65">
        <v>0.28000000000000003</v>
      </c>
      <c r="T65">
        <v>0</v>
      </c>
      <c r="U65">
        <v>0.24</v>
      </c>
      <c r="V65">
        <v>0.16</v>
      </c>
      <c r="W65">
        <v>0.02</v>
      </c>
      <c r="X65">
        <v>0.13</v>
      </c>
      <c r="Y65">
        <v>0.17</v>
      </c>
      <c r="Z65">
        <v>0.08</v>
      </c>
      <c r="AA65">
        <v>0.4</v>
      </c>
      <c r="AB65">
        <v>0.09</v>
      </c>
      <c r="AC65">
        <v>0.19</v>
      </c>
      <c r="AD65">
        <v>0.8</v>
      </c>
      <c r="AE65">
        <v>0.21</v>
      </c>
      <c r="AF65">
        <v>0.09</v>
      </c>
      <c r="AG65">
        <v>0.49</v>
      </c>
      <c r="AH65">
        <v>0.17</v>
      </c>
      <c r="AI65">
        <v>0.15</v>
      </c>
      <c r="AJ65">
        <v>0.01</v>
      </c>
      <c r="AK65">
        <v>0.08</v>
      </c>
      <c r="AL65">
        <v>0.02</v>
      </c>
      <c r="AM65">
        <v>0.28000000000000003</v>
      </c>
      <c r="AN65">
        <v>0.25</v>
      </c>
      <c r="AO65">
        <v>0.28000000000000003</v>
      </c>
      <c r="AP65">
        <v>0.22</v>
      </c>
      <c r="AQ65">
        <v>0.28999999999999998</v>
      </c>
      <c r="AR65">
        <v>0.17</v>
      </c>
      <c r="AS65">
        <v>0.41</v>
      </c>
      <c r="AT65">
        <v>0.13</v>
      </c>
      <c r="AU65">
        <v>0.12</v>
      </c>
      <c r="AV65">
        <v>0.21</v>
      </c>
      <c r="AW65">
        <v>0.35</v>
      </c>
      <c r="AX65">
        <v>0.27</v>
      </c>
      <c r="AY65">
        <v>0.74</v>
      </c>
      <c r="AZ65">
        <v>0.54</v>
      </c>
      <c r="BA65">
        <v>0.51</v>
      </c>
      <c r="BB65">
        <v>0.08</v>
      </c>
      <c r="BC65">
        <v>0.02</v>
      </c>
      <c r="BD65">
        <v>0.01</v>
      </c>
      <c r="BE65">
        <v>0.08</v>
      </c>
      <c r="BF65">
        <v>0.98</v>
      </c>
      <c r="BG65">
        <v>0.2</v>
      </c>
      <c r="BH65">
        <v>0.37</v>
      </c>
      <c r="BI65">
        <v>0.2</v>
      </c>
      <c r="BJ65">
        <v>0.21</v>
      </c>
      <c r="BK65">
        <v>0.72</v>
      </c>
      <c r="BL65">
        <v>0.71</v>
      </c>
      <c r="BM65">
        <v>0.28000000000000003</v>
      </c>
      <c r="BN65">
        <v>0</v>
      </c>
      <c r="BO65">
        <v>0.36</v>
      </c>
      <c r="BP65">
        <v>0.38</v>
      </c>
      <c r="BQ65">
        <v>0.32</v>
      </c>
      <c r="BR65">
        <v>0.27</v>
      </c>
      <c r="BS65">
        <v>0.42</v>
      </c>
      <c r="BT65">
        <v>0.26</v>
      </c>
      <c r="BU65">
        <v>0.28000000000000003</v>
      </c>
      <c r="BV65">
        <v>0.37</v>
      </c>
      <c r="BW65">
        <v>0.27</v>
      </c>
      <c r="BX65">
        <v>0.2</v>
      </c>
      <c r="BY65">
        <v>0.32</v>
      </c>
      <c r="BZ65">
        <v>0.11</v>
      </c>
      <c r="CA65">
        <v>0.27</v>
      </c>
      <c r="CB65">
        <v>0.13</v>
      </c>
      <c r="CC65">
        <v>0.22</v>
      </c>
      <c r="CD65">
        <v>0.39</v>
      </c>
      <c r="CE65">
        <v>0.5</v>
      </c>
      <c r="CF65">
        <v>0.28999999999999998</v>
      </c>
      <c r="CG65">
        <v>0</v>
      </c>
      <c r="CH65">
        <v>0.56999999999999995</v>
      </c>
      <c r="CI65">
        <v>0.02</v>
      </c>
      <c r="CJ65">
        <v>0.31</v>
      </c>
      <c r="CK65">
        <v>0.24</v>
      </c>
    </row>
    <row r="66" spans="1:89" x14ac:dyDescent="0.25">
      <c r="A66" s="23" t="s">
        <v>276</v>
      </c>
      <c r="B66">
        <v>0.5</v>
      </c>
      <c r="C66">
        <v>0.2</v>
      </c>
      <c r="D66">
        <v>0.45</v>
      </c>
      <c r="E66">
        <v>0.14000000000000001</v>
      </c>
      <c r="F66">
        <v>0</v>
      </c>
      <c r="G66">
        <v>0.18</v>
      </c>
      <c r="H66">
        <v>0.2</v>
      </c>
      <c r="I66">
        <v>0.13</v>
      </c>
      <c r="J66">
        <v>0.61</v>
      </c>
      <c r="K66">
        <v>0.08</v>
      </c>
      <c r="L66">
        <v>0.28999999999999998</v>
      </c>
      <c r="M66">
        <v>0.31</v>
      </c>
      <c r="N66">
        <v>0.02</v>
      </c>
      <c r="O66">
        <v>0.7</v>
      </c>
      <c r="P66">
        <v>0.22</v>
      </c>
      <c r="Q66">
        <v>0.56999999999999995</v>
      </c>
      <c r="R66">
        <v>0.42</v>
      </c>
      <c r="S66">
        <v>0.18</v>
      </c>
      <c r="T66">
        <v>0.16</v>
      </c>
      <c r="U66">
        <v>7.0000000000000007E-2</v>
      </c>
      <c r="V66">
        <v>0.06</v>
      </c>
      <c r="W66">
        <v>0.49</v>
      </c>
      <c r="X66">
        <v>0.89</v>
      </c>
      <c r="Y66">
        <v>0.38</v>
      </c>
      <c r="Z66">
        <v>0.11</v>
      </c>
      <c r="AA66">
        <v>0.13</v>
      </c>
      <c r="AB66">
        <v>7.0000000000000007E-2</v>
      </c>
      <c r="AC66">
        <v>0.54</v>
      </c>
      <c r="AD66">
        <v>0.18</v>
      </c>
      <c r="AE66">
        <v>0.16</v>
      </c>
      <c r="AF66">
        <v>0.34</v>
      </c>
      <c r="AG66">
        <v>0.33</v>
      </c>
      <c r="AH66">
        <v>0.54</v>
      </c>
      <c r="AI66">
        <v>0.52</v>
      </c>
      <c r="AJ66">
        <v>0.2</v>
      </c>
      <c r="AK66">
        <v>0.18</v>
      </c>
      <c r="AL66">
        <v>0.14000000000000001</v>
      </c>
      <c r="AM66">
        <v>0.04</v>
      </c>
      <c r="AN66">
        <v>0.11</v>
      </c>
      <c r="AO66">
        <v>0.2</v>
      </c>
      <c r="AP66">
        <v>0.33</v>
      </c>
      <c r="AQ66">
        <v>0.01</v>
      </c>
      <c r="AR66">
        <v>0.66</v>
      </c>
      <c r="AS66">
        <v>0.42</v>
      </c>
      <c r="AT66">
        <v>7.0000000000000007E-2</v>
      </c>
      <c r="AU66">
        <v>0.13</v>
      </c>
      <c r="AV66">
        <v>0.82</v>
      </c>
      <c r="AW66">
        <v>0.14000000000000001</v>
      </c>
      <c r="AX66">
        <v>0.72</v>
      </c>
      <c r="AY66">
        <v>0.64</v>
      </c>
      <c r="AZ66">
        <v>0.01</v>
      </c>
      <c r="BA66">
        <v>0.26</v>
      </c>
      <c r="BB66">
        <v>0.08</v>
      </c>
      <c r="BC66">
        <v>0.09</v>
      </c>
      <c r="BD66">
        <v>0.2</v>
      </c>
      <c r="BE66">
        <v>0.06</v>
      </c>
      <c r="BF66">
        <v>0.15</v>
      </c>
      <c r="BG66">
        <v>0.13</v>
      </c>
      <c r="BH66">
        <v>0.7</v>
      </c>
      <c r="BI66">
        <v>0.94</v>
      </c>
      <c r="BJ66">
        <v>0.53</v>
      </c>
      <c r="BK66">
        <v>0.39</v>
      </c>
      <c r="BL66">
        <v>0.38</v>
      </c>
      <c r="BM66">
        <v>0.27</v>
      </c>
      <c r="BN66">
        <v>0.09</v>
      </c>
      <c r="BO66">
        <v>0.25</v>
      </c>
      <c r="BP66">
        <v>0.14000000000000001</v>
      </c>
      <c r="BQ66">
        <v>0.14000000000000001</v>
      </c>
      <c r="BR66">
        <v>0.3</v>
      </c>
      <c r="BS66">
        <v>0.13</v>
      </c>
      <c r="BT66">
        <v>0.17</v>
      </c>
      <c r="BU66">
        <v>0.35</v>
      </c>
      <c r="BV66">
        <v>0.56999999999999995</v>
      </c>
      <c r="BW66">
        <v>0.02</v>
      </c>
      <c r="BX66">
        <v>0.41</v>
      </c>
      <c r="BY66">
        <v>0.28999999999999998</v>
      </c>
      <c r="BZ66">
        <v>0.11</v>
      </c>
      <c r="CA66">
        <v>0.16</v>
      </c>
      <c r="CB66">
        <v>0.08</v>
      </c>
      <c r="CC66">
        <v>0.17</v>
      </c>
      <c r="CD66">
        <v>0.02</v>
      </c>
      <c r="CE66">
        <v>0.21</v>
      </c>
      <c r="CF66">
        <v>0.41</v>
      </c>
      <c r="CG66">
        <v>0.15</v>
      </c>
      <c r="CH66">
        <v>0.4</v>
      </c>
      <c r="CI66">
        <v>0.03</v>
      </c>
      <c r="CJ66">
        <v>0.16</v>
      </c>
      <c r="CK66">
        <v>0.06</v>
      </c>
    </row>
    <row r="67" spans="1:89" x14ac:dyDescent="0.25">
      <c r="A67" s="23" t="s">
        <v>277</v>
      </c>
      <c r="B67">
        <v>0</v>
      </c>
      <c r="C67">
        <v>0.31</v>
      </c>
      <c r="E67">
        <v>0.2</v>
      </c>
      <c r="F67">
        <v>0.05</v>
      </c>
      <c r="G67">
        <v>0.42</v>
      </c>
      <c r="H67">
        <v>0.53</v>
      </c>
      <c r="I67">
        <v>0.46</v>
      </c>
      <c r="J67">
        <v>0.25</v>
      </c>
      <c r="K67">
        <v>0.22</v>
      </c>
      <c r="L67">
        <v>1.06</v>
      </c>
      <c r="M67">
        <v>1.22</v>
      </c>
      <c r="N67">
        <v>0.02</v>
      </c>
      <c r="O67">
        <v>0.27</v>
      </c>
      <c r="P67">
        <v>0.34</v>
      </c>
      <c r="Q67">
        <v>0.65</v>
      </c>
      <c r="R67">
        <v>0.62</v>
      </c>
      <c r="S67">
        <v>0.22</v>
      </c>
      <c r="T67">
        <v>0.53</v>
      </c>
      <c r="U67">
        <v>0.28000000000000003</v>
      </c>
      <c r="V67">
        <v>0.01</v>
      </c>
      <c r="W67">
        <v>0.15</v>
      </c>
      <c r="X67">
        <v>0.66</v>
      </c>
      <c r="Y67">
        <v>0.13</v>
      </c>
      <c r="Z67">
        <v>0.47</v>
      </c>
      <c r="AA67">
        <v>0</v>
      </c>
      <c r="AB67">
        <v>0.22</v>
      </c>
      <c r="AC67">
        <v>0.22</v>
      </c>
      <c r="AD67">
        <v>0.15</v>
      </c>
      <c r="AE67">
        <v>0.17</v>
      </c>
      <c r="AF67">
        <v>0.16</v>
      </c>
      <c r="AG67">
        <v>0.24</v>
      </c>
      <c r="AH67">
        <v>0.13</v>
      </c>
      <c r="AI67">
        <v>0.36</v>
      </c>
      <c r="AJ67">
        <v>0.33</v>
      </c>
      <c r="AK67">
        <v>0.22</v>
      </c>
      <c r="AL67">
        <v>0.1</v>
      </c>
      <c r="AM67">
        <v>0.62</v>
      </c>
      <c r="AN67">
        <v>0.19</v>
      </c>
      <c r="AO67">
        <v>0.38</v>
      </c>
      <c r="AP67">
        <v>0.38</v>
      </c>
      <c r="AQ67">
        <v>0.11</v>
      </c>
      <c r="AR67">
        <v>0.6</v>
      </c>
      <c r="AS67">
        <v>0.18</v>
      </c>
      <c r="AT67">
        <v>0.01</v>
      </c>
      <c r="AU67">
        <v>0.76</v>
      </c>
      <c r="AV67">
        <v>0.28999999999999998</v>
      </c>
      <c r="AW67">
        <v>0.32</v>
      </c>
      <c r="AX67">
        <v>0.57999999999999996</v>
      </c>
      <c r="AY67">
        <v>0.39</v>
      </c>
      <c r="AZ67">
        <v>0.28000000000000003</v>
      </c>
      <c r="BA67">
        <v>0.39</v>
      </c>
      <c r="BB67">
        <v>0.11</v>
      </c>
      <c r="BC67">
        <v>0.1</v>
      </c>
      <c r="BD67">
        <v>0.06</v>
      </c>
      <c r="BE67">
        <v>0.13</v>
      </c>
      <c r="BF67">
        <v>0.6</v>
      </c>
      <c r="BG67">
        <v>0.38</v>
      </c>
      <c r="BH67">
        <v>0.27</v>
      </c>
      <c r="BI67">
        <v>0.32</v>
      </c>
      <c r="BJ67">
        <v>0.38</v>
      </c>
      <c r="BK67">
        <v>0.42</v>
      </c>
      <c r="BL67">
        <v>1.19</v>
      </c>
      <c r="BM67">
        <v>0.09</v>
      </c>
      <c r="BN67">
        <v>0.12</v>
      </c>
      <c r="BO67">
        <v>0.41</v>
      </c>
      <c r="BP67">
        <v>0.15</v>
      </c>
      <c r="BQ67">
        <v>0.44</v>
      </c>
      <c r="BR67">
        <v>0.2</v>
      </c>
      <c r="BS67">
        <v>0.34</v>
      </c>
      <c r="BT67">
        <v>0.17</v>
      </c>
      <c r="BU67">
        <v>0.12</v>
      </c>
      <c r="BV67">
        <v>0.3</v>
      </c>
      <c r="BW67">
        <v>0.11</v>
      </c>
      <c r="BX67">
        <v>0.06</v>
      </c>
      <c r="BY67">
        <v>0.48</v>
      </c>
      <c r="BZ67">
        <v>0.81</v>
      </c>
      <c r="CA67">
        <v>0.97</v>
      </c>
      <c r="CB67">
        <v>0.06</v>
      </c>
      <c r="CC67">
        <v>0.22</v>
      </c>
      <c r="CD67">
        <v>0.06</v>
      </c>
      <c r="CE67">
        <v>0.04</v>
      </c>
      <c r="CF67">
        <v>0</v>
      </c>
      <c r="CG67">
        <v>0.04</v>
      </c>
      <c r="CH67">
        <v>0.09</v>
      </c>
      <c r="CI67">
        <v>0.22</v>
      </c>
      <c r="CJ67">
        <v>0.23</v>
      </c>
      <c r="CK67">
        <v>0.27</v>
      </c>
    </row>
    <row r="68" spans="1:89" x14ac:dyDescent="0.25">
      <c r="A68" s="23" t="s">
        <v>278</v>
      </c>
      <c r="B68">
        <v>0.05</v>
      </c>
      <c r="C68">
        <v>0.45</v>
      </c>
      <c r="D68">
        <v>0.36</v>
      </c>
      <c r="E68">
        <v>0.35</v>
      </c>
      <c r="F68">
        <v>7.0000000000000007E-2</v>
      </c>
      <c r="G68">
        <v>0.43</v>
      </c>
      <c r="H68">
        <v>0.1</v>
      </c>
      <c r="I68">
        <v>0.54</v>
      </c>
      <c r="J68">
        <v>0.02</v>
      </c>
      <c r="K68">
        <v>0.72</v>
      </c>
      <c r="L68">
        <v>0</v>
      </c>
      <c r="M68">
        <v>0.62</v>
      </c>
      <c r="N68">
        <v>0.02</v>
      </c>
      <c r="O68">
        <v>0.95</v>
      </c>
      <c r="P68">
        <v>0.01</v>
      </c>
      <c r="Q68">
        <v>0.1</v>
      </c>
      <c r="R68">
        <v>0.83</v>
      </c>
      <c r="S68">
        <v>0.21</v>
      </c>
      <c r="T68">
        <v>0.12</v>
      </c>
      <c r="U68">
        <v>0.62</v>
      </c>
      <c r="V68">
        <v>0.1</v>
      </c>
      <c r="W68">
        <v>0.53</v>
      </c>
      <c r="X68">
        <v>0.27</v>
      </c>
      <c r="Y68">
        <v>0.28999999999999998</v>
      </c>
      <c r="Z68">
        <v>0.24</v>
      </c>
      <c r="AA68">
        <v>0.25</v>
      </c>
      <c r="AB68">
        <v>0.09</v>
      </c>
      <c r="AC68">
        <v>0.22</v>
      </c>
      <c r="AD68">
        <v>0.67</v>
      </c>
      <c r="AE68">
        <v>0.19</v>
      </c>
      <c r="AF68">
        <v>0.28999999999999998</v>
      </c>
      <c r="AG68">
        <v>1.04</v>
      </c>
      <c r="AH68">
        <v>0.2</v>
      </c>
      <c r="AI68">
        <v>0.32</v>
      </c>
      <c r="AJ68">
        <v>0</v>
      </c>
      <c r="AK68">
        <v>0.11</v>
      </c>
      <c r="AL68">
        <v>0.85</v>
      </c>
      <c r="AM68">
        <v>0.12</v>
      </c>
      <c r="AN68">
        <v>0.54</v>
      </c>
      <c r="AO68">
        <v>0.14000000000000001</v>
      </c>
      <c r="AP68">
        <v>0.21</v>
      </c>
      <c r="AQ68">
        <v>0.23</v>
      </c>
      <c r="AR68">
        <v>0.82</v>
      </c>
      <c r="AS68">
        <v>0.32</v>
      </c>
      <c r="AT68">
        <v>0.26</v>
      </c>
      <c r="AU68">
        <v>0.32</v>
      </c>
      <c r="AV68">
        <v>0.92</v>
      </c>
      <c r="AW68">
        <v>0.53</v>
      </c>
      <c r="AX68">
        <v>0.34</v>
      </c>
      <c r="AY68">
        <v>0.61</v>
      </c>
      <c r="AZ68">
        <v>0.1</v>
      </c>
      <c r="BA68">
        <v>0.4</v>
      </c>
      <c r="BB68">
        <v>0.18</v>
      </c>
      <c r="BC68">
        <v>0.01</v>
      </c>
      <c r="BD68">
        <v>0.13</v>
      </c>
      <c r="BE68">
        <v>0.15</v>
      </c>
      <c r="BF68">
        <v>0.38</v>
      </c>
      <c r="BG68">
        <v>0.4</v>
      </c>
      <c r="BH68">
        <v>0.95</v>
      </c>
      <c r="BI68">
        <v>0.2</v>
      </c>
      <c r="BJ68">
        <v>0.72</v>
      </c>
      <c r="BK68">
        <v>0.34</v>
      </c>
      <c r="BL68">
        <v>0.38</v>
      </c>
      <c r="BM68">
        <v>0.06</v>
      </c>
      <c r="BN68">
        <v>0.04</v>
      </c>
      <c r="BO68">
        <v>0.44</v>
      </c>
      <c r="BP68">
        <v>0.52</v>
      </c>
      <c r="BQ68">
        <v>0.08</v>
      </c>
      <c r="BR68">
        <v>0.36</v>
      </c>
      <c r="BS68">
        <v>0.21</v>
      </c>
      <c r="BT68">
        <v>0.27</v>
      </c>
      <c r="BU68">
        <v>0.69</v>
      </c>
      <c r="BV68">
        <v>0.3</v>
      </c>
      <c r="BW68">
        <v>0.27</v>
      </c>
      <c r="BX68">
        <v>0.27</v>
      </c>
      <c r="BY68">
        <v>0.27</v>
      </c>
      <c r="BZ68">
        <v>0.19</v>
      </c>
      <c r="CA68">
        <v>0.24</v>
      </c>
      <c r="CB68">
        <v>0.01</v>
      </c>
      <c r="CC68">
        <v>0.36</v>
      </c>
      <c r="CD68">
        <v>0.28999999999999998</v>
      </c>
      <c r="CE68">
        <v>0.08</v>
      </c>
      <c r="CF68">
        <v>0.62</v>
      </c>
      <c r="CG68">
        <v>0.08</v>
      </c>
      <c r="CH68">
        <v>0.25</v>
      </c>
      <c r="CI68">
        <v>0.2</v>
      </c>
      <c r="CJ68">
        <v>0.1</v>
      </c>
      <c r="CK68">
        <v>0.15</v>
      </c>
    </row>
    <row r="69" spans="1:89" x14ac:dyDescent="0.25">
      <c r="A69" s="23" t="s">
        <v>279</v>
      </c>
      <c r="B69">
        <v>0.45</v>
      </c>
      <c r="C69">
        <v>0.34</v>
      </c>
      <c r="D69">
        <v>0.42</v>
      </c>
      <c r="E69">
        <v>0.42</v>
      </c>
      <c r="F69">
        <v>0.06</v>
      </c>
      <c r="G69">
        <v>0.38</v>
      </c>
      <c r="H69">
        <v>0.23</v>
      </c>
      <c r="I69">
        <v>0.23</v>
      </c>
      <c r="J69">
        <v>0</v>
      </c>
      <c r="K69">
        <v>0.52</v>
      </c>
      <c r="L69">
        <v>0.13</v>
      </c>
      <c r="M69">
        <v>1.1399999999999999</v>
      </c>
      <c r="N69">
        <v>0.12</v>
      </c>
      <c r="O69">
        <v>0.44</v>
      </c>
      <c r="P69">
        <v>7.0000000000000007E-2</v>
      </c>
      <c r="Q69">
        <v>0.06</v>
      </c>
      <c r="R69">
        <v>0.1</v>
      </c>
      <c r="S69">
        <v>0.21</v>
      </c>
      <c r="T69">
        <v>0.18</v>
      </c>
      <c r="U69">
        <v>0.27</v>
      </c>
      <c r="V69">
        <v>0.06</v>
      </c>
      <c r="W69">
        <v>0.09</v>
      </c>
      <c r="X69">
        <v>0.19</v>
      </c>
      <c r="Y69">
        <v>0.18</v>
      </c>
      <c r="Z69">
        <v>0.02</v>
      </c>
      <c r="AA69">
        <v>0.02</v>
      </c>
      <c r="AB69">
        <v>0.06</v>
      </c>
      <c r="AC69">
        <v>0.2</v>
      </c>
      <c r="AD69">
        <v>0.16</v>
      </c>
      <c r="AE69">
        <v>0.28999999999999998</v>
      </c>
      <c r="AF69">
        <v>0.02</v>
      </c>
      <c r="AG69">
        <v>0.77</v>
      </c>
      <c r="AH69">
        <v>0.45</v>
      </c>
      <c r="AI69">
        <v>0.55000000000000004</v>
      </c>
      <c r="AJ69">
        <v>0.27</v>
      </c>
      <c r="AK69">
        <v>0.17</v>
      </c>
      <c r="AL69">
        <v>0.56000000000000005</v>
      </c>
      <c r="AM69">
        <v>0.39</v>
      </c>
      <c r="AN69">
        <v>0.28999999999999998</v>
      </c>
      <c r="AO69">
        <v>0.22</v>
      </c>
      <c r="AP69">
        <v>0.15</v>
      </c>
      <c r="AQ69">
        <v>0.01</v>
      </c>
      <c r="AR69">
        <v>0.56000000000000005</v>
      </c>
      <c r="AS69">
        <v>0.12</v>
      </c>
      <c r="AT69">
        <v>0.01</v>
      </c>
      <c r="AU69">
        <v>0.06</v>
      </c>
      <c r="AV69">
        <v>0.66</v>
      </c>
      <c r="AW69">
        <v>0.16</v>
      </c>
      <c r="AX69">
        <v>0.13</v>
      </c>
      <c r="AY69">
        <v>1.05</v>
      </c>
      <c r="AZ69">
        <v>0.26</v>
      </c>
      <c r="BA69">
        <v>0.23</v>
      </c>
      <c r="BB69">
        <v>0.11</v>
      </c>
      <c r="BC69">
        <v>0.24</v>
      </c>
      <c r="BD69">
        <v>0.39</v>
      </c>
      <c r="BE69">
        <v>0.28999999999999998</v>
      </c>
      <c r="BF69">
        <v>0.88</v>
      </c>
      <c r="BG69">
        <v>0.2</v>
      </c>
      <c r="BH69">
        <v>0.44</v>
      </c>
      <c r="BI69">
        <v>0.16</v>
      </c>
      <c r="BJ69">
        <v>0.5</v>
      </c>
      <c r="BK69">
        <v>0.59</v>
      </c>
      <c r="BL69">
        <v>0.18</v>
      </c>
      <c r="BM69">
        <v>1.1200000000000001</v>
      </c>
      <c r="BN69">
        <v>0.11</v>
      </c>
      <c r="BO69">
        <v>0.78</v>
      </c>
      <c r="BP69">
        <v>0</v>
      </c>
      <c r="BQ69">
        <v>0.31</v>
      </c>
      <c r="BR69">
        <v>0.75</v>
      </c>
      <c r="BS69">
        <v>0.43</v>
      </c>
      <c r="BT69">
        <v>0.33</v>
      </c>
      <c r="BU69">
        <v>0.53</v>
      </c>
      <c r="BV69">
        <v>0.14000000000000001</v>
      </c>
      <c r="BW69">
        <v>0.12</v>
      </c>
      <c r="BX69">
        <v>0.17</v>
      </c>
      <c r="BY69">
        <v>7.0000000000000007E-2</v>
      </c>
      <c r="BZ69">
        <v>0.32</v>
      </c>
      <c r="CA69">
        <v>0.09</v>
      </c>
      <c r="CB69">
        <v>0.12</v>
      </c>
      <c r="CC69">
        <v>0.71</v>
      </c>
      <c r="CD69">
        <v>0.61</v>
      </c>
      <c r="CE69">
        <v>0.08</v>
      </c>
      <c r="CF69">
        <v>0.31</v>
      </c>
      <c r="CG69">
        <v>0.22</v>
      </c>
      <c r="CH69">
        <v>0.1</v>
      </c>
      <c r="CI69">
        <v>0.57999999999999996</v>
      </c>
      <c r="CJ69">
        <v>0.05</v>
      </c>
      <c r="CK69">
        <v>0.2</v>
      </c>
    </row>
    <row r="70" spans="1:89" x14ac:dyDescent="0.25">
      <c r="A70" s="23" t="s">
        <v>280</v>
      </c>
      <c r="B70">
        <v>0.1</v>
      </c>
      <c r="C70">
        <v>0.43</v>
      </c>
      <c r="D70">
        <v>0.28999999999999998</v>
      </c>
      <c r="E70">
        <v>0.65</v>
      </c>
      <c r="F70">
        <v>0.15</v>
      </c>
      <c r="G70">
        <v>0.19</v>
      </c>
      <c r="H70">
        <v>0.05</v>
      </c>
      <c r="I70">
        <v>0.26</v>
      </c>
      <c r="J70">
        <v>0</v>
      </c>
      <c r="K70">
        <v>0.13</v>
      </c>
      <c r="L70">
        <v>0.08</v>
      </c>
      <c r="M70">
        <v>0.23</v>
      </c>
      <c r="N70">
        <v>0.16</v>
      </c>
      <c r="O70">
        <v>0.24</v>
      </c>
      <c r="P70">
        <v>0.06</v>
      </c>
      <c r="Q70">
        <v>0.02</v>
      </c>
      <c r="R70">
        <v>0.31</v>
      </c>
      <c r="S70">
        <v>0.32</v>
      </c>
      <c r="T70">
        <v>0.02</v>
      </c>
      <c r="U70">
        <v>0.76</v>
      </c>
      <c r="V70">
        <v>0.13</v>
      </c>
      <c r="W70">
        <v>0.39</v>
      </c>
      <c r="X70">
        <v>0.15</v>
      </c>
      <c r="Y70">
        <v>0.21</v>
      </c>
      <c r="Z70">
        <v>0.3</v>
      </c>
      <c r="AA70">
        <v>0.46</v>
      </c>
      <c r="AB70">
        <v>0.02</v>
      </c>
      <c r="AC70">
        <v>0.43</v>
      </c>
      <c r="AD70">
        <v>0.1</v>
      </c>
      <c r="AE70">
        <v>0.22</v>
      </c>
      <c r="AF70">
        <v>0.28999999999999998</v>
      </c>
      <c r="AG70">
        <v>0.25</v>
      </c>
      <c r="AH70">
        <v>0</v>
      </c>
      <c r="AI70">
        <v>0.28999999999999998</v>
      </c>
      <c r="AJ70">
        <v>0.15</v>
      </c>
      <c r="AK70">
        <v>0.06</v>
      </c>
      <c r="AL70">
        <v>0.03</v>
      </c>
      <c r="AM70">
        <v>0.44</v>
      </c>
      <c r="AN70">
        <v>0.8</v>
      </c>
      <c r="AO70">
        <v>0.1</v>
      </c>
      <c r="AP70">
        <v>0.03</v>
      </c>
      <c r="AQ70">
        <v>7.0000000000000007E-2</v>
      </c>
      <c r="AR70">
        <v>0.02</v>
      </c>
      <c r="AS70">
        <v>0.43</v>
      </c>
      <c r="AT70">
        <v>0</v>
      </c>
      <c r="AV70">
        <v>0.64</v>
      </c>
      <c r="AW70">
        <v>0.28999999999999998</v>
      </c>
      <c r="AX70">
        <v>0.37</v>
      </c>
      <c r="AY70">
        <v>0.53</v>
      </c>
      <c r="AZ70">
        <v>0.08</v>
      </c>
      <c r="BA70">
        <v>0.21</v>
      </c>
      <c r="BB70">
        <v>0.35</v>
      </c>
      <c r="BC70">
        <v>0.05</v>
      </c>
      <c r="BD70">
        <v>0.11</v>
      </c>
      <c r="BE70">
        <v>0.18</v>
      </c>
      <c r="BF70">
        <v>0.37</v>
      </c>
      <c r="BG70">
        <v>0.4</v>
      </c>
      <c r="BH70">
        <v>0.24</v>
      </c>
      <c r="BI70">
        <v>7.0000000000000007E-2</v>
      </c>
      <c r="BJ70">
        <v>0.28000000000000003</v>
      </c>
      <c r="BK70">
        <v>0.34</v>
      </c>
      <c r="BL70">
        <v>0.28000000000000003</v>
      </c>
      <c r="BM70">
        <v>0.51</v>
      </c>
      <c r="BN70">
        <v>0.13</v>
      </c>
      <c r="BO70">
        <v>0.34</v>
      </c>
      <c r="BP70">
        <v>0.04</v>
      </c>
      <c r="BQ70">
        <v>0.53</v>
      </c>
      <c r="BR70">
        <v>0.52</v>
      </c>
      <c r="BS70">
        <v>0.33</v>
      </c>
      <c r="BT70">
        <v>0.2</v>
      </c>
      <c r="BU70">
        <v>0.39</v>
      </c>
      <c r="BV70">
        <v>0.27</v>
      </c>
      <c r="BW70">
        <v>0.05</v>
      </c>
      <c r="BX70">
        <v>0.12</v>
      </c>
      <c r="BY70">
        <v>0.38</v>
      </c>
      <c r="BZ70">
        <v>0.54</v>
      </c>
      <c r="CA70">
        <v>0.13</v>
      </c>
      <c r="CB70">
        <v>0.19</v>
      </c>
      <c r="CC70">
        <v>0.1</v>
      </c>
      <c r="CD70">
        <v>0.04</v>
      </c>
      <c r="CE70">
        <v>0.41</v>
      </c>
      <c r="CF70">
        <v>0.27</v>
      </c>
      <c r="CG70">
        <v>0.21</v>
      </c>
      <c r="CH70">
        <v>0.22</v>
      </c>
      <c r="CI70">
        <v>0.17</v>
      </c>
      <c r="CJ70">
        <v>0.06</v>
      </c>
      <c r="CK70">
        <v>0.02</v>
      </c>
    </row>
    <row r="71" spans="1:89" x14ac:dyDescent="0.25">
      <c r="A71" s="23" t="s">
        <v>281</v>
      </c>
      <c r="B71">
        <v>0</v>
      </c>
      <c r="C71">
        <v>0.75</v>
      </c>
      <c r="D71">
        <v>0.45</v>
      </c>
      <c r="E71">
        <v>0.36</v>
      </c>
      <c r="F71">
        <v>0.14000000000000001</v>
      </c>
      <c r="G71">
        <v>0.01</v>
      </c>
      <c r="H71">
        <v>0.34</v>
      </c>
      <c r="I71">
        <v>0.12</v>
      </c>
      <c r="J71">
        <v>0.03</v>
      </c>
      <c r="K71">
        <v>0.14000000000000001</v>
      </c>
      <c r="L71">
        <v>0.26</v>
      </c>
      <c r="M71">
        <v>0.27</v>
      </c>
      <c r="N71">
        <v>0.33</v>
      </c>
      <c r="O71">
        <v>0.32</v>
      </c>
      <c r="P71">
        <v>0.17</v>
      </c>
      <c r="Q71">
        <v>0.11</v>
      </c>
      <c r="R71">
        <v>0.37</v>
      </c>
      <c r="S71">
        <v>0.28000000000000003</v>
      </c>
      <c r="T71">
        <v>0.05</v>
      </c>
      <c r="U71">
        <v>0.2</v>
      </c>
      <c r="V71">
        <v>0.09</v>
      </c>
      <c r="W71">
        <v>0.23</v>
      </c>
      <c r="X71">
        <v>0.19</v>
      </c>
      <c r="Y71">
        <v>0.34</v>
      </c>
      <c r="Z71">
        <v>0.48</v>
      </c>
      <c r="AA71">
        <v>0.28000000000000003</v>
      </c>
      <c r="AB71">
        <v>0.41</v>
      </c>
      <c r="AC71">
        <v>0.32</v>
      </c>
      <c r="AD71">
        <v>7.0000000000000007E-2</v>
      </c>
      <c r="AE71">
        <v>0.64</v>
      </c>
      <c r="AF71">
        <v>0.09</v>
      </c>
      <c r="AG71">
        <v>0.18</v>
      </c>
      <c r="AH71">
        <v>0.23</v>
      </c>
      <c r="AI71">
        <v>0.24</v>
      </c>
      <c r="AJ71">
        <v>0.46</v>
      </c>
      <c r="AK71">
        <v>0.12</v>
      </c>
      <c r="AL71">
        <v>0.01</v>
      </c>
      <c r="AM71">
        <v>7.0000000000000007E-2</v>
      </c>
      <c r="AN71">
        <v>0.61</v>
      </c>
      <c r="AO71">
        <v>0.14000000000000001</v>
      </c>
      <c r="AP71">
        <v>0</v>
      </c>
      <c r="AQ71">
        <v>0</v>
      </c>
      <c r="AR71">
        <v>0.04</v>
      </c>
      <c r="AS71">
        <v>0.23</v>
      </c>
      <c r="AT71">
        <v>7.0000000000000007E-2</v>
      </c>
      <c r="AU71">
        <v>0.93</v>
      </c>
      <c r="AV71">
        <v>0.57999999999999996</v>
      </c>
      <c r="AW71">
        <v>0.85</v>
      </c>
      <c r="AX71">
        <v>0.1</v>
      </c>
      <c r="AY71">
        <v>0.52</v>
      </c>
      <c r="AZ71">
        <v>0.22</v>
      </c>
      <c r="BA71">
        <v>0.33</v>
      </c>
      <c r="BB71">
        <v>0.17</v>
      </c>
      <c r="BC71">
        <v>0.1</v>
      </c>
      <c r="BD71">
        <v>0.17</v>
      </c>
      <c r="BE71">
        <v>0.13</v>
      </c>
      <c r="BF71">
        <v>0.69</v>
      </c>
      <c r="BG71">
        <v>0.44</v>
      </c>
      <c r="BH71">
        <v>0.32</v>
      </c>
      <c r="BI71">
        <v>0.2</v>
      </c>
      <c r="BJ71">
        <v>0.15</v>
      </c>
      <c r="BK71">
        <v>0.18</v>
      </c>
      <c r="BL71">
        <v>0.25</v>
      </c>
      <c r="BM71">
        <v>0.24</v>
      </c>
      <c r="BN71">
        <v>0.06</v>
      </c>
      <c r="BO71">
        <v>0.11</v>
      </c>
      <c r="BP71">
        <v>0.22</v>
      </c>
      <c r="BQ71">
        <v>0.17</v>
      </c>
      <c r="BR71">
        <v>0.2</v>
      </c>
      <c r="BS71">
        <v>0.35</v>
      </c>
      <c r="BT71">
        <v>0.33</v>
      </c>
      <c r="BU71">
        <v>0.13</v>
      </c>
      <c r="BV71">
        <v>0.33</v>
      </c>
      <c r="BW71">
        <v>0.44</v>
      </c>
      <c r="BX71">
        <v>0.14000000000000001</v>
      </c>
      <c r="BY71">
        <v>0.49</v>
      </c>
      <c r="BZ71">
        <v>0.45</v>
      </c>
      <c r="CA71">
        <v>0.19</v>
      </c>
      <c r="CB71">
        <v>0.01</v>
      </c>
      <c r="CC71">
        <v>0.37</v>
      </c>
      <c r="CD71">
        <v>0.04</v>
      </c>
      <c r="CE71">
        <v>0.02</v>
      </c>
      <c r="CF71">
        <v>0.21</v>
      </c>
      <c r="CG71">
        <v>0</v>
      </c>
      <c r="CH71">
        <v>0.08</v>
      </c>
      <c r="CI71">
        <v>0.03</v>
      </c>
      <c r="CJ71">
        <v>0.06</v>
      </c>
      <c r="CK71">
        <v>0.41</v>
      </c>
    </row>
    <row r="72" spans="1:89" x14ac:dyDescent="0.25">
      <c r="A72" s="23" t="s">
        <v>282</v>
      </c>
      <c r="B72">
        <v>0.08</v>
      </c>
      <c r="C72">
        <v>0.63</v>
      </c>
      <c r="D72">
        <v>0.63</v>
      </c>
      <c r="E72">
        <v>0.2</v>
      </c>
      <c r="F72">
        <v>0.03</v>
      </c>
      <c r="G72">
        <v>0.06</v>
      </c>
      <c r="H72">
        <v>0.23</v>
      </c>
      <c r="I72">
        <v>0.27</v>
      </c>
      <c r="J72">
        <v>0</v>
      </c>
      <c r="K72">
        <v>0.36</v>
      </c>
      <c r="L72">
        <v>1.08</v>
      </c>
      <c r="M72">
        <v>0.28000000000000003</v>
      </c>
      <c r="N72">
        <v>0.22</v>
      </c>
      <c r="O72">
        <v>0.34</v>
      </c>
      <c r="P72">
        <v>0.28000000000000003</v>
      </c>
      <c r="Q72">
        <v>0.05</v>
      </c>
      <c r="R72">
        <v>0.24</v>
      </c>
      <c r="S72">
        <v>0.55000000000000004</v>
      </c>
      <c r="T72">
        <v>0.03</v>
      </c>
      <c r="U72">
        <v>0.06</v>
      </c>
      <c r="V72">
        <v>0.08</v>
      </c>
      <c r="W72">
        <v>0.28999999999999998</v>
      </c>
      <c r="X72">
        <v>0.16</v>
      </c>
      <c r="Y72">
        <v>0.16</v>
      </c>
      <c r="Z72">
        <v>0.24</v>
      </c>
      <c r="AA72">
        <v>0.17</v>
      </c>
      <c r="AB72">
        <v>0.01</v>
      </c>
      <c r="AC72">
        <v>0.38</v>
      </c>
      <c r="AD72">
        <v>0.36</v>
      </c>
      <c r="AE72">
        <v>7.0000000000000007E-2</v>
      </c>
      <c r="AF72">
        <v>0.28000000000000003</v>
      </c>
      <c r="AG72">
        <v>0.54</v>
      </c>
      <c r="AH72">
        <v>0.34</v>
      </c>
      <c r="AI72">
        <v>0.28999999999999998</v>
      </c>
      <c r="AJ72">
        <v>0</v>
      </c>
      <c r="AK72">
        <v>0.09</v>
      </c>
      <c r="AL72">
        <v>0.02</v>
      </c>
      <c r="AM72">
        <v>0.02</v>
      </c>
      <c r="AN72">
        <v>0.28000000000000003</v>
      </c>
      <c r="AO72">
        <v>0.09</v>
      </c>
      <c r="AP72">
        <v>0.42</v>
      </c>
      <c r="AQ72">
        <v>0.13</v>
      </c>
      <c r="AR72">
        <v>0.05</v>
      </c>
      <c r="AS72">
        <v>0.22</v>
      </c>
      <c r="AT72">
        <v>0.01</v>
      </c>
      <c r="AU72">
        <v>0.27</v>
      </c>
      <c r="AV72">
        <v>0.85</v>
      </c>
      <c r="AW72">
        <v>0.23</v>
      </c>
      <c r="AX72">
        <v>0.54</v>
      </c>
      <c r="AY72">
        <v>0.24</v>
      </c>
      <c r="AZ72">
        <v>0.33</v>
      </c>
      <c r="BA72">
        <v>0.32</v>
      </c>
      <c r="BB72">
        <v>0.12</v>
      </c>
      <c r="BC72">
        <v>0.15</v>
      </c>
      <c r="BD72">
        <v>0.1</v>
      </c>
      <c r="BE72">
        <v>0.11</v>
      </c>
      <c r="BF72">
        <v>0.32</v>
      </c>
      <c r="BG72">
        <v>0.13</v>
      </c>
      <c r="BH72">
        <v>0.34</v>
      </c>
      <c r="BI72">
        <v>0.56000000000000005</v>
      </c>
      <c r="BJ72">
        <v>0.2</v>
      </c>
      <c r="BK72">
        <v>0.5</v>
      </c>
      <c r="BL72">
        <v>0.2</v>
      </c>
      <c r="BM72">
        <v>0.33</v>
      </c>
      <c r="BN72">
        <v>0.17</v>
      </c>
      <c r="BO72">
        <v>0.37</v>
      </c>
      <c r="BP72">
        <v>0.04</v>
      </c>
      <c r="BQ72">
        <v>0.11</v>
      </c>
      <c r="BR72">
        <v>0.5</v>
      </c>
      <c r="BS72">
        <v>0.21</v>
      </c>
      <c r="BT72">
        <v>0.22</v>
      </c>
      <c r="BU72">
        <v>0.35</v>
      </c>
      <c r="BV72">
        <v>0.72</v>
      </c>
      <c r="BW72">
        <v>7.0000000000000007E-2</v>
      </c>
      <c r="BX72">
        <v>0.32</v>
      </c>
      <c r="BY72">
        <v>0.08</v>
      </c>
      <c r="BZ72">
        <v>0.22</v>
      </c>
      <c r="CA72">
        <v>0.34</v>
      </c>
      <c r="CB72">
        <v>0.02</v>
      </c>
      <c r="CC72">
        <v>0.67</v>
      </c>
      <c r="CD72">
        <v>0.89</v>
      </c>
      <c r="CE72">
        <v>0.03</v>
      </c>
      <c r="CF72">
        <v>0.25</v>
      </c>
      <c r="CG72">
        <v>0.38</v>
      </c>
      <c r="CH72">
        <v>0.28000000000000003</v>
      </c>
      <c r="CI72">
        <v>0.03</v>
      </c>
      <c r="CJ72">
        <v>0.09</v>
      </c>
      <c r="CK72">
        <v>0.04</v>
      </c>
    </row>
    <row r="73" spans="1:89" x14ac:dyDescent="0.25">
      <c r="A73" s="23" t="s">
        <v>283</v>
      </c>
      <c r="B73">
        <v>0.21</v>
      </c>
      <c r="C73">
        <v>0.28000000000000003</v>
      </c>
      <c r="D73">
        <v>0.98</v>
      </c>
      <c r="E73">
        <v>0.3</v>
      </c>
      <c r="F73">
        <v>0.01</v>
      </c>
      <c r="G73">
        <v>0.04</v>
      </c>
      <c r="H73">
        <v>0.33</v>
      </c>
      <c r="I73">
        <v>0.35</v>
      </c>
      <c r="J73">
        <v>0.05</v>
      </c>
      <c r="K73">
        <v>0.2</v>
      </c>
      <c r="L73">
        <v>0.46</v>
      </c>
      <c r="M73">
        <v>0.4</v>
      </c>
      <c r="N73">
        <v>0.11</v>
      </c>
      <c r="O73">
        <v>0.35</v>
      </c>
      <c r="P73">
        <v>0.21</v>
      </c>
      <c r="Q73">
        <v>0.25</v>
      </c>
      <c r="R73">
        <v>0.36</v>
      </c>
      <c r="S73">
        <v>0.51</v>
      </c>
      <c r="T73">
        <v>0.56999999999999995</v>
      </c>
      <c r="U73">
        <v>0.05</v>
      </c>
      <c r="V73">
        <v>0.17</v>
      </c>
      <c r="W73">
        <v>0.01</v>
      </c>
      <c r="X73">
        <v>0.57999999999999996</v>
      </c>
      <c r="Y73">
        <v>0.21</v>
      </c>
      <c r="AA73">
        <v>0.46</v>
      </c>
      <c r="AB73">
        <v>0.02</v>
      </c>
      <c r="AC73">
        <v>0.23</v>
      </c>
      <c r="AD73">
        <v>1.01</v>
      </c>
      <c r="AE73">
        <v>7.0000000000000007E-2</v>
      </c>
      <c r="AF73">
        <v>0.24</v>
      </c>
      <c r="AG73">
        <v>0.91</v>
      </c>
      <c r="AH73">
        <v>0.12</v>
      </c>
      <c r="AI73">
        <v>0.79</v>
      </c>
      <c r="AJ73">
        <v>0</v>
      </c>
      <c r="AK73">
        <v>0.2</v>
      </c>
      <c r="AL73">
        <v>0.02</v>
      </c>
      <c r="AM73">
        <v>0.03</v>
      </c>
      <c r="AN73">
        <v>0.42</v>
      </c>
      <c r="AO73">
        <v>0.15</v>
      </c>
      <c r="AP73">
        <v>0.22</v>
      </c>
      <c r="AQ73">
        <v>0.12</v>
      </c>
      <c r="AR73">
        <v>0.04</v>
      </c>
      <c r="AS73">
        <v>0.2</v>
      </c>
      <c r="AT73">
        <v>0.08</v>
      </c>
      <c r="AU73">
        <v>0.01</v>
      </c>
      <c r="AV73">
        <v>0.72</v>
      </c>
      <c r="AW73">
        <v>0.28000000000000003</v>
      </c>
      <c r="AX73">
        <v>0.51</v>
      </c>
      <c r="AY73">
        <v>0.17</v>
      </c>
      <c r="AZ73">
        <v>0.28999999999999998</v>
      </c>
      <c r="BA73">
        <v>0.21</v>
      </c>
      <c r="BB73">
        <v>0.31</v>
      </c>
      <c r="BC73">
        <v>0.12</v>
      </c>
      <c r="BD73">
        <v>0.25</v>
      </c>
      <c r="BE73">
        <v>0.16</v>
      </c>
      <c r="BF73">
        <v>0.08</v>
      </c>
      <c r="BG73">
        <v>0.15</v>
      </c>
      <c r="BH73">
        <v>0.35</v>
      </c>
      <c r="BI73">
        <v>0.56999999999999995</v>
      </c>
      <c r="BJ73">
        <v>0.26</v>
      </c>
      <c r="BK73">
        <v>0.27</v>
      </c>
      <c r="BL73">
        <v>0.26</v>
      </c>
      <c r="BM73">
        <v>0.64</v>
      </c>
      <c r="BN73">
        <v>0.16</v>
      </c>
      <c r="BO73">
        <v>0.63</v>
      </c>
      <c r="BP73">
        <v>0.03</v>
      </c>
      <c r="BQ73">
        <v>0.15</v>
      </c>
      <c r="BR73">
        <v>0.42</v>
      </c>
      <c r="BS73">
        <v>0.36</v>
      </c>
      <c r="BT73">
        <v>0.33</v>
      </c>
      <c r="BU73">
        <v>0.12</v>
      </c>
      <c r="BV73">
        <v>0.46</v>
      </c>
      <c r="BW73">
        <v>0.37</v>
      </c>
      <c r="BX73">
        <v>0.39</v>
      </c>
      <c r="BY73">
        <v>0.27</v>
      </c>
      <c r="BZ73">
        <v>0.55000000000000004</v>
      </c>
      <c r="CA73">
        <v>0.13</v>
      </c>
      <c r="CB73">
        <v>0.08</v>
      </c>
      <c r="CC73">
        <v>0.44</v>
      </c>
      <c r="CD73">
        <v>0.04</v>
      </c>
      <c r="CE73">
        <v>0.11</v>
      </c>
      <c r="CF73">
        <v>0.21</v>
      </c>
      <c r="CG73">
        <v>0.13</v>
      </c>
      <c r="CH73">
        <v>0.1</v>
      </c>
      <c r="CI73">
        <v>0.04</v>
      </c>
      <c r="CJ73">
        <v>0.69</v>
      </c>
      <c r="CK73">
        <v>0.11</v>
      </c>
    </row>
    <row r="74" spans="1:89" x14ac:dyDescent="0.25">
      <c r="A74" s="23"/>
    </row>
    <row r="75" spans="1:89" x14ac:dyDescent="0.25">
      <c r="A75" s="23" t="s">
        <v>284</v>
      </c>
      <c r="B75">
        <v>0</v>
      </c>
      <c r="C75">
        <v>0</v>
      </c>
      <c r="D75">
        <v>0</v>
      </c>
      <c r="E75">
        <v>0</v>
      </c>
      <c r="F75">
        <v>1</v>
      </c>
      <c r="G75">
        <v>0</v>
      </c>
      <c r="H75">
        <v>0</v>
      </c>
      <c r="I75">
        <v>4</v>
      </c>
      <c r="J75">
        <v>0</v>
      </c>
      <c r="K75">
        <v>0</v>
      </c>
      <c r="L75">
        <v>1</v>
      </c>
      <c r="M75">
        <v>0</v>
      </c>
      <c r="N75">
        <v>0</v>
      </c>
      <c r="O75">
        <v>0</v>
      </c>
      <c r="P75">
        <v>0</v>
      </c>
      <c r="Q75">
        <v>4</v>
      </c>
      <c r="R75">
        <v>0</v>
      </c>
      <c r="S75">
        <v>2</v>
      </c>
      <c r="T75">
        <v>0</v>
      </c>
      <c r="U75">
        <v>2</v>
      </c>
      <c r="V75">
        <v>4</v>
      </c>
      <c r="W75">
        <v>2</v>
      </c>
      <c r="X75">
        <v>0</v>
      </c>
      <c r="Y75">
        <v>1</v>
      </c>
      <c r="Z75">
        <v>1</v>
      </c>
      <c r="AA75">
        <v>4</v>
      </c>
      <c r="AB75">
        <v>2</v>
      </c>
      <c r="AC75">
        <v>3</v>
      </c>
      <c r="AD75">
        <v>1</v>
      </c>
      <c r="AE75">
        <v>3</v>
      </c>
      <c r="AF75">
        <v>0</v>
      </c>
      <c r="AG75">
        <v>1</v>
      </c>
      <c r="AH75">
        <v>3</v>
      </c>
      <c r="AI75">
        <v>0</v>
      </c>
      <c r="AJ75">
        <v>3</v>
      </c>
      <c r="AK75">
        <v>2</v>
      </c>
      <c r="AL75">
        <v>1</v>
      </c>
      <c r="AM75">
        <v>0</v>
      </c>
      <c r="AN75">
        <v>0</v>
      </c>
      <c r="AO75">
        <v>0</v>
      </c>
      <c r="AP75">
        <v>3</v>
      </c>
      <c r="AQ75">
        <v>0</v>
      </c>
      <c r="AR75">
        <v>0</v>
      </c>
      <c r="AS75">
        <v>2</v>
      </c>
      <c r="AT75">
        <v>0</v>
      </c>
      <c r="AU75">
        <v>0</v>
      </c>
      <c r="AV75">
        <v>0</v>
      </c>
      <c r="AW75">
        <v>1</v>
      </c>
      <c r="AX75">
        <v>1</v>
      </c>
      <c r="AY75">
        <v>0</v>
      </c>
      <c r="AZ75">
        <v>1</v>
      </c>
      <c r="BA75">
        <v>0</v>
      </c>
      <c r="BB75">
        <v>3</v>
      </c>
      <c r="BC75">
        <v>3</v>
      </c>
      <c r="BD75">
        <v>0</v>
      </c>
      <c r="BE75">
        <v>0</v>
      </c>
      <c r="BF75">
        <v>3</v>
      </c>
      <c r="BG75">
        <v>2</v>
      </c>
      <c r="BH75">
        <v>2</v>
      </c>
      <c r="BI75">
        <v>2</v>
      </c>
      <c r="BJ75">
        <v>1</v>
      </c>
      <c r="BK75">
        <v>2</v>
      </c>
      <c r="BL75">
        <v>3</v>
      </c>
      <c r="BM75">
        <v>2</v>
      </c>
      <c r="BN75">
        <v>1</v>
      </c>
      <c r="BO75">
        <v>0</v>
      </c>
      <c r="BP75">
        <v>3</v>
      </c>
      <c r="BQ75">
        <v>1</v>
      </c>
      <c r="BR75">
        <v>1</v>
      </c>
      <c r="BS75">
        <v>0</v>
      </c>
      <c r="BT75">
        <v>0</v>
      </c>
      <c r="BU75">
        <v>3</v>
      </c>
      <c r="BV75">
        <v>0</v>
      </c>
      <c r="BW75">
        <v>0</v>
      </c>
      <c r="BX75">
        <v>1</v>
      </c>
      <c r="BY75">
        <v>2</v>
      </c>
      <c r="BZ75">
        <v>0</v>
      </c>
      <c r="CA75">
        <v>0</v>
      </c>
      <c r="CB75">
        <v>0</v>
      </c>
      <c r="CC75">
        <v>3</v>
      </c>
      <c r="CD75">
        <v>0</v>
      </c>
      <c r="CE75">
        <v>1</v>
      </c>
      <c r="CF75">
        <v>1</v>
      </c>
      <c r="CG75">
        <v>2</v>
      </c>
      <c r="CH75">
        <v>2</v>
      </c>
      <c r="CI75">
        <v>0</v>
      </c>
      <c r="CJ75">
        <v>2</v>
      </c>
      <c r="CK75">
        <v>4</v>
      </c>
    </row>
    <row r="76" spans="1:89" x14ac:dyDescent="0.25">
      <c r="A76" s="23" t="s">
        <v>285</v>
      </c>
      <c r="B76">
        <v>1</v>
      </c>
      <c r="C76">
        <v>0</v>
      </c>
      <c r="D76">
        <v>0</v>
      </c>
      <c r="E76">
        <v>0</v>
      </c>
      <c r="F76">
        <v>2</v>
      </c>
      <c r="G76">
        <v>0</v>
      </c>
      <c r="H76">
        <v>0</v>
      </c>
      <c r="I76">
        <v>0</v>
      </c>
      <c r="J76">
        <v>1</v>
      </c>
      <c r="K76">
        <v>0</v>
      </c>
      <c r="L76">
        <v>2</v>
      </c>
      <c r="M76">
        <v>2</v>
      </c>
      <c r="N76">
        <v>0</v>
      </c>
      <c r="O76">
        <v>2</v>
      </c>
      <c r="P76">
        <v>1</v>
      </c>
      <c r="Q76">
        <v>0</v>
      </c>
      <c r="R76">
        <v>2</v>
      </c>
      <c r="S76">
        <v>0</v>
      </c>
      <c r="T76">
        <v>0</v>
      </c>
      <c r="U76">
        <v>1</v>
      </c>
      <c r="V76">
        <v>1</v>
      </c>
      <c r="W76">
        <v>0</v>
      </c>
      <c r="X76">
        <v>1</v>
      </c>
      <c r="Y76">
        <v>0</v>
      </c>
      <c r="Z76">
        <v>2</v>
      </c>
      <c r="AA76">
        <v>2</v>
      </c>
      <c r="AB76">
        <v>1</v>
      </c>
      <c r="AC76">
        <v>0</v>
      </c>
      <c r="AD76">
        <v>3</v>
      </c>
      <c r="AE76">
        <v>1</v>
      </c>
      <c r="AF76">
        <v>2</v>
      </c>
      <c r="AG76">
        <v>1</v>
      </c>
      <c r="AH76">
        <v>2</v>
      </c>
      <c r="AI76">
        <v>0</v>
      </c>
      <c r="AJ76">
        <v>3</v>
      </c>
      <c r="AK76">
        <v>3</v>
      </c>
      <c r="AL76">
        <v>0</v>
      </c>
      <c r="AM76">
        <v>1</v>
      </c>
      <c r="AN76">
        <v>0</v>
      </c>
      <c r="AO76">
        <v>3</v>
      </c>
      <c r="AP76">
        <v>3</v>
      </c>
      <c r="AQ76">
        <v>2</v>
      </c>
      <c r="AR76">
        <v>0</v>
      </c>
      <c r="AS76">
        <v>1</v>
      </c>
      <c r="AT76">
        <v>0</v>
      </c>
      <c r="AU76">
        <v>1</v>
      </c>
      <c r="AV76">
        <v>1</v>
      </c>
      <c r="AW76">
        <v>1</v>
      </c>
      <c r="AX76">
        <v>1</v>
      </c>
      <c r="AY76">
        <v>3</v>
      </c>
      <c r="AZ76">
        <v>1</v>
      </c>
      <c r="BA76">
        <v>2</v>
      </c>
      <c r="BB76">
        <v>3</v>
      </c>
      <c r="BC76">
        <v>0</v>
      </c>
      <c r="BD76">
        <v>3</v>
      </c>
      <c r="BE76">
        <v>0</v>
      </c>
      <c r="BF76">
        <v>2</v>
      </c>
      <c r="BG76">
        <v>2</v>
      </c>
      <c r="BH76">
        <v>3</v>
      </c>
      <c r="BI76">
        <v>3</v>
      </c>
      <c r="BJ76">
        <v>0</v>
      </c>
      <c r="BL76">
        <v>1</v>
      </c>
      <c r="BM76">
        <v>0</v>
      </c>
      <c r="BN76">
        <v>0</v>
      </c>
      <c r="BO76">
        <v>1</v>
      </c>
      <c r="BP76">
        <v>3</v>
      </c>
      <c r="BQ76">
        <v>1</v>
      </c>
      <c r="BR76">
        <v>1</v>
      </c>
      <c r="BS76">
        <v>0</v>
      </c>
      <c r="BT76">
        <v>0</v>
      </c>
      <c r="BU76">
        <v>0</v>
      </c>
      <c r="BV76">
        <v>1</v>
      </c>
      <c r="BW76">
        <v>1</v>
      </c>
      <c r="BX76">
        <v>2</v>
      </c>
      <c r="BY76">
        <v>0</v>
      </c>
      <c r="BZ76">
        <v>0</v>
      </c>
      <c r="CA76">
        <v>0</v>
      </c>
      <c r="CB76">
        <v>3</v>
      </c>
      <c r="CC76">
        <v>3</v>
      </c>
      <c r="CD76">
        <v>2</v>
      </c>
      <c r="CE76">
        <v>1</v>
      </c>
      <c r="CF76">
        <v>1</v>
      </c>
      <c r="CG76">
        <v>1</v>
      </c>
      <c r="CH76">
        <v>0</v>
      </c>
      <c r="CI76">
        <v>0</v>
      </c>
      <c r="CJ76">
        <v>0</v>
      </c>
      <c r="CK76">
        <v>3</v>
      </c>
    </row>
    <row r="77" spans="1:89" x14ac:dyDescent="0.25">
      <c r="A77" s="23" t="s">
        <v>286</v>
      </c>
      <c r="B77">
        <v>2</v>
      </c>
      <c r="C77">
        <v>4</v>
      </c>
      <c r="D77">
        <v>0</v>
      </c>
      <c r="E77">
        <v>0</v>
      </c>
      <c r="F77">
        <v>2</v>
      </c>
      <c r="G77">
        <v>0</v>
      </c>
      <c r="H77">
        <v>0</v>
      </c>
      <c r="I77">
        <v>0</v>
      </c>
      <c r="J77">
        <v>2</v>
      </c>
      <c r="K77">
        <v>0</v>
      </c>
      <c r="L77">
        <v>1</v>
      </c>
      <c r="M77">
        <v>2</v>
      </c>
      <c r="N77">
        <v>0</v>
      </c>
      <c r="O77">
        <v>0</v>
      </c>
      <c r="P77">
        <v>0</v>
      </c>
      <c r="Q77">
        <v>1</v>
      </c>
      <c r="R77">
        <v>0</v>
      </c>
      <c r="S77">
        <v>0</v>
      </c>
      <c r="T77">
        <v>0</v>
      </c>
      <c r="U77">
        <v>1</v>
      </c>
      <c r="V77">
        <v>0</v>
      </c>
      <c r="W77">
        <v>2</v>
      </c>
      <c r="X77">
        <v>1</v>
      </c>
      <c r="Y77">
        <v>0</v>
      </c>
      <c r="Z77">
        <v>2</v>
      </c>
      <c r="AA77">
        <v>0</v>
      </c>
      <c r="AB77">
        <v>2</v>
      </c>
      <c r="AC77">
        <v>1</v>
      </c>
      <c r="AD77">
        <v>4</v>
      </c>
      <c r="AE77">
        <v>1</v>
      </c>
      <c r="AF77">
        <v>0</v>
      </c>
      <c r="AG77">
        <v>1</v>
      </c>
      <c r="AH77">
        <v>0</v>
      </c>
      <c r="AI77">
        <v>0</v>
      </c>
      <c r="AJ77">
        <v>0</v>
      </c>
      <c r="AK77">
        <v>2</v>
      </c>
      <c r="AL77">
        <v>0</v>
      </c>
      <c r="AM77">
        <v>0</v>
      </c>
      <c r="AN77">
        <v>3</v>
      </c>
      <c r="AO77">
        <v>0</v>
      </c>
      <c r="AP77">
        <v>2</v>
      </c>
      <c r="AQ77">
        <v>0</v>
      </c>
      <c r="AR77">
        <v>1</v>
      </c>
      <c r="AS77">
        <v>0</v>
      </c>
      <c r="AT77">
        <v>0</v>
      </c>
      <c r="AU77">
        <v>0</v>
      </c>
      <c r="AV77">
        <v>3</v>
      </c>
      <c r="AW77">
        <v>0</v>
      </c>
      <c r="AX77">
        <v>3</v>
      </c>
      <c r="AY77">
        <v>1</v>
      </c>
      <c r="AZ77">
        <v>2</v>
      </c>
      <c r="BA77">
        <v>2</v>
      </c>
      <c r="BB77">
        <v>3</v>
      </c>
      <c r="BC77">
        <v>2</v>
      </c>
      <c r="BD77">
        <v>4</v>
      </c>
      <c r="BE77">
        <v>0</v>
      </c>
      <c r="BF77">
        <v>2</v>
      </c>
      <c r="BG77">
        <v>2</v>
      </c>
      <c r="BH77">
        <v>2</v>
      </c>
      <c r="BI77">
        <v>2</v>
      </c>
      <c r="BJ77">
        <v>3</v>
      </c>
      <c r="BK77">
        <v>1</v>
      </c>
      <c r="BL77">
        <v>1</v>
      </c>
      <c r="BM77">
        <v>2</v>
      </c>
      <c r="BN77">
        <v>1</v>
      </c>
      <c r="BO77">
        <v>3</v>
      </c>
      <c r="BP77">
        <v>4</v>
      </c>
      <c r="BQ77">
        <v>0</v>
      </c>
      <c r="BR77">
        <v>1</v>
      </c>
      <c r="BS77">
        <v>0</v>
      </c>
      <c r="BT77">
        <v>0</v>
      </c>
      <c r="BU77">
        <v>0</v>
      </c>
      <c r="BV77">
        <v>0</v>
      </c>
      <c r="BW77">
        <v>2</v>
      </c>
      <c r="BX77">
        <v>1</v>
      </c>
      <c r="BY77">
        <v>0</v>
      </c>
      <c r="BZ77">
        <v>0</v>
      </c>
      <c r="CA77">
        <v>2</v>
      </c>
      <c r="CB77">
        <v>0</v>
      </c>
      <c r="CC77">
        <v>2</v>
      </c>
      <c r="CD77">
        <v>0</v>
      </c>
      <c r="CE77">
        <v>1</v>
      </c>
      <c r="CF77">
        <v>1</v>
      </c>
      <c r="CG77">
        <v>1</v>
      </c>
      <c r="CH77">
        <v>2</v>
      </c>
      <c r="CI77">
        <v>0</v>
      </c>
      <c r="CJ77">
        <v>0</v>
      </c>
      <c r="CK77">
        <v>0</v>
      </c>
    </row>
    <row r="78" spans="1:89" x14ac:dyDescent="0.25">
      <c r="A78" s="23" t="s">
        <v>287</v>
      </c>
      <c r="B78">
        <v>0</v>
      </c>
      <c r="C78">
        <v>0</v>
      </c>
      <c r="D78">
        <v>0</v>
      </c>
      <c r="E78">
        <v>0</v>
      </c>
      <c r="F78">
        <v>1</v>
      </c>
      <c r="G78">
        <v>3</v>
      </c>
      <c r="H78">
        <v>0</v>
      </c>
      <c r="I78">
        <v>4</v>
      </c>
      <c r="J78">
        <v>1</v>
      </c>
      <c r="K78">
        <v>1</v>
      </c>
      <c r="L78">
        <v>1</v>
      </c>
      <c r="M78">
        <v>1</v>
      </c>
      <c r="N78">
        <v>0</v>
      </c>
      <c r="O78">
        <v>3</v>
      </c>
      <c r="P78">
        <v>1</v>
      </c>
      <c r="Q78">
        <v>2</v>
      </c>
      <c r="R78">
        <v>0</v>
      </c>
      <c r="S78">
        <v>0</v>
      </c>
      <c r="T78">
        <v>0</v>
      </c>
      <c r="U78">
        <v>2</v>
      </c>
      <c r="V78">
        <v>0</v>
      </c>
      <c r="W78">
        <v>0</v>
      </c>
      <c r="X78">
        <v>2</v>
      </c>
      <c r="Y78">
        <v>2</v>
      </c>
      <c r="Z78">
        <v>0</v>
      </c>
      <c r="AA78">
        <v>3</v>
      </c>
      <c r="AB78">
        <v>2</v>
      </c>
      <c r="AC78">
        <v>0</v>
      </c>
      <c r="AD78">
        <v>2</v>
      </c>
      <c r="AE78">
        <v>0</v>
      </c>
      <c r="AF78">
        <v>1</v>
      </c>
      <c r="AG78">
        <v>1</v>
      </c>
      <c r="AH78">
        <v>1</v>
      </c>
      <c r="AI78">
        <v>0</v>
      </c>
      <c r="AJ78">
        <v>0</v>
      </c>
      <c r="AK78">
        <v>0</v>
      </c>
      <c r="AL78">
        <v>1</v>
      </c>
      <c r="AM78">
        <v>1</v>
      </c>
      <c r="AN78">
        <v>2</v>
      </c>
      <c r="AO78">
        <v>2</v>
      </c>
      <c r="AP78">
        <v>3</v>
      </c>
      <c r="AQ78">
        <v>0</v>
      </c>
      <c r="AR78">
        <v>0</v>
      </c>
      <c r="AS78">
        <v>1</v>
      </c>
      <c r="AT78">
        <v>0</v>
      </c>
      <c r="AU78">
        <v>1</v>
      </c>
      <c r="AV78">
        <v>4</v>
      </c>
      <c r="AW78">
        <v>0</v>
      </c>
      <c r="AX78">
        <v>3</v>
      </c>
      <c r="AY78">
        <v>0</v>
      </c>
      <c r="AZ78">
        <v>0</v>
      </c>
      <c r="BA78">
        <v>0</v>
      </c>
      <c r="BB78">
        <v>2</v>
      </c>
      <c r="BC78">
        <v>1</v>
      </c>
      <c r="BD78">
        <v>2</v>
      </c>
      <c r="BE78">
        <v>0</v>
      </c>
      <c r="BF78">
        <v>0</v>
      </c>
      <c r="BG78">
        <v>3</v>
      </c>
      <c r="BH78">
        <v>4</v>
      </c>
      <c r="BI78">
        <v>0</v>
      </c>
      <c r="BJ78">
        <v>1</v>
      </c>
      <c r="BK78">
        <v>1</v>
      </c>
      <c r="BL78">
        <v>2</v>
      </c>
      <c r="BM78">
        <v>0</v>
      </c>
      <c r="BN78">
        <v>0</v>
      </c>
      <c r="BO78">
        <v>0</v>
      </c>
      <c r="BP78">
        <v>2</v>
      </c>
      <c r="BQ78">
        <v>0</v>
      </c>
      <c r="BR78">
        <v>2</v>
      </c>
      <c r="BS78">
        <v>0</v>
      </c>
      <c r="BT78">
        <v>0</v>
      </c>
      <c r="BU78">
        <v>2</v>
      </c>
      <c r="BV78">
        <v>2</v>
      </c>
      <c r="BW78">
        <v>3</v>
      </c>
      <c r="BX78">
        <v>1</v>
      </c>
      <c r="BY78">
        <v>0</v>
      </c>
      <c r="BZ78">
        <v>0</v>
      </c>
      <c r="CA78">
        <v>0</v>
      </c>
      <c r="CB78">
        <v>0</v>
      </c>
      <c r="CC78">
        <v>2</v>
      </c>
      <c r="CD78">
        <v>0</v>
      </c>
      <c r="CE78">
        <v>1</v>
      </c>
      <c r="CF78">
        <v>0</v>
      </c>
      <c r="CG78">
        <v>1</v>
      </c>
      <c r="CH78">
        <v>1</v>
      </c>
      <c r="CI78">
        <v>0</v>
      </c>
      <c r="CJ78">
        <v>1</v>
      </c>
      <c r="CK78">
        <v>4</v>
      </c>
    </row>
    <row r="79" spans="1:89" x14ac:dyDescent="0.25">
      <c r="A79" s="23" t="s">
        <v>288</v>
      </c>
      <c r="B79">
        <v>0</v>
      </c>
      <c r="C79">
        <v>2</v>
      </c>
      <c r="D79">
        <v>0</v>
      </c>
      <c r="E79">
        <v>0</v>
      </c>
      <c r="F79">
        <v>0</v>
      </c>
      <c r="G79">
        <v>0</v>
      </c>
      <c r="H79">
        <v>0</v>
      </c>
      <c r="I79">
        <v>0</v>
      </c>
      <c r="J79">
        <v>0</v>
      </c>
      <c r="K79">
        <v>1</v>
      </c>
      <c r="L79">
        <v>1</v>
      </c>
      <c r="M79">
        <v>1</v>
      </c>
      <c r="N79">
        <v>4</v>
      </c>
      <c r="O79">
        <v>3</v>
      </c>
      <c r="P79">
        <v>0</v>
      </c>
      <c r="Q79">
        <v>1</v>
      </c>
      <c r="R79">
        <v>0</v>
      </c>
      <c r="S79">
        <v>2</v>
      </c>
      <c r="T79">
        <v>1</v>
      </c>
      <c r="U79">
        <v>2</v>
      </c>
      <c r="V79">
        <v>0</v>
      </c>
      <c r="W79">
        <v>0</v>
      </c>
      <c r="X79">
        <v>2</v>
      </c>
      <c r="Y79">
        <v>0</v>
      </c>
      <c r="Z79">
        <v>0</v>
      </c>
      <c r="AA79">
        <v>3</v>
      </c>
      <c r="AB79">
        <v>2</v>
      </c>
      <c r="AC79">
        <v>2</v>
      </c>
      <c r="AD79">
        <v>1</v>
      </c>
      <c r="AE79">
        <v>2</v>
      </c>
      <c r="AF79">
        <v>1</v>
      </c>
      <c r="AG79">
        <v>1</v>
      </c>
      <c r="AH79">
        <v>1</v>
      </c>
      <c r="AI79">
        <v>0</v>
      </c>
      <c r="AJ79">
        <v>0</v>
      </c>
      <c r="AK79">
        <v>0</v>
      </c>
      <c r="AL79">
        <v>0</v>
      </c>
      <c r="AM79">
        <v>2</v>
      </c>
      <c r="AN79">
        <v>1</v>
      </c>
      <c r="AO79">
        <v>2</v>
      </c>
      <c r="AP79">
        <v>1</v>
      </c>
      <c r="AQ79">
        <v>3</v>
      </c>
      <c r="AR79">
        <v>2</v>
      </c>
      <c r="AS79">
        <v>1</v>
      </c>
      <c r="AT79">
        <v>0</v>
      </c>
      <c r="AU79">
        <v>1</v>
      </c>
      <c r="AV79">
        <v>2</v>
      </c>
      <c r="AW79">
        <v>0</v>
      </c>
      <c r="AX79">
        <v>1</v>
      </c>
      <c r="AY79">
        <v>2</v>
      </c>
      <c r="AZ79">
        <v>0</v>
      </c>
      <c r="BA79">
        <v>1</v>
      </c>
      <c r="BB79">
        <v>0</v>
      </c>
      <c r="BC79">
        <v>4</v>
      </c>
      <c r="BD79">
        <v>2</v>
      </c>
      <c r="BE79">
        <v>0</v>
      </c>
      <c r="BF79">
        <v>2</v>
      </c>
      <c r="BG79">
        <v>2</v>
      </c>
      <c r="BH79">
        <v>4</v>
      </c>
      <c r="BI79">
        <v>1</v>
      </c>
      <c r="BJ79">
        <v>2</v>
      </c>
      <c r="BK79">
        <v>3</v>
      </c>
      <c r="BL79">
        <v>2</v>
      </c>
      <c r="BM79">
        <v>2</v>
      </c>
      <c r="BN79">
        <v>0</v>
      </c>
      <c r="BO79">
        <v>1</v>
      </c>
      <c r="BP79">
        <v>0</v>
      </c>
      <c r="BQ79">
        <v>0</v>
      </c>
      <c r="BR79">
        <v>1</v>
      </c>
      <c r="BS79">
        <v>1</v>
      </c>
      <c r="BT79">
        <v>0</v>
      </c>
      <c r="BU79">
        <v>0</v>
      </c>
      <c r="BV79">
        <v>0</v>
      </c>
      <c r="BW79">
        <v>2</v>
      </c>
      <c r="BX79">
        <v>2</v>
      </c>
      <c r="BY79">
        <v>0</v>
      </c>
      <c r="BZ79">
        <v>0</v>
      </c>
      <c r="CA79">
        <v>1</v>
      </c>
      <c r="CB79">
        <v>0</v>
      </c>
      <c r="CC79">
        <v>1</v>
      </c>
      <c r="CD79">
        <v>1</v>
      </c>
      <c r="CE79">
        <v>0</v>
      </c>
      <c r="CF79">
        <v>2</v>
      </c>
      <c r="CG79">
        <v>1</v>
      </c>
      <c r="CH79">
        <v>1</v>
      </c>
      <c r="CI79">
        <v>0</v>
      </c>
      <c r="CJ79">
        <v>1</v>
      </c>
      <c r="CK79">
        <v>2</v>
      </c>
    </row>
    <row r="80" spans="1:89" x14ac:dyDescent="0.25">
      <c r="A80" s="23" t="s">
        <v>289</v>
      </c>
      <c r="B80">
        <v>0</v>
      </c>
      <c r="C80">
        <v>0</v>
      </c>
      <c r="D80">
        <v>0</v>
      </c>
      <c r="E80">
        <v>2</v>
      </c>
      <c r="F80">
        <v>0</v>
      </c>
      <c r="G80">
        <v>0</v>
      </c>
      <c r="H80">
        <v>3</v>
      </c>
      <c r="I80">
        <v>4</v>
      </c>
      <c r="J80">
        <v>2</v>
      </c>
      <c r="K80">
        <v>3</v>
      </c>
      <c r="L80">
        <v>0</v>
      </c>
      <c r="M80">
        <v>4</v>
      </c>
      <c r="N80">
        <v>0</v>
      </c>
      <c r="O80">
        <v>0</v>
      </c>
      <c r="P80">
        <v>0</v>
      </c>
      <c r="Q80">
        <v>0</v>
      </c>
      <c r="R80">
        <v>0</v>
      </c>
      <c r="S80">
        <v>0</v>
      </c>
      <c r="T80">
        <v>0</v>
      </c>
      <c r="U80">
        <v>3</v>
      </c>
      <c r="V80">
        <v>0</v>
      </c>
      <c r="W80">
        <v>0</v>
      </c>
      <c r="X80">
        <v>1</v>
      </c>
      <c r="Y80">
        <v>0</v>
      </c>
      <c r="Z80">
        <v>0</v>
      </c>
      <c r="AA80">
        <v>2</v>
      </c>
      <c r="AB80">
        <v>0</v>
      </c>
      <c r="AC80">
        <v>2</v>
      </c>
      <c r="AD80">
        <v>0</v>
      </c>
      <c r="AE80">
        <v>1</v>
      </c>
      <c r="AF80">
        <v>0</v>
      </c>
      <c r="AG80">
        <v>1</v>
      </c>
      <c r="AH80">
        <v>1</v>
      </c>
      <c r="AI80">
        <v>0</v>
      </c>
      <c r="AJ80">
        <v>3</v>
      </c>
      <c r="AK80">
        <v>0</v>
      </c>
      <c r="AL80">
        <v>0</v>
      </c>
      <c r="AM80">
        <v>1</v>
      </c>
      <c r="AN80">
        <v>1</v>
      </c>
      <c r="AO80">
        <v>1</v>
      </c>
      <c r="AP80">
        <v>1</v>
      </c>
      <c r="AQ80">
        <v>0</v>
      </c>
      <c r="AR80">
        <v>0</v>
      </c>
      <c r="AS80">
        <v>1</v>
      </c>
      <c r="AT80">
        <v>0</v>
      </c>
      <c r="AU80">
        <v>1</v>
      </c>
      <c r="AV80">
        <v>3</v>
      </c>
      <c r="AW80">
        <v>0</v>
      </c>
      <c r="AX80">
        <v>2</v>
      </c>
      <c r="AY80">
        <v>1</v>
      </c>
      <c r="AZ80">
        <v>1</v>
      </c>
      <c r="BA80">
        <v>1</v>
      </c>
      <c r="BB80">
        <v>0</v>
      </c>
      <c r="BC80">
        <v>3</v>
      </c>
      <c r="BD80">
        <v>0</v>
      </c>
      <c r="BE80">
        <v>0</v>
      </c>
      <c r="BF80">
        <v>2</v>
      </c>
      <c r="BG80">
        <v>0</v>
      </c>
      <c r="BI80">
        <v>0</v>
      </c>
      <c r="BJ80">
        <v>2</v>
      </c>
      <c r="BK80">
        <v>3</v>
      </c>
      <c r="BL80">
        <v>2</v>
      </c>
      <c r="BM80">
        <v>0</v>
      </c>
      <c r="BN80">
        <v>2</v>
      </c>
      <c r="BO80">
        <v>1</v>
      </c>
      <c r="BP80">
        <v>0</v>
      </c>
      <c r="BQ80">
        <v>1</v>
      </c>
      <c r="BR80">
        <v>1</v>
      </c>
      <c r="BS80">
        <v>1</v>
      </c>
      <c r="BT80">
        <v>0</v>
      </c>
      <c r="BU80">
        <v>3</v>
      </c>
      <c r="BV80">
        <v>2</v>
      </c>
      <c r="BW80">
        <v>2</v>
      </c>
      <c r="BX80">
        <v>1</v>
      </c>
      <c r="BY80">
        <v>2</v>
      </c>
      <c r="BZ80">
        <v>3</v>
      </c>
      <c r="CA80">
        <v>0</v>
      </c>
      <c r="CB80">
        <v>0</v>
      </c>
      <c r="CC80">
        <v>1</v>
      </c>
      <c r="CD80">
        <v>0</v>
      </c>
      <c r="CE80">
        <v>1</v>
      </c>
      <c r="CF80">
        <v>0</v>
      </c>
      <c r="CG80">
        <v>1</v>
      </c>
      <c r="CH80">
        <v>3</v>
      </c>
      <c r="CI80">
        <v>0</v>
      </c>
      <c r="CJ80">
        <v>2</v>
      </c>
      <c r="CK80">
        <v>4</v>
      </c>
    </row>
    <row r="81" spans="1:89" x14ac:dyDescent="0.25">
      <c r="A81" s="23" t="s">
        <v>290</v>
      </c>
      <c r="B81">
        <v>2</v>
      </c>
      <c r="C81">
        <v>0</v>
      </c>
      <c r="D81">
        <v>0</v>
      </c>
      <c r="E81">
        <v>1</v>
      </c>
      <c r="F81">
        <v>4</v>
      </c>
      <c r="G81">
        <v>4</v>
      </c>
      <c r="H81">
        <v>0</v>
      </c>
      <c r="I81">
        <v>4</v>
      </c>
      <c r="J81">
        <v>2</v>
      </c>
      <c r="K81">
        <v>1</v>
      </c>
      <c r="L81">
        <v>0</v>
      </c>
      <c r="M81">
        <v>2</v>
      </c>
      <c r="N81">
        <v>2</v>
      </c>
      <c r="O81">
        <v>1</v>
      </c>
      <c r="P81">
        <v>1</v>
      </c>
      <c r="Q81">
        <v>1</v>
      </c>
      <c r="R81">
        <v>0</v>
      </c>
      <c r="S81">
        <v>0</v>
      </c>
      <c r="T81">
        <v>3</v>
      </c>
      <c r="U81">
        <v>0</v>
      </c>
      <c r="V81">
        <v>0</v>
      </c>
      <c r="W81">
        <v>0</v>
      </c>
      <c r="X81">
        <v>1</v>
      </c>
      <c r="Y81">
        <v>0</v>
      </c>
      <c r="Z81">
        <v>1</v>
      </c>
      <c r="AA81">
        <v>2</v>
      </c>
      <c r="AB81">
        <v>0</v>
      </c>
      <c r="AC81">
        <v>2</v>
      </c>
      <c r="AD81">
        <v>1</v>
      </c>
      <c r="AE81">
        <v>1</v>
      </c>
      <c r="AF81">
        <v>1</v>
      </c>
      <c r="AH81">
        <v>3</v>
      </c>
      <c r="AI81">
        <v>0</v>
      </c>
      <c r="AJ81">
        <v>0</v>
      </c>
      <c r="AK81">
        <v>0</v>
      </c>
      <c r="AL81">
        <v>1</v>
      </c>
      <c r="AM81">
        <v>1</v>
      </c>
      <c r="AN81">
        <v>1</v>
      </c>
      <c r="AO81">
        <v>0</v>
      </c>
      <c r="AP81">
        <v>1</v>
      </c>
      <c r="AQ81">
        <v>0</v>
      </c>
      <c r="AR81">
        <v>1</v>
      </c>
      <c r="AS81">
        <v>2</v>
      </c>
      <c r="AT81">
        <v>2</v>
      </c>
      <c r="AU81">
        <v>1</v>
      </c>
      <c r="AV81">
        <v>2</v>
      </c>
      <c r="AW81">
        <v>0</v>
      </c>
      <c r="AX81">
        <v>2</v>
      </c>
      <c r="AY81">
        <v>1</v>
      </c>
      <c r="AZ81">
        <v>3</v>
      </c>
      <c r="BA81">
        <v>1</v>
      </c>
      <c r="BB81">
        <v>0</v>
      </c>
      <c r="BC81">
        <v>2</v>
      </c>
      <c r="BD81">
        <v>2</v>
      </c>
      <c r="BE81">
        <v>0</v>
      </c>
      <c r="BF81">
        <v>0</v>
      </c>
      <c r="BG81">
        <v>1</v>
      </c>
      <c r="BH81">
        <v>3</v>
      </c>
      <c r="BI81">
        <v>2</v>
      </c>
      <c r="BJ81">
        <v>2</v>
      </c>
      <c r="BK81">
        <v>1</v>
      </c>
      <c r="BL81">
        <v>2</v>
      </c>
      <c r="BM81">
        <v>0</v>
      </c>
      <c r="BN81">
        <v>0</v>
      </c>
      <c r="BO81">
        <v>0</v>
      </c>
      <c r="BP81">
        <v>0</v>
      </c>
      <c r="BQ81">
        <v>1</v>
      </c>
      <c r="BR81">
        <v>1</v>
      </c>
      <c r="BS81">
        <v>1</v>
      </c>
      <c r="BT81">
        <v>0</v>
      </c>
      <c r="BU81">
        <v>0</v>
      </c>
      <c r="BV81">
        <v>1</v>
      </c>
      <c r="BW81">
        <v>2</v>
      </c>
      <c r="BX81">
        <v>0</v>
      </c>
      <c r="BY81">
        <v>1</v>
      </c>
      <c r="BZ81">
        <v>2</v>
      </c>
      <c r="CA81">
        <v>2</v>
      </c>
      <c r="CB81">
        <v>0</v>
      </c>
      <c r="CC81">
        <v>1</v>
      </c>
      <c r="CD81">
        <v>0</v>
      </c>
      <c r="CE81">
        <v>0</v>
      </c>
      <c r="CF81">
        <v>1</v>
      </c>
      <c r="CG81">
        <v>1</v>
      </c>
      <c r="CH81">
        <v>0</v>
      </c>
      <c r="CI81">
        <v>0</v>
      </c>
      <c r="CJ81">
        <v>1</v>
      </c>
      <c r="CK81">
        <v>1</v>
      </c>
    </row>
    <row r="82" spans="1:89" x14ac:dyDescent="0.25">
      <c r="A82" s="23" t="s">
        <v>291</v>
      </c>
      <c r="B82">
        <v>0</v>
      </c>
      <c r="C82">
        <v>1</v>
      </c>
      <c r="D82">
        <v>0</v>
      </c>
      <c r="E82">
        <v>0</v>
      </c>
      <c r="F82">
        <v>2</v>
      </c>
      <c r="G82">
        <v>0</v>
      </c>
      <c r="H82">
        <v>0</v>
      </c>
      <c r="I82">
        <v>0</v>
      </c>
      <c r="J82">
        <v>0</v>
      </c>
      <c r="K82">
        <v>2</v>
      </c>
      <c r="L82">
        <v>1</v>
      </c>
      <c r="M82">
        <v>1</v>
      </c>
      <c r="N82">
        <v>3</v>
      </c>
      <c r="O82">
        <v>3</v>
      </c>
      <c r="P82">
        <v>3</v>
      </c>
      <c r="Q82">
        <v>0</v>
      </c>
      <c r="R82">
        <v>0</v>
      </c>
      <c r="S82">
        <v>0</v>
      </c>
      <c r="T82">
        <v>2</v>
      </c>
      <c r="U82">
        <v>3</v>
      </c>
      <c r="V82">
        <v>0</v>
      </c>
      <c r="W82">
        <v>0</v>
      </c>
      <c r="X82">
        <v>1</v>
      </c>
      <c r="Y82">
        <v>0</v>
      </c>
      <c r="Z82">
        <v>0</v>
      </c>
      <c r="AA82">
        <v>4</v>
      </c>
      <c r="AB82">
        <v>2</v>
      </c>
      <c r="AC82">
        <v>0</v>
      </c>
      <c r="AD82">
        <v>0</v>
      </c>
      <c r="AE82">
        <v>2</v>
      </c>
      <c r="AF82">
        <v>3</v>
      </c>
      <c r="AG82">
        <v>1</v>
      </c>
      <c r="AH82">
        <v>2</v>
      </c>
      <c r="AI82">
        <v>0</v>
      </c>
      <c r="AJ82">
        <v>4</v>
      </c>
      <c r="AK82">
        <v>0</v>
      </c>
      <c r="AL82">
        <v>2</v>
      </c>
      <c r="AM82">
        <v>1</v>
      </c>
      <c r="AN82">
        <v>0</v>
      </c>
      <c r="AO82">
        <v>0</v>
      </c>
      <c r="AP82">
        <v>3</v>
      </c>
      <c r="AQ82">
        <v>2</v>
      </c>
      <c r="AR82">
        <v>1</v>
      </c>
      <c r="AS82">
        <v>1</v>
      </c>
      <c r="AT82">
        <v>0</v>
      </c>
      <c r="AU82">
        <v>1</v>
      </c>
      <c r="AV82">
        <v>2</v>
      </c>
      <c r="AW82">
        <v>0</v>
      </c>
      <c r="AX82">
        <v>3</v>
      </c>
      <c r="AY82">
        <v>1</v>
      </c>
      <c r="AZ82">
        <v>0</v>
      </c>
      <c r="BA82">
        <v>0</v>
      </c>
      <c r="BB82">
        <v>0</v>
      </c>
      <c r="BC82">
        <v>1</v>
      </c>
      <c r="BD82">
        <v>2</v>
      </c>
      <c r="BE82">
        <v>0</v>
      </c>
      <c r="BF82">
        <v>1</v>
      </c>
      <c r="BG82">
        <v>2</v>
      </c>
      <c r="BH82">
        <v>4</v>
      </c>
      <c r="BI82">
        <v>4</v>
      </c>
      <c r="BJ82">
        <v>1</v>
      </c>
      <c r="BK82">
        <v>1</v>
      </c>
      <c r="BL82">
        <v>1</v>
      </c>
      <c r="BM82">
        <v>1</v>
      </c>
      <c r="BN82">
        <v>0</v>
      </c>
      <c r="BO82">
        <v>0</v>
      </c>
      <c r="BP82">
        <v>0</v>
      </c>
      <c r="BQ82">
        <v>1</v>
      </c>
      <c r="BR82">
        <v>2</v>
      </c>
      <c r="BS82">
        <v>2</v>
      </c>
      <c r="BT82">
        <v>0</v>
      </c>
      <c r="BU82">
        <v>3</v>
      </c>
      <c r="BV82">
        <v>1</v>
      </c>
      <c r="BW82">
        <v>2</v>
      </c>
      <c r="BX82">
        <v>0</v>
      </c>
      <c r="BY82">
        <v>0</v>
      </c>
      <c r="BZ82">
        <v>1</v>
      </c>
      <c r="CA82">
        <v>2</v>
      </c>
      <c r="CB82">
        <v>0</v>
      </c>
      <c r="CC82">
        <v>0</v>
      </c>
      <c r="CD82">
        <v>0</v>
      </c>
      <c r="CE82">
        <v>0</v>
      </c>
      <c r="CF82">
        <v>1</v>
      </c>
      <c r="CG82">
        <v>1</v>
      </c>
      <c r="CH82">
        <v>1</v>
      </c>
      <c r="CI82">
        <v>0</v>
      </c>
      <c r="CJ82">
        <v>3</v>
      </c>
      <c r="CK82">
        <v>4</v>
      </c>
    </row>
    <row r="83" spans="1:89" x14ac:dyDescent="0.25">
      <c r="A83" s="23" t="s">
        <v>292</v>
      </c>
      <c r="B83">
        <v>1</v>
      </c>
      <c r="C83">
        <v>0</v>
      </c>
      <c r="D83">
        <v>0</v>
      </c>
      <c r="E83">
        <v>1</v>
      </c>
      <c r="F83">
        <v>4</v>
      </c>
      <c r="G83">
        <v>1</v>
      </c>
      <c r="H83">
        <v>0</v>
      </c>
      <c r="I83">
        <v>0</v>
      </c>
      <c r="J83">
        <v>0</v>
      </c>
      <c r="K83">
        <v>0</v>
      </c>
      <c r="L83">
        <v>0</v>
      </c>
      <c r="M83">
        <v>0</v>
      </c>
      <c r="N83">
        <v>4</v>
      </c>
      <c r="O83">
        <v>1</v>
      </c>
      <c r="P83">
        <v>0</v>
      </c>
      <c r="Q83">
        <v>1</v>
      </c>
      <c r="R83">
        <v>0</v>
      </c>
      <c r="S83">
        <v>0</v>
      </c>
      <c r="T83">
        <v>0</v>
      </c>
      <c r="U83">
        <v>3</v>
      </c>
      <c r="V83">
        <v>0</v>
      </c>
      <c r="W83">
        <v>2</v>
      </c>
      <c r="X83">
        <v>3</v>
      </c>
      <c r="Y83">
        <v>0</v>
      </c>
      <c r="Z83">
        <v>1</v>
      </c>
      <c r="AA83">
        <v>0</v>
      </c>
      <c r="AB83">
        <v>1</v>
      </c>
      <c r="AC83">
        <v>0</v>
      </c>
      <c r="AD83">
        <v>2</v>
      </c>
      <c r="AE83">
        <v>1</v>
      </c>
      <c r="AF83">
        <v>0</v>
      </c>
      <c r="AG83">
        <v>1</v>
      </c>
      <c r="AH83">
        <v>2</v>
      </c>
      <c r="AI83">
        <v>4</v>
      </c>
      <c r="AJ83">
        <v>0</v>
      </c>
      <c r="AK83">
        <v>0</v>
      </c>
      <c r="AL83">
        <v>0</v>
      </c>
      <c r="AM83">
        <v>0</v>
      </c>
      <c r="AN83">
        <v>0</v>
      </c>
      <c r="AO83">
        <v>0</v>
      </c>
      <c r="AP83">
        <v>1</v>
      </c>
      <c r="AQ83">
        <v>2</v>
      </c>
      <c r="AR83">
        <v>0</v>
      </c>
      <c r="AS83">
        <v>1</v>
      </c>
      <c r="AT83">
        <v>0</v>
      </c>
      <c r="AU83">
        <v>1</v>
      </c>
      <c r="AV83">
        <v>1</v>
      </c>
      <c r="AW83">
        <v>1</v>
      </c>
      <c r="AX83">
        <v>2</v>
      </c>
      <c r="AY83">
        <v>1</v>
      </c>
      <c r="AZ83">
        <v>0</v>
      </c>
      <c r="BA83">
        <v>0</v>
      </c>
      <c r="BB83">
        <v>0</v>
      </c>
      <c r="BC83">
        <v>0</v>
      </c>
      <c r="BD83">
        <v>2</v>
      </c>
      <c r="BE83">
        <v>0</v>
      </c>
      <c r="BF83">
        <v>0</v>
      </c>
      <c r="BG83">
        <v>2</v>
      </c>
      <c r="BH83">
        <v>1</v>
      </c>
      <c r="BI83">
        <v>2</v>
      </c>
      <c r="BJ83">
        <v>0</v>
      </c>
      <c r="BK83">
        <v>1</v>
      </c>
      <c r="BL83">
        <v>1</v>
      </c>
      <c r="BM83">
        <v>1</v>
      </c>
      <c r="BN83">
        <v>0</v>
      </c>
      <c r="BO83">
        <v>3</v>
      </c>
      <c r="BP83">
        <v>2</v>
      </c>
      <c r="BQ83">
        <v>2</v>
      </c>
      <c r="BR83">
        <v>1</v>
      </c>
      <c r="BS83">
        <v>1</v>
      </c>
      <c r="BT83">
        <v>0</v>
      </c>
      <c r="BU83">
        <v>2</v>
      </c>
      <c r="BV83">
        <v>0</v>
      </c>
      <c r="BW83">
        <v>0</v>
      </c>
      <c r="BX83">
        <v>0</v>
      </c>
      <c r="BY83">
        <v>3</v>
      </c>
      <c r="BZ83">
        <v>0</v>
      </c>
      <c r="CA83">
        <v>1</v>
      </c>
      <c r="CB83">
        <v>0</v>
      </c>
      <c r="CC83">
        <v>0</v>
      </c>
      <c r="CD83">
        <v>2</v>
      </c>
      <c r="CE83">
        <v>0</v>
      </c>
      <c r="CF83">
        <v>1</v>
      </c>
      <c r="CG83">
        <v>1</v>
      </c>
      <c r="CH83">
        <v>1</v>
      </c>
      <c r="CI83">
        <v>2</v>
      </c>
      <c r="CJ83">
        <v>0</v>
      </c>
      <c r="CK83">
        <v>4</v>
      </c>
    </row>
    <row r="84" spans="1:89" x14ac:dyDescent="0.25">
      <c r="A84" s="23" t="s">
        <v>293</v>
      </c>
      <c r="B84">
        <v>4</v>
      </c>
      <c r="C84">
        <v>0</v>
      </c>
      <c r="D84">
        <v>0</v>
      </c>
      <c r="E84">
        <v>1</v>
      </c>
      <c r="F84">
        <v>1</v>
      </c>
      <c r="G84">
        <v>0</v>
      </c>
      <c r="H84">
        <v>3</v>
      </c>
      <c r="I84">
        <v>0</v>
      </c>
      <c r="J84">
        <v>0</v>
      </c>
      <c r="K84">
        <v>0</v>
      </c>
      <c r="L84">
        <v>0</v>
      </c>
      <c r="M84">
        <v>0</v>
      </c>
      <c r="N84">
        <v>4</v>
      </c>
      <c r="O84">
        <v>0</v>
      </c>
      <c r="P84">
        <v>0</v>
      </c>
      <c r="Q84">
        <v>2</v>
      </c>
      <c r="R84">
        <v>0</v>
      </c>
      <c r="S84">
        <v>0</v>
      </c>
      <c r="T84">
        <v>0</v>
      </c>
      <c r="U84">
        <v>1</v>
      </c>
      <c r="V84">
        <v>0</v>
      </c>
      <c r="W84">
        <v>0</v>
      </c>
      <c r="X84">
        <v>0</v>
      </c>
      <c r="Y84">
        <v>0</v>
      </c>
      <c r="Z84">
        <v>1</v>
      </c>
      <c r="AA84">
        <v>0</v>
      </c>
      <c r="AB84">
        <v>1</v>
      </c>
      <c r="AC84">
        <v>0</v>
      </c>
      <c r="AD84">
        <v>1</v>
      </c>
      <c r="AE84">
        <v>1</v>
      </c>
      <c r="AF84">
        <v>1</v>
      </c>
      <c r="AG84">
        <v>1</v>
      </c>
      <c r="AH84">
        <v>2</v>
      </c>
      <c r="AI84">
        <v>0</v>
      </c>
      <c r="AJ84">
        <v>3</v>
      </c>
      <c r="AK84">
        <v>0</v>
      </c>
      <c r="AL84">
        <v>0</v>
      </c>
      <c r="AM84">
        <v>1</v>
      </c>
      <c r="AN84">
        <v>1</v>
      </c>
      <c r="AO84">
        <v>0</v>
      </c>
      <c r="AP84">
        <v>3</v>
      </c>
      <c r="AQ84">
        <v>0</v>
      </c>
      <c r="AR84">
        <v>0</v>
      </c>
      <c r="AS84">
        <v>1</v>
      </c>
      <c r="AT84">
        <v>0</v>
      </c>
      <c r="AU84">
        <v>1</v>
      </c>
      <c r="AV84">
        <v>1</v>
      </c>
      <c r="AW84">
        <v>2</v>
      </c>
      <c r="AX84">
        <v>0</v>
      </c>
      <c r="AY84">
        <v>0</v>
      </c>
      <c r="AZ84">
        <v>0</v>
      </c>
      <c r="BA84">
        <v>0</v>
      </c>
      <c r="BB84">
        <v>0</v>
      </c>
      <c r="BC84">
        <v>2</v>
      </c>
      <c r="BD84">
        <v>3</v>
      </c>
      <c r="BE84">
        <v>0</v>
      </c>
      <c r="BF84">
        <v>1</v>
      </c>
      <c r="BG84">
        <v>3</v>
      </c>
      <c r="BH84">
        <v>2</v>
      </c>
      <c r="BI84">
        <v>1</v>
      </c>
      <c r="BJ84">
        <v>0</v>
      </c>
      <c r="BK84">
        <v>2</v>
      </c>
      <c r="BL84">
        <v>1</v>
      </c>
      <c r="BM84">
        <v>1</v>
      </c>
      <c r="BN84">
        <v>2</v>
      </c>
      <c r="BO84">
        <v>2</v>
      </c>
      <c r="BP84">
        <v>3</v>
      </c>
      <c r="BQ84">
        <v>2</v>
      </c>
      <c r="BR84">
        <v>1</v>
      </c>
      <c r="BS84">
        <v>3</v>
      </c>
      <c r="BT84">
        <v>0</v>
      </c>
      <c r="BU84">
        <v>0</v>
      </c>
      <c r="BV84">
        <v>1</v>
      </c>
      <c r="BW84">
        <v>1</v>
      </c>
      <c r="BX84">
        <v>0</v>
      </c>
      <c r="BY84">
        <v>2</v>
      </c>
      <c r="BZ84">
        <v>0</v>
      </c>
      <c r="CA84">
        <v>3</v>
      </c>
      <c r="CB84">
        <v>0</v>
      </c>
      <c r="CC84">
        <v>2</v>
      </c>
      <c r="CD84">
        <v>0</v>
      </c>
      <c r="CE84">
        <v>4</v>
      </c>
      <c r="CF84">
        <v>2</v>
      </c>
      <c r="CG84">
        <v>1</v>
      </c>
      <c r="CH84">
        <v>1</v>
      </c>
      <c r="CI84">
        <v>0</v>
      </c>
      <c r="CJ84">
        <v>0</v>
      </c>
      <c r="CK84">
        <v>2</v>
      </c>
    </row>
    <row r="85" spans="1:89" x14ac:dyDescent="0.25">
      <c r="A85" s="23" t="s">
        <v>294</v>
      </c>
      <c r="B85">
        <v>0</v>
      </c>
      <c r="C85">
        <v>0</v>
      </c>
      <c r="D85">
        <v>0</v>
      </c>
      <c r="E85">
        <v>1</v>
      </c>
      <c r="F85">
        <v>1</v>
      </c>
      <c r="G85">
        <v>1</v>
      </c>
      <c r="H85">
        <v>3</v>
      </c>
      <c r="I85">
        <v>0</v>
      </c>
      <c r="J85">
        <v>0</v>
      </c>
      <c r="K85">
        <v>2</v>
      </c>
      <c r="L85">
        <v>1</v>
      </c>
      <c r="M85">
        <v>0</v>
      </c>
      <c r="N85">
        <v>2</v>
      </c>
      <c r="O85">
        <v>1</v>
      </c>
      <c r="P85">
        <v>3</v>
      </c>
      <c r="Q85">
        <v>1</v>
      </c>
      <c r="R85">
        <v>2</v>
      </c>
      <c r="S85">
        <v>0</v>
      </c>
      <c r="T85">
        <v>0</v>
      </c>
      <c r="U85">
        <v>1</v>
      </c>
      <c r="V85">
        <v>0</v>
      </c>
      <c r="W85">
        <v>0</v>
      </c>
      <c r="X85">
        <v>0</v>
      </c>
      <c r="Y85">
        <v>0</v>
      </c>
      <c r="Z85">
        <v>2</v>
      </c>
      <c r="AA85">
        <v>1</v>
      </c>
      <c r="AB85">
        <v>0</v>
      </c>
      <c r="AC85">
        <v>2</v>
      </c>
      <c r="AD85">
        <v>0</v>
      </c>
      <c r="AE85">
        <v>0</v>
      </c>
      <c r="AF85">
        <v>4</v>
      </c>
      <c r="AG85">
        <v>2</v>
      </c>
      <c r="AH85">
        <v>2</v>
      </c>
      <c r="AI85">
        <v>0</v>
      </c>
      <c r="AJ85">
        <v>0</v>
      </c>
      <c r="AK85">
        <v>0</v>
      </c>
      <c r="AL85">
        <v>0</v>
      </c>
      <c r="AM85">
        <v>1</v>
      </c>
      <c r="AN85">
        <v>1</v>
      </c>
      <c r="AO85">
        <v>0</v>
      </c>
      <c r="AP85">
        <v>0</v>
      </c>
      <c r="AQ85">
        <v>0</v>
      </c>
      <c r="AR85">
        <v>0</v>
      </c>
      <c r="AS85">
        <v>2</v>
      </c>
      <c r="AT85">
        <v>0</v>
      </c>
      <c r="AU85">
        <v>1</v>
      </c>
      <c r="AV85">
        <v>1</v>
      </c>
      <c r="AW85">
        <v>0</v>
      </c>
      <c r="AX85">
        <v>1</v>
      </c>
      <c r="AY85">
        <v>1</v>
      </c>
      <c r="AZ85">
        <v>2</v>
      </c>
      <c r="BA85">
        <v>0</v>
      </c>
      <c r="BB85">
        <v>1</v>
      </c>
      <c r="BC85">
        <v>0</v>
      </c>
      <c r="BD85">
        <v>2</v>
      </c>
      <c r="BE85">
        <v>0</v>
      </c>
      <c r="BF85">
        <v>0</v>
      </c>
      <c r="BG85">
        <v>4</v>
      </c>
      <c r="BH85">
        <v>1</v>
      </c>
      <c r="BI85">
        <v>1</v>
      </c>
      <c r="BJ85">
        <v>0</v>
      </c>
      <c r="BK85">
        <v>1</v>
      </c>
      <c r="BL85">
        <v>0</v>
      </c>
      <c r="BM85">
        <v>1</v>
      </c>
      <c r="BN85">
        <v>1</v>
      </c>
      <c r="BO85">
        <v>1</v>
      </c>
      <c r="BP85">
        <v>2</v>
      </c>
      <c r="BQ85">
        <v>1</v>
      </c>
      <c r="BR85">
        <v>1</v>
      </c>
      <c r="BS85">
        <v>1</v>
      </c>
      <c r="BT85">
        <v>0</v>
      </c>
      <c r="BU85">
        <v>1</v>
      </c>
      <c r="BV85">
        <v>0</v>
      </c>
      <c r="BW85">
        <v>1</v>
      </c>
      <c r="BX85">
        <v>0</v>
      </c>
      <c r="BY85">
        <v>2</v>
      </c>
      <c r="BZ85">
        <v>0</v>
      </c>
      <c r="CA85">
        <v>0</v>
      </c>
      <c r="CB85">
        <v>0</v>
      </c>
      <c r="CC85">
        <v>2</v>
      </c>
      <c r="CD85">
        <v>2</v>
      </c>
      <c r="CE85">
        <v>3</v>
      </c>
      <c r="CF85">
        <v>0</v>
      </c>
      <c r="CG85">
        <v>0</v>
      </c>
      <c r="CH85">
        <v>0</v>
      </c>
      <c r="CI85">
        <v>0</v>
      </c>
      <c r="CJ85">
        <v>2</v>
      </c>
      <c r="CK85">
        <v>0</v>
      </c>
    </row>
    <row r="86" spans="1:89" x14ac:dyDescent="0.25">
      <c r="A86" s="23" t="s">
        <v>295</v>
      </c>
      <c r="B86">
        <v>0</v>
      </c>
      <c r="C86">
        <v>1</v>
      </c>
      <c r="D86">
        <v>0</v>
      </c>
      <c r="E86">
        <v>1</v>
      </c>
      <c r="F86">
        <v>0</v>
      </c>
      <c r="G86">
        <v>0</v>
      </c>
      <c r="H86">
        <v>0</v>
      </c>
      <c r="I86">
        <v>0</v>
      </c>
      <c r="J86">
        <v>0</v>
      </c>
      <c r="K86">
        <v>0</v>
      </c>
      <c r="L86">
        <v>2</v>
      </c>
      <c r="M86">
        <v>1</v>
      </c>
      <c r="N86">
        <v>2</v>
      </c>
      <c r="O86">
        <v>3</v>
      </c>
      <c r="P86">
        <v>4</v>
      </c>
      <c r="Q86">
        <v>1</v>
      </c>
      <c r="R86">
        <v>2</v>
      </c>
      <c r="S86">
        <v>0</v>
      </c>
      <c r="T86">
        <v>3</v>
      </c>
      <c r="U86">
        <v>1</v>
      </c>
      <c r="V86">
        <v>0</v>
      </c>
      <c r="W86">
        <v>0</v>
      </c>
      <c r="X86">
        <v>4</v>
      </c>
      <c r="Y86">
        <v>0</v>
      </c>
      <c r="Z86">
        <v>2</v>
      </c>
      <c r="AA86">
        <v>0</v>
      </c>
      <c r="AB86">
        <v>3</v>
      </c>
      <c r="AC86">
        <v>0</v>
      </c>
      <c r="AD86">
        <v>2</v>
      </c>
      <c r="AE86">
        <v>0</v>
      </c>
      <c r="AF86">
        <v>2</v>
      </c>
      <c r="AH86">
        <v>2</v>
      </c>
      <c r="AI86">
        <v>0</v>
      </c>
      <c r="AJ86">
        <v>0</v>
      </c>
      <c r="AK86">
        <v>0</v>
      </c>
      <c r="AL86">
        <v>0</v>
      </c>
      <c r="AM86">
        <v>0</v>
      </c>
      <c r="AN86">
        <v>0</v>
      </c>
      <c r="AO86">
        <v>0</v>
      </c>
      <c r="AP86">
        <v>2</v>
      </c>
      <c r="AQ86">
        <v>1</v>
      </c>
      <c r="AR86">
        <v>0</v>
      </c>
      <c r="AS86">
        <v>1</v>
      </c>
      <c r="AT86">
        <v>0</v>
      </c>
      <c r="AU86">
        <v>1</v>
      </c>
      <c r="AV86">
        <v>1</v>
      </c>
      <c r="AW86">
        <v>1</v>
      </c>
      <c r="AX86">
        <v>3</v>
      </c>
      <c r="AY86">
        <v>0</v>
      </c>
      <c r="AZ86">
        <v>0</v>
      </c>
      <c r="BA86">
        <v>0</v>
      </c>
      <c r="BB86">
        <v>3</v>
      </c>
      <c r="BC86">
        <v>3</v>
      </c>
      <c r="BD86">
        <v>0</v>
      </c>
      <c r="BE86">
        <v>0</v>
      </c>
      <c r="BF86">
        <v>1</v>
      </c>
      <c r="BG86">
        <v>1</v>
      </c>
      <c r="BH86">
        <v>2</v>
      </c>
      <c r="BI86">
        <v>0</v>
      </c>
      <c r="BJ86">
        <v>0</v>
      </c>
      <c r="BL86">
        <v>0</v>
      </c>
      <c r="BM86">
        <v>1</v>
      </c>
      <c r="BN86">
        <v>0</v>
      </c>
      <c r="BO86">
        <v>0</v>
      </c>
      <c r="BP86">
        <v>0</v>
      </c>
      <c r="BQ86">
        <v>2</v>
      </c>
      <c r="BR86">
        <v>1</v>
      </c>
      <c r="BS86">
        <v>0</v>
      </c>
      <c r="BT86">
        <v>4</v>
      </c>
      <c r="BU86">
        <v>1</v>
      </c>
      <c r="BV86">
        <v>1</v>
      </c>
      <c r="BW86">
        <v>3</v>
      </c>
      <c r="BX86">
        <v>1</v>
      </c>
      <c r="BY86">
        <v>0</v>
      </c>
      <c r="BZ86">
        <v>0</v>
      </c>
      <c r="CA86">
        <v>0</v>
      </c>
      <c r="CB86">
        <v>2</v>
      </c>
      <c r="CC86">
        <v>1</v>
      </c>
      <c r="CD86">
        <v>0</v>
      </c>
      <c r="CE86">
        <v>0</v>
      </c>
      <c r="CF86">
        <v>0</v>
      </c>
      <c r="CG86">
        <v>1</v>
      </c>
      <c r="CH86">
        <v>0</v>
      </c>
      <c r="CI86">
        <v>0</v>
      </c>
      <c r="CJ86">
        <v>3</v>
      </c>
      <c r="CK86">
        <v>0</v>
      </c>
    </row>
    <row r="87" spans="1:89" x14ac:dyDescent="0.25">
      <c r="A87" s="23"/>
    </row>
    <row r="88" spans="1:89" x14ac:dyDescent="0.25">
      <c r="A88" s="23" t="s">
        <v>360</v>
      </c>
      <c r="B88">
        <v>0</v>
      </c>
      <c r="C88">
        <v>1</v>
      </c>
      <c r="D88">
        <v>0</v>
      </c>
      <c r="E88">
        <v>0</v>
      </c>
      <c r="F88">
        <v>0</v>
      </c>
      <c r="G88">
        <v>0</v>
      </c>
      <c r="H88">
        <v>0</v>
      </c>
      <c r="I88">
        <v>1</v>
      </c>
      <c r="J88">
        <v>1</v>
      </c>
      <c r="K88">
        <v>1</v>
      </c>
      <c r="L88">
        <v>1</v>
      </c>
      <c r="M88">
        <v>1</v>
      </c>
      <c r="N88">
        <v>1</v>
      </c>
      <c r="O88">
        <v>2</v>
      </c>
      <c r="P88">
        <v>0</v>
      </c>
      <c r="Q88">
        <v>0</v>
      </c>
      <c r="R88">
        <v>0</v>
      </c>
      <c r="S88">
        <v>0</v>
      </c>
      <c r="T88">
        <v>0</v>
      </c>
      <c r="U88">
        <v>0</v>
      </c>
      <c r="V88">
        <v>0</v>
      </c>
      <c r="W88">
        <v>0</v>
      </c>
      <c r="X88">
        <v>0</v>
      </c>
      <c r="Y88">
        <v>0</v>
      </c>
      <c r="Z88">
        <v>0</v>
      </c>
      <c r="AA88">
        <v>0</v>
      </c>
      <c r="AB88">
        <v>0</v>
      </c>
      <c r="AC88">
        <v>0</v>
      </c>
      <c r="AD88">
        <v>0</v>
      </c>
      <c r="AE88">
        <v>0</v>
      </c>
      <c r="AF88">
        <v>0</v>
      </c>
      <c r="AH88">
        <v>0</v>
      </c>
      <c r="AI88">
        <v>2</v>
      </c>
      <c r="AJ88">
        <v>0</v>
      </c>
      <c r="AK88">
        <v>0</v>
      </c>
      <c r="AL88">
        <v>0</v>
      </c>
      <c r="AM88">
        <v>0</v>
      </c>
      <c r="AN88">
        <v>0</v>
      </c>
      <c r="AO88">
        <v>0</v>
      </c>
      <c r="AP88">
        <v>0</v>
      </c>
      <c r="AQ88">
        <v>0</v>
      </c>
      <c r="AR88">
        <v>0</v>
      </c>
      <c r="AS88">
        <v>0</v>
      </c>
      <c r="AT88">
        <v>1</v>
      </c>
      <c r="AU88">
        <v>0</v>
      </c>
      <c r="AV88">
        <v>0</v>
      </c>
      <c r="AW88">
        <v>0</v>
      </c>
      <c r="AX88">
        <v>0</v>
      </c>
      <c r="AY88">
        <v>0</v>
      </c>
      <c r="AZ88">
        <v>0</v>
      </c>
      <c r="BA88">
        <v>0</v>
      </c>
      <c r="BB88">
        <v>0</v>
      </c>
      <c r="BC88">
        <v>1</v>
      </c>
      <c r="BD88">
        <v>0</v>
      </c>
      <c r="BE88">
        <v>0</v>
      </c>
      <c r="BF88">
        <v>0</v>
      </c>
      <c r="BG88">
        <v>1</v>
      </c>
      <c r="BH88">
        <v>0</v>
      </c>
      <c r="BI88">
        <v>0</v>
      </c>
      <c r="BJ88">
        <v>0</v>
      </c>
      <c r="BK88">
        <v>0</v>
      </c>
      <c r="BL88">
        <v>0</v>
      </c>
      <c r="BM88">
        <v>0</v>
      </c>
      <c r="BN88">
        <v>2</v>
      </c>
      <c r="BO88">
        <v>0</v>
      </c>
      <c r="BP88">
        <v>0</v>
      </c>
      <c r="BQ88">
        <v>0</v>
      </c>
      <c r="BR88">
        <v>0</v>
      </c>
      <c r="BS88">
        <v>0</v>
      </c>
      <c r="BT88">
        <v>0</v>
      </c>
      <c r="BU88">
        <v>0</v>
      </c>
      <c r="BV88">
        <v>0</v>
      </c>
      <c r="BW88">
        <v>0</v>
      </c>
      <c r="BX88">
        <v>0</v>
      </c>
      <c r="BY88">
        <v>0</v>
      </c>
      <c r="BZ88">
        <v>0</v>
      </c>
      <c r="CA88">
        <v>0</v>
      </c>
      <c r="CB88">
        <v>0</v>
      </c>
      <c r="CC88">
        <v>0</v>
      </c>
      <c r="CD88">
        <v>1</v>
      </c>
      <c r="CE88">
        <v>1</v>
      </c>
      <c r="CF88">
        <v>0</v>
      </c>
      <c r="CG88">
        <v>0</v>
      </c>
      <c r="CH88">
        <v>0</v>
      </c>
      <c r="CI88">
        <v>0</v>
      </c>
      <c r="CJ88">
        <v>0</v>
      </c>
      <c r="CK88">
        <v>0</v>
      </c>
    </row>
    <row r="89" spans="1:89" x14ac:dyDescent="0.25">
      <c r="A89" s="23" t="s">
        <v>361</v>
      </c>
      <c r="B89">
        <v>0</v>
      </c>
      <c r="C89">
        <v>1</v>
      </c>
      <c r="D89">
        <v>0</v>
      </c>
      <c r="E89">
        <v>0</v>
      </c>
      <c r="F89">
        <v>0</v>
      </c>
      <c r="G89">
        <v>3</v>
      </c>
      <c r="H89">
        <v>0</v>
      </c>
      <c r="I89">
        <v>0</v>
      </c>
      <c r="J89">
        <v>0</v>
      </c>
      <c r="K89">
        <v>0</v>
      </c>
      <c r="L89">
        <v>0</v>
      </c>
      <c r="M89">
        <v>0</v>
      </c>
      <c r="N89">
        <v>2</v>
      </c>
      <c r="O89">
        <v>1</v>
      </c>
      <c r="P89">
        <v>0</v>
      </c>
      <c r="Q89">
        <v>0</v>
      </c>
      <c r="R89">
        <v>0</v>
      </c>
      <c r="S89">
        <v>0</v>
      </c>
      <c r="T89">
        <v>0</v>
      </c>
      <c r="U89">
        <v>0</v>
      </c>
      <c r="V89">
        <v>0</v>
      </c>
      <c r="W89">
        <v>0</v>
      </c>
      <c r="X89">
        <v>0</v>
      </c>
      <c r="Y89">
        <v>0</v>
      </c>
      <c r="Z89">
        <v>0</v>
      </c>
      <c r="AA89">
        <v>0</v>
      </c>
      <c r="AB89">
        <v>0</v>
      </c>
      <c r="AC89">
        <v>0</v>
      </c>
      <c r="AD89">
        <v>0</v>
      </c>
      <c r="AE89">
        <v>0</v>
      </c>
      <c r="AF89">
        <v>0</v>
      </c>
      <c r="AG89">
        <v>0</v>
      </c>
      <c r="AH89">
        <v>0</v>
      </c>
      <c r="AI89">
        <v>0</v>
      </c>
      <c r="AJ89">
        <v>0</v>
      </c>
      <c r="AK89">
        <v>0</v>
      </c>
      <c r="AL89">
        <v>0</v>
      </c>
      <c r="AM89">
        <v>0</v>
      </c>
      <c r="AN89">
        <v>2</v>
      </c>
      <c r="AO89">
        <v>0</v>
      </c>
      <c r="AP89">
        <v>0</v>
      </c>
      <c r="AQ89">
        <v>2</v>
      </c>
      <c r="AR89">
        <v>0</v>
      </c>
      <c r="AS89">
        <v>0</v>
      </c>
      <c r="AT89">
        <v>0</v>
      </c>
      <c r="AU89">
        <v>0</v>
      </c>
      <c r="AV89">
        <v>0</v>
      </c>
      <c r="AW89">
        <v>1</v>
      </c>
      <c r="AX89">
        <v>0</v>
      </c>
      <c r="AY89">
        <v>1</v>
      </c>
      <c r="AZ89">
        <v>0</v>
      </c>
      <c r="BA89">
        <v>0</v>
      </c>
      <c r="BB89">
        <v>0</v>
      </c>
      <c r="BC89">
        <v>0</v>
      </c>
      <c r="BD89">
        <v>0</v>
      </c>
      <c r="BE89">
        <v>0</v>
      </c>
      <c r="BF89">
        <v>0</v>
      </c>
      <c r="BG89">
        <v>0</v>
      </c>
      <c r="BH89">
        <v>0</v>
      </c>
      <c r="BI89">
        <v>0</v>
      </c>
      <c r="BJ89">
        <v>0</v>
      </c>
      <c r="BK89">
        <v>0</v>
      </c>
      <c r="BL89">
        <v>0</v>
      </c>
      <c r="BM89">
        <v>0</v>
      </c>
      <c r="BN89">
        <v>0</v>
      </c>
      <c r="BO89">
        <v>0</v>
      </c>
      <c r="BP89">
        <v>0</v>
      </c>
      <c r="BQ89">
        <v>0</v>
      </c>
      <c r="BR89">
        <v>0</v>
      </c>
      <c r="BS89">
        <v>0</v>
      </c>
      <c r="BT89">
        <v>0</v>
      </c>
      <c r="BU89">
        <v>0</v>
      </c>
      <c r="BV89">
        <v>0</v>
      </c>
      <c r="BW89">
        <v>0</v>
      </c>
      <c r="BX89">
        <v>0</v>
      </c>
      <c r="BY89">
        <v>0</v>
      </c>
      <c r="BZ89">
        <v>0</v>
      </c>
      <c r="CA89">
        <v>0</v>
      </c>
      <c r="CB89">
        <v>0</v>
      </c>
      <c r="CC89">
        <v>1</v>
      </c>
      <c r="CD89">
        <v>0</v>
      </c>
      <c r="CE89">
        <v>1</v>
      </c>
      <c r="CF89">
        <v>0</v>
      </c>
      <c r="CG89">
        <v>0</v>
      </c>
      <c r="CH89">
        <v>3</v>
      </c>
      <c r="CI89">
        <v>0</v>
      </c>
      <c r="CJ89">
        <v>0</v>
      </c>
      <c r="CK89">
        <v>1</v>
      </c>
    </row>
    <row r="90" spans="1:89" x14ac:dyDescent="0.25">
      <c r="A90" s="23" t="s">
        <v>362</v>
      </c>
      <c r="B90">
        <v>0</v>
      </c>
      <c r="C90">
        <v>1</v>
      </c>
      <c r="D90">
        <v>0</v>
      </c>
      <c r="E90">
        <v>0</v>
      </c>
      <c r="F90">
        <v>0</v>
      </c>
      <c r="G90">
        <v>2</v>
      </c>
      <c r="H90">
        <v>0</v>
      </c>
      <c r="I90">
        <v>0</v>
      </c>
      <c r="J90">
        <v>0</v>
      </c>
      <c r="K90">
        <v>1</v>
      </c>
      <c r="L90">
        <v>0</v>
      </c>
      <c r="M90">
        <v>0</v>
      </c>
      <c r="N90">
        <v>0</v>
      </c>
      <c r="O90">
        <v>0</v>
      </c>
      <c r="P90">
        <v>1</v>
      </c>
      <c r="Q90">
        <v>0</v>
      </c>
      <c r="R90">
        <v>0</v>
      </c>
      <c r="S90">
        <v>0</v>
      </c>
      <c r="T90">
        <v>0</v>
      </c>
      <c r="U90">
        <v>1</v>
      </c>
      <c r="V90">
        <v>0</v>
      </c>
      <c r="W90">
        <v>0</v>
      </c>
      <c r="X90">
        <v>0</v>
      </c>
      <c r="Y90">
        <v>1</v>
      </c>
      <c r="Z90">
        <v>0</v>
      </c>
      <c r="AA90">
        <v>0</v>
      </c>
      <c r="AB90">
        <v>0</v>
      </c>
      <c r="AC90">
        <v>0</v>
      </c>
      <c r="AD90">
        <v>0</v>
      </c>
      <c r="AE90">
        <v>0</v>
      </c>
      <c r="AF90">
        <v>0</v>
      </c>
      <c r="AG90">
        <v>0</v>
      </c>
      <c r="AH90">
        <v>0</v>
      </c>
      <c r="AI90">
        <v>1</v>
      </c>
      <c r="AJ90">
        <v>0</v>
      </c>
      <c r="AK90">
        <v>0</v>
      </c>
      <c r="AL90">
        <v>1</v>
      </c>
      <c r="AM90">
        <v>0</v>
      </c>
      <c r="AN90">
        <v>3</v>
      </c>
      <c r="AO90">
        <v>0</v>
      </c>
      <c r="AP90">
        <v>0</v>
      </c>
      <c r="AQ90">
        <v>0</v>
      </c>
      <c r="AR90">
        <v>0</v>
      </c>
      <c r="AS90">
        <v>0</v>
      </c>
      <c r="AT90">
        <v>0</v>
      </c>
      <c r="AU90">
        <v>0</v>
      </c>
      <c r="AV90">
        <v>0</v>
      </c>
      <c r="AW90">
        <v>0</v>
      </c>
      <c r="AX90">
        <v>1</v>
      </c>
      <c r="AY90">
        <v>0</v>
      </c>
      <c r="AZ90">
        <v>0</v>
      </c>
      <c r="BA90">
        <v>0</v>
      </c>
      <c r="BB90">
        <v>0</v>
      </c>
      <c r="BC90">
        <v>0</v>
      </c>
      <c r="BD90">
        <v>0</v>
      </c>
      <c r="BE90">
        <v>0</v>
      </c>
      <c r="BF90">
        <v>0</v>
      </c>
      <c r="BG90">
        <v>0</v>
      </c>
      <c r="BH90">
        <v>1</v>
      </c>
      <c r="BI90">
        <v>0</v>
      </c>
      <c r="BJ90">
        <v>0</v>
      </c>
      <c r="BK90">
        <v>0</v>
      </c>
      <c r="BL90">
        <v>0</v>
      </c>
      <c r="BM90">
        <v>0</v>
      </c>
      <c r="BN90">
        <v>0</v>
      </c>
      <c r="BO90">
        <v>0</v>
      </c>
      <c r="BP90">
        <v>0</v>
      </c>
      <c r="BQ90">
        <v>0</v>
      </c>
      <c r="BR90">
        <v>0</v>
      </c>
      <c r="BS90">
        <v>0</v>
      </c>
      <c r="BT90">
        <v>0</v>
      </c>
      <c r="BU90">
        <v>3</v>
      </c>
      <c r="BV90">
        <v>0</v>
      </c>
      <c r="BW90">
        <v>0</v>
      </c>
      <c r="BX90">
        <v>0</v>
      </c>
      <c r="BY90">
        <v>0</v>
      </c>
      <c r="BZ90">
        <v>0</v>
      </c>
      <c r="CA90">
        <v>0</v>
      </c>
      <c r="CB90">
        <v>0</v>
      </c>
      <c r="CC90">
        <v>3</v>
      </c>
      <c r="CD90">
        <v>0</v>
      </c>
      <c r="CE90">
        <v>1</v>
      </c>
      <c r="CF90">
        <v>0</v>
      </c>
      <c r="CG90">
        <v>0</v>
      </c>
      <c r="CH90">
        <v>0</v>
      </c>
      <c r="CI90">
        <v>0</v>
      </c>
      <c r="CJ90">
        <v>0</v>
      </c>
      <c r="CK90">
        <v>0</v>
      </c>
    </row>
    <row r="91" spans="1:89" x14ac:dyDescent="0.25">
      <c r="A91" s="23" t="s">
        <v>363</v>
      </c>
      <c r="B91">
        <v>0</v>
      </c>
      <c r="C91">
        <v>0</v>
      </c>
      <c r="D91">
        <v>0</v>
      </c>
      <c r="E91">
        <v>0</v>
      </c>
      <c r="F91">
        <v>0</v>
      </c>
      <c r="G91">
        <v>0</v>
      </c>
      <c r="H91">
        <v>0</v>
      </c>
      <c r="I91">
        <v>0</v>
      </c>
      <c r="J91">
        <v>0</v>
      </c>
      <c r="K91">
        <v>0</v>
      </c>
      <c r="L91">
        <v>0</v>
      </c>
      <c r="M91">
        <v>0</v>
      </c>
      <c r="N91">
        <v>0</v>
      </c>
      <c r="O91">
        <v>0</v>
      </c>
      <c r="P91">
        <v>0</v>
      </c>
      <c r="Q91">
        <v>0</v>
      </c>
      <c r="R91">
        <v>0</v>
      </c>
      <c r="S91">
        <v>0</v>
      </c>
      <c r="T91">
        <v>0</v>
      </c>
      <c r="U91">
        <v>2</v>
      </c>
      <c r="V91">
        <v>0</v>
      </c>
      <c r="W91">
        <v>0</v>
      </c>
      <c r="X91">
        <v>0</v>
      </c>
      <c r="Y91">
        <v>1</v>
      </c>
      <c r="Z91">
        <v>0</v>
      </c>
      <c r="AA91">
        <v>0</v>
      </c>
      <c r="AB91">
        <v>0</v>
      </c>
      <c r="AC91">
        <v>0</v>
      </c>
      <c r="AD91">
        <v>0</v>
      </c>
      <c r="AE91">
        <v>0</v>
      </c>
      <c r="AF91">
        <v>0</v>
      </c>
      <c r="AG91">
        <v>0</v>
      </c>
      <c r="AH91">
        <v>0</v>
      </c>
      <c r="AI91">
        <v>1</v>
      </c>
      <c r="AJ91">
        <v>0</v>
      </c>
      <c r="AK91">
        <v>0</v>
      </c>
      <c r="AL91">
        <v>1</v>
      </c>
      <c r="AM91">
        <v>0</v>
      </c>
      <c r="AN91">
        <v>0</v>
      </c>
      <c r="AO91">
        <v>0</v>
      </c>
      <c r="AP91">
        <v>0</v>
      </c>
      <c r="AQ91">
        <v>0</v>
      </c>
      <c r="AR91">
        <v>0</v>
      </c>
      <c r="AS91">
        <v>0</v>
      </c>
      <c r="AT91">
        <v>1</v>
      </c>
      <c r="AU91">
        <v>0</v>
      </c>
      <c r="AV91">
        <v>0</v>
      </c>
      <c r="AW91">
        <v>1</v>
      </c>
      <c r="AX91">
        <v>0</v>
      </c>
      <c r="AY91">
        <v>0</v>
      </c>
      <c r="AZ91">
        <v>0</v>
      </c>
      <c r="BA91">
        <v>0</v>
      </c>
      <c r="BB91">
        <v>0</v>
      </c>
      <c r="BC91">
        <v>0</v>
      </c>
      <c r="BD91">
        <v>0</v>
      </c>
      <c r="BE91">
        <v>0</v>
      </c>
      <c r="BF91">
        <v>0</v>
      </c>
      <c r="BG91">
        <v>0</v>
      </c>
      <c r="BH91">
        <v>1</v>
      </c>
      <c r="BI91">
        <v>0</v>
      </c>
      <c r="BJ91">
        <v>0</v>
      </c>
      <c r="BK91">
        <v>0</v>
      </c>
      <c r="BL91">
        <v>0</v>
      </c>
      <c r="BM91">
        <v>0</v>
      </c>
      <c r="BN91">
        <v>2</v>
      </c>
      <c r="BO91">
        <v>0</v>
      </c>
      <c r="BP91">
        <v>0</v>
      </c>
      <c r="BQ91">
        <v>0</v>
      </c>
      <c r="BR91">
        <v>0</v>
      </c>
      <c r="BS91">
        <v>0</v>
      </c>
      <c r="BT91">
        <v>0</v>
      </c>
      <c r="BU91">
        <v>1</v>
      </c>
      <c r="BV91">
        <v>0</v>
      </c>
      <c r="BW91">
        <v>0</v>
      </c>
      <c r="BX91">
        <v>0</v>
      </c>
      <c r="BY91">
        <v>1</v>
      </c>
      <c r="BZ91">
        <v>0</v>
      </c>
      <c r="CA91">
        <v>1</v>
      </c>
      <c r="CB91">
        <v>0</v>
      </c>
      <c r="CC91">
        <v>2</v>
      </c>
      <c r="CD91">
        <v>0</v>
      </c>
      <c r="CE91">
        <v>1</v>
      </c>
      <c r="CF91">
        <v>0</v>
      </c>
      <c r="CG91">
        <v>0</v>
      </c>
      <c r="CH91">
        <v>0</v>
      </c>
      <c r="CI91">
        <v>1</v>
      </c>
      <c r="CJ91">
        <v>1</v>
      </c>
      <c r="CK91">
        <v>0</v>
      </c>
    </row>
    <row r="92" spans="1:89" x14ac:dyDescent="0.25">
      <c r="A92" s="23" t="s">
        <v>364</v>
      </c>
      <c r="B92">
        <v>1</v>
      </c>
      <c r="C92">
        <v>0</v>
      </c>
      <c r="D92">
        <v>0</v>
      </c>
      <c r="E92">
        <v>0</v>
      </c>
      <c r="F92">
        <v>0</v>
      </c>
      <c r="G92">
        <v>0</v>
      </c>
      <c r="H92">
        <v>0</v>
      </c>
      <c r="I92">
        <v>0</v>
      </c>
      <c r="J92">
        <v>0</v>
      </c>
      <c r="K92">
        <v>0</v>
      </c>
      <c r="L92">
        <v>0</v>
      </c>
      <c r="M92">
        <v>0</v>
      </c>
      <c r="N92">
        <v>0</v>
      </c>
      <c r="O92">
        <v>0</v>
      </c>
      <c r="P92">
        <v>0</v>
      </c>
      <c r="Q92">
        <v>0</v>
      </c>
      <c r="R92">
        <v>0</v>
      </c>
      <c r="S92">
        <v>0</v>
      </c>
      <c r="T92">
        <v>0</v>
      </c>
      <c r="U92">
        <v>0</v>
      </c>
      <c r="V92">
        <v>0</v>
      </c>
      <c r="W92">
        <v>0</v>
      </c>
      <c r="X92">
        <v>0</v>
      </c>
      <c r="Y92">
        <v>1</v>
      </c>
      <c r="Z92">
        <v>1</v>
      </c>
      <c r="AA92">
        <v>0</v>
      </c>
      <c r="AB92">
        <v>0</v>
      </c>
      <c r="AC92">
        <v>0</v>
      </c>
      <c r="AD92">
        <v>0</v>
      </c>
      <c r="AE92">
        <v>0</v>
      </c>
      <c r="AF92">
        <v>0</v>
      </c>
      <c r="AG92">
        <v>0</v>
      </c>
      <c r="AH92">
        <v>0</v>
      </c>
      <c r="AI92">
        <v>0</v>
      </c>
      <c r="AJ92">
        <v>2</v>
      </c>
      <c r="AK92">
        <v>0</v>
      </c>
      <c r="AL92">
        <v>1</v>
      </c>
      <c r="AM92">
        <v>0</v>
      </c>
      <c r="AN92">
        <v>0</v>
      </c>
      <c r="AO92">
        <v>0</v>
      </c>
      <c r="AP92">
        <v>1</v>
      </c>
      <c r="AQ92">
        <v>0</v>
      </c>
      <c r="AR92">
        <v>0</v>
      </c>
      <c r="AS92">
        <v>0</v>
      </c>
      <c r="AT92">
        <v>0</v>
      </c>
      <c r="AU92">
        <v>0</v>
      </c>
      <c r="AV92">
        <v>2</v>
      </c>
      <c r="AW92">
        <v>0</v>
      </c>
      <c r="AX92">
        <v>0</v>
      </c>
      <c r="AY92">
        <v>0</v>
      </c>
      <c r="AZ92">
        <v>0</v>
      </c>
      <c r="BA92">
        <v>0</v>
      </c>
      <c r="BB92">
        <v>0</v>
      </c>
      <c r="BC92">
        <v>0</v>
      </c>
      <c r="BD92">
        <v>0</v>
      </c>
      <c r="BE92">
        <v>0</v>
      </c>
      <c r="BF92">
        <v>0</v>
      </c>
      <c r="BG92">
        <v>0</v>
      </c>
      <c r="BH92">
        <v>2</v>
      </c>
      <c r="BI92">
        <v>1</v>
      </c>
      <c r="BJ92">
        <v>0</v>
      </c>
      <c r="BK92">
        <v>0</v>
      </c>
      <c r="BL92">
        <v>0</v>
      </c>
      <c r="BM92">
        <v>0</v>
      </c>
      <c r="BN92">
        <v>3</v>
      </c>
      <c r="BO92">
        <v>0</v>
      </c>
      <c r="BP92">
        <v>0</v>
      </c>
      <c r="BQ92">
        <v>1</v>
      </c>
      <c r="BR92">
        <v>0</v>
      </c>
      <c r="BS92">
        <v>0</v>
      </c>
      <c r="BT92">
        <v>0</v>
      </c>
      <c r="BU92">
        <v>1</v>
      </c>
      <c r="BV92">
        <v>0</v>
      </c>
      <c r="BW92">
        <v>0</v>
      </c>
      <c r="BX92">
        <v>0</v>
      </c>
      <c r="BY92">
        <v>2</v>
      </c>
      <c r="BZ92">
        <v>0</v>
      </c>
      <c r="CA92">
        <v>0</v>
      </c>
      <c r="CB92">
        <v>0</v>
      </c>
      <c r="CC92">
        <v>0</v>
      </c>
      <c r="CD92">
        <v>0</v>
      </c>
      <c r="CE92">
        <v>2</v>
      </c>
      <c r="CF92">
        <v>0</v>
      </c>
      <c r="CG92">
        <v>0</v>
      </c>
      <c r="CH92">
        <v>0</v>
      </c>
      <c r="CI92">
        <v>0</v>
      </c>
      <c r="CJ92">
        <v>0</v>
      </c>
      <c r="CK92">
        <v>0</v>
      </c>
    </row>
    <row r="93" spans="1:89" x14ac:dyDescent="0.25">
      <c r="A93" s="23" t="s">
        <v>365</v>
      </c>
      <c r="B93">
        <v>0</v>
      </c>
      <c r="C93">
        <v>0</v>
      </c>
      <c r="D93">
        <v>0</v>
      </c>
      <c r="E93">
        <v>0</v>
      </c>
      <c r="F93">
        <v>0</v>
      </c>
      <c r="G93">
        <v>0</v>
      </c>
      <c r="H93">
        <v>0</v>
      </c>
      <c r="I93">
        <v>0</v>
      </c>
      <c r="J93">
        <v>0</v>
      </c>
      <c r="K93">
        <v>0</v>
      </c>
      <c r="L93">
        <v>0</v>
      </c>
      <c r="M93">
        <v>0</v>
      </c>
      <c r="N93">
        <v>0</v>
      </c>
      <c r="O93">
        <v>0</v>
      </c>
      <c r="P93">
        <v>0</v>
      </c>
      <c r="Q93">
        <v>0</v>
      </c>
      <c r="R93">
        <v>0</v>
      </c>
      <c r="S93">
        <v>0</v>
      </c>
      <c r="T93">
        <v>0</v>
      </c>
      <c r="U93">
        <v>0</v>
      </c>
      <c r="V93">
        <v>0</v>
      </c>
      <c r="W93">
        <v>0</v>
      </c>
      <c r="X93">
        <v>0</v>
      </c>
      <c r="Y93">
        <v>0</v>
      </c>
      <c r="Z93">
        <v>0</v>
      </c>
      <c r="AA93">
        <v>0</v>
      </c>
      <c r="AB93">
        <v>0</v>
      </c>
      <c r="AC93">
        <v>0</v>
      </c>
      <c r="AD93">
        <v>0</v>
      </c>
      <c r="AE93">
        <v>0</v>
      </c>
      <c r="AF93">
        <v>0</v>
      </c>
      <c r="AG93">
        <v>0</v>
      </c>
      <c r="AH93">
        <v>0</v>
      </c>
      <c r="AI93">
        <v>0</v>
      </c>
      <c r="AJ93">
        <v>0</v>
      </c>
      <c r="AK93">
        <v>0</v>
      </c>
      <c r="AL93">
        <v>0</v>
      </c>
      <c r="AM93">
        <v>0</v>
      </c>
      <c r="AN93">
        <v>0</v>
      </c>
      <c r="AO93">
        <v>1</v>
      </c>
      <c r="AP93">
        <v>0</v>
      </c>
      <c r="AQ93">
        <v>0</v>
      </c>
      <c r="AR93">
        <v>0</v>
      </c>
      <c r="AS93">
        <v>0</v>
      </c>
      <c r="AT93">
        <v>0</v>
      </c>
      <c r="AU93">
        <v>0</v>
      </c>
      <c r="AV93">
        <v>0</v>
      </c>
      <c r="AW93">
        <v>1</v>
      </c>
      <c r="AX93">
        <v>0</v>
      </c>
      <c r="AY93">
        <v>0</v>
      </c>
      <c r="AZ93">
        <v>0</v>
      </c>
      <c r="BA93">
        <v>0</v>
      </c>
      <c r="BB93">
        <v>0</v>
      </c>
      <c r="BC93">
        <v>0</v>
      </c>
      <c r="BD93">
        <v>2</v>
      </c>
      <c r="BE93">
        <v>0</v>
      </c>
      <c r="BF93">
        <v>0</v>
      </c>
      <c r="BG93">
        <v>0</v>
      </c>
      <c r="BH93">
        <v>1</v>
      </c>
      <c r="BI93">
        <v>1</v>
      </c>
      <c r="BJ93">
        <v>0</v>
      </c>
      <c r="BK93">
        <v>0</v>
      </c>
      <c r="BL93">
        <v>0</v>
      </c>
      <c r="BM93">
        <v>0</v>
      </c>
      <c r="BN93">
        <v>0</v>
      </c>
      <c r="BO93">
        <v>0</v>
      </c>
      <c r="BP93">
        <v>0</v>
      </c>
      <c r="BQ93">
        <v>2</v>
      </c>
      <c r="BR93">
        <v>0</v>
      </c>
      <c r="BS93">
        <v>0</v>
      </c>
      <c r="BT93">
        <v>0</v>
      </c>
      <c r="BU93">
        <v>0</v>
      </c>
      <c r="BV93">
        <v>0</v>
      </c>
      <c r="BW93">
        <v>0</v>
      </c>
      <c r="BX93">
        <v>0</v>
      </c>
      <c r="BY93">
        <v>0</v>
      </c>
      <c r="BZ93">
        <v>0</v>
      </c>
      <c r="CA93">
        <v>0</v>
      </c>
      <c r="CB93">
        <v>0</v>
      </c>
      <c r="CC93">
        <v>1</v>
      </c>
      <c r="CD93">
        <v>1</v>
      </c>
      <c r="CE93">
        <v>0</v>
      </c>
      <c r="CF93">
        <v>1</v>
      </c>
      <c r="CG93">
        <v>0</v>
      </c>
      <c r="CH93">
        <v>0</v>
      </c>
      <c r="CI93">
        <v>1</v>
      </c>
      <c r="CJ93">
        <v>0</v>
      </c>
      <c r="CK93">
        <v>0</v>
      </c>
    </row>
    <row r="94" spans="1:89" x14ac:dyDescent="0.25">
      <c r="A94" s="23" t="s">
        <v>366</v>
      </c>
      <c r="B94">
        <v>0</v>
      </c>
      <c r="C94">
        <v>0</v>
      </c>
      <c r="D94">
        <v>0</v>
      </c>
      <c r="E94">
        <v>1</v>
      </c>
      <c r="F94">
        <v>0</v>
      </c>
      <c r="G94">
        <v>0</v>
      </c>
      <c r="H94">
        <v>0</v>
      </c>
      <c r="I94">
        <v>0</v>
      </c>
      <c r="J94">
        <v>1</v>
      </c>
      <c r="K94">
        <v>0</v>
      </c>
      <c r="L94">
        <v>0</v>
      </c>
      <c r="M94">
        <v>1</v>
      </c>
      <c r="N94">
        <v>0</v>
      </c>
      <c r="O94">
        <v>0</v>
      </c>
      <c r="P94">
        <v>0</v>
      </c>
      <c r="Q94">
        <v>0</v>
      </c>
      <c r="R94">
        <v>0</v>
      </c>
      <c r="S94">
        <v>1</v>
      </c>
      <c r="T94">
        <v>0</v>
      </c>
      <c r="U94">
        <v>1</v>
      </c>
      <c r="V94">
        <v>0</v>
      </c>
      <c r="W94">
        <v>0</v>
      </c>
      <c r="X94">
        <v>0</v>
      </c>
      <c r="Y94">
        <v>0</v>
      </c>
      <c r="Z94">
        <v>1</v>
      </c>
      <c r="AA94">
        <v>0</v>
      </c>
      <c r="AB94">
        <v>0</v>
      </c>
      <c r="AC94">
        <v>0</v>
      </c>
      <c r="AD94">
        <v>0</v>
      </c>
      <c r="AE94">
        <v>0</v>
      </c>
      <c r="AF94">
        <v>1</v>
      </c>
      <c r="AG94">
        <v>3</v>
      </c>
      <c r="AH94">
        <v>0</v>
      </c>
      <c r="AI94">
        <v>0</v>
      </c>
      <c r="AJ94">
        <v>0</v>
      </c>
      <c r="AK94">
        <v>0</v>
      </c>
      <c r="AL94">
        <v>0</v>
      </c>
      <c r="AM94">
        <v>0</v>
      </c>
      <c r="AN94">
        <v>0</v>
      </c>
      <c r="AO94">
        <v>0</v>
      </c>
      <c r="AP94">
        <v>0</v>
      </c>
      <c r="AQ94">
        <v>1</v>
      </c>
      <c r="AR94">
        <v>0</v>
      </c>
      <c r="AS94">
        <v>0</v>
      </c>
      <c r="AT94">
        <v>2</v>
      </c>
      <c r="AU94">
        <v>0</v>
      </c>
      <c r="AV94">
        <v>0</v>
      </c>
      <c r="AW94">
        <v>0</v>
      </c>
      <c r="AX94">
        <v>1</v>
      </c>
      <c r="AY94">
        <v>0</v>
      </c>
      <c r="AZ94">
        <v>0</v>
      </c>
      <c r="BA94">
        <v>0</v>
      </c>
      <c r="BB94">
        <v>0</v>
      </c>
      <c r="BC94">
        <v>0</v>
      </c>
      <c r="BD94">
        <v>0</v>
      </c>
      <c r="BE94">
        <v>0</v>
      </c>
      <c r="BF94">
        <v>0</v>
      </c>
      <c r="BG94">
        <v>0</v>
      </c>
      <c r="BH94">
        <v>1</v>
      </c>
      <c r="BI94">
        <v>0</v>
      </c>
      <c r="BJ94">
        <v>0</v>
      </c>
      <c r="BK94">
        <v>0</v>
      </c>
      <c r="BL94">
        <v>1</v>
      </c>
      <c r="BM94">
        <v>0</v>
      </c>
      <c r="BN94">
        <v>3</v>
      </c>
      <c r="BO94">
        <v>0</v>
      </c>
      <c r="BP94">
        <v>0</v>
      </c>
      <c r="BQ94">
        <v>1</v>
      </c>
      <c r="BR94">
        <v>0</v>
      </c>
      <c r="BS94">
        <v>2</v>
      </c>
      <c r="BT94">
        <v>0</v>
      </c>
      <c r="BU94">
        <v>1</v>
      </c>
      <c r="BV94">
        <v>0</v>
      </c>
      <c r="BW94">
        <v>0</v>
      </c>
      <c r="BX94">
        <v>0</v>
      </c>
      <c r="BY94">
        <v>0</v>
      </c>
      <c r="BZ94">
        <v>0</v>
      </c>
      <c r="CA94">
        <v>0</v>
      </c>
      <c r="CB94">
        <v>0</v>
      </c>
      <c r="CC94">
        <v>0</v>
      </c>
      <c r="CD94">
        <v>0</v>
      </c>
      <c r="CE94">
        <v>0</v>
      </c>
      <c r="CF94">
        <v>0</v>
      </c>
      <c r="CG94">
        <v>0</v>
      </c>
      <c r="CH94">
        <v>3</v>
      </c>
      <c r="CI94">
        <v>0</v>
      </c>
      <c r="CJ94">
        <v>0</v>
      </c>
      <c r="CK94">
        <v>0</v>
      </c>
    </row>
    <row r="95" spans="1:89" x14ac:dyDescent="0.25">
      <c r="A95" s="23" t="s">
        <v>367</v>
      </c>
      <c r="B95">
        <v>0</v>
      </c>
      <c r="C95">
        <v>0</v>
      </c>
      <c r="D95">
        <v>0</v>
      </c>
      <c r="E95">
        <v>1</v>
      </c>
      <c r="F95">
        <v>0</v>
      </c>
      <c r="G95">
        <v>0</v>
      </c>
      <c r="H95">
        <v>0</v>
      </c>
      <c r="I95">
        <v>0</v>
      </c>
      <c r="J95">
        <v>0</v>
      </c>
      <c r="K95">
        <v>0</v>
      </c>
      <c r="L95">
        <v>0</v>
      </c>
      <c r="M95">
        <v>0</v>
      </c>
      <c r="N95">
        <v>0</v>
      </c>
      <c r="O95">
        <v>0</v>
      </c>
      <c r="P95">
        <v>1</v>
      </c>
      <c r="Q95">
        <v>2</v>
      </c>
      <c r="R95">
        <v>0</v>
      </c>
      <c r="S95">
        <v>0</v>
      </c>
      <c r="T95">
        <v>0</v>
      </c>
      <c r="U95">
        <v>0</v>
      </c>
      <c r="V95">
        <v>0</v>
      </c>
      <c r="W95">
        <v>0</v>
      </c>
      <c r="X95">
        <v>0</v>
      </c>
      <c r="Y95">
        <v>1</v>
      </c>
      <c r="Z95">
        <v>0</v>
      </c>
      <c r="AA95">
        <v>0</v>
      </c>
      <c r="AB95">
        <v>0</v>
      </c>
      <c r="AC95">
        <v>0</v>
      </c>
      <c r="AD95">
        <v>0</v>
      </c>
      <c r="AE95">
        <v>0</v>
      </c>
      <c r="AF95">
        <v>0</v>
      </c>
      <c r="AG95">
        <v>1</v>
      </c>
      <c r="AH95">
        <v>0</v>
      </c>
      <c r="AI95">
        <v>0</v>
      </c>
      <c r="AJ95">
        <v>0</v>
      </c>
      <c r="AK95">
        <v>0</v>
      </c>
      <c r="AL95">
        <v>0</v>
      </c>
      <c r="AM95">
        <v>0</v>
      </c>
      <c r="AN95">
        <v>0</v>
      </c>
      <c r="AO95">
        <v>0</v>
      </c>
      <c r="AP95">
        <v>1</v>
      </c>
      <c r="AQ95">
        <v>2</v>
      </c>
      <c r="AR95">
        <v>0</v>
      </c>
      <c r="AS95">
        <v>0</v>
      </c>
      <c r="AT95">
        <v>0</v>
      </c>
      <c r="AU95">
        <v>0</v>
      </c>
      <c r="AV95">
        <v>0</v>
      </c>
      <c r="AW95">
        <v>0</v>
      </c>
      <c r="AX95">
        <v>0</v>
      </c>
      <c r="AY95">
        <v>0</v>
      </c>
      <c r="AZ95">
        <v>0</v>
      </c>
      <c r="BA95">
        <v>0</v>
      </c>
      <c r="BB95">
        <v>0</v>
      </c>
      <c r="BC95">
        <v>1</v>
      </c>
      <c r="BD95">
        <v>0</v>
      </c>
      <c r="BE95">
        <v>0</v>
      </c>
      <c r="BF95">
        <v>0</v>
      </c>
      <c r="BG95">
        <v>0</v>
      </c>
      <c r="BH95">
        <v>1</v>
      </c>
      <c r="BI95">
        <v>0</v>
      </c>
      <c r="BJ95">
        <v>0</v>
      </c>
      <c r="BK95">
        <v>0</v>
      </c>
      <c r="BL95">
        <v>0</v>
      </c>
      <c r="BM95">
        <v>0</v>
      </c>
      <c r="BN95">
        <v>0</v>
      </c>
      <c r="BO95">
        <v>0</v>
      </c>
      <c r="BP95">
        <v>0</v>
      </c>
      <c r="BQ95">
        <v>0</v>
      </c>
      <c r="BR95">
        <v>0</v>
      </c>
      <c r="BS95">
        <v>3</v>
      </c>
      <c r="BT95">
        <v>0</v>
      </c>
      <c r="BU95">
        <v>0</v>
      </c>
      <c r="BV95">
        <v>0</v>
      </c>
      <c r="BW95">
        <v>0</v>
      </c>
      <c r="BX95">
        <v>0</v>
      </c>
      <c r="BY95">
        <v>1</v>
      </c>
      <c r="BZ95">
        <v>0</v>
      </c>
      <c r="CA95">
        <v>0</v>
      </c>
      <c r="CB95">
        <v>0</v>
      </c>
      <c r="CC95">
        <v>0</v>
      </c>
      <c r="CD95">
        <v>0</v>
      </c>
      <c r="CE95">
        <v>0</v>
      </c>
      <c r="CF95">
        <v>0</v>
      </c>
      <c r="CG95">
        <v>0</v>
      </c>
      <c r="CH95">
        <v>0</v>
      </c>
      <c r="CI95">
        <v>0</v>
      </c>
      <c r="CJ95">
        <v>0</v>
      </c>
      <c r="CK95">
        <v>1</v>
      </c>
    </row>
    <row r="96" spans="1:89" x14ac:dyDescent="0.25">
      <c r="A96" s="23" t="s">
        <v>368</v>
      </c>
      <c r="B96">
        <v>0</v>
      </c>
      <c r="C96">
        <v>0</v>
      </c>
      <c r="D96">
        <v>0</v>
      </c>
      <c r="E96">
        <v>1</v>
      </c>
      <c r="F96">
        <v>0</v>
      </c>
      <c r="G96">
        <v>0</v>
      </c>
      <c r="H96">
        <v>0</v>
      </c>
      <c r="I96">
        <v>0</v>
      </c>
      <c r="J96">
        <v>0</v>
      </c>
      <c r="K96">
        <v>0</v>
      </c>
      <c r="L96">
        <v>0</v>
      </c>
      <c r="M96">
        <v>0</v>
      </c>
      <c r="N96">
        <v>0</v>
      </c>
      <c r="O96">
        <v>0</v>
      </c>
      <c r="P96">
        <v>0</v>
      </c>
      <c r="Q96">
        <v>0</v>
      </c>
      <c r="R96">
        <v>0</v>
      </c>
      <c r="S96">
        <v>0</v>
      </c>
      <c r="T96">
        <v>0</v>
      </c>
      <c r="U96">
        <v>0</v>
      </c>
      <c r="V96">
        <v>1</v>
      </c>
      <c r="W96">
        <v>0</v>
      </c>
      <c r="X96">
        <v>0</v>
      </c>
      <c r="Y96">
        <v>1</v>
      </c>
      <c r="Z96">
        <v>0</v>
      </c>
      <c r="AA96">
        <v>0</v>
      </c>
      <c r="AB96">
        <v>0</v>
      </c>
      <c r="AC96">
        <v>1</v>
      </c>
      <c r="AD96">
        <v>0</v>
      </c>
      <c r="AE96">
        <v>0</v>
      </c>
      <c r="AF96">
        <v>0</v>
      </c>
      <c r="AG96">
        <v>0</v>
      </c>
      <c r="AH96">
        <v>0</v>
      </c>
      <c r="AI96">
        <v>0</v>
      </c>
      <c r="AJ96">
        <v>0</v>
      </c>
      <c r="AK96">
        <v>2</v>
      </c>
      <c r="AL96">
        <v>0</v>
      </c>
      <c r="AM96">
        <v>0</v>
      </c>
      <c r="AN96">
        <v>0</v>
      </c>
      <c r="AO96">
        <v>0</v>
      </c>
      <c r="AP96">
        <v>0</v>
      </c>
      <c r="AQ96">
        <v>0</v>
      </c>
      <c r="AR96">
        <v>2</v>
      </c>
      <c r="AS96">
        <v>0</v>
      </c>
      <c r="AT96">
        <v>0</v>
      </c>
      <c r="AU96">
        <v>0</v>
      </c>
      <c r="AV96">
        <v>0</v>
      </c>
      <c r="AW96">
        <v>2</v>
      </c>
      <c r="AX96">
        <v>0</v>
      </c>
      <c r="AY96">
        <v>0</v>
      </c>
      <c r="AZ96">
        <v>0</v>
      </c>
      <c r="BA96">
        <v>0</v>
      </c>
      <c r="BB96">
        <v>0</v>
      </c>
      <c r="BC96">
        <v>0</v>
      </c>
      <c r="BD96">
        <v>0</v>
      </c>
      <c r="BE96">
        <v>0</v>
      </c>
      <c r="BF96">
        <v>0</v>
      </c>
      <c r="BG96">
        <v>0</v>
      </c>
      <c r="BH96">
        <v>1</v>
      </c>
      <c r="BI96">
        <v>0</v>
      </c>
      <c r="BJ96">
        <v>0</v>
      </c>
      <c r="BK96">
        <v>0</v>
      </c>
      <c r="BL96">
        <v>0</v>
      </c>
      <c r="BM96">
        <v>0</v>
      </c>
      <c r="BN96">
        <v>0</v>
      </c>
      <c r="BO96">
        <v>0</v>
      </c>
      <c r="BP96">
        <v>0</v>
      </c>
      <c r="BQ96">
        <v>0</v>
      </c>
      <c r="BR96">
        <v>0</v>
      </c>
      <c r="BS96">
        <v>0</v>
      </c>
      <c r="BT96">
        <v>0</v>
      </c>
      <c r="BU96">
        <v>0</v>
      </c>
      <c r="BV96">
        <v>1</v>
      </c>
      <c r="BW96">
        <v>0</v>
      </c>
      <c r="BX96">
        <v>0</v>
      </c>
      <c r="BY96">
        <v>0</v>
      </c>
      <c r="BZ96">
        <v>0</v>
      </c>
      <c r="CA96">
        <v>0</v>
      </c>
      <c r="CB96">
        <v>0</v>
      </c>
      <c r="CC96">
        <v>0</v>
      </c>
      <c r="CD96">
        <v>0</v>
      </c>
      <c r="CE96">
        <v>1</v>
      </c>
      <c r="CF96">
        <v>0</v>
      </c>
      <c r="CG96">
        <v>0</v>
      </c>
      <c r="CH96">
        <v>0</v>
      </c>
      <c r="CI96">
        <v>0</v>
      </c>
      <c r="CJ96">
        <v>0</v>
      </c>
      <c r="CK96">
        <v>0</v>
      </c>
    </row>
    <row r="97" spans="1:89" x14ac:dyDescent="0.25">
      <c r="A97" s="23" t="s">
        <v>369</v>
      </c>
      <c r="B97">
        <v>0</v>
      </c>
      <c r="C97">
        <v>0</v>
      </c>
      <c r="D97">
        <v>0</v>
      </c>
      <c r="E97">
        <v>0</v>
      </c>
      <c r="F97">
        <v>0</v>
      </c>
      <c r="G97">
        <v>0</v>
      </c>
      <c r="H97">
        <v>0</v>
      </c>
      <c r="I97">
        <v>0</v>
      </c>
      <c r="J97">
        <v>0</v>
      </c>
      <c r="K97">
        <v>0</v>
      </c>
      <c r="L97">
        <v>0</v>
      </c>
      <c r="M97">
        <v>2</v>
      </c>
      <c r="N97">
        <v>0</v>
      </c>
      <c r="O97">
        <v>0</v>
      </c>
      <c r="P97">
        <v>0</v>
      </c>
      <c r="Q97">
        <v>0</v>
      </c>
      <c r="R97">
        <v>0</v>
      </c>
      <c r="S97">
        <v>0</v>
      </c>
      <c r="T97">
        <v>0</v>
      </c>
      <c r="U97">
        <v>0</v>
      </c>
      <c r="V97">
        <v>2</v>
      </c>
      <c r="W97">
        <v>0</v>
      </c>
      <c r="X97">
        <v>0</v>
      </c>
      <c r="Y97">
        <v>1</v>
      </c>
      <c r="Z97">
        <v>0</v>
      </c>
      <c r="AA97">
        <v>0</v>
      </c>
      <c r="AB97">
        <v>0</v>
      </c>
      <c r="AC97">
        <v>0</v>
      </c>
      <c r="AD97">
        <v>0</v>
      </c>
      <c r="AE97">
        <v>0</v>
      </c>
      <c r="AF97">
        <v>0</v>
      </c>
      <c r="AG97">
        <v>1</v>
      </c>
      <c r="AH97">
        <v>0</v>
      </c>
      <c r="AI97">
        <v>0</v>
      </c>
      <c r="AJ97">
        <v>1</v>
      </c>
      <c r="AK97">
        <v>0</v>
      </c>
      <c r="AL97">
        <v>0</v>
      </c>
      <c r="AM97">
        <v>0</v>
      </c>
      <c r="AN97">
        <v>0</v>
      </c>
      <c r="AO97">
        <v>0</v>
      </c>
      <c r="AP97">
        <v>0</v>
      </c>
      <c r="AQ97">
        <v>0</v>
      </c>
      <c r="AR97">
        <v>0</v>
      </c>
      <c r="AS97">
        <v>0</v>
      </c>
      <c r="AT97">
        <v>0</v>
      </c>
      <c r="AU97">
        <v>0</v>
      </c>
      <c r="AV97">
        <v>1</v>
      </c>
      <c r="AW97">
        <v>0</v>
      </c>
      <c r="AX97">
        <v>0</v>
      </c>
      <c r="AY97">
        <v>0</v>
      </c>
      <c r="AZ97">
        <v>0</v>
      </c>
      <c r="BA97">
        <v>0</v>
      </c>
      <c r="BB97">
        <v>1</v>
      </c>
      <c r="BC97">
        <v>0</v>
      </c>
      <c r="BD97">
        <v>0</v>
      </c>
      <c r="BE97">
        <v>0</v>
      </c>
      <c r="BF97">
        <v>1</v>
      </c>
      <c r="BG97">
        <v>0</v>
      </c>
      <c r="BH97">
        <v>1</v>
      </c>
      <c r="BI97">
        <v>0</v>
      </c>
      <c r="BJ97">
        <v>0</v>
      </c>
      <c r="BK97">
        <v>0</v>
      </c>
      <c r="BL97">
        <v>0</v>
      </c>
      <c r="BM97">
        <v>0</v>
      </c>
      <c r="BN97">
        <v>0</v>
      </c>
      <c r="BO97">
        <v>0</v>
      </c>
      <c r="BP97">
        <v>0</v>
      </c>
      <c r="BQ97">
        <v>0</v>
      </c>
      <c r="BR97">
        <v>0</v>
      </c>
      <c r="BS97">
        <v>0</v>
      </c>
      <c r="BT97">
        <v>0</v>
      </c>
      <c r="BU97">
        <v>1</v>
      </c>
      <c r="BV97">
        <v>0</v>
      </c>
      <c r="BW97">
        <v>0</v>
      </c>
      <c r="BX97">
        <v>0</v>
      </c>
      <c r="BY97">
        <v>0</v>
      </c>
      <c r="BZ97">
        <v>0</v>
      </c>
      <c r="CA97">
        <v>2</v>
      </c>
      <c r="CB97">
        <v>0</v>
      </c>
      <c r="CC97">
        <v>0</v>
      </c>
      <c r="CD97">
        <v>0</v>
      </c>
      <c r="CE97">
        <v>0</v>
      </c>
      <c r="CF97">
        <v>0</v>
      </c>
      <c r="CG97">
        <v>0</v>
      </c>
      <c r="CH97">
        <v>0</v>
      </c>
      <c r="CI97">
        <v>0</v>
      </c>
      <c r="CJ97">
        <v>0</v>
      </c>
      <c r="CK97">
        <v>0</v>
      </c>
    </row>
    <row r="98" spans="1:89" x14ac:dyDescent="0.25">
      <c r="A98" s="23" t="s">
        <v>370</v>
      </c>
      <c r="B98">
        <v>0</v>
      </c>
      <c r="C98">
        <v>0</v>
      </c>
      <c r="D98">
        <v>0</v>
      </c>
      <c r="E98">
        <v>0</v>
      </c>
      <c r="F98">
        <v>0</v>
      </c>
      <c r="G98">
        <v>0</v>
      </c>
      <c r="H98">
        <v>0</v>
      </c>
      <c r="I98">
        <v>0</v>
      </c>
      <c r="J98">
        <v>0</v>
      </c>
      <c r="K98">
        <v>0</v>
      </c>
      <c r="L98">
        <v>1</v>
      </c>
      <c r="M98">
        <v>0</v>
      </c>
      <c r="N98">
        <v>0</v>
      </c>
      <c r="O98">
        <v>0</v>
      </c>
      <c r="P98">
        <v>1</v>
      </c>
      <c r="Q98">
        <v>0</v>
      </c>
      <c r="R98">
        <v>0</v>
      </c>
      <c r="S98">
        <v>0</v>
      </c>
      <c r="T98">
        <v>0</v>
      </c>
      <c r="U98">
        <v>0</v>
      </c>
      <c r="V98">
        <v>0</v>
      </c>
      <c r="W98">
        <v>0</v>
      </c>
      <c r="X98">
        <v>2</v>
      </c>
      <c r="Y98">
        <v>1</v>
      </c>
      <c r="Z98">
        <v>1</v>
      </c>
      <c r="AA98">
        <v>0</v>
      </c>
      <c r="AB98">
        <v>0</v>
      </c>
      <c r="AC98">
        <v>1</v>
      </c>
      <c r="AD98">
        <v>0</v>
      </c>
      <c r="AE98">
        <v>0</v>
      </c>
      <c r="AF98">
        <v>0</v>
      </c>
      <c r="AG98">
        <v>1</v>
      </c>
      <c r="AH98">
        <v>0</v>
      </c>
      <c r="AI98">
        <v>0</v>
      </c>
      <c r="AJ98">
        <v>2</v>
      </c>
      <c r="AK98">
        <v>0</v>
      </c>
      <c r="AL98">
        <v>0</v>
      </c>
      <c r="AM98">
        <v>0</v>
      </c>
      <c r="AN98">
        <v>0</v>
      </c>
      <c r="AO98">
        <v>0</v>
      </c>
      <c r="AP98">
        <v>0</v>
      </c>
      <c r="AQ98">
        <v>0</v>
      </c>
      <c r="AR98">
        <v>0</v>
      </c>
      <c r="AS98">
        <v>0</v>
      </c>
      <c r="AT98">
        <v>2</v>
      </c>
      <c r="AU98">
        <v>0</v>
      </c>
      <c r="AV98">
        <v>1</v>
      </c>
      <c r="AW98">
        <v>2</v>
      </c>
      <c r="AX98">
        <v>0</v>
      </c>
      <c r="AY98">
        <v>0</v>
      </c>
      <c r="AZ98">
        <v>2</v>
      </c>
      <c r="BA98">
        <v>0</v>
      </c>
      <c r="BB98">
        <v>0</v>
      </c>
      <c r="BC98">
        <v>0</v>
      </c>
      <c r="BD98">
        <v>0</v>
      </c>
      <c r="BE98">
        <v>0</v>
      </c>
      <c r="BF98">
        <v>0</v>
      </c>
      <c r="BG98">
        <v>0</v>
      </c>
      <c r="BH98">
        <v>1</v>
      </c>
      <c r="BI98">
        <v>0</v>
      </c>
      <c r="BJ98">
        <v>0</v>
      </c>
      <c r="BK98">
        <v>0</v>
      </c>
      <c r="BL98">
        <v>0</v>
      </c>
      <c r="BM98">
        <v>0</v>
      </c>
      <c r="BN98">
        <v>0</v>
      </c>
      <c r="BO98">
        <v>0</v>
      </c>
      <c r="BP98">
        <v>0</v>
      </c>
      <c r="BQ98">
        <v>0</v>
      </c>
      <c r="BR98">
        <v>0</v>
      </c>
      <c r="BS98">
        <v>2</v>
      </c>
      <c r="BT98">
        <v>0</v>
      </c>
      <c r="BU98">
        <v>0</v>
      </c>
      <c r="BV98">
        <v>0</v>
      </c>
      <c r="BW98">
        <v>0</v>
      </c>
      <c r="BX98">
        <v>0</v>
      </c>
      <c r="BY98">
        <v>0</v>
      </c>
      <c r="BZ98">
        <v>0</v>
      </c>
      <c r="CA98">
        <v>0</v>
      </c>
      <c r="CB98">
        <v>0</v>
      </c>
      <c r="CC98">
        <v>1</v>
      </c>
      <c r="CD98">
        <v>0</v>
      </c>
      <c r="CE98">
        <v>0</v>
      </c>
      <c r="CF98">
        <v>0</v>
      </c>
      <c r="CG98">
        <v>1</v>
      </c>
      <c r="CH98">
        <v>3</v>
      </c>
      <c r="CI98">
        <v>0</v>
      </c>
      <c r="CJ98">
        <v>1</v>
      </c>
      <c r="CK98">
        <v>0</v>
      </c>
    </row>
    <row r="99" spans="1:89" x14ac:dyDescent="0.25">
      <c r="A99" s="23" t="s">
        <v>371</v>
      </c>
      <c r="C99">
        <v>0</v>
      </c>
      <c r="D99">
        <v>0</v>
      </c>
      <c r="E99">
        <v>2</v>
      </c>
      <c r="F99">
        <v>0</v>
      </c>
      <c r="G99">
        <v>0</v>
      </c>
      <c r="H99">
        <v>0</v>
      </c>
      <c r="I99">
        <v>0</v>
      </c>
      <c r="J99">
        <v>0</v>
      </c>
      <c r="K99">
        <v>0</v>
      </c>
      <c r="L99">
        <v>0</v>
      </c>
      <c r="M99">
        <v>0</v>
      </c>
      <c r="N99">
        <v>0</v>
      </c>
      <c r="O99">
        <v>0</v>
      </c>
      <c r="P99">
        <v>0</v>
      </c>
      <c r="Q99">
        <v>0</v>
      </c>
      <c r="R99">
        <v>0</v>
      </c>
      <c r="S99">
        <v>0</v>
      </c>
      <c r="T99">
        <v>0</v>
      </c>
      <c r="U99">
        <v>0</v>
      </c>
      <c r="V99">
        <v>0</v>
      </c>
      <c r="W99">
        <v>0</v>
      </c>
      <c r="X99">
        <v>0</v>
      </c>
      <c r="Y99">
        <v>1</v>
      </c>
      <c r="Z99">
        <v>0</v>
      </c>
      <c r="AA99">
        <v>0</v>
      </c>
      <c r="AB99">
        <v>0</v>
      </c>
      <c r="AC99">
        <v>0</v>
      </c>
      <c r="AD99">
        <v>0</v>
      </c>
      <c r="AE99">
        <v>0</v>
      </c>
      <c r="AF99">
        <v>0</v>
      </c>
      <c r="AG99">
        <v>0</v>
      </c>
      <c r="AH99">
        <v>0</v>
      </c>
      <c r="AI99">
        <v>0</v>
      </c>
      <c r="AJ99">
        <v>0</v>
      </c>
      <c r="AK99">
        <v>0</v>
      </c>
      <c r="AL99">
        <v>0</v>
      </c>
      <c r="AM99">
        <v>0</v>
      </c>
      <c r="AN99">
        <v>2</v>
      </c>
      <c r="AO99">
        <v>0</v>
      </c>
      <c r="AP99">
        <v>0</v>
      </c>
      <c r="AQ99">
        <v>2</v>
      </c>
      <c r="AR99">
        <v>0</v>
      </c>
      <c r="AS99">
        <v>0</v>
      </c>
      <c r="AT99">
        <v>0</v>
      </c>
      <c r="AU99">
        <v>0</v>
      </c>
      <c r="AV99">
        <v>0</v>
      </c>
      <c r="AW99">
        <v>0</v>
      </c>
      <c r="AX99">
        <v>0</v>
      </c>
      <c r="AY99">
        <v>0</v>
      </c>
      <c r="AZ99">
        <v>0</v>
      </c>
      <c r="BA99">
        <v>0</v>
      </c>
      <c r="BB99">
        <v>0</v>
      </c>
      <c r="BC99">
        <v>0</v>
      </c>
      <c r="BD99">
        <v>0</v>
      </c>
      <c r="BE99">
        <v>0</v>
      </c>
      <c r="BF99">
        <v>0</v>
      </c>
      <c r="BG99">
        <v>0</v>
      </c>
      <c r="BH99">
        <v>1</v>
      </c>
      <c r="BI99">
        <v>2</v>
      </c>
      <c r="BJ99">
        <v>0</v>
      </c>
      <c r="BL99">
        <v>0</v>
      </c>
      <c r="BM99">
        <v>0</v>
      </c>
      <c r="BN99">
        <v>0</v>
      </c>
      <c r="BO99">
        <v>0</v>
      </c>
      <c r="BP99">
        <v>0</v>
      </c>
      <c r="BQ99">
        <v>0</v>
      </c>
      <c r="BR99">
        <v>0</v>
      </c>
      <c r="BS99">
        <v>2</v>
      </c>
      <c r="BT99">
        <v>0</v>
      </c>
      <c r="BU99">
        <v>0</v>
      </c>
      <c r="BV99">
        <v>0</v>
      </c>
      <c r="BW99">
        <v>0</v>
      </c>
      <c r="BX99">
        <v>0</v>
      </c>
      <c r="BY99">
        <v>1</v>
      </c>
      <c r="BZ99">
        <v>0</v>
      </c>
      <c r="CA99">
        <v>0</v>
      </c>
      <c r="CB99">
        <v>0</v>
      </c>
      <c r="CC99">
        <v>1</v>
      </c>
      <c r="CD99">
        <v>0</v>
      </c>
      <c r="CE99">
        <v>0</v>
      </c>
      <c r="CF99">
        <v>1</v>
      </c>
      <c r="CG99">
        <v>0</v>
      </c>
      <c r="CH99">
        <v>1</v>
      </c>
      <c r="CI99">
        <v>0</v>
      </c>
      <c r="CJ99">
        <v>0</v>
      </c>
      <c r="CK99">
        <v>0</v>
      </c>
    </row>
    <row r="100" spans="1:89" x14ac:dyDescent="0.25">
      <c r="A100" s="23" t="s">
        <v>372</v>
      </c>
      <c r="B100">
        <v>0</v>
      </c>
      <c r="C100">
        <v>3</v>
      </c>
      <c r="D100">
        <v>0</v>
      </c>
      <c r="E100">
        <v>0</v>
      </c>
      <c r="F100">
        <v>0</v>
      </c>
      <c r="G100">
        <v>0</v>
      </c>
      <c r="H100">
        <v>0</v>
      </c>
      <c r="I100">
        <v>0</v>
      </c>
      <c r="J100">
        <v>0</v>
      </c>
      <c r="K100">
        <v>0</v>
      </c>
      <c r="L100">
        <v>0</v>
      </c>
      <c r="M100">
        <v>0</v>
      </c>
      <c r="N100">
        <v>0</v>
      </c>
      <c r="O100">
        <v>0</v>
      </c>
      <c r="P100">
        <v>0</v>
      </c>
      <c r="Q100">
        <v>0</v>
      </c>
      <c r="R100">
        <v>0</v>
      </c>
      <c r="S100">
        <v>0</v>
      </c>
      <c r="T100">
        <v>0</v>
      </c>
      <c r="U100">
        <v>0</v>
      </c>
      <c r="V100">
        <v>0</v>
      </c>
      <c r="W100">
        <v>1</v>
      </c>
      <c r="X100">
        <v>0</v>
      </c>
      <c r="Y100">
        <v>0</v>
      </c>
      <c r="Z100">
        <v>1</v>
      </c>
      <c r="AA100">
        <v>0</v>
      </c>
      <c r="AB100">
        <v>0</v>
      </c>
      <c r="AC100">
        <v>0</v>
      </c>
      <c r="AD100">
        <v>0</v>
      </c>
      <c r="AE100">
        <v>0</v>
      </c>
      <c r="AF100">
        <v>0</v>
      </c>
      <c r="AG100">
        <v>0</v>
      </c>
      <c r="AH100">
        <v>0</v>
      </c>
      <c r="AI100">
        <v>0</v>
      </c>
      <c r="AJ100">
        <v>0</v>
      </c>
      <c r="AK100">
        <v>0</v>
      </c>
      <c r="AL100">
        <v>0</v>
      </c>
      <c r="AM100">
        <v>0</v>
      </c>
      <c r="AN100">
        <v>1</v>
      </c>
      <c r="AO100">
        <v>0</v>
      </c>
      <c r="AP100">
        <v>0</v>
      </c>
      <c r="AQ100">
        <v>0</v>
      </c>
      <c r="AR100">
        <v>0</v>
      </c>
      <c r="AS100">
        <v>0</v>
      </c>
      <c r="AT100">
        <v>0</v>
      </c>
      <c r="AU100">
        <v>0</v>
      </c>
      <c r="AV100">
        <v>0</v>
      </c>
      <c r="AW100">
        <v>0</v>
      </c>
      <c r="AX100">
        <v>0</v>
      </c>
      <c r="AY100">
        <v>0</v>
      </c>
      <c r="AZ100">
        <v>0</v>
      </c>
      <c r="BA100">
        <v>0</v>
      </c>
      <c r="BB100">
        <v>0</v>
      </c>
      <c r="BC100">
        <v>1</v>
      </c>
      <c r="BD100">
        <v>1</v>
      </c>
      <c r="BE100">
        <v>0</v>
      </c>
      <c r="BF100">
        <v>0</v>
      </c>
      <c r="BG100">
        <v>0</v>
      </c>
      <c r="BH100">
        <v>0</v>
      </c>
      <c r="BI100">
        <v>0</v>
      </c>
      <c r="BJ100">
        <v>0</v>
      </c>
      <c r="BK100">
        <v>0</v>
      </c>
      <c r="BL100">
        <v>0</v>
      </c>
      <c r="BM100">
        <v>0</v>
      </c>
      <c r="BN100">
        <v>0</v>
      </c>
      <c r="BO100">
        <v>1</v>
      </c>
      <c r="BP100">
        <v>0</v>
      </c>
      <c r="BQ100">
        <v>0</v>
      </c>
      <c r="BR100">
        <v>0</v>
      </c>
      <c r="BS100">
        <v>1</v>
      </c>
      <c r="BT100">
        <v>0</v>
      </c>
      <c r="BU100">
        <v>1</v>
      </c>
      <c r="BV100">
        <v>0</v>
      </c>
      <c r="BW100">
        <v>0</v>
      </c>
      <c r="BX100">
        <v>0</v>
      </c>
      <c r="BY100">
        <v>0</v>
      </c>
      <c r="BZ100">
        <v>0</v>
      </c>
      <c r="CA100">
        <v>0</v>
      </c>
      <c r="CB100">
        <v>0</v>
      </c>
      <c r="CC100">
        <v>0</v>
      </c>
      <c r="CD100">
        <v>0</v>
      </c>
      <c r="CE100">
        <v>0</v>
      </c>
      <c r="CF100">
        <v>0</v>
      </c>
      <c r="CG100">
        <v>1</v>
      </c>
      <c r="CH100">
        <v>2</v>
      </c>
      <c r="CI100">
        <v>0</v>
      </c>
      <c r="CJ100">
        <v>0</v>
      </c>
      <c r="CK100">
        <v>0</v>
      </c>
    </row>
    <row r="101" spans="1:89" x14ac:dyDescent="0.25">
      <c r="A101" s="23" t="s">
        <v>373</v>
      </c>
      <c r="B101">
        <v>0</v>
      </c>
      <c r="C101">
        <v>0</v>
      </c>
      <c r="D101">
        <v>0</v>
      </c>
      <c r="E101">
        <v>2</v>
      </c>
      <c r="F101">
        <v>0</v>
      </c>
      <c r="G101">
        <v>1</v>
      </c>
      <c r="H101">
        <v>0</v>
      </c>
      <c r="I101">
        <v>0</v>
      </c>
      <c r="J101">
        <v>2</v>
      </c>
      <c r="K101">
        <v>0</v>
      </c>
      <c r="L101">
        <v>0</v>
      </c>
      <c r="M101">
        <v>0</v>
      </c>
      <c r="N101">
        <v>0</v>
      </c>
      <c r="O101">
        <v>0</v>
      </c>
      <c r="P101">
        <v>0</v>
      </c>
      <c r="Q101">
        <v>0</v>
      </c>
      <c r="R101">
        <v>0</v>
      </c>
      <c r="S101">
        <v>0</v>
      </c>
      <c r="T101">
        <v>0</v>
      </c>
      <c r="U101">
        <v>1</v>
      </c>
      <c r="V101">
        <v>0</v>
      </c>
      <c r="W101">
        <v>1</v>
      </c>
      <c r="X101">
        <v>0</v>
      </c>
      <c r="Y101">
        <v>2</v>
      </c>
      <c r="Z101">
        <v>1</v>
      </c>
      <c r="AA101">
        <v>0</v>
      </c>
      <c r="AB101">
        <v>0</v>
      </c>
      <c r="AC101">
        <v>0</v>
      </c>
      <c r="AD101">
        <v>0</v>
      </c>
      <c r="AE101">
        <v>0</v>
      </c>
      <c r="AF101">
        <v>0</v>
      </c>
      <c r="AG101">
        <v>0</v>
      </c>
      <c r="AH101">
        <v>0</v>
      </c>
      <c r="AI101">
        <v>0</v>
      </c>
      <c r="AJ101">
        <v>0</v>
      </c>
      <c r="AK101">
        <v>0</v>
      </c>
      <c r="AL101">
        <v>0</v>
      </c>
      <c r="AM101">
        <v>0</v>
      </c>
      <c r="AN101">
        <v>1</v>
      </c>
      <c r="AO101">
        <v>0</v>
      </c>
      <c r="AP101">
        <v>0</v>
      </c>
      <c r="AQ101">
        <v>2</v>
      </c>
      <c r="AR101">
        <v>0</v>
      </c>
      <c r="AS101">
        <v>0</v>
      </c>
      <c r="AT101">
        <v>1</v>
      </c>
      <c r="AU101">
        <v>0</v>
      </c>
      <c r="AV101">
        <v>0</v>
      </c>
      <c r="AW101">
        <v>0</v>
      </c>
      <c r="AX101">
        <v>2</v>
      </c>
      <c r="AY101">
        <v>0</v>
      </c>
      <c r="AZ101">
        <v>1</v>
      </c>
      <c r="BA101">
        <v>0</v>
      </c>
      <c r="BB101">
        <v>0</v>
      </c>
      <c r="BC101">
        <v>0</v>
      </c>
      <c r="BD101">
        <v>0</v>
      </c>
      <c r="BE101">
        <v>0</v>
      </c>
      <c r="BF101">
        <v>0</v>
      </c>
      <c r="BG101">
        <v>0</v>
      </c>
      <c r="BH101">
        <v>0</v>
      </c>
      <c r="BI101">
        <v>0</v>
      </c>
      <c r="BJ101">
        <v>0</v>
      </c>
      <c r="BK101">
        <v>0</v>
      </c>
      <c r="BL101">
        <v>0</v>
      </c>
      <c r="BM101">
        <v>1</v>
      </c>
      <c r="BN101">
        <v>0</v>
      </c>
      <c r="BO101">
        <v>0</v>
      </c>
      <c r="BP101">
        <v>0</v>
      </c>
      <c r="BQ101">
        <v>1</v>
      </c>
      <c r="BR101">
        <v>0</v>
      </c>
      <c r="BS101">
        <v>0</v>
      </c>
      <c r="BT101">
        <v>0</v>
      </c>
      <c r="BU101">
        <v>1</v>
      </c>
      <c r="BV101">
        <v>0</v>
      </c>
      <c r="BW101">
        <v>0</v>
      </c>
      <c r="BX101">
        <v>0</v>
      </c>
      <c r="BY101">
        <v>0</v>
      </c>
      <c r="BZ101">
        <v>0</v>
      </c>
      <c r="CA101">
        <v>0</v>
      </c>
      <c r="CB101">
        <v>0</v>
      </c>
      <c r="CC101">
        <v>2</v>
      </c>
      <c r="CD101">
        <v>0</v>
      </c>
      <c r="CE101">
        <v>0</v>
      </c>
      <c r="CF101">
        <v>0</v>
      </c>
      <c r="CG101">
        <v>0</v>
      </c>
      <c r="CH101">
        <v>0</v>
      </c>
      <c r="CI101">
        <v>0</v>
      </c>
      <c r="CJ101">
        <v>0</v>
      </c>
      <c r="CK101">
        <v>0</v>
      </c>
    </row>
    <row r="102" spans="1:89" x14ac:dyDescent="0.25">
      <c r="A102" s="23" t="s">
        <v>374</v>
      </c>
      <c r="B102">
        <v>0</v>
      </c>
      <c r="C102">
        <v>0</v>
      </c>
      <c r="D102">
        <v>0</v>
      </c>
      <c r="E102">
        <v>1</v>
      </c>
      <c r="F102">
        <v>0</v>
      </c>
      <c r="G102">
        <v>0</v>
      </c>
      <c r="H102">
        <v>0</v>
      </c>
      <c r="I102">
        <v>0</v>
      </c>
      <c r="J102">
        <v>1</v>
      </c>
      <c r="K102">
        <v>1</v>
      </c>
      <c r="L102">
        <v>0</v>
      </c>
      <c r="M102">
        <v>0</v>
      </c>
      <c r="N102">
        <v>0</v>
      </c>
      <c r="O102">
        <v>0</v>
      </c>
      <c r="P102">
        <v>0</v>
      </c>
      <c r="Q102">
        <v>0</v>
      </c>
      <c r="R102">
        <v>0</v>
      </c>
      <c r="S102">
        <v>0</v>
      </c>
      <c r="T102">
        <v>0</v>
      </c>
      <c r="U102">
        <v>1</v>
      </c>
      <c r="V102">
        <v>0</v>
      </c>
      <c r="W102">
        <v>1</v>
      </c>
      <c r="X102">
        <v>0</v>
      </c>
      <c r="Y102">
        <v>2</v>
      </c>
      <c r="Z102">
        <v>0</v>
      </c>
      <c r="AA102">
        <v>0</v>
      </c>
      <c r="AB102">
        <v>0</v>
      </c>
      <c r="AC102">
        <v>0</v>
      </c>
      <c r="AD102">
        <v>0</v>
      </c>
      <c r="AE102">
        <v>0</v>
      </c>
      <c r="AF102">
        <v>0</v>
      </c>
      <c r="AG102">
        <v>0</v>
      </c>
      <c r="AH102">
        <v>0</v>
      </c>
      <c r="AI102">
        <v>1</v>
      </c>
      <c r="AJ102">
        <v>2</v>
      </c>
      <c r="AK102">
        <v>1</v>
      </c>
      <c r="AL102">
        <v>0</v>
      </c>
      <c r="AM102">
        <v>0</v>
      </c>
      <c r="AN102">
        <v>0</v>
      </c>
      <c r="AO102">
        <v>0</v>
      </c>
      <c r="AP102">
        <v>0</v>
      </c>
      <c r="AQ102">
        <v>0</v>
      </c>
      <c r="AR102">
        <v>0</v>
      </c>
      <c r="AS102">
        <v>0</v>
      </c>
      <c r="AT102">
        <v>0</v>
      </c>
      <c r="AU102">
        <v>0</v>
      </c>
      <c r="AV102">
        <v>0</v>
      </c>
      <c r="AW102">
        <v>0</v>
      </c>
      <c r="AX102">
        <v>0</v>
      </c>
      <c r="AY102">
        <v>0</v>
      </c>
      <c r="AZ102">
        <v>0</v>
      </c>
      <c r="BA102">
        <v>0</v>
      </c>
      <c r="BB102">
        <v>0</v>
      </c>
      <c r="BC102">
        <v>0</v>
      </c>
      <c r="BD102">
        <v>0</v>
      </c>
      <c r="BE102">
        <v>0</v>
      </c>
      <c r="BF102">
        <v>0</v>
      </c>
      <c r="BG102">
        <v>0</v>
      </c>
      <c r="BH102">
        <v>0</v>
      </c>
      <c r="BI102">
        <v>0</v>
      </c>
      <c r="BJ102">
        <v>0</v>
      </c>
      <c r="BK102">
        <v>0</v>
      </c>
      <c r="BL102">
        <v>0</v>
      </c>
      <c r="BM102">
        <v>0</v>
      </c>
      <c r="BN102">
        <v>0</v>
      </c>
      <c r="BO102">
        <v>0</v>
      </c>
      <c r="BP102">
        <v>0</v>
      </c>
      <c r="BQ102">
        <v>2</v>
      </c>
      <c r="BR102">
        <v>0</v>
      </c>
      <c r="BS102">
        <v>0</v>
      </c>
      <c r="BT102">
        <v>0</v>
      </c>
      <c r="BU102">
        <v>1</v>
      </c>
      <c r="BV102">
        <v>0</v>
      </c>
      <c r="BW102">
        <v>0</v>
      </c>
      <c r="BX102">
        <v>0</v>
      </c>
      <c r="BY102">
        <v>0</v>
      </c>
      <c r="BZ102">
        <v>0</v>
      </c>
      <c r="CA102">
        <v>0</v>
      </c>
      <c r="CB102">
        <v>0</v>
      </c>
      <c r="CC102">
        <v>2</v>
      </c>
      <c r="CD102">
        <v>0</v>
      </c>
      <c r="CE102">
        <v>0</v>
      </c>
      <c r="CF102">
        <v>0</v>
      </c>
      <c r="CG102">
        <v>0</v>
      </c>
      <c r="CH102">
        <v>0</v>
      </c>
      <c r="CI102">
        <v>0</v>
      </c>
      <c r="CJ102">
        <v>0</v>
      </c>
      <c r="CK102">
        <v>0</v>
      </c>
    </row>
    <row r="103" spans="1:89" x14ac:dyDescent="0.25">
      <c r="A103" s="23" t="s">
        <v>375</v>
      </c>
      <c r="B103">
        <v>0</v>
      </c>
      <c r="C103">
        <v>0</v>
      </c>
      <c r="D103">
        <v>0</v>
      </c>
      <c r="E103">
        <v>0</v>
      </c>
      <c r="F103">
        <v>0</v>
      </c>
      <c r="G103">
        <v>0</v>
      </c>
      <c r="H103">
        <v>0</v>
      </c>
      <c r="I103">
        <v>0</v>
      </c>
      <c r="J103">
        <v>0</v>
      </c>
      <c r="K103">
        <v>0</v>
      </c>
      <c r="L103">
        <v>0</v>
      </c>
      <c r="M103">
        <v>0</v>
      </c>
      <c r="N103">
        <v>0</v>
      </c>
      <c r="O103">
        <v>2</v>
      </c>
      <c r="P103">
        <v>1</v>
      </c>
      <c r="Q103">
        <v>0</v>
      </c>
      <c r="R103">
        <v>0</v>
      </c>
      <c r="S103">
        <v>1</v>
      </c>
      <c r="T103">
        <v>0</v>
      </c>
      <c r="U103">
        <v>0</v>
      </c>
      <c r="V103">
        <v>0</v>
      </c>
      <c r="W103">
        <v>0</v>
      </c>
      <c r="X103">
        <v>0</v>
      </c>
      <c r="Y103">
        <v>2</v>
      </c>
      <c r="Z103">
        <v>0</v>
      </c>
      <c r="AA103">
        <v>0</v>
      </c>
      <c r="AB103">
        <v>0</v>
      </c>
      <c r="AC103">
        <v>0</v>
      </c>
      <c r="AD103">
        <v>0</v>
      </c>
      <c r="AE103">
        <v>0</v>
      </c>
      <c r="AF103">
        <v>0</v>
      </c>
      <c r="AG103">
        <v>0</v>
      </c>
      <c r="AH103">
        <v>0</v>
      </c>
      <c r="AI103">
        <v>0</v>
      </c>
      <c r="AJ103">
        <v>0</v>
      </c>
      <c r="AK103">
        <v>2</v>
      </c>
      <c r="AL103">
        <v>2</v>
      </c>
      <c r="AM103">
        <v>0</v>
      </c>
      <c r="AN103">
        <v>3</v>
      </c>
      <c r="AO103">
        <v>0</v>
      </c>
      <c r="AP103">
        <v>0</v>
      </c>
      <c r="AQ103">
        <v>0</v>
      </c>
      <c r="AR103">
        <v>0</v>
      </c>
      <c r="AS103">
        <v>0</v>
      </c>
      <c r="AT103">
        <v>0</v>
      </c>
      <c r="AU103">
        <v>0</v>
      </c>
      <c r="AV103">
        <v>0</v>
      </c>
      <c r="AW103">
        <v>3</v>
      </c>
      <c r="AX103">
        <v>0</v>
      </c>
      <c r="AY103">
        <v>0</v>
      </c>
      <c r="AZ103">
        <v>0</v>
      </c>
      <c r="BA103">
        <v>0</v>
      </c>
      <c r="BB103">
        <v>0</v>
      </c>
      <c r="BC103">
        <v>1</v>
      </c>
      <c r="BD103">
        <v>0</v>
      </c>
      <c r="BE103">
        <v>0</v>
      </c>
      <c r="BF103">
        <v>0</v>
      </c>
      <c r="BG103">
        <v>0</v>
      </c>
      <c r="BH103">
        <v>2</v>
      </c>
      <c r="BI103">
        <v>1</v>
      </c>
      <c r="BJ103">
        <v>0</v>
      </c>
      <c r="BK103">
        <v>0</v>
      </c>
      <c r="BL103">
        <v>0</v>
      </c>
      <c r="BM103">
        <v>0</v>
      </c>
      <c r="BN103">
        <v>1</v>
      </c>
      <c r="BO103">
        <v>1</v>
      </c>
      <c r="BP103">
        <v>0</v>
      </c>
      <c r="BQ103">
        <v>0</v>
      </c>
      <c r="BR103">
        <v>1</v>
      </c>
      <c r="BS103">
        <v>0</v>
      </c>
      <c r="BT103">
        <v>0</v>
      </c>
      <c r="BU103">
        <v>3</v>
      </c>
      <c r="BV103">
        <v>0</v>
      </c>
      <c r="BW103">
        <v>0</v>
      </c>
      <c r="BX103">
        <v>0</v>
      </c>
      <c r="BY103">
        <v>0</v>
      </c>
      <c r="BZ103">
        <v>0</v>
      </c>
      <c r="CA103">
        <v>0</v>
      </c>
      <c r="CB103">
        <v>0</v>
      </c>
      <c r="CC103">
        <v>0</v>
      </c>
      <c r="CD103">
        <v>0</v>
      </c>
      <c r="CE103">
        <v>0</v>
      </c>
      <c r="CF103">
        <v>2</v>
      </c>
      <c r="CG103">
        <v>0</v>
      </c>
      <c r="CH103">
        <v>0</v>
      </c>
      <c r="CI103">
        <v>0</v>
      </c>
      <c r="CJ103">
        <v>0</v>
      </c>
      <c r="CK103">
        <v>0</v>
      </c>
    </row>
    <row r="104" spans="1:89" x14ac:dyDescent="0.25">
      <c r="A104" s="23" t="s">
        <v>376</v>
      </c>
      <c r="B104">
        <v>0</v>
      </c>
      <c r="C104">
        <v>0</v>
      </c>
      <c r="D104">
        <v>0</v>
      </c>
      <c r="E104">
        <v>1</v>
      </c>
      <c r="F104">
        <v>0</v>
      </c>
      <c r="G104">
        <v>0</v>
      </c>
      <c r="H104">
        <v>0</v>
      </c>
      <c r="I104">
        <v>0</v>
      </c>
      <c r="J104">
        <v>0</v>
      </c>
      <c r="K104">
        <v>0</v>
      </c>
      <c r="L104">
        <v>0</v>
      </c>
      <c r="M104">
        <v>0</v>
      </c>
      <c r="N104">
        <v>0</v>
      </c>
      <c r="O104">
        <v>1</v>
      </c>
      <c r="P104">
        <v>0</v>
      </c>
      <c r="Q104">
        <v>0</v>
      </c>
      <c r="R104">
        <v>0</v>
      </c>
      <c r="S104">
        <v>0</v>
      </c>
      <c r="T104">
        <v>0</v>
      </c>
      <c r="U104">
        <v>0</v>
      </c>
      <c r="V104">
        <v>0</v>
      </c>
      <c r="W104">
        <v>1</v>
      </c>
      <c r="X104">
        <v>0</v>
      </c>
      <c r="Y104">
        <v>0</v>
      </c>
      <c r="Z104">
        <v>0</v>
      </c>
      <c r="AA104">
        <v>0</v>
      </c>
      <c r="AB104">
        <v>0</v>
      </c>
      <c r="AC104">
        <v>0</v>
      </c>
      <c r="AD104">
        <v>0</v>
      </c>
      <c r="AE104">
        <v>0</v>
      </c>
      <c r="AF104">
        <v>0</v>
      </c>
      <c r="AG104">
        <v>0</v>
      </c>
      <c r="AH104">
        <v>0</v>
      </c>
      <c r="AI104">
        <v>0</v>
      </c>
      <c r="AJ104">
        <v>0</v>
      </c>
      <c r="AK104">
        <v>0</v>
      </c>
      <c r="AL104">
        <v>1</v>
      </c>
      <c r="AM104">
        <v>0</v>
      </c>
      <c r="AN104">
        <v>0</v>
      </c>
      <c r="AO104">
        <v>1</v>
      </c>
      <c r="AP104">
        <v>0</v>
      </c>
      <c r="AQ104">
        <v>0</v>
      </c>
      <c r="AR104">
        <v>0</v>
      </c>
      <c r="AS104">
        <v>0</v>
      </c>
      <c r="AT104">
        <v>0</v>
      </c>
      <c r="AU104">
        <v>0</v>
      </c>
      <c r="AV104">
        <v>0</v>
      </c>
      <c r="AW104">
        <v>1</v>
      </c>
      <c r="AX104">
        <v>0</v>
      </c>
      <c r="AY104">
        <v>0</v>
      </c>
      <c r="AZ104">
        <v>0</v>
      </c>
      <c r="BA104">
        <v>0</v>
      </c>
      <c r="BB104">
        <v>0</v>
      </c>
      <c r="BC104">
        <v>1</v>
      </c>
      <c r="BD104">
        <v>0</v>
      </c>
      <c r="BE104">
        <v>0</v>
      </c>
      <c r="BF104">
        <v>0</v>
      </c>
      <c r="BG104">
        <v>0</v>
      </c>
      <c r="BH104">
        <v>1</v>
      </c>
      <c r="BI104">
        <v>0</v>
      </c>
      <c r="BJ104">
        <v>0</v>
      </c>
      <c r="BK104">
        <v>0</v>
      </c>
      <c r="BL104">
        <v>0</v>
      </c>
      <c r="BM104">
        <v>0</v>
      </c>
      <c r="BN104">
        <v>0</v>
      </c>
      <c r="BO104">
        <v>0</v>
      </c>
      <c r="BP104">
        <v>0</v>
      </c>
      <c r="BQ104">
        <v>1</v>
      </c>
      <c r="BR104">
        <v>0</v>
      </c>
      <c r="BS104">
        <v>0</v>
      </c>
      <c r="BT104">
        <v>0</v>
      </c>
      <c r="BU104">
        <v>0</v>
      </c>
      <c r="BV104">
        <v>0</v>
      </c>
      <c r="BW104">
        <v>0</v>
      </c>
      <c r="BX104">
        <v>0</v>
      </c>
      <c r="BY104">
        <v>0</v>
      </c>
      <c r="BZ104">
        <v>2</v>
      </c>
      <c r="CA104">
        <v>0</v>
      </c>
      <c r="CB104">
        <v>0</v>
      </c>
      <c r="CC104">
        <v>0</v>
      </c>
      <c r="CD104">
        <v>0</v>
      </c>
      <c r="CE104">
        <v>2</v>
      </c>
      <c r="CF104">
        <v>1</v>
      </c>
      <c r="CG104">
        <v>0</v>
      </c>
      <c r="CH104">
        <v>0</v>
      </c>
      <c r="CI104">
        <v>0</v>
      </c>
      <c r="CJ104">
        <v>0</v>
      </c>
      <c r="CK104">
        <v>0</v>
      </c>
    </row>
    <row r="105" spans="1:89" x14ac:dyDescent="0.25">
      <c r="A105" s="23" t="s">
        <v>377</v>
      </c>
      <c r="B105">
        <v>0</v>
      </c>
      <c r="C105">
        <v>0</v>
      </c>
      <c r="D105">
        <v>0</v>
      </c>
      <c r="E105">
        <v>0</v>
      </c>
      <c r="F105">
        <v>0</v>
      </c>
      <c r="G105">
        <v>0</v>
      </c>
      <c r="H105">
        <v>0</v>
      </c>
      <c r="I105">
        <v>0</v>
      </c>
      <c r="J105">
        <v>0</v>
      </c>
      <c r="K105">
        <v>0</v>
      </c>
      <c r="L105">
        <v>0</v>
      </c>
      <c r="M105">
        <v>0</v>
      </c>
      <c r="N105">
        <v>1</v>
      </c>
      <c r="O105">
        <v>0</v>
      </c>
      <c r="P105">
        <v>0</v>
      </c>
      <c r="Q105">
        <v>0</v>
      </c>
      <c r="R105">
        <v>0</v>
      </c>
      <c r="S105">
        <v>0</v>
      </c>
      <c r="T105">
        <v>0</v>
      </c>
      <c r="U105">
        <v>2</v>
      </c>
      <c r="V105">
        <v>0</v>
      </c>
      <c r="W105">
        <v>0</v>
      </c>
      <c r="X105">
        <v>0</v>
      </c>
      <c r="Y105">
        <v>0</v>
      </c>
      <c r="Z105">
        <v>0</v>
      </c>
      <c r="AA105">
        <v>0</v>
      </c>
      <c r="AB105">
        <v>0</v>
      </c>
      <c r="AC105">
        <v>0</v>
      </c>
      <c r="AD105">
        <v>2</v>
      </c>
      <c r="AE105">
        <v>0</v>
      </c>
      <c r="AF105">
        <v>0</v>
      </c>
      <c r="AG105">
        <v>0</v>
      </c>
      <c r="AH105">
        <v>0</v>
      </c>
      <c r="AI105">
        <v>0</v>
      </c>
      <c r="AJ105">
        <v>1</v>
      </c>
      <c r="AK105">
        <v>0</v>
      </c>
      <c r="AL105">
        <v>0</v>
      </c>
      <c r="AM105">
        <v>0</v>
      </c>
      <c r="AN105">
        <v>0</v>
      </c>
      <c r="AO105">
        <v>0</v>
      </c>
      <c r="AP105">
        <v>0</v>
      </c>
      <c r="AQ105">
        <v>1</v>
      </c>
      <c r="AR105">
        <v>0</v>
      </c>
      <c r="AS105">
        <v>0</v>
      </c>
      <c r="AT105">
        <v>3</v>
      </c>
      <c r="AU105">
        <v>0</v>
      </c>
      <c r="AV105">
        <v>0</v>
      </c>
      <c r="AW105">
        <v>0</v>
      </c>
      <c r="AX105">
        <v>0</v>
      </c>
      <c r="AY105">
        <v>0</v>
      </c>
      <c r="AZ105">
        <v>0</v>
      </c>
      <c r="BA105">
        <v>0</v>
      </c>
      <c r="BB105">
        <v>0</v>
      </c>
      <c r="BC105">
        <v>2</v>
      </c>
      <c r="BD105">
        <v>0</v>
      </c>
      <c r="BE105">
        <v>0</v>
      </c>
      <c r="BF105">
        <v>0</v>
      </c>
      <c r="BG105">
        <v>0</v>
      </c>
      <c r="BH105">
        <v>0</v>
      </c>
      <c r="BI105">
        <v>0</v>
      </c>
      <c r="BJ105">
        <v>0</v>
      </c>
      <c r="BK105">
        <v>0</v>
      </c>
      <c r="BL105">
        <v>0</v>
      </c>
      <c r="BM105">
        <v>0</v>
      </c>
      <c r="BN105">
        <v>0</v>
      </c>
      <c r="BO105">
        <v>0</v>
      </c>
      <c r="BP105">
        <v>0</v>
      </c>
      <c r="BQ105">
        <v>0</v>
      </c>
      <c r="BR105">
        <v>0</v>
      </c>
      <c r="BS105">
        <v>1</v>
      </c>
      <c r="BT105">
        <v>0</v>
      </c>
      <c r="BU105">
        <v>3</v>
      </c>
      <c r="BV105">
        <v>0</v>
      </c>
      <c r="BW105">
        <v>0</v>
      </c>
      <c r="BX105">
        <v>0</v>
      </c>
      <c r="BY105">
        <v>2</v>
      </c>
      <c r="BZ105">
        <v>0</v>
      </c>
      <c r="CA105">
        <v>0</v>
      </c>
      <c r="CB105">
        <v>0</v>
      </c>
      <c r="CC105">
        <v>1</v>
      </c>
      <c r="CD105">
        <v>0</v>
      </c>
      <c r="CE105">
        <v>1</v>
      </c>
      <c r="CF105">
        <v>0</v>
      </c>
      <c r="CG105">
        <v>0</v>
      </c>
      <c r="CH105">
        <v>0</v>
      </c>
      <c r="CI105">
        <v>0</v>
      </c>
      <c r="CJ105">
        <v>0</v>
      </c>
      <c r="CK105">
        <v>1</v>
      </c>
    </row>
    <row r="106" spans="1:89" x14ac:dyDescent="0.25">
      <c r="A106" s="23" t="s">
        <v>378</v>
      </c>
      <c r="B106">
        <v>2</v>
      </c>
      <c r="C106">
        <v>0</v>
      </c>
      <c r="D106">
        <v>0</v>
      </c>
      <c r="E106">
        <v>4</v>
      </c>
      <c r="F106">
        <v>0</v>
      </c>
      <c r="G106">
        <v>0</v>
      </c>
      <c r="H106">
        <v>0</v>
      </c>
      <c r="I106">
        <v>0</v>
      </c>
      <c r="J106">
        <v>0</v>
      </c>
      <c r="K106">
        <v>1</v>
      </c>
      <c r="L106">
        <v>0</v>
      </c>
      <c r="M106">
        <v>0</v>
      </c>
      <c r="N106">
        <v>0</v>
      </c>
      <c r="O106">
        <v>0</v>
      </c>
      <c r="P106">
        <v>1</v>
      </c>
      <c r="Q106">
        <v>0</v>
      </c>
      <c r="R106">
        <v>0</v>
      </c>
      <c r="S106">
        <v>0</v>
      </c>
      <c r="T106">
        <v>0</v>
      </c>
      <c r="U106">
        <v>0</v>
      </c>
      <c r="V106">
        <v>0</v>
      </c>
      <c r="W106">
        <v>0</v>
      </c>
      <c r="X106">
        <v>0</v>
      </c>
      <c r="Y106">
        <v>1</v>
      </c>
      <c r="Z106">
        <v>0</v>
      </c>
      <c r="AA106">
        <v>0</v>
      </c>
      <c r="AB106">
        <v>0</v>
      </c>
      <c r="AC106">
        <v>0</v>
      </c>
      <c r="AD106">
        <v>0</v>
      </c>
      <c r="AE106">
        <v>0</v>
      </c>
      <c r="AF106">
        <v>0</v>
      </c>
      <c r="AG106">
        <v>0</v>
      </c>
      <c r="AH106">
        <v>1</v>
      </c>
      <c r="AI106">
        <v>0</v>
      </c>
      <c r="AJ106">
        <v>0</v>
      </c>
      <c r="AK106">
        <v>0</v>
      </c>
      <c r="AL106">
        <v>0</v>
      </c>
      <c r="AM106">
        <v>0</v>
      </c>
      <c r="AN106">
        <v>0</v>
      </c>
      <c r="AO106">
        <v>0</v>
      </c>
      <c r="AP106">
        <v>1</v>
      </c>
      <c r="AQ106">
        <v>1</v>
      </c>
      <c r="AR106">
        <v>0</v>
      </c>
      <c r="AS106">
        <v>0</v>
      </c>
      <c r="AT106">
        <v>0</v>
      </c>
      <c r="AU106">
        <v>0</v>
      </c>
      <c r="AV106">
        <v>0</v>
      </c>
      <c r="AW106">
        <v>0</v>
      </c>
      <c r="AX106">
        <v>0</v>
      </c>
      <c r="AY106">
        <v>0</v>
      </c>
      <c r="AZ106">
        <v>0</v>
      </c>
      <c r="BA106">
        <v>0</v>
      </c>
      <c r="BB106">
        <v>0</v>
      </c>
      <c r="BC106">
        <v>1</v>
      </c>
      <c r="BD106">
        <v>0</v>
      </c>
      <c r="BE106">
        <v>0</v>
      </c>
      <c r="BF106">
        <v>0</v>
      </c>
      <c r="BG106">
        <v>0</v>
      </c>
      <c r="BH106">
        <v>0</v>
      </c>
      <c r="BI106">
        <v>0</v>
      </c>
      <c r="BJ106">
        <v>0</v>
      </c>
      <c r="BK106">
        <v>0</v>
      </c>
      <c r="BL106">
        <v>0</v>
      </c>
      <c r="BM106">
        <v>0</v>
      </c>
      <c r="BN106">
        <v>0</v>
      </c>
      <c r="BO106">
        <v>0</v>
      </c>
      <c r="BP106">
        <v>0</v>
      </c>
      <c r="BQ106">
        <v>0</v>
      </c>
      <c r="BR106">
        <v>0</v>
      </c>
      <c r="BS106">
        <v>3</v>
      </c>
      <c r="BT106">
        <v>0</v>
      </c>
      <c r="BU106">
        <v>1</v>
      </c>
      <c r="BV106">
        <v>0</v>
      </c>
      <c r="BW106">
        <v>0</v>
      </c>
      <c r="BX106">
        <v>0</v>
      </c>
      <c r="BY106">
        <v>0</v>
      </c>
      <c r="BZ106">
        <v>0</v>
      </c>
      <c r="CA106">
        <v>0</v>
      </c>
      <c r="CB106">
        <v>0</v>
      </c>
      <c r="CC106">
        <v>1</v>
      </c>
      <c r="CD106">
        <v>0</v>
      </c>
      <c r="CE106">
        <v>0</v>
      </c>
      <c r="CF106">
        <v>0</v>
      </c>
      <c r="CG106">
        <v>0</v>
      </c>
      <c r="CH106">
        <v>0</v>
      </c>
      <c r="CI106">
        <v>0</v>
      </c>
      <c r="CJ106">
        <v>0</v>
      </c>
      <c r="CK106">
        <v>0</v>
      </c>
    </row>
    <row r="107" spans="1:89" x14ac:dyDescent="0.25">
      <c r="A107" s="23" t="s">
        <v>379</v>
      </c>
      <c r="B107">
        <v>0</v>
      </c>
      <c r="C107">
        <v>0</v>
      </c>
      <c r="D107">
        <v>0</v>
      </c>
      <c r="E107">
        <v>1</v>
      </c>
      <c r="F107">
        <v>0</v>
      </c>
      <c r="G107">
        <v>0</v>
      </c>
      <c r="H107">
        <v>0</v>
      </c>
      <c r="I107">
        <v>0</v>
      </c>
      <c r="J107">
        <v>0</v>
      </c>
      <c r="K107">
        <v>0</v>
      </c>
      <c r="L107">
        <v>2</v>
      </c>
      <c r="M107">
        <v>0</v>
      </c>
      <c r="N107">
        <v>0</v>
      </c>
      <c r="O107">
        <v>0</v>
      </c>
      <c r="P107">
        <v>1</v>
      </c>
      <c r="Q107">
        <v>0</v>
      </c>
      <c r="R107">
        <v>0</v>
      </c>
      <c r="S107">
        <v>0</v>
      </c>
      <c r="T107">
        <v>0</v>
      </c>
      <c r="U107">
        <v>3</v>
      </c>
      <c r="V107">
        <v>0</v>
      </c>
      <c r="W107">
        <v>2</v>
      </c>
      <c r="X107">
        <v>0</v>
      </c>
      <c r="Y107">
        <v>1</v>
      </c>
      <c r="Z107">
        <v>0</v>
      </c>
      <c r="AA107">
        <v>0</v>
      </c>
      <c r="AB107">
        <v>1</v>
      </c>
      <c r="AC107">
        <v>0</v>
      </c>
      <c r="AD107">
        <v>0</v>
      </c>
      <c r="AE107">
        <v>0</v>
      </c>
      <c r="AF107">
        <v>0</v>
      </c>
      <c r="AG107">
        <v>1</v>
      </c>
      <c r="AH107">
        <v>2</v>
      </c>
      <c r="AI107">
        <v>0</v>
      </c>
      <c r="AJ107">
        <v>1</v>
      </c>
      <c r="AK107">
        <v>0</v>
      </c>
      <c r="AL107">
        <v>0</v>
      </c>
      <c r="AM107">
        <v>0</v>
      </c>
      <c r="AN107">
        <v>0</v>
      </c>
      <c r="AO107">
        <v>0</v>
      </c>
      <c r="AP107">
        <v>0</v>
      </c>
      <c r="AQ107">
        <v>0</v>
      </c>
      <c r="AR107">
        <v>0</v>
      </c>
      <c r="AS107">
        <v>0</v>
      </c>
      <c r="AT107">
        <v>0</v>
      </c>
      <c r="AU107">
        <v>0</v>
      </c>
      <c r="AV107">
        <v>0</v>
      </c>
      <c r="AW107">
        <v>0</v>
      </c>
      <c r="AX107">
        <v>0</v>
      </c>
      <c r="AY107">
        <v>0</v>
      </c>
      <c r="AZ107">
        <v>2</v>
      </c>
      <c r="BA107">
        <v>0</v>
      </c>
      <c r="BB107">
        <v>0</v>
      </c>
      <c r="BC107">
        <v>0</v>
      </c>
      <c r="BD107">
        <v>0</v>
      </c>
      <c r="BE107">
        <v>0</v>
      </c>
      <c r="BF107">
        <v>0</v>
      </c>
      <c r="BG107">
        <v>0</v>
      </c>
      <c r="BH107">
        <v>0</v>
      </c>
      <c r="BI107">
        <v>0</v>
      </c>
      <c r="BJ107">
        <v>0</v>
      </c>
      <c r="BK107">
        <v>0</v>
      </c>
      <c r="BL107">
        <v>0</v>
      </c>
      <c r="BM107">
        <v>0</v>
      </c>
      <c r="BN107">
        <v>0</v>
      </c>
      <c r="BO107">
        <v>0</v>
      </c>
      <c r="BP107">
        <v>0</v>
      </c>
      <c r="BQ107">
        <v>1</v>
      </c>
      <c r="BR107">
        <v>0</v>
      </c>
      <c r="BS107">
        <v>0</v>
      </c>
      <c r="BT107">
        <v>0</v>
      </c>
      <c r="BU107">
        <v>0</v>
      </c>
      <c r="BV107">
        <v>0</v>
      </c>
      <c r="BW107">
        <v>0</v>
      </c>
      <c r="BX107">
        <v>0</v>
      </c>
      <c r="BY107">
        <v>1</v>
      </c>
      <c r="BZ107">
        <v>0</v>
      </c>
      <c r="CA107">
        <v>0</v>
      </c>
      <c r="CB107">
        <v>0</v>
      </c>
      <c r="CC107">
        <v>0</v>
      </c>
      <c r="CD107">
        <v>0</v>
      </c>
      <c r="CE107">
        <v>0</v>
      </c>
      <c r="CF107">
        <v>0</v>
      </c>
      <c r="CG107">
        <v>0</v>
      </c>
      <c r="CH107">
        <v>2</v>
      </c>
      <c r="CI107">
        <v>0</v>
      </c>
      <c r="CJ107">
        <v>0</v>
      </c>
      <c r="CK107">
        <v>0</v>
      </c>
    </row>
    <row r="108" spans="1:89" x14ac:dyDescent="0.25">
      <c r="A108" s="23" t="s">
        <v>380</v>
      </c>
      <c r="B108">
        <v>0</v>
      </c>
      <c r="C108">
        <v>2</v>
      </c>
      <c r="D108">
        <v>0</v>
      </c>
      <c r="E108">
        <v>0</v>
      </c>
      <c r="F108">
        <v>0</v>
      </c>
      <c r="G108">
        <v>0</v>
      </c>
      <c r="H108">
        <v>0</v>
      </c>
      <c r="I108">
        <v>0</v>
      </c>
      <c r="J108">
        <v>0</v>
      </c>
      <c r="K108">
        <v>0</v>
      </c>
      <c r="L108">
        <v>0</v>
      </c>
      <c r="M108">
        <v>3</v>
      </c>
      <c r="N108">
        <v>0</v>
      </c>
      <c r="O108">
        <v>1</v>
      </c>
      <c r="P108">
        <v>0</v>
      </c>
      <c r="Q108">
        <v>0</v>
      </c>
      <c r="R108">
        <v>0</v>
      </c>
      <c r="S108">
        <v>0</v>
      </c>
      <c r="T108">
        <v>0</v>
      </c>
      <c r="U108">
        <v>1</v>
      </c>
      <c r="V108">
        <v>0</v>
      </c>
      <c r="W108">
        <v>1</v>
      </c>
      <c r="X108">
        <v>0</v>
      </c>
      <c r="Y108">
        <v>1</v>
      </c>
      <c r="Z108">
        <v>0</v>
      </c>
      <c r="AA108">
        <v>0</v>
      </c>
      <c r="AB108">
        <v>0</v>
      </c>
      <c r="AC108">
        <v>0</v>
      </c>
      <c r="AD108">
        <v>0</v>
      </c>
      <c r="AE108">
        <v>0</v>
      </c>
      <c r="AF108">
        <v>0</v>
      </c>
      <c r="AG108">
        <v>0</v>
      </c>
      <c r="AH108">
        <v>2</v>
      </c>
      <c r="AI108">
        <v>0</v>
      </c>
      <c r="AJ108">
        <v>1</v>
      </c>
      <c r="AK108">
        <v>0</v>
      </c>
      <c r="AL108">
        <v>0</v>
      </c>
      <c r="AM108">
        <v>0</v>
      </c>
      <c r="AN108">
        <v>0</v>
      </c>
      <c r="AO108">
        <v>0</v>
      </c>
      <c r="AP108">
        <v>0</v>
      </c>
      <c r="AQ108">
        <v>1</v>
      </c>
      <c r="AR108">
        <v>0</v>
      </c>
      <c r="AS108">
        <v>0</v>
      </c>
      <c r="AT108">
        <v>0</v>
      </c>
      <c r="AU108">
        <v>0</v>
      </c>
      <c r="AV108">
        <v>0</v>
      </c>
      <c r="AW108">
        <v>2</v>
      </c>
      <c r="AX108">
        <v>0</v>
      </c>
      <c r="AY108">
        <v>0</v>
      </c>
      <c r="AZ108">
        <v>0</v>
      </c>
      <c r="BA108">
        <v>0</v>
      </c>
      <c r="BB108">
        <v>0</v>
      </c>
      <c r="BC108">
        <v>0</v>
      </c>
      <c r="BD108">
        <v>0</v>
      </c>
      <c r="BE108">
        <v>0</v>
      </c>
      <c r="BF108">
        <v>0</v>
      </c>
      <c r="BG108">
        <v>0</v>
      </c>
      <c r="BH108">
        <v>1</v>
      </c>
      <c r="BI108">
        <v>0</v>
      </c>
      <c r="BJ108">
        <v>0</v>
      </c>
      <c r="BK108">
        <v>0</v>
      </c>
      <c r="BL108">
        <v>0</v>
      </c>
      <c r="BM108">
        <v>0</v>
      </c>
      <c r="BN108">
        <v>0</v>
      </c>
      <c r="BO108">
        <v>0</v>
      </c>
      <c r="BP108">
        <v>0</v>
      </c>
      <c r="BQ108">
        <v>0</v>
      </c>
      <c r="BR108">
        <v>0</v>
      </c>
      <c r="BS108">
        <v>0</v>
      </c>
      <c r="BT108">
        <v>0</v>
      </c>
      <c r="BU108">
        <v>0</v>
      </c>
      <c r="BV108">
        <v>0</v>
      </c>
      <c r="BW108">
        <v>0</v>
      </c>
      <c r="BX108">
        <v>0</v>
      </c>
      <c r="BY108">
        <v>0</v>
      </c>
      <c r="BZ108">
        <v>0</v>
      </c>
      <c r="CA108">
        <v>0</v>
      </c>
      <c r="CB108">
        <v>0</v>
      </c>
      <c r="CC108">
        <v>0</v>
      </c>
      <c r="CD108">
        <v>0</v>
      </c>
      <c r="CE108">
        <v>2</v>
      </c>
      <c r="CF108">
        <v>0</v>
      </c>
      <c r="CG108">
        <v>0</v>
      </c>
      <c r="CH108">
        <v>1</v>
      </c>
      <c r="CI108">
        <v>0</v>
      </c>
      <c r="CJ108">
        <v>0</v>
      </c>
      <c r="CK108">
        <v>0</v>
      </c>
    </row>
    <row r="109" spans="1:89" x14ac:dyDescent="0.25">
      <c r="A109" s="23" t="s">
        <v>381</v>
      </c>
      <c r="B109">
        <v>0</v>
      </c>
      <c r="C109">
        <v>0</v>
      </c>
      <c r="D109">
        <v>0</v>
      </c>
      <c r="E109">
        <v>0</v>
      </c>
      <c r="F109">
        <v>0</v>
      </c>
      <c r="G109">
        <v>0</v>
      </c>
      <c r="H109">
        <v>0</v>
      </c>
      <c r="I109">
        <v>0</v>
      </c>
      <c r="J109">
        <v>0</v>
      </c>
      <c r="K109">
        <v>0</v>
      </c>
      <c r="L109">
        <v>0</v>
      </c>
      <c r="M109">
        <v>3</v>
      </c>
      <c r="N109">
        <v>0</v>
      </c>
      <c r="O109">
        <v>1</v>
      </c>
      <c r="P109">
        <v>0</v>
      </c>
      <c r="Q109">
        <v>0</v>
      </c>
      <c r="R109">
        <v>0</v>
      </c>
      <c r="S109">
        <v>0</v>
      </c>
      <c r="T109">
        <v>0</v>
      </c>
      <c r="U109">
        <v>0</v>
      </c>
      <c r="V109">
        <v>0</v>
      </c>
      <c r="W109">
        <v>0</v>
      </c>
      <c r="X109">
        <v>2</v>
      </c>
      <c r="Y109">
        <v>2</v>
      </c>
      <c r="Z109">
        <v>0</v>
      </c>
      <c r="AA109">
        <v>0</v>
      </c>
      <c r="AB109">
        <v>0</v>
      </c>
      <c r="AC109">
        <v>4</v>
      </c>
      <c r="AD109">
        <v>0</v>
      </c>
      <c r="AE109">
        <v>0</v>
      </c>
      <c r="AF109">
        <v>0</v>
      </c>
      <c r="AG109">
        <v>0</v>
      </c>
      <c r="AH109">
        <v>0</v>
      </c>
      <c r="AI109">
        <v>0</v>
      </c>
      <c r="AJ109">
        <v>3</v>
      </c>
      <c r="AK109">
        <v>0</v>
      </c>
      <c r="AL109">
        <v>0</v>
      </c>
      <c r="AM109">
        <v>0</v>
      </c>
      <c r="AN109">
        <v>0</v>
      </c>
      <c r="AO109">
        <v>0</v>
      </c>
      <c r="AP109">
        <v>0</v>
      </c>
      <c r="AQ109">
        <v>1</v>
      </c>
      <c r="AR109">
        <v>0</v>
      </c>
      <c r="AS109">
        <v>0</v>
      </c>
      <c r="AT109">
        <v>0</v>
      </c>
      <c r="AU109">
        <v>0</v>
      </c>
      <c r="AV109">
        <v>2</v>
      </c>
      <c r="AW109">
        <v>2</v>
      </c>
      <c r="AX109">
        <v>0</v>
      </c>
      <c r="AY109">
        <v>0</v>
      </c>
      <c r="AZ109">
        <v>0</v>
      </c>
      <c r="BA109">
        <v>0</v>
      </c>
      <c r="BB109">
        <v>0</v>
      </c>
      <c r="BC109">
        <v>2</v>
      </c>
      <c r="BD109">
        <v>0</v>
      </c>
      <c r="BE109">
        <v>0</v>
      </c>
      <c r="BF109">
        <v>0</v>
      </c>
      <c r="BG109">
        <v>0</v>
      </c>
      <c r="BH109">
        <v>1</v>
      </c>
      <c r="BI109">
        <v>1</v>
      </c>
      <c r="BJ109">
        <v>0</v>
      </c>
      <c r="BK109">
        <v>0</v>
      </c>
      <c r="BL109">
        <v>0</v>
      </c>
      <c r="BM109">
        <v>0</v>
      </c>
      <c r="BN109">
        <v>0</v>
      </c>
      <c r="BO109">
        <v>0</v>
      </c>
      <c r="BP109">
        <v>0</v>
      </c>
      <c r="BQ109">
        <v>0</v>
      </c>
      <c r="BR109">
        <v>0</v>
      </c>
      <c r="BS109">
        <v>0</v>
      </c>
      <c r="BT109">
        <v>0</v>
      </c>
      <c r="BU109">
        <v>0</v>
      </c>
      <c r="BV109">
        <v>0</v>
      </c>
      <c r="BW109">
        <v>0</v>
      </c>
      <c r="BX109">
        <v>0</v>
      </c>
      <c r="BY109">
        <v>0</v>
      </c>
      <c r="BZ109">
        <v>0</v>
      </c>
      <c r="CA109">
        <v>0</v>
      </c>
      <c r="CB109">
        <v>0</v>
      </c>
      <c r="CC109">
        <v>0</v>
      </c>
      <c r="CD109">
        <v>0</v>
      </c>
      <c r="CE109">
        <v>1</v>
      </c>
      <c r="CF109">
        <v>0</v>
      </c>
      <c r="CG109">
        <v>0</v>
      </c>
      <c r="CH109">
        <v>1</v>
      </c>
      <c r="CI109">
        <v>0</v>
      </c>
      <c r="CJ109">
        <v>2</v>
      </c>
      <c r="CK109">
        <v>0</v>
      </c>
    </row>
    <row r="110" spans="1:89" x14ac:dyDescent="0.25">
      <c r="A110" s="23" t="s">
        <v>382</v>
      </c>
      <c r="B110">
        <v>0</v>
      </c>
      <c r="C110">
        <v>0</v>
      </c>
      <c r="D110">
        <v>0</v>
      </c>
      <c r="E110">
        <v>0</v>
      </c>
      <c r="F110">
        <v>0</v>
      </c>
      <c r="G110">
        <v>0</v>
      </c>
      <c r="H110">
        <v>0</v>
      </c>
      <c r="I110">
        <v>0</v>
      </c>
      <c r="J110">
        <v>0</v>
      </c>
      <c r="K110">
        <v>0</v>
      </c>
      <c r="L110">
        <v>0</v>
      </c>
      <c r="M110">
        <v>0</v>
      </c>
      <c r="N110">
        <v>0</v>
      </c>
      <c r="O110">
        <v>0</v>
      </c>
      <c r="P110">
        <v>0</v>
      </c>
      <c r="Q110">
        <v>0</v>
      </c>
      <c r="R110">
        <v>0</v>
      </c>
      <c r="S110">
        <v>0</v>
      </c>
      <c r="T110">
        <v>0</v>
      </c>
      <c r="U110">
        <v>0</v>
      </c>
      <c r="V110">
        <v>0</v>
      </c>
      <c r="W110">
        <v>0</v>
      </c>
      <c r="X110">
        <v>2</v>
      </c>
      <c r="Y110">
        <v>0</v>
      </c>
      <c r="Z110">
        <v>0</v>
      </c>
      <c r="AA110">
        <v>0</v>
      </c>
      <c r="AB110">
        <v>0</v>
      </c>
      <c r="AC110">
        <v>1</v>
      </c>
      <c r="AD110">
        <v>0</v>
      </c>
      <c r="AE110">
        <v>0</v>
      </c>
      <c r="AF110">
        <v>1</v>
      </c>
      <c r="AG110">
        <v>0</v>
      </c>
      <c r="AH110">
        <v>0</v>
      </c>
      <c r="AI110">
        <v>0</v>
      </c>
      <c r="AJ110">
        <v>1</v>
      </c>
      <c r="AK110">
        <v>0</v>
      </c>
      <c r="AL110">
        <v>0</v>
      </c>
      <c r="AM110">
        <v>0</v>
      </c>
      <c r="AN110">
        <v>2</v>
      </c>
      <c r="AO110">
        <v>0</v>
      </c>
      <c r="AP110">
        <v>0</v>
      </c>
      <c r="AQ110">
        <v>0</v>
      </c>
      <c r="AR110">
        <v>0</v>
      </c>
      <c r="AS110">
        <v>0</v>
      </c>
      <c r="AT110">
        <v>0</v>
      </c>
      <c r="AU110">
        <v>0</v>
      </c>
      <c r="AV110">
        <v>0</v>
      </c>
      <c r="AW110">
        <v>0</v>
      </c>
      <c r="AX110">
        <v>0</v>
      </c>
      <c r="AY110">
        <v>0</v>
      </c>
      <c r="AZ110">
        <v>0</v>
      </c>
      <c r="BA110">
        <v>0</v>
      </c>
      <c r="BB110">
        <v>0</v>
      </c>
      <c r="BC110">
        <v>1</v>
      </c>
      <c r="BD110">
        <v>0</v>
      </c>
      <c r="BE110">
        <v>0</v>
      </c>
      <c r="BF110">
        <v>1</v>
      </c>
      <c r="BG110">
        <v>0</v>
      </c>
      <c r="BH110">
        <v>0</v>
      </c>
      <c r="BI110">
        <v>0</v>
      </c>
      <c r="BJ110">
        <v>0</v>
      </c>
      <c r="BK110">
        <v>0</v>
      </c>
      <c r="BL110">
        <v>0</v>
      </c>
      <c r="BM110">
        <v>0</v>
      </c>
      <c r="BN110">
        <v>0</v>
      </c>
      <c r="BO110">
        <v>0</v>
      </c>
      <c r="BP110">
        <v>0</v>
      </c>
      <c r="BQ110">
        <v>0</v>
      </c>
      <c r="BR110">
        <v>0</v>
      </c>
      <c r="BS110">
        <v>1</v>
      </c>
      <c r="BT110">
        <v>0</v>
      </c>
      <c r="BU110">
        <v>1</v>
      </c>
      <c r="BV110">
        <v>0</v>
      </c>
      <c r="BW110">
        <v>0</v>
      </c>
      <c r="BX110">
        <v>0</v>
      </c>
      <c r="BY110">
        <v>3</v>
      </c>
      <c r="BZ110">
        <v>0</v>
      </c>
      <c r="CA110">
        <v>0</v>
      </c>
      <c r="CB110">
        <v>0</v>
      </c>
      <c r="CC110">
        <v>0</v>
      </c>
      <c r="CD110">
        <v>0</v>
      </c>
      <c r="CE110">
        <v>0</v>
      </c>
      <c r="CF110">
        <v>0</v>
      </c>
      <c r="CG110">
        <v>1</v>
      </c>
      <c r="CH110">
        <v>0</v>
      </c>
      <c r="CI110">
        <v>0</v>
      </c>
      <c r="CJ110">
        <v>0</v>
      </c>
      <c r="CK110">
        <v>0</v>
      </c>
    </row>
    <row r="111" spans="1:89" x14ac:dyDescent="0.25">
      <c r="A111" s="23" t="s">
        <v>383</v>
      </c>
      <c r="B111">
        <v>0</v>
      </c>
      <c r="C111">
        <v>0</v>
      </c>
      <c r="D111">
        <v>0</v>
      </c>
      <c r="E111">
        <v>1</v>
      </c>
      <c r="F111">
        <v>0</v>
      </c>
      <c r="G111">
        <v>0</v>
      </c>
      <c r="H111">
        <v>0</v>
      </c>
      <c r="I111">
        <v>0</v>
      </c>
      <c r="J111">
        <v>0</v>
      </c>
      <c r="K111">
        <v>0</v>
      </c>
      <c r="L111">
        <v>0</v>
      </c>
      <c r="M111">
        <v>0</v>
      </c>
      <c r="N111">
        <v>0</v>
      </c>
      <c r="O111">
        <v>1</v>
      </c>
      <c r="P111">
        <v>0</v>
      </c>
      <c r="Q111">
        <v>0</v>
      </c>
      <c r="R111">
        <v>0</v>
      </c>
      <c r="S111">
        <v>0</v>
      </c>
      <c r="T111">
        <v>0</v>
      </c>
      <c r="U111">
        <v>0</v>
      </c>
      <c r="V111">
        <v>0</v>
      </c>
      <c r="W111">
        <v>0</v>
      </c>
      <c r="X111">
        <v>0</v>
      </c>
      <c r="Y111">
        <v>0</v>
      </c>
      <c r="AA111">
        <v>0</v>
      </c>
      <c r="AB111">
        <v>0</v>
      </c>
      <c r="AC111">
        <v>0</v>
      </c>
      <c r="AD111">
        <v>0</v>
      </c>
      <c r="AE111">
        <v>0</v>
      </c>
      <c r="AF111">
        <v>0</v>
      </c>
      <c r="AH111">
        <v>0</v>
      </c>
      <c r="AI111">
        <v>0</v>
      </c>
      <c r="AJ111">
        <v>0</v>
      </c>
      <c r="AK111">
        <v>0</v>
      </c>
      <c r="AL111">
        <v>0</v>
      </c>
      <c r="AM111">
        <v>0</v>
      </c>
      <c r="AN111">
        <v>2</v>
      </c>
      <c r="AO111">
        <v>0</v>
      </c>
      <c r="AP111">
        <v>0</v>
      </c>
      <c r="AQ111">
        <v>0</v>
      </c>
      <c r="AR111">
        <v>0</v>
      </c>
      <c r="AS111">
        <v>0</v>
      </c>
      <c r="AT111">
        <v>0</v>
      </c>
      <c r="AU111">
        <v>0</v>
      </c>
      <c r="AV111">
        <v>0</v>
      </c>
      <c r="AW111">
        <v>0</v>
      </c>
      <c r="AX111">
        <v>0</v>
      </c>
      <c r="AY111">
        <v>0</v>
      </c>
      <c r="AZ111">
        <v>0</v>
      </c>
      <c r="BA111">
        <v>0</v>
      </c>
      <c r="BB111">
        <v>0</v>
      </c>
      <c r="BC111">
        <v>1</v>
      </c>
      <c r="BD111">
        <v>0</v>
      </c>
      <c r="BE111">
        <v>0</v>
      </c>
      <c r="BF111">
        <v>0</v>
      </c>
      <c r="BG111">
        <v>0</v>
      </c>
      <c r="BH111">
        <v>1</v>
      </c>
      <c r="BI111">
        <v>0</v>
      </c>
      <c r="BJ111">
        <v>0</v>
      </c>
      <c r="BK111">
        <v>0</v>
      </c>
      <c r="BL111">
        <v>0</v>
      </c>
      <c r="BM111">
        <v>0</v>
      </c>
      <c r="BN111">
        <v>1</v>
      </c>
      <c r="BO111">
        <v>0</v>
      </c>
      <c r="BP111">
        <v>0</v>
      </c>
      <c r="BQ111">
        <v>0</v>
      </c>
      <c r="BR111">
        <v>0</v>
      </c>
      <c r="BS111">
        <v>1</v>
      </c>
      <c r="BT111">
        <v>2</v>
      </c>
      <c r="BU111">
        <v>0</v>
      </c>
      <c r="BV111">
        <v>0</v>
      </c>
      <c r="BW111">
        <v>0</v>
      </c>
      <c r="BX111">
        <v>0</v>
      </c>
      <c r="BY111">
        <v>0</v>
      </c>
      <c r="BZ111">
        <v>0</v>
      </c>
      <c r="CA111">
        <v>0</v>
      </c>
      <c r="CB111">
        <v>0</v>
      </c>
      <c r="CC111">
        <v>0</v>
      </c>
      <c r="CD111">
        <v>1</v>
      </c>
      <c r="CE111">
        <v>2</v>
      </c>
      <c r="CF111">
        <v>1</v>
      </c>
      <c r="CG111">
        <v>0</v>
      </c>
      <c r="CH111">
        <v>0</v>
      </c>
      <c r="CI111">
        <v>0</v>
      </c>
      <c r="CJ111">
        <v>0</v>
      </c>
      <c r="CK111">
        <v>0</v>
      </c>
    </row>
    <row r="112" spans="1:89" x14ac:dyDescent="0.25">
      <c r="A112" s="23"/>
    </row>
    <row r="113" spans="1:89" x14ac:dyDescent="0.25">
      <c r="A113" s="23" t="s">
        <v>384</v>
      </c>
      <c r="B113">
        <v>0</v>
      </c>
      <c r="C113">
        <v>1</v>
      </c>
      <c r="D113">
        <v>0</v>
      </c>
      <c r="E113">
        <v>1</v>
      </c>
      <c r="F113">
        <v>1</v>
      </c>
      <c r="G113">
        <v>0</v>
      </c>
      <c r="H113">
        <v>1</v>
      </c>
      <c r="I113">
        <v>1</v>
      </c>
      <c r="J113">
        <v>1</v>
      </c>
      <c r="K113">
        <v>1</v>
      </c>
      <c r="L113">
        <v>1</v>
      </c>
      <c r="M113">
        <v>1</v>
      </c>
      <c r="N113">
        <v>0</v>
      </c>
      <c r="O113">
        <v>2</v>
      </c>
      <c r="P113">
        <v>0</v>
      </c>
      <c r="Q113">
        <v>1</v>
      </c>
      <c r="R113">
        <v>1</v>
      </c>
      <c r="S113">
        <v>0</v>
      </c>
      <c r="T113">
        <v>0</v>
      </c>
      <c r="U113">
        <v>0</v>
      </c>
      <c r="V113">
        <v>0</v>
      </c>
      <c r="W113">
        <v>1</v>
      </c>
      <c r="X113">
        <v>0</v>
      </c>
      <c r="Y113">
        <v>1</v>
      </c>
      <c r="Z113">
        <v>1</v>
      </c>
      <c r="AA113">
        <v>1</v>
      </c>
      <c r="AB113">
        <v>1</v>
      </c>
      <c r="AC113">
        <v>1</v>
      </c>
      <c r="AD113">
        <v>0</v>
      </c>
      <c r="AE113">
        <v>0</v>
      </c>
      <c r="AF113">
        <v>0</v>
      </c>
      <c r="AH113">
        <v>1</v>
      </c>
      <c r="AI113">
        <v>1</v>
      </c>
      <c r="AJ113">
        <v>0</v>
      </c>
      <c r="AK113">
        <v>0</v>
      </c>
      <c r="AL113">
        <v>1</v>
      </c>
      <c r="AM113">
        <v>0</v>
      </c>
      <c r="AN113">
        <v>1</v>
      </c>
      <c r="AO113">
        <v>0</v>
      </c>
      <c r="AP113">
        <v>0</v>
      </c>
      <c r="AQ113">
        <v>1</v>
      </c>
      <c r="AR113">
        <v>0</v>
      </c>
      <c r="AS113">
        <v>0</v>
      </c>
      <c r="AT113">
        <v>3</v>
      </c>
      <c r="AU113">
        <v>2</v>
      </c>
      <c r="AV113">
        <v>1</v>
      </c>
      <c r="AW113">
        <v>1</v>
      </c>
      <c r="AX113">
        <v>0</v>
      </c>
      <c r="AY113">
        <v>1</v>
      </c>
      <c r="AZ113">
        <v>0</v>
      </c>
      <c r="BA113">
        <v>0</v>
      </c>
      <c r="BB113">
        <v>0</v>
      </c>
      <c r="BC113">
        <v>2</v>
      </c>
      <c r="BD113">
        <v>0</v>
      </c>
      <c r="BE113">
        <v>0</v>
      </c>
      <c r="BF113">
        <v>0</v>
      </c>
      <c r="BG113">
        <v>0</v>
      </c>
      <c r="BH113">
        <v>1</v>
      </c>
      <c r="BI113">
        <v>1</v>
      </c>
      <c r="BJ113">
        <v>0</v>
      </c>
      <c r="BK113">
        <v>0</v>
      </c>
      <c r="BL113">
        <v>0</v>
      </c>
      <c r="BM113">
        <v>0</v>
      </c>
      <c r="BN113">
        <v>1</v>
      </c>
      <c r="BO113">
        <v>1</v>
      </c>
      <c r="BP113">
        <v>0</v>
      </c>
      <c r="BQ113">
        <v>1</v>
      </c>
      <c r="BR113">
        <v>1</v>
      </c>
      <c r="BS113">
        <v>1</v>
      </c>
      <c r="BT113">
        <v>0</v>
      </c>
      <c r="BU113">
        <v>1</v>
      </c>
      <c r="BV113">
        <v>0</v>
      </c>
      <c r="BW113">
        <v>0</v>
      </c>
      <c r="BX113">
        <v>1</v>
      </c>
      <c r="BY113">
        <v>1</v>
      </c>
      <c r="BZ113">
        <v>2</v>
      </c>
      <c r="CA113">
        <v>0</v>
      </c>
      <c r="CB113">
        <v>0</v>
      </c>
      <c r="CC113">
        <v>2</v>
      </c>
      <c r="CD113">
        <v>2</v>
      </c>
      <c r="CE113">
        <v>1</v>
      </c>
      <c r="CF113">
        <v>0</v>
      </c>
      <c r="CG113">
        <v>1</v>
      </c>
      <c r="CH113">
        <v>1</v>
      </c>
      <c r="CI113">
        <v>0</v>
      </c>
      <c r="CJ113">
        <v>0</v>
      </c>
      <c r="CK113">
        <v>0</v>
      </c>
    </row>
    <row r="114" spans="1:89" x14ac:dyDescent="0.25">
      <c r="A114" s="23" t="s">
        <v>385</v>
      </c>
      <c r="B114">
        <v>1</v>
      </c>
      <c r="C114">
        <v>1</v>
      </c>
      <c r="D114">
        <v>0</v>
      </c>
      <c r="E114">
        <v>1</v>
      </c>
      <c r="F114">
        <v>0</v>
      </c>
      <c r="G114">
        <v>2</v>
      </c>
      <c r="H114">
        <v>1</v>
      </c>
      <c r="I114">
        <v>0</v>
      </c>
      <c r="J114">
        <v>1</v>
      </c>
      <c r="K114">
        <v>1</v>
      </c>
      <c r="L114">
        <v>0</v>
      </c>
      <c r="M114">
        <v>0</v>
      </c>
      <c r="N114">
        <v>1</v>
      </c>
      <c r="O114">
        <v>0</v>
      </c>
      <c r="P114">
        <v>0</v>
      </c>
      <c r="Q114">
        <v>1</v>
      </c>
      <c r="R114">
        <v>2</v>
      </c>
      <c r="S114">
        <v>1</v>
      </c>
      <c r="T114">
        <v>0</v>
      </c>
      <c r="U114">
        <v>0</v>
      </c>
      <c r="V114">
        <v>0</v>
      </c>
      <c r="W114">
        <v>3</v>
      </c>
      <c r="X114">
        <v>1</v>
      </c>
      <c r="Y114">
        <v>0</v>
      </c>
      <c r="Z114">
        <v>0</v>
      </c>
      <c r="AA114">
        <v>2</v>
      </c>
      <c r="AB114">
        <v>0</v>
      </c>
      <c r="AC114">
        <v>0</v>
      </c>
      <c r="AD114">
        <v>0</v>
      </c>
      <c r="AE114">
        <v>0</v>
      </c>
      <c r="AF114">
        <v>2</v>
      </c>
      <c r="AG114">
        <v>0</v>
      </c>
      <c r="AH114">
        <v>1</v>
      </c>
      <c r="AI114">
        <v>3</v>
      </c>
      <c r="AJ114">
        <v>0</v>
      </c>
      <c r="AK114">
        <v>0</v>
      </c>
      <c r="AL114">
        <v>1</v>
      </c>
      <c r="AM114">
        <v>0</v>
      </c>
      <c r="AN114">
        <v>2</v>
      </c>
      <c r="AO114">
        <v>1</v>
      </c>
      <c r="AP114">
        <v>0</v>
      </c>
      <c r="AQ114">
        <v>1</v>
      </c>
      <c r="AR114">
        <v>0</v>
      </c>
      <c r="AS114">
        <v>1</v>
      </c>
      <c r="AT114">
        <v>1</v>
      </c>
      <c r="AU114">
        <v>0</v>
      </c>
      <c r="AV114">
        <v>0</v>
      </c>
      <c r="AW114">
        <v>1</v>
      </c>
      <c r="AX114">
        <v>0</v>
      </c>
      <c r="AY114">
        <v>1</v>
      </c>
      <c r="AZ114">
        <v>1</v>
      </c>
      <c r="BA114">
        <v>0</v>
      </c>
      <c r="BB114">
        <v>0</v>
      </c>
      <c r="BC114">
        <v>1</v>
      </c>
      <c r="BD114">
        <v>0</v>
      </c>
      <c r="BE114">
        <v>0</v>
      </c>
      <c r="BF114">
        <v>0</v>
      </c>
      <c r="BG114">
        <v>0</v>
      </c>
      <c r="BH114">
        <v>0</v>
      </c>
      <c r="BI114">
        <v>1</v>
      </c>
      <c r="BJ114">
        <v>0</v>
      </c>
      <c r="BK114">
        <v>0</v>
      </c>
      <c r="BL114">
        <v>0</v>
      </c>
      <c r="BM114">
        <v>0</v>
      </c>
      <c r="BN114">
        <v>1</v>
      </c>
      <c r="BO114">
        <v>1</v>
      </c>
      <c r="BP114">
        <v>0</v>
      </c>
      <c r="BQ114">
        <v>1</v>
      </c>
      <c r="BR114">
        <v>0</v>
      </c>
      <c r="BS114">
        <v>1</v>
      </c>
      <c r="BT114">
        <v>0</v>
      </c>
      <c r="BU114">
        <v>1</v>
      </c>
      <c r="BV114">
        <v>0</v>
      </c>
      <c r="BW114">
        <v>1</v>
      </c>
      <c r="BX114">
        <v>0</v>
      </c>
      <c r="BY114">
        <v>1</v>
      </c>
      <c r="BZ114">
        <v>0</v>
      </c>
      <c r="CA114">
        <v>0</v>
      </c>
      <c r="CB114">
        <v>0</v>
      </c>
      <c r="CC114">
        <v>3</v>
      </c>
      <c r="CD114">
        <v>1</v>
      </c>
      <c r="CE114">
        <v>2</v>
      </c>
      <c r="CF114">
        <v>0</v>
      </c>
      <c r="CG114">
        <v>2</v>
      </c>
      <c r="CH114">
        <v>2</v>
      </c>
      <c r="CI114">
        <v>0</v>
      </c>
      <c r="CJ114">
        <v>1</v>
      </c>
      <c r="CK114">
        <v>2</v>
      </c>
    </row>
    <row r="115" spans="1:89" x14ac:dyDescent="0.25">
      <c r="A115" s="23" t="s">
        <v>386</v>
      </c>
      <c r="B115">
        <v>1</v>
      </c>
      <c r="C115">
        <v>2</v>
      </c>
      <c r="D115">
        <v>0</v>
      </c>
      <c r="E115">
        <v>2</v>
      </c>
      <c r="F115">
        <v>0</v>
      </c>
      <c r="G115">
        <v>2</v>
      </c>
      <c r="H115">
        <v>0</v>
      </c>
      <c r="I115">
        <v>0</v>
      </c>
      <c r="J115">
        <v>1</v>
      </c>
      <c r="K115">
        <v>0</v>
      </c>
      <c r="L115">
        <v>1</v>
      </c>
      <c r="M115">
        <v>1</v>
      </c>
      <c r="N115">
        <v>1</v>
      </c>
      <c r="O115">
        <v>0</v>
      </c>
      <c r="P115">
        <v>1</v>
      </c>
      <c r="Q115">
        <v>0</v>
      </c>
      <c r="R115">
        <v>1</v>
      </c>
      <c r="S115">
        <v>1</v>
      </c>
      <c r="T115">
        <v>0</v>
      </c>
      <c r="U115">
        <v>0</v>
      </c>
      <c r="V115">
        <v>0</v>
      </c>
      <c r="W115">
        <v>1</v>
      </c>
      <c r="X115">
        <v>0</v>
      </c>
      <c r="Y115">
        <v>2</v>
      </c>
      <c r="Z115">
        <v>1</v>
      </c>
      <c r="AA115">
        <v>0</v>
      </c>
      <c r="AB115">
        <v>0</v>
      </c>
      <c r="AC115">
        <v>1</v>
      </c>
      <c r="AD115">
        <v>0</v>
      </c>
      <c r="AE115">
        <v>0</v>
      </c>
      <c r="AF115">
        <v>0</v>
      </c>
      <c r="AG115">
        <v>0</v>
      </c>
      <c r="AH115">
        <v>1</v>
      </c>
      <c r="AI115">
        <v>3</v>
      </c>
      <c r="AJ115">
        <v>1</v>
      </c>
      <c r="AK115">
        <v>0</v>
      </c>
      <c r="AL115">
        <v>1</v>
      </c>
      <c r="AM115">
        <v>0</v>
      </c>
      <c r="AN115">
        <v>3</v>
      </c>
      <c r="AO115">
        <v>1</v>
      </c>
      <c r="AP115">
        <v>0</v>
      </c>
      <c r="AQ115">
        <v>0</v>
      </c>
      <c r="AR115">
        <v>1</v>
      </c>
      <c r="AS115">
        <v>0</v>
      </c>
      <c r="AT115">
        <v>2</v>
      </c>
      <c r="AU115">
        <v>1</v>
      </c>
      <c r="AV115">
        <v>0</v>
      </c>
      <c r="AW115">
        <v>1</v>
      </c>
      <c r="AX115">
        <v>1</v>
      </c>
      <c r="AY115">
        <v>2</v>
      </c>
      <c r="AZ115">
        <v>1</v>
      </c>
      <c r="BA115">
        <v>1</v>
      </c>
      <c r="BB115">
        <v>0</v>
      </c>
      <c r="BC115">
        <v>1</v>
      </c>
      <c r="BD115">
        <v>0</v>
      </c>
      <c r="BE115">
        <v>0</v>
      </c>
      <c r="BF115">
        <v>1</v>
      </c>
      <c r="BG115">
        <v>0</v>
      </c>
      <c r="BH115">
        <v>0</v>
      </c>
      <c r="BI115">
        <v>1</v>
      </c>
      <c r="BJ115">
        <v>0</v>
      </c>
      <c r="BK115">
        <v>0</v>
      </c>
      <c r="BL115">
        <v>1</v>
      </c>
      <c r="BM115">
        <v>1</v>
      </c>
      <c r="BN115">
        <v>1</v>
      </c>
      <c r="BO115">
        <v>1</v>
      </c>
      <c r="BP115">
        <v>0</v>
      </c>
      <c r="BQ115">
        <v>1</v>
      </c>
      <c r="BR115">
        <v>0</v>
      </c>
      <c r="BS115">
        <v>1</v>
      </c>
      <c r="BT115">
        <v>0</v>
      </c>
      <c r="BU115">
        <v>2</v>
      </c>
      <c r="BV115">
        <v>1</v>
      </c>
      <c r="BW115">
        <v>0</v>
      </c>
      <c r="BX115">
        <v>0</v>
      </c>
      <c r="BY115">
        <v>0</v>
      </c>
      <c r="BZ115">
        <v>0</v>
      </c>
      <c r="CA115">
        <v>0</v>
      </c>
      <c r="CB115">
        <v>0</v>
      </c>
      <c r="CC115">
        <v>3</v>
      </c>
      <c r="CD115">
        <v>1</v>
      </c>
      <c r="CE115">
        <v>1</v>
      </c>
      <c r="CF115">
        <v>1</v>
      </c>
      <c r="CG115">
        <v>2</v>
      </c>
      <c r="CH115">
        <v>1</v>
      </c>
      <c r="CI115">
        <v>0</v>
      </c>
      <c r="CJ115">
        <v>2</v>
      </c>
      <c r="CK115">
        <v>0</v>
      </c>
    </row>
    <row r="116" spans="1:89" x14ac:dyDescent="0.25">
      <c r="A116" s="23" t="s">
        <v>387</v>
      </c>
      <c r="B116">
        <v>2</v>
      </c>
      <c r="C116">
        <v>2</v>
      </c>
      <c r="D116">
        <v>0</v>
      </c>
      <c r="E116">
        <v>1</v>
      </c>
      <c r="F116">
        <v>0</v>
      </c>
      <c r="G116">
        <v>1</v>
      </c>
      <c r="H116">
        <v>0</v>
      </c>
      <c r="I116">
        <v>0</v>
      </c>
      <c r="J116">
        <v>1</v>
      </c>
      <c r="K116">
        <v>1</v>
      </c>
      <c r="L116">
        <v>1</v>
      </c>
      <c r="M116">
        <v>0</v>
      </c>
      <c r="N116">
        <v>0</v>
      </c>
      <c r="O116">
        <v>0</v>
      </c>
      <c r="P116">
        <v>1</v>
      </c>
      <c r="Q116">
        <v>0</v>
      </c>
      <c r="R116">
        <v>1</v>
      </c>
      <c r="S116">
        <v>1</v>
      </c>
      <c r="T116">
        <v>0</v>
      </c>
      <c r="U116">
        <v>0</v>
      </c>
      <c r="V116">
        <v>0</v>
      </c>
      <c r="W116">
        <v>0</v>
      </c>
      <c r="X116">
        <v>0</v>
      </c>
      <c r="Y116">
        <v>1</v>
      </c>
      <c r="Z116">
        <v>1</v>
      </c>
      <c r="AA116">
        <v>0</v>
      </c>
      <c r="AB116">
        <v>0</v>
      </c>
      <c r="AC116">
        <v>0</v>
      </c>
      <c r="AD116">
        <v>0</v>
      </c>
      <c r="AE116">
        <v>1</v>
      </c>
      <c r="AF116">
        <v>1</v>
      </c>
      <c r="AG116">
        <v>0</v>
      </c>
      <c r="AH116">
        <v>1</v>
      </c>
      <c r="AI116">
        <v>2</v>
      </c>
      <c r="AJ116">
        <v>1</v>
      </c>
      <c r="AK116">
        <v>1</v>
      </c>
      <c r="AL116">
        <v>2</v>
      </c>
      <c r="AM116">
        <v>0</v>
      </c>
      <c r="AN116">
        <v>1</v>
      </c>
      <c r="AO116">
        <v>0</v>
      </c>
      <c r="AP116">
        <v>0</v>
      </c>
      <c r="AQ116">
        <v>0</v>
      </c>
      <c r="AR116">
        <v>0</v>
      </c>
      <c r="AS116">
        <v>0</v>
      </c>
      <c r="AT116">
        <v>3</v>
      </c>
      <c r="AU116">
        <v>0</v>
      </c>
      <c r="AV116">
        <v>0</v>
      </c>
      <c r="AW116">
        <v>1</v>
      </c>
      <c r="AX116">
        <v>1</v>
      </c>
      <c r="AY116">
        <v>0</v>
      </c>
      <c r="AZ116">
        <v>1</v>
      </c>
      <c r="BA116">
        <v>1</v>
      </c>
      <c r="BB116">
        <v>0</v>
      </c>
      <c r="BC116">
        <v>1</v>
      </c>
      <c r="BD116">
        <v>1</v>
      </c>
      <c r="BE116">
        <v>0</v>
      </c>
      <c r="BF116">
        <v>0</v>
      </c>
      <c r="BG116">
        <v>0</v>
      </c>
      <c r="BH116">
        <v>0</v>
      </c>
      <c r="BI116">
        <v>0</v>
      </c>
      <c r="BJ116">
        <v>0</v>
      </c>
      <c r="BK116">
        <v>1</v>
      </c>
      <c r="BL116">
        <v>2</v>
      </c>
      <c r="BM116">
        <v>1</v>
      </c>
      <c r="BN116">
        <v>2</v>
      </c>
      <c r="BO116">
        <v>1</v>
      </c>
      <c r="BP116">
        <v>0</v>
      </c>
      <c r="BQ116">
        <v>1</v>
      </c>
      <c r="BR116">
        <v>0</v>
      </c>
      <c r="BS116">
        <v>1</v>
      </c>
      <c r="BT116">
        <v>0</v>
      </c>
      <c r="BU116">
        <v>3</v>
      </c>
      <c r="BV116">
        <v>0</v>
      </c>
      <c r="BW116">
        <v>0</v>
      </c>
      <c r="BX116">
        <v>0</v>
      </c>
      <c r="BY116">
        <v>1</v>
      </c>
      <c r="BZ116">
        <v>0</v>
      </c>
      <c r="CA116">
        <v>0</v>
      </c>
      <c r="CB116">
        <v>0</v>
      </c>
      <c r="CC116">
        <v>2</v>
      </c>
      <c r="CD116">
        <v>1</v>
      </c>
      <c r="CE116">
        <v>2</v>
      </c>
      <c r="CF116">
        <v>0</v>
      </c>
      <c r="CG116">
        <v>2</v>
      </c>
      <c r="CH116">
        <v>1</v>
      </c>
      <c r="CI116">
        <v>0</v>
      </c>
      <c r="CJ116">
        <v>1</v>
      </c>
      <c r="CK116">
        <v>1</v>
      </c>
    </row>
    <row r="117" spans="1:89" x14ac:dyDescent="0.25">
      <c r="A117" s="23" t="s">
        <v>388</v>
      </c>
      <c r="B117">
        <v>1</v>
      </c>
      <c r="C117">
        <v>0</v>
      </c>
      <c r="D117">
        <v>0</v>
      </c>
      <c r="E117">
        <v>1</v>
      </c>
      <c r="F117">
        <v>0</v>
      </c>
      <c r="G117">
        <v>1</v>
      </c>
      <c r="H117">
        <v>1</v>
      </c>
      <c r="I117">
        <v>0</v>
      </c>
      <c r="J117">
        <v>1</v>
      </c>
      <c r="K117">
        <v>0</v>
      </c>
      <c r="L117">
        <v>0</v>
      </c>
      <c r="M117">
        <v>0</v>
      </c>
      <c r="N117">
        <v>0</v>
      </c>
      <c r="O117">
        <v>0</v>
      </c>
      <c r="P117">
        <v>0</v>
      </c>
      <c r="Q117">
        <v>0</v>
      </c>
      <c r="R117">
        <v>2</v>
      </c>
      <c r="S117">
        <v>1</v>
      </c>
      <c r="T117">
        <v>1</v>
      </c>
      <c r="U117">
        <v>0</v>
      </c>
      <c r="V117">
        <v>0</v>
      </c>
      <c r="W117">
        <v>0</v>
      </c>
      <c r="X117">
        <v>0</v>
      </c>
      <c r="Y117">
        <v>2</v>
      </c>
      <c r="Z117">
        <v>2</v>
      </c>
      <c r="AA117">
        <v>0</v>
      </c>
      <c r="AB117">
        <v>1</v>
      </c>
      <c r="AC117">
        <v>0</v>
      </c>
      <c r="AD117">
        <v>0</v>
      </c>
      <c r="AE117">
        <v>0</v>
      </c>
      <c r="AF117">
        <v>1</v>
      </c>
      <c r="AG117">
        <v>0</v>
      </c>
      <c r="AH117">
        <v>1</v>
      </c>
      <c r="AI117">
        <v>2</v>
      </c>
      <c r="AJ117">
        <v>2</v>
      </c>
      <c r="AK117">
        <v>0</v>
      </c>
      <c r="AL117">
        <v>1</v>
      </c>
      <c r="AM117">
        <v>0</v>
      </c>
      <c r="AN117">
        <v>1</v>
      </c>
      <c r="AO117">
        <v>0</v>
      </c>
      <c r="AP117">
        <v>0</v>
      </c>
      <c r="AQ117">
        <v>0</v>
      </c>
      <c r="AR117">
        <v>0</v>
      </c>
      <c r="AS117">
        <v>1</v>
      </c>
      <c r="AT117">
        <v>2</v>
      </c>
      <c r="AU117">
        <v>1</v>
      </c>
      <c r="AV117">
        <v>2</v>
      </c>
      <c r="AW117">
        <v>1</v>
      </c>
      <c r="AX117">
        <v>0</v>
      </c>
      <c r="AY117">
        <v>0</v>
      </c>
      <c r="AZ117">
        <v>1</v>
      </c>
      <c r="BA117">
        <v>0</v>
      </c>
      <c r="BB117">
        <v>0</v>
      </c>
      <c r="BC117">
        <v>1</v>
      </c>
      <c r="BD117">
        <v>0</v>
      </c>
      <c r="BE117">
        <v>0</v>
      </c>
      <c r="BF117">
        <v>1</v>
      </c>
      <c r="BG117">
        <v>0</v>
      </c>
      <c r="BH117">
        <v>1</v>
      </c>
      <c r="BI117">
        <v>1</v>
      </c>
      <c r="BJ117">
        <v>1</v>
      </c>
      <c r="BK117">
        <v>0</v>
      </c>
      <c r="BL117">
        <v>1</v>
      </c>
      <c r="BM117">
        <v>0</v>
      </c>
      <c r="BN117">
        <v>2</v>
      </c>
      <c r="BO117">
        <v>1</v>
      </c>
      <c r="BP117">
        <v>0</v>
      </c>
      <c r="BQ117">
        <v>1</v>
      </c>
      <c r="BR117">
        <v>0</v>
      </c>
      <c r="BS117">
        <v>1</v>
      </c>
      <c r="BT117">
        <v>0</v>
      </c>
      <c r="BU117">
        <v>1</v>
      </c>
      <c r="BV117">
        <v>0</v>
      </c>
      <c r="BW117">
        <v>0</v>
      </c>
      <c r="BX117">
        <v>0</v>
      </c>
      <c r="BY117">
        <v>2</v>
      </c>
      <c r="BZ117">
        <v>0</v>
      </c>
      <c r="CA117">
        <v>1</v>
      </c>
      <c r="CB117">
        <v>0</v>
      </c>
      <c r="CC117">
        <v>0</v>
      </c>
      <c r="CD117">
        <v>1</v>
      </c>
      <c r="CE117">
        <v>2</v>
      </c>
      <c r="CF117">
        <v>3</v>
      </c>
      <c r="CG117">
        <v>1</v>
      </c>
      <c r="CH117">
        <v>1</v>
      </c>
      <c r="CI117">
        <v>0</v>
      </c>
      <c r="CJ117">
        <v>0</v>
      </c>
      <c r="CK117">
        <v>1</v>
      </c>
    </row>
    <row r="118" spans="1:89" x14ac:dyDescent="0.25">
      <c r="A118" s="23" t="s">
        <v>389</v>
      </c>
      <c r="B118">
        <v>1</v>
      </c>
      <c r="C118">
        <v>0</v>
      </c>
      <c r="D118">
        <v>0</v>
      </c>
      <c r="E118">
        <v>1</v>
      </c>
      <c r="F118">
        <v>0</v>
      </c>
      <c r="G118">
        <v>2</v>
      </c>
      <c r="H118">
        <v>0</v>
      </c>
      <c r="I118">
        <v>0</v>
      </c>
      <c r="J118">
        <v>0</v>
      </c>
      <c r="K118">
        <v>0</v>
      </c>
      <c r="L118">
        <v>0</v>
      </c>
      <c r="M118">
        <v>1</v>
      </c>
      <c r="N118">
        <v>0</v>
      </c>
      <c r="O118">
        <v>0</v>
      </c>
      <c r="P118">
        <v>0</v>
      </c>
      <c r="Q118">
        <v>0</v>
      </c>
      <c r="R118">
        <v>1</v>
      </c>
      <c r="S118">
        <v>1</v>
      </c>
      <c r="T118">
        <v>0</v>
      </c>
      <c r="U118">
        <v>0</v>
      </c>
      <c r="V118">
        <v>0</v>
      </c>
      <c r="W118">
        <v>1</v>
      </c>
      <c r="X118">
        <v>1</v>
      </c>
      <c r="Y118">
        <v>1</v>
      </c>
      <c r="Z118">
        <v>1</v>
      </c>
      <c r="AA118">
        <v>0</v>
      </c>
      <c r="AB118">
        <v>0</v>
      </c>
      <c r="AC118">
        <v>1</v>
      </c>
      <c r="AD118">
        <v>0</v>
      </c>
      <c r="AE118">
        <v>0</v>
      </c>
      <c r="AF118">
        <v>0</v>
      </c>
      <c r="AG118">
        <v>0</v>
      </c>
      <c r="AH118">
        <v>1</v>
      </c>
      <c r="AI118">
        <v>1</v>
      </c>
      <c r="AJ118">
        <v>1</v>
      </c>
      <c r="AK118">
        <v>1</v>
      </c>
      <c r="AL118">
        <v>2</v>
      </c>
      <c r="AM118">
        <v>0</v>
      </c>
      <c r="AN118">
        <v>0</v>
      </c>
      <c r="AO118">
        <v>1</v>
      </c>
      <c r="AP118">
        <v>2</v>
      </c>
      <c r="AQ118">
        <v>0</v>
      </c>
      <c r="AR118">
        <v>0</v>
      </c>
      <c r="AS118">
        <v>0</v>
      </c>
      <c r="AT118">
        <v>1</v>
      </c>
      <c r="AU118">
        <v>0</v>
      </c>
      <c r="AV118">
        <v>0</v>
      </c>
      <c r="AW118">
        <v>1</v>
      </c>
      <c r="AX118">
        <v>0</v>
      </c>
      <c r="AY118">
        <v>0</v>
      </c>
      <c r="AZ118">
        <v>0</v>
      </c>
      <c r="BA118">
        <v>0</v>
      </c>
      <c r="BB118">
        <v>0</v>
      </c>
      <c r="BC118">
        <v>1</v>
      </c>
      <c r="BD118">
        <v>2</v>
      </c>
      <c r="BE118">
        <v>0</v>
      </c>
      <c r="BF118">
        <v>0</v>
      </c>
      <c r="BG118">
        <v>0</v>
      </c>
      <c r="BH118">
        <v>0</v>
      </c>
      <c r="BI118">
        <v>1</v>
      </c>
      <c r="BJ118">
        <v>1</v>
      </c>
      <c r="BK118">
        <v>0</v>
      </c>
      <c r="BL118">
        <v>0</v>
      </c>
      <c r="BM118">
        <v>1</v>
      </c>
      <c r="BN118">
        <v>1</v>
      </c>
      <c r="BO118">
        <v>1</v>
      </c>
      <c r="BP118">
        <v>0</v>
      </c>
      <c r="BQ118">
        <v>2</v>
      </c>
      <c r="BR118">
        <v>0</v>
      </c>
      <c r="BS118">
        <v>2</v>
      </c>
      <c r="BT118">
        <v>0</v>
      </c>
      <c r="BU118">
        <v>1</v>
      </c>
      <c r="BV118">
        <v>1</v>
      </c>
      <c r="BW118">
        <v>0</v>
      </c>
      <c r="BX118">
        <v>0</v>
      </c>
      <c r="BY118">
        <v>1</v>
      </c>
      <c r="BZ118">
        <v>0</v>
      </c>
      <c r="CA118">
        <v>1</v>
      </c>
      <c r="CB118">
        <v>0</v>
      </c>
      <c r="CC118">
        <v>2</v>
      </c>
      <c r="CD118">
        <v>1</v>
      </c>
      <c r="CE118">
        <v>1</v>
      </c>
      <c r="CF118">
        <v>1</v>
      </c>
      <c r="CG118">
        <v>1</v>
      </c>
      <c r="CH118">
        <v>1</v>
      </c>
      <c r="CI118">
        <v>0</v>
      </c>
      <c r="CJ118">
        <v>0</v>
      </c>
      <c r="CK118">
        <v>0</v>
      </c>
    </row>
    <row r="119" spans="1:89" x14ac:dyDescent="0.25">
      <c r="A119" s="23" t="s">
        <v>390</v>
      </c>
      <c r="B119">
        <v>0</v>
      </c>
      <c r="C119">
        <v>0</v>
      </c>
      <c r="D119">
        <v>0</v>
      </c>
      <c r="E119">
        <v>1</v>
      </c>
      <c r="F119">
        <v>0</v>
      </c>
      <c r="G119">
        <v>1</v>
      </c>
      <c r="H119">
        <v>2</v>
      </c>
      <c r="I119">
        <v>0</v>
      </c>
      <c r="J119">
        <v>0</v>
      </c>
      <c r="K119">
        <v>0</v>
      </c>
      <c r="L119">
        <v>0</v>
      </c>
      <c r="M119">
        <v>0</v>
      </c>
      <c r="N119">
        <v>0</v>
      </c>
      <c r="O119">
        <v>0</v>
      </c>
      <c r="P119">
        <v>1</v>
      </c>
      <c r="Q119">
        <v>0</v>
      </c>
      <c r="R119">
        <v>1</v>
      </c>
      <c r="S119">
        <v>1</v>
      </c>
      <c r="T119">
        <v>0</v>
      </c>
      <c r="U119">
        <v>1</v>
      </c>
      <c r="V119">
        <v>0</v>
      </c>
      <c r="W119">
        <v>0</v>
      </c>
      <c r="X119">
        <v>1</v>
      </c>
      <c r="Y119">
        <v>2</v>
      </c>
      <c r="Z119">
        <v>1</v>
      </c>
      <c r="AA119">
        <v>0</v>
      </c>
      <c r="AB119">
        <v>1</v>
      </c>
      <c r="AC119">
        <v>1</v>
      </c>
      <c r="AD119">
        <v>0</v>
      </c>
      <c r="AE119">
        <v>0</v>
      </c>
      <c r="AF119">
        <v>1</v>
      </c>
      <c r="AG119">
        <v>3</v>
      </c>
      <c r="AH119">
        <v>1</v>
      </c>
      <c r="AI119">
        <v>0</v>
      </c>
      <c r="AJ119">
        <v>1</v>
      </c>
      <c r="AK119">
        <v>0</v>
      </c>
      <c r="AL119">
        <v>2</v>
      </c>
      <c r="AM119">
        <v>0</v>
      </c>
      <c r="AN119">
        <v>1</v>
      </c>
      <c r="AO119">
        <v>1</v>
      </c>
      <c r="AP119">
        <v>0</v>
      </c>
      <c r="AQ119">
        <v>1</v>
      </c>
      <c r="AR119">
        <v>0</v>
      </c>
      <c r="AS119">
        <v>0</v>
      </c>
      <c r="AT119">
        <v>2</v>
      </c>
      <c r="AU119">
        <v>0</v>
      </c>
      <c r="AV119">
        <v>0</v>
      </c>
      <c r="AW119">
        <v>1</v>
      </c>
      <c r="AX119">
        <v>0</v>
      </c>
      <c r="AY119">
        <v>0</v>
      </c>
      <c r="AZ119">
        <v>0</v>
      </c>
      <c r="BA119">
        <v>1</v>
      </c>
      <c r="BB119">
        <v>1</v>
      </c>
      <c r="BC119">
        <v>1</v>
      </c>
      <c r="BD119">
        <v>0</v>
      </c>
      <c r="BE119">
        <v>0</v>
      </c>
      <c r="BF119">
        <v>1</v>
      </c>
      <c r="BG119">
        <v>0</v>
      </c>
      <c r="BH119">
        <v>1</v>
      </c>
      <c r="BI119">
        <v>1</v>
      </c>
      <c r="BJ119">
        <v>0</v>
      </c>
      <c r="BK119">
        <v>0</v>
      </c>
      <c r="BL119">
        <v>1</v>
      </c>
      <c r="BM119">
        <v>1</v>
      </c>
      <c r="BN119">
        <v>2</v>
      </c>
      <c r="BO119">
        <v>2</v>
      </c>
      <c r="BP119">
        <v>0</v>
      </c>
      <c r="BQ119">
        <v>1</v>
      </c>
      <c r="BR119">
        <v>0</v>
      </c>
      <c r="BS119">
        <v>1</v>
      </c>
      <c r="BT119">
        <v>0</v>
      </c>
      <c r="BU119">
        <v>3</v>
      </c>
      <c r="BV119">
        <v>0</v>
      </c>
      <c r="BW119">
        <v>0</v>
      </c>
      <c r="BX119">
        <v>1</v>
      </c>
      <c r="BY119">
        <v>1</v>
      </c>
      <c r="BZ119">
        <v>0</v>
      </c>
      <c r="CA119">
        <v>0</v>
      </c>
      <c r="CB119">
        <v>0</v>
      </c>
      <c r="CC119">
        <v>1</v>
      </c>
      <c r="CD119">
        <v>0</v>
      </c>
      <c r="CE119">
        <v>1</v>
      </c>
      <c r="CF119">
        <v>0</v>
      </c>
      <c r="CG119">
        <v>1</v>
      </c>
      <c r="CH119">
        <v>3</v>
      </c>
      <c r="CI119">
        <v>0</v>
      </c>
      <c r="CJ119">
        <v>2</v>
      </c>
      <c r="CK119">
        <v>1</v>
      </c>
    </row>
    <row r="120" spans="1:89" x14ac:dyDescent="0.25">
      <c r="A120" s="23" t="s">
        <v>391</v>
      </c>
      <c r="B120">
        <v>0</v>
      </c>
      <c r="C120">
        <v>0</v>
      </c>
      <c r="D120">
        <v>0</v>
      </c>
      <c r="E120">
        <v>2</v>
      </c>
      <c r="F120">
        <v>0</v>
      </c>
      <c r="G120">
        <v>2</v>
      </c>
      <c r="H120">
        <v>1</v>
      </c>
      <c r="I120">
        <v>0</v>
      </c>
      <c r="J120">
        <v>0</v>
      </c>
      <c r="K120">
        <v>0</v>
      </c>
      <c r="L120">
        <v>1</v>
      </c>
      <c r="M120">
        <v>0</v>
      </c>
      <c r="N120">
        <v>1</v>
      </c>
      <c r="O120">
        <v>0</v>
      </c>
      <c r="P120">
        <v>1</v>
      </c>
      <c r="Q120">
        <v>2</v>
      </c>
      <c r="R120">
        <v>1</v>
      </c>
      <c r="S120">
        <v>1</v>
      </c>
      <c r="T120">
        <v>0</v>
      </c>
      <c r="U120">
        <v>0</v>
      </c>
      <c r="V120">
        <v>0</v>
      </c>
      <c r="W120">
        <v>2</v>
      </c>
      <c r="X120">
        <v>0</v>
      </c>
      <c r="Y120">
        <v>1</v>
      </c>
      <c r="Z120">
        <v>0</v>
      </c>
      <c r="AA120">
        <v>0</v>
      </c>
      <c r="AB120">
        <v>1</v>
      </c>
      <c r="AC120">
        <v>0</v>
      </c>
      <c r="AD120">
        <v>0</v>
      </c>
      <c r="AE120">
        <v>0</v>
      </c>
      <c r="AF120">
        <v>2</v>
      </c>
      <c r="AG120">
        <v>1</v>
      </c>
      <c r="AH120">
        <v>1</v>
      </c>
      <c r="AI120">
        <v>0</v>
      </c>
      <c r="AJ120">
        <v>0</v>
      </c>
      <c r="AK120">
        <v>0</v>
      </c>
      <c r="AL120">
        <v>1</v>
      </c>
      <c r="AM120">
        <v>1</v>
      </c>
      <c r="AN120">
        <v>0</v>
      </c>
      <c r="AO120">
        <v>0</v>
      </c>
      <c r="AP120">
        <v>1</v>
      </c>
      <c r="AQ120">
        <v>1</v>
      </c>
      <c r="AR120">
        <v>1</v>
      </c>
      <c r="AS120">
        <v>0</v>
      </c>
      <c r="AT120">
        <v>1</v>
      </c>
      <c r="AU120">
        <v>1</v>
      </c>
      <c r="AV120">
        <v>0</v>
      </c>
      <c r="AW120">
        <v>0</v>
      </c>
      <c r="AX120">
        <v>0</v>
      </c>
      <c r="AY120">
        <v>0</v>
      </c>
      <c r="AZ120">
        <v>1</v>
      </c>
      <c r="BA120">
        <v>1</v>
      </c>
      <c r="BB120">
        <v>1</v>
      </c>
      <c r="BC120">
        <v>1</v>
      </c>
      <c r="BD120">
        <v>0</v>
      </c>
      <c r="BE120">
        <v>0</v>
      </c>
      <c r="BF120">
        <v>0</v>
      </c>
      <c r="BG120">
        <v>0</v>
      </c>
      <c r="BH120">
        <v>1</v>
      </c>
      <c r="BI120">
        <v>0</v>
      </c>
      <c r="BJ120">
        <v>0</v>
      </c>
      <c r="BK120">
        <v>0</v>
      </c>
      <c r="BL120">
        <v>0</v>
      </c>
      <c r="BM120">
        <v>0</v>
      </c>
      <c r="BN120">
        <v>1</v>
      </c>
      <c r="BO120">
        <v>0</v>
      </c>
      <c r="BP120">
        <v>0</v>
      </c>
      <c r="BQ120">
        <v>1</v>
      </c>
      <c r="BR120">
        <v>0</v>
      </c>
      <c r="BS120">
        <v>2</v>
      </c>
      <c r="BT120">
        <v>1</v>
      </c>
      <c r="BU120">
        <v>0</v>
      </c>
      <c r="BV120">
        <v>0</v>
      </c>
      <c r="BW120">
        <v>0</v>
      </c>
      <c r="BX120">
        <v>1</v>
      </c>
      <c r="BY120">
        <v>3</v>
      </c>
      <c r="BZ120">
        <v>0</v>
      </c>
      <c r="CA120">
        <v>0</v>
      </c>
      <c r="CB120">
        <v>0</v>
      </c>
      <c r="CC120">
        <v>2</v>
      </c>
      <c r="CD120">
        <v>0</v>
      </c>
      <c r="CE120">
        <v>1</v>
      </c>
      <c r="CF120">
        <v>0</v>
      </c>
      <c r="CG120">
        <v>0</v>
      </c>
      <c r="CH120">
        <v>1</v>
      </c>
      <c r="CI120">
        <v>1</v>
      </c>
      <c r="CJ120">
        <v>2</v>
      </c>
      <c r="CK120">
        <v>1</v>
      </c>
    </row>
    <row r="121" spans="1:89" x14ac:dyDescent="0.25">
      <c r="A121" s="23" t="s">
        <v>392</v>
      </c>
      <c r="B121">
        <v>0</v>
      </c>
      <c r="C121">
        <v>1</v>
      </c>
      <c r="D121">
        <v>0</v>
      </c>
      <c r="E121">
        <v>1</v>
      </c>
      <c r="F121">
        <v>0</v>
      </c>
      <c r="G121">
        <v>1</v>
      </c>
      <c r="H121">
        <v>1</v>
      </c>
      <c r="I121">
        <v>0</v>
      </c>
      <c r="J121">
        <v>0</v>
      </c>
      <c r="K121">
        <v>0</v>
      </c>
      <c r="L121">
        <v>2</v>
      </c>
      <c r="M121">
        <v>1</v>
      </c>
      <c r="N121">
        <v>1</v>
      </c>
      <c r="O121">
        <v>1</v>
      </c>
      <c r="P121">
        <v>1</v>
      </c>
      <c r="Q121">
        <v>0</v>
      </c>
      <c r="R121">
        <v>1</v>
      </c>
      <c r="S121">
        <v>0</v>
      </c>
      <c r="T121">
        <v>1</v>
      </c>
      <c r="U121">
        <v>0</v>
      </c>
      <c r="V121">
        <v>3</v>
      </c>
      <c r="W121">
        <v>0</v>
      </c>
      <c r="X121">
        <v>1</v>
      </c>
      <c r="Y121">
        <v>3</v>
      </c>
      <c r="Z121">
        <v>0</v>
      </c>
      <c r="AA121">
        <v>1</v>
      </c>
      <c r="AB121">
        <v>0</v>
      </c>
      <c r="AC121">
        <v>1</v>
      </c>
      <c r="AD121">
        <v>0</v>
      </c>
      <c r="AE121">
        <v>0</v>
      </c>
      <c r="AF121">
        <v>1</v>
      </c>
      <c r="AG121">
        <v>0</v>
      </c>
      <c r="AH121">
        <v>0</v>
      </c>
      <c r="AI121">
        <v>0</v>
      </c>
      <c r="AJ121">
        <v>2</v>
      </c>
      <c r="AK121">
        <v>1</v>
      </c>
      <c r="AL121">
        <v>1</v>
      </c>
      <c r="AM121">
        <v>0</v>
      </c>
      <c r="AN121">
        <v>1</v>
      </c>
      <c r="AO121">
        <v>0</v>
      </c>
      <c r="AP121">
        <v>1</v>
      </c>
      <c r="AQ121">
        <v>1</v>
      </c>
      <c r="AR121">
        <v>1</v>
      </c>
      <c r="AS121">
        <v>0</v>
      </c>
      <c r="AT121">
        <v>0</v>
      </c>
      <c r="AU121">
        <v>0</v>
      </c>
      <c r="AV121">
        <v>0</v>
      </c>
      <c r="AW121">
        <v>1</v>
      </c>
      <c r="AX121">
        <v>0</v>
      </c>
      <c r="AY121">
        <v>1</v>
      </c>
      <c r="AZ121">
        <v>2</v>
      </c>
      <c r="BA121">
        <v>0</v>
      </c>
      <c r="BB121">
        <v>1</v>
      </c>
      <c r="BC121">
        <v>1</v>
      </c>
      <c r="BD121">
        <v>0</v>
      </c>
      <c r="BE121">
        <v>1</v>
      </c>
      <c r="BF121">
        <v>0</v>
      </c>
      <c r="BG121">
        <v>0</v>
      </c>
      <c r="BH121">
        <v>0</v>
      </c>
      <c r="BI121">
        <v>0</v>
      </c>
      <c r="BJ121">
        <v>0</v>
      </c>
      <c r="BK121">
        <v>0</v>
      </c>
      <c r="BL121">
        <v>1</v>
      </c>
      <c r="BM121">
        <v>0</v>
      </c>
      <c r="BN121">
        <v>2</v>
      </c>
      <c r="BO121">
        <v>0</v>
      </c>
      <c r="BP121">
        <v>1</v>
      </c>
      <c r="BQ121">
        <v>1</v>
      </c>
      <c r="BR121">
        <v>0</v>
      </c>
      <c r="BS121">
        <v>0</v>
      </c>
      <c r="BT121">
        <v>0</v>
      </c>
      <c r="BU121">
        <v>1</v>
      </c>
      <c r="BV121">
        <v>2</v>
      </c>
      <c r="BW121">
        <v>0</v>
      </c>
      <c r="BX121">
        <v>1</v>
      </c>
      <c r="BY121">
        <v>0</v>
      </c>
      <c r="BZ121">
        <v>1</v>
      </c>
      <c r="CA121">
        <v>1</v>
      </c>
      <c r="CB121">
        <v>0</v>
      </c>
      <c r="CC121">
        <v>0</v>
      </c>
      <c r="CD121">
        <v>1</v>
      </c>
      <c r="CE121">
        <v>2</v>
      </c>
      <c r="CF121">
        <v>1</v>
      </c>
      <c r="CG121">
        <v>1</v>
      </c>
      <c r="CH121">
        <v>0</v>
      </c>
      <c r="CI121">
        <v>0</v>
      </c>
      <c r="CJ121">
        <v>1</v>
      </c>
      <c r="CK121">
        <v>1</v>
      </c>
    </row>
    <row r="122" spans="1:89" x14ac:dyDescent="0.25">
      <c r="A122" s="23" t="s">
        <v>393</v>
      </c>
      <c r="B122">
        <v>0</v>
      </c>
      <c r="C122">
        <v>1</v>
      </c>
      <c r="D122">
        <v>0</v>
      </c>
      <c r="E122">
        <v>1</v>
      </c>
      <c r="F122">
        <v>0</v>
      </c>
      <c r="G122">
        <v>1</v>
      </c>
      <c r="H122">
        <v>0</v>
      </c>
      <c r="I122">
        <v>0</v>
      </c>
      <c r="J122">
        <v>0</v>
      </c>
      <c r="K122">
        <v>1</v>
      </c>
      <c r="L122">
        <v>0</v>
      </c>
      <c r="M122">
        <v>2</v>
      </c>
      <c r="N122">
        <v>0</v>
      </c>
      <c r="O122">
        <v>0</v>
      </c>
      <c r="P122">
        <v>0</v>
      </c>
      <c r="Q122">
        <v>1</v>
      </c>
      <c r="R122">
        <v>1</v>
      </c>
      <c r="S122">
        <v>0</v>
      </c>
      <c r="T122">
        <v>1</v>
      </c>
      <c r="U122">
        <v>0</v>
      </c>
      <c r="V122">
        <v>2</v>
      </c>
      <c r="W122">
        <v>1</v>
      </c>
      <c r="X122">
        <v>1</v>
      </c>
      <c r="Y122">
        <v>3</v>
      </c>
      <c r="Z122">
        <v>0</v>
      </c>
      <c r="AA122">
        <v>0</v>
      </c>
      <c r="AB122">
        <v>0</v>
      </c>
      <c r="AC122">
        <v>0</v>
      </c>
      <c r="AD122">
        <v>0</v>
      </c>
      <c r="AE122">
        <v>0</v>
      </c>
      <c r="AF122">
        <v>1</v>
      </c>
      <c r="AG122">
        <v>0</v>
      </c>
      <c r="AH122">
        <v>2</v>
      </c>
      <c r="AI122">
        <v>0</v>
      </c>
      <c r="AJ122">
        <v>1</v>
      </c>
      <c r="AK122">
        <v>1</v>
      </c>
      <c r="AL122">
        <v>1</v>
      </c>
      <c r="AM122">
        <v>0</v>
      </c>
      <c r="AN122">
        <v>1</v>
      </c>
      <c r="AO122">
        <v>0</v>
      </c>
      <c r="AP122">
        <v>0</v>
      </c>
      <c r="AQ122">
        <v>1</v>
      </c>
      <c r="AR122">
        <v>0</v>
      </c>
      <c r="AS122">
        <v>0</v>
      </c>
      <c r="AT122">
        <v>0</v>
      </c>
      <c r="AU122">
        <v>0</v>
      </c>
      <c r="AV122">
        <v>0</v>
      </c>
      <c r="AW122">
        <v>1</v>
      </c>
      <c r="AX122">
        <v>0</v>
      </c>
      <c r="AY122">
        <v>0</v>
      </c>
      <c r="AZ122">
        <v>1</v>
      </c>
      <c r="BA122">
        <v>0</v>
      </c>
      <c r="BB122">
        <v>2</v>
      </c>
      <c r="BC122">
        <v>1</v>
      </c>
      <c r="BD122">
        <v>0</v>
      </c>
      <c r="BE122">
        <v>0</v>
      </c>
      <c r="BF122">
        <v>1</v>
      </c>
      <c r="BG122">
        <v>0</v>
      </c>
      <c r="BH122">
        <v>1</v>
      </c>
      <c r="BI122">
        <v>0</v>
      </c>
      <c r="BJ122">
        <v>0</v>
      </c>
      <c r="BK122">
        <v>0</v>
      </c>
      <c r="BL122">
        <v>0</v>
      </c>
      <c r="BM122">
        <v>0</v>
      </c>
      <c r="BN122">
        <v>1</v>
      </c>
      <c r="BO122">
        <v>0</v>
      </c>
      <c r="BP122">
        <v>0</v>
      </c>
      <c r="BQ122">
        <v>0</v>
      </c>
      <c r="BR122">
        <v>0</v>
      </c>
      <c r="BS122">
        <v>0</v>
      </c>
      <c r="BT122">
        <v>0</v>
      </c>
      <c r="BU122">
        <v>2</v>
      </c>
      <c r="BV122">
        <v>0</v>
      </c>
      <c r="BW122">
        <v>0</v>
      </c>
      <c r="BX122">
        <v>1</v>
      </c>
      <c r="BY122">
        <v>0</v>
      </c>
      <c r="BZ122">
        <v>1</v>
      </c>
      <c r="CA122">
        <v>0</v>
      </c>
      <c r="CB122">
        <v>0</v>
      </c>
      <c r="CC122">
        <v>0</v>
      </c>
      <c r="CD122">
        <v>1</v>
      </c>
      <c r="CE122">
        <v>1</v>
      </c>
      <c r="CF122">
        <v>0</v>
      </c>
      <c r="CG122">
        <v>1</v>
      </c>
      <c r="CH122">
        <v>0</v>
      </c>
      <c r="CI122">
        <v>0</v>
      </c>
      <c r="CJ122">
        <v>1</v>
      </c>
      <c r="CK122">
        <v>1</v>
      </c>
    </row>
    <row r="123" spans="1:89" x14ac:dyDescent="0.25">
      <c r="A123" s="23" t="s">
        <v>394</v>
      </c>
      <c r="B123">
        <v>0</v>
      </c>
      <c r="C123">
        <v>0</v>
      </c>
      <c r="D123">
        <v>1</v>
      </c>
      <c r="E123">
        <v>0</v>
      </c>
      <c r="F123">
        <v>1</v>
      </c>
      <c r="G123">
        <v>0</v>
      </c>
      <c r="H123">
        <v>1</v>
      </c>
      <c r="I123">
        <v>0</v>
      </c>
      <c r="J123">
        <v>0</v>
      </c>
      <c r="K123">
        <v>0</v>
      </c>
      <c r="L123">
        <v>1</v>
      </c>
      <c r="M123">
        <v>0</v>
      </c>
      <c r="N123">
        <v>0</v>
      </c>
      <c r="O123">
        <v>0</v>
      </c>
      <c r="P123">
        <v>1</v>
      </c>
      <c r="Q123">
        <v>1</v>
      </c>
      <c r="R123">
        <v>0</v>
      </c>
      <c r="S123">
        <v>1</v>
      </c>
      <c r="T123">
        <v>0</v>
      </c>
      <c r="U123">
        <v>0</v>
      </c>
      <c r="V123">
        <v>0</v>
      </c>
      <c r="W123">
        <v>0</v>
      </c>
      <c r="X123">
        <v>1</v>
      </c>
      <c r="Y123">
        <v>2</v>
      </c>
      <c r="Z123">
        <v>1</v>
      </c>
      <c r="AA123">
        <v>1</v>
      </c>
      <c r="AB123">
        <v>0</v>
      </c>
      <c r="AC123">
        <v>2</v>
      </c>
      <c r="AD123">
        <v>0</v>
      </c>
      <c r="AE123">
        <v>0</v>
      </c>
      <c r="AF123">
        <v>0</v>
      </c>
      <c r="AG123">
        <v>0</v>
      </c>
      <c r="AH123">
        <v>0</v>
      </c>
      <c r="AI123">
        <v>0</v>
      </c>
      <c r="AJ123">
        <v>2</v>
      </c>
      <c r="AK123">
        <v>0</v>
      </c>
      <c r="AL123">
        <v>0</v>
      </c>
      <c r="AM123">
        <v>1</v>
      </c>
      <c r="AN123">
        <v>1</v>
      </c>
      <c r="AO123">
        <v>0</v>
      </c>
      <c r="AP123">
        <v>0</v>
      </c>
      <c r="AQ123">
        <v>1</v>
      </c>
      <c r="AR123">
        <v>0</v>
      </c>
      <c r="AS123">
        <v>0</v>
      </c>
      <c r="AT123">
        <v>2</v>
      </c>
      <c r="AU123">
        <v>0</v>
      </c>
      <c r="AV123">
        <v>1</v>
      </c>
      <c r="AW123">
        <v>1</v>
      </c>
      <c r="AX123">
        <v>0</v>
      </c>
      <c r="AY123">
        <v>2</v>
      </c>
      <c r="AZ123">
        <v>2</v>
      </c>
      <c r="BA123">
        <v>0</v>
      </c>
      <c r="BB123">
        <v>1</v>
      </c>
      <c r="BC123">
        <v>0</v>
      </c>
      <c r="BD123">
        <v>1</v>
      </c>
      <c r="BE123">
        <v>0</v>
      </c>
      <c r="BF123">
        <v>0</v>
      </c>
      <c r="BG123">
        <v>0</v>
      </c>
      <c r="BH123">
        <v>0</v>
      </c>
      <c r="BI123">
        <v>0</v>
      </c>
      <c r="BJ123">
        <v>0</v>
      </c>
      <c r="BK123">
        <v>0</v>
      </c>
      <c r="BL123">
        <v>0</v>
      </c>
      <c r="BM123">
        <v>0</v>
      </c>
      <c r="BN123">
        <v>0</v>
      </c>
      <c r="BO123">
        <v>1</v>
      </c>
      <c r="BP123">
        <v>0</v>
      </c>
      <c r="BQ123">
        <v>1</v>
      </c>
      <c r="BR123">
        <v>0</v>
      </c>
      <c r="BS123">
        <v>2</v>
      </c>
      <c r="BT123">
        <v>0</v>
      </c>
      <c r="BU123">
        <v>0</v>
      </c>
      <c r="BV123">
        <v>0</v>
      </c>
      <c r="BW123">
        <v>0</v>
      </c>
      <c r="BX123">
        <v>1</v>
      </c>
      <c r="BY123">
        <v>0</v>
      </c>
      <c r="BZ123">
        <v>0</v>
      </c>
      <c r="CA123">
        <v>0</v>
      </c>
      <c r="CB123">
        <v>0</v>
      </c>
      <c r="CC123">
        <v>1</v>
      </c>
      <c r="CD123">
        <v>1</v>
      </c>
      <c r="CE123">
        <v>1</v>
      </c>
      <c r="CF123">
        <v>0</v>
      </c>
      <c r="CG123">
        <v>1</v>
      </c>
      <c r="CH123">
        <v>3</v>
      </c>
      <c r="CI123">
        <v>0</v>
      </c>
      <c r="CJ123">
        <v>1</v>
      </c>
      <c r="CK123">
        <v>0</v>
      </c>
    </row>
    <row r="124" spans="1:89" x14ac:dyDescent="0.25">
      <c r="A124" s="23" t="s">
        <v>395</v>
      </c>
      <c r="C124">
        <v>1</v>
      </c>
      <c r="D124">
        <v>1</v>
      </c>
      <c r="E124">
        <v>1</v>
      </c>
      <c r="F124">
        <v>0</v>
      </c>
      <c r="G124">
        <v>1</v>
      </c>
      <c r="H124">
        <v>0</v>
      </c>
      <c r="I124">
        <v>0</v>
      </c>
      <c r="J124">
        <v>0</v>
      </c>
      <c r="K124">
        <v>1</v>
      </c>
      <c r="L124">
        <v>0</v>
      </c>
      <c r="M124">
        <v>1</v>
      </c>
      <c r="N124">
        <v>0</v>
      </c>
      <c r="O124">
        <v>0</v>
      </c>
      <c r="P124">
        <v>0</v>
      </c>
      <c r="Q124">
        <v>1</v>
      </c>
      <c r="R124">
        <v>1</v>
      </c>
      <c r="S124">
        <v>0</v>
      </c>
      <c r="T124">
        <v>0</v>
      </c>
      <c r="U124">
        <v>0</v>
      </c>
      <c r="V124">
        <v>0</v>
      </c>
      <c r="W124">
        <v>1</v>
      </c>
      <c r="X124">
        <v>2</v>
      </c>
      <c r="Y124">
        <v>2</v>
      </c>
      <c r="Z124">
        <v>1</v>
      </c>
      <c r="AA124">
        <v>1</v>
      </c>
      <c r="AB124">
        <v>0</v>
      </c>
      <c r="AC124">
        <v>1</v>
      </c>
      <c r="AD124">
        <v>0</v>
      </c>
      <c r="AE124">
        <v>0</v>
      </c>
      <c r="AF124">
        <v>1</v>
      </c>
      <c r="AG124">
        <v>2</v>
      </c>
      <c r="AH124">
        <v>0</v>
      </c>
      <c r="AI124">
        <v>0</v>
      </c>
      <c r="AJ124">
        <v>0</v>
      </c>
      <c r="AK124">
        <v>1</v>
      </c>
      <c r="AL124">
        <v>1</v>
      </c>
      <c r="AM124">
        <v>1</v>
      </c>
      <c r="AN124">
        <v>1</v>
      </c>
      <c r="AO124">
        <v>0</v>
      </c>
      <c r="AP124">
        <v>1</v>
      </c>
      <c r="AQ124">
        <v>0</v>
      </c>
      <c r="AR124">
        <v>0</v>
      </c>
      <c r="AS124">
        <v>1</v>
      </c>
      <c r="AT124">
        <v>0</v>
      </c>
      <c r="AU124">
        <v>0</v>
      </c>
      <c r="AV124">
        <v>0</v>
      </c>
      <c r="AW124">
        <v>0</v>
      </c>
      <c r="AX124">
        <v>0</v>
      </c>
      <c r="AY124">
        <v>1</v>
      </c>
      <c r="AZ124">
        <v>1</v>
      </c>
      <c r="BA124">
        <v>1</v>
      </c>
      <c r="BB124">
        <v>2</v>
      </c>
      <c r="BC124">
        <v>1</v>
      </c>
      <c r="BD124">
        <v>0</v>
      </c>
      <c r="BE124">
        <v>0</v>
      </c>
      <c r="BF124">
        <v>1</v>
      </c>
      <c r="BG124">
        <v>0</v>
      </c>
      <c r="BH124">
        <v>1</v>
      </c>
      <c r="BI124">
        <v>2</v>
      </c>
      <c r="BJ124">
        <v>0</v>
      </c>
      <c r="BL124">
        <v>0</v>
      </c>
      <c r="BM124">
        <v>0</v>
      </c>
      <c r="BN124">
        <v>1</v>
      </c>
      <c r="BO124">
        <v>1</v>
      </c>
      <c r="BP124">
        <v>0</v>
      </c>
      <c r="BQ124">
        <v>2</v>
      </c>
      <c r="BR124">
        <v>0</v>
      </c>
      <c r="BS124">
        <v>4</v>
      </c>
      <c r="BT124">
        <v>1</v>
      </c>
      <c r="BU124">
        <v>0</v>
      </c>
      <c r="BV124">
        <v>0</v>
      </c>
      <c r="BW124">
        <v>0</v>
      </c>
      <c r="BX124">
        <v>1</v>
      </c>
      <c r="BY124">
        <v>1</v>
      </c>
      <c r="BZ124">
        <v>0</v>
      </c>
      <c r="CA124">
        <v>0</v>
      </c>
      <c r="CB124">
        <v>0</v>
      </c>
      <c r="CC124">
        <v>1</v>
      </c>
      <c r="CD124">
        <v>2</v>
      </c>
      <c r="CE124">
        <v>1</v>
      </c>
      <c r="CF124">
        <v>2</v>
      </c>
      <c r="CG124">
        <v>0</v>
      </c>
      <c r="CH124">
        <v>1</v>
      </c>
      <c r="CI124">
        <v>1</v>
      </c>
      <c r="CJ124">
        <v>2</v>
      </c>
      <c r="CK124">
        <v>0</v>
      </c>
    </row>
    <row r="125" spans="1:89" x14ac:dyDescent="0.25">
      <c r="A125" s="23" t="s">
        <v>396</v>
      </c>
      <c r="B125">
        <v>0</v>
      </c>
      <c r="C125">
        <v>3</v>
      </c>
      <c r="D125">
        <v>0</v>
      </c>
      <c r="E125">
        <v>1</v>
      </c>
      <c r="F125">
        <v>0</v>
      </c>
      <c r="G125">
        <v>2</v>
      </c>
      <c r="H125">
        <v>1</v>
      </c>
      <c r="I125">
        <v>0</v>
      </c>
      <c r="J125">
        <v>1</v>
      </c>
      <c r="K125">
        <v>0</v>
      </c>
      <c r="L125">
        <v>0</v>
      </c>
      <c r="M125">
        <v>0</v>
      </c>
      <c r="N125">
        <v>0</v>
      </c>
      <c r="O125">
        <v>0</v>
      </c>
      <c r="P125">
        <v>1</v>
      </c>
      <c r="Q125">
        <v>1</v>
      </c>
      <c r="R125">
        <v>1</v>
      </c>
      <c r="S125">
        <v>0</v>
      </c>
      <c r="T125">
        <v>0</v>
      </c>
      <c r="U125">
        <v>0</v>
      </c>
      <c r="V125">
        <v>1</v>
      </c>
      <c r="W125">
        <v>0</v>
      </c>
      <c r="X125">
        <v>0</v>
      </c>
      <c r="Y125">
        <v>2</v>
      </c>
      <c r="Z125">
        <v>1</v>
      </c>
      <c r="AA125">
        <v>1</v>
      </c>
      <c r="AB125">
        <v>1</v>
      </c>
      <c r="AC125">
        <v>0</v>
      </c>
      <c r="AD125">
        <v>0</v>
      </c>
      <c r="AE125">
        <v>0</v>
      </c>
      <c r="AF125">
        <v>0</v>
      </c>
      <c r="AG125">
        <v>0</v>
      </c>
      <c r="AH125">
        <v>0</v>
      </c>
      <c r="AI125">
        <v>0</v>
      </c>
      <c r="AJ125">
        <v>0</v>
      </c>
      <c r="AK125">
        <v>0</v>
      </c>
      <c r="AL125">
        <v>1</v>
      </c>
      <c r="AM125">
        <v>0</v>
      </c>
      <c r="AN125">
        <v>2</v>
      </c>
      <c r="AO125">
        <v>1</v>
      </c>
      <c r="AP125">
        <v>0</v>
      </c>
      <c r="AQ125">
        <v>0</v>
      </c>
      <c r="AR125">
        <v>0</v>
      </c>
      <c r="AS125">
        <v>0</v>
      </c>
      <c r="AT125">
        <v>0</v>
      </c>
      <c r="AU125">
        <v>0</v>
      </c>
      <c r="AV125">
        <v>0</v>
      </c>
      <c r="AW125">
        <v>2</v>
      </c>
      <c r="AX125">
        <v>0</v>
      </c>
      <c r="AY125">
        <v>2</v>
      </c>
      <c r="AZ125">
        <v>0</v>
      </c>
      <c r="BA125">
        <v>0</v>
      </c>
      <c r="BB125">
        <v>0</v>
      </c>
      <c r="BC125">
        <v>1</v>
      </c>
      <c r="BD125">
        <v>1</v>
      </c>
      <c r="BE125">
        <v>0</v>
      </c>
      <c r="BF125">
        <v>0</v>
      </c>
      <c r="BG125">
        <v>0</v>
      </c>
      <c r="BH125">
        <v>0</v>
      </c>
      <c r="BI125">
        <v>0</v>
      </c>
      <c r="BJ125">
        <v>0</v>
      </c>
      <c r="BK125">
        <v>0</v>
      </c>
      <c r="BL125">
        <v>0</v>
      </c>
      <c r="BM125">
        <v>0</v>
      </c>
      <c r="BN125">
        <v>1</v>
      </c>
      <c r="BO125">
        <v>1</v>
      </c>
      <c r="BP125">
        <v>0</v>
      </c>
      <c r="BQ125">
        <v>1</v>
      </c>
      <c r="BR125">
        <v>0</v>
      </c>
      <c r="BS125">
        <v>1</v>
      </c>
      <c r="BT125">
        <v>0</v>
      </c>
      <c r="BU125">
        <v>1</v>
      </c>
      <c r="BV125">
        <v>0</v>
      </c>
      <c r="BW125">
        <v>0</v>
      </c>
      <c r="BX125">
        <v>0</v>
      </c>
      <c r="BY125">
        <v>0</v>
      </c>
      <c r="BZ125">
        <v>1</v>
      </c>
      <c r="CA125">
        <v>1</v>
      </c>
      <c r="CB125">
        <v>0</v>
      </c>
      <c r="CC125">
        <v>1</v>
      </c>
      <c r="CD125">
        <v>1</v>
      </c>
      <c r="CE125">
        <v>0</v>
      </c>
      <c r="CF125">
        <v>0</v>
      </c>
      <c r="CG125">
        <v>2</v>
      </c>
      <c r="CH125">
        <v>3</v>
      </c>
      <c r="CI125">
        <v>0</v>
      </c>
      <c r="CJ125">
        <v>1</v>
      </c>
      <c r="CK125">
        <v>1</v>
      </c>
    </row>
    <row r="126" spans="1:89" x14ac:dyDescent="0.25">
      <c r="A126" s="23" t="s">
        <v>397</v>
      </c>
      <c r="B126">
        <v>0</v>
      </c>
      <c r="C126">
        <v>1</v>
      </c>
      <c r="D126">
        <v>0</v>
      </c>
      <c r="E126">
        <v>2</v>
      </c>
      <c r="F126">
        <v>0</v>
      </c>
      <c r="G126">
        <v>1</v>
      </c>
      <c r="H126">
        <v>0</v>
      </c>
      <c r="I126">
        <v>0</v>
      </c>
      <c r="J126">
        <v>1</v>
      </c>
      <c r="K126">
        <v>0</v>
      </c>
      <c r="L126">
        <v>1</v>
      </c>
      <c r="M126">
        <v>1</v>
      </c>
      <c r="N126">
        <v>0</v>
      </c>
      <c r="O126">
        <v>0</v>
      </c>
      <c r="P126">
        <v>1</v>
      </c>
      <c r="Q126">
        <v>1</v>
      </c>
      <c r="R126">
        <v>0</v>
      </c>
      <c r="S126">
        <v>0</v>
      </c>
      <c r="T126">
        <v>0</v>
      </c>
      <c r="U126">
        <v>0</v>
      </c>
      <c r="V126">
        <v>0</v>
      </c>
      <c r="W126">
        <v>0</v>
      </c>
      <c r="X126">
        <v>0</v>
      </c>
      <c r="Y126">
        <v>3</v>
      </c>
      <c r="Z126">
        <v>1</v>
      </c>
      <c r="AA126">
        <v>0</v>
      </c>
      <c r="AB126">
        <v>2</v>
      </c>
      <c r="AC126">
        <v>0</v>
      </c>
      <c r="AD126">
        <v>0</v>
      </c>
      <c r="AE126">
        <v>0</v>
      </c>
      <c r="AF126">
        <v>1</v>
      </c>
      <c r="AG126">
        <v>0</v>
      </c>
      <c r="AH126">
        <v>0</v>
      </c>
      <c r="AI126">
        <v>1</v>
      </c>
      <c r="AJ126">
        <v>1</v>
      </c>
      <c r="AK126">
        <v>0</v>
      </c>
      <c r="AL126">
        <v>2</v>
      </c>
      <c r="AM126">
        <v>0</v>
      </c>
      <c r="AN126">
        <v>1</v>
      </c>
      <c r="AO126">
        <v>0</v>
      </c>
      <c r="AP126">
        <v>0</v>
      </c>
      <c r="AQ126">
        <v>1</v>
      </c>
      <c r="AR126">
        <v>0</v>
      </c>
      <c r="AS126">
        <v>0</v>
      </c>
      <c r="AT126">
        <v>1</v>
      </c>
      <c r="AU126">
        <v>0</v>
      </c>
      <c r="AV126">
        <v>0</v>
      </c>
      <c r="AW126">
        <v>2</v>
      </c>
      <c r="AX126">
        <v>2</v>
      </c>
      <c r="AY126">
        <v>0</v>
      </c>
      <c r="AZ126">
        <v>1</v>
      </c>
      <c r="BA126">
        <v>0</v>
      </c>
      <c r="BB126">
        <v>0</v>
      </c>
      <c r="BC126">
        <v>2</v>
      </c>
      <c r="BD126">
        <v>0</v>
      </c>
      <c r="BE126">
        <v>0</v>
      </c>
      <c r="BF126">
        <v>0</v>
      </c>
      <c r="BG126">
        <v>0</v>
      </c>
      <c r="BH126">
        <v>0</v>
      </c>
      <c r="BI126">
        <v>1</v>
      </c>
      <c r="BJ126">
        <v>0</v>
      </c>
      <c r="BK126">
        <v>0</v>
      </c>
      <c r="BL126">
        <v>1</v>
      </c>
      <c r="BM126">
        <v>0</v>
      </c>
      <c r="BN126">
        <v>1</v>
      </c>
      <c r="BO126">
        <v>0</v>
      </c>
      <c r="BP126">
        <v>0</v>
      </c>
      <c r="BQ126">
        <v>1</v>
      </c>
      <c r="BR126">
        <v>0</v>
      </c>
      <c r="BS126">
        <v>1</v>
      </c>
      <c r="BT126">
        <v>0</v>
      </c>
      <c r="BU126">
        <v>0</v>
      </c>
      <c r="BV126">
        <v>0</v>
      </c>
      <c r="BW126">
        <v>0</v>
      </c>
      <c r="BX126">
        <v>0</v>
      </c>
      <c r="BY126">
        <v>1</v>
      </c>
      <c r="BZ126">
        <v>0</v>
      </c>
      <c r="CA126">
        <v>1</v>
      </c>
      <c r="CB126">
        <v>0</v>
      </c>
      <c r="CC126">
        <v>1</v>
      </c>
      <c r="CD126">
        <v>0</v>
      </c>
      <c r="CE126">
        <v>1</v>
      </c>
      <c r="CF126">
        <v>0</v>
      </c>
      <c r="CG126">
        <v>0</v>
      </c>
      <c r="CH126">
        <v>1</v>
      </c>
      <c r="CI126">
        <v>0</v>
      </c>
      <c r="CJ126">
        <v>1</v>
      </c>
      <c r="CK126">
        <v>0</v>
      </c>
    </row>
    <row r="127" spans="1:89" x14ac:dyDescent="0.25">
      <c r="A127" s="23" t="s">
        <v>398</v>
      </c>
      <c r="B127">
        <v>0</v>
      </c>
      <c r="C127">
        <v>1</v>
      </c>
      <c r="D127">
        <v>0</v>
      </c>
      <c r="E127">
        <v>2</v>
      </c>
      <c r="F127">
        <v>0</v>
      </c>
      <c r="G127">
        <v>0</v>
      </c>
      <c r="H127">
        <v>1</v>
      </c>
      <c r="I127">
        <v>0</v>
      </c>
      <c r="J127">
        <v>2</v>
      </c>
      <c r="K127">
        <v>1</v>
      </c>
      <c r="L127">
        <v>0</v>
      </c>
      <c r="M127">
        <v>0</v>
      </c>
      <c r="N127">
        <v>0</v>
      </c>
      <c r="O127">
        <v>0</v>
      </c>
      <c r="P127">
        <v>0</v>
      </c>
      <c r="Q127">
        <v>0</v>
      </c>
      <c r="R127">
        <v>1</v>
      </c>
      <c r="S127">
        <v>0</v>
      </c>
      <c r="T127">
        <v>0</v>
      </c>
      <c r="U127">
        <v>0</v>
      </c>
      <c r="V127">
        <v>0</v>
      </c>
      <c r="W127">
        <v>0</v>
      </c>
      <c r="X127">
        <v>0</v>
      </c>
      <c r="Y127">
        <v>2</v>
      </c>
      <c r="Z127">
        <v>1</v>
      </c>
      <c r="AA127">
        <v>0</v>
      </c>
      <c r="AB127">
        <v>0</v>
      </c>
      <c r="AC127">
        <v>0</v>
      </c>
      <c r="AD127">
        <v>0</v>
      </c>
      <c r="AE127">
        <v>1</v>
      </c>
      <c r="AF127">
        <v>0</v>
      </c>
      <c r="AG127">
        <v>0</v>
      </c>
      <c r="AH127">
        <v>0</v>
      </c>
      <c r="AI127">
        <v>1</v>
      </c>
      <c r="AJ127">
        <v>1</v>
      </c>
      <c r="AK127">
        <v>2</v>
      </c>
      <c r="AL127">
        <v>1</v>
      </c>
      <c r="AM127">
        <v>0</v>
      </c>
      <c r="AN127">
        <v>1</v>
      </c>
      <c r="AO127">
        <v>0</v>
      </c>
      <c r="AP127">
        <v>0</v>
      </c>
      <c r="AQ127">
        <v>0</v>
      </c>
      <c r="AR127">
        <v>0</v>
      </c>
      <c r="AS127">
        <v>0</v>
      </c>
      <c r="AT127">
        <v>1</v>
      </c>
      <c r="AU127">
        <v>0</v>
      </c>
      <c r="AV127">
        <v>0</v>
      </c>
      <c r="AW127">
        <v>0</v>
      </c>
      <c r="AX127">
        <v>0</v>
      </c>
      <c r="AY127">
        <v>0</v>
      </c>
      <c r="AZ127">
        <v>0</v>
      </c>
      <c r="BA127">
        <v>0</v>
      </c>
      <c r="BB127">
        <v>0</v>
      </c>
      <c r="BC127">
        <v>1</v>
      </c>
      <c r="BD127">
        <v>0</v>
      </c>
      <c r="BE127">
        <v>1</v>
      </c>
      <c r="BF127">
        <v>0</v>
      </c>
      <c r="BG127">
        <v>0</v>
      </c>
      <c r="BH127">
        <v>0</v>
      </c>
      <c r="BI127">
        <v>0</v>
      </c>
      <c r="BJ127">
        <v>0</v>
      </c>
      <c r="BK127">
        <v>0</v>
      </c>
      <c r="BL127">
        <v>2</v>
      </c>
      <c r="BM127">
        <v>0</v>
      </c>
      <c r="BN127">
        <v>1</v>
      </c>
      <c r="BO127">
        <v>0</v>
      </c>
      <c r="BP127">
        <v>0</v>
      </c>
      <c r="BQ127">
        <v>0</v>
      </c>
      <c r="BR127">
        <v>0</v>
      </c>
      <c r="BS127">
        <v>1</v>
      </c>
      <c r="BT127">
        <v>0</v>
      </c>
      <c r="BU127">
        <v>2</v>
      </c>
      <c r="BV127">
        <v>0</v>
      </c>
      <c r="BW127">
        <v>0</v>
      </c>
      <c r="BX127">
        <v>0</v>
      </c>
      <c r="BY127">
        <v>1</v>
      </c>
      <c r="BZ127">
        <v>0</v>
      </c>
      <c r="CA127">
        <v>0</v>
      </c>
      <c r="CB127">
        <v>0</v>
      </c>
      <c r="CC127">
        <v>1</v>
      </c>
      <c r="CD127">
        <v>0</v>
      </c>
      <c r="CE127">
        <v>0</v>
      </c>
      <c r="CF127">
        <v>1</v>
      </c>
      <c r="CG127">
        <v>1</v>
      </c>
      <c r="CH127">
        <v>0</v>
      </c>
      <c r="CI127">
        <v>0</v>
      </c>
      <c r="CJ127">
        <v>1</v>
      </c>
      <c r="CK127">
        <v>0</v>
      </c>
    </row>
    <row r="128" spans="1:89" x14ac:dyDescent="0.25">
      <c r="A128" s="23" t="s">
        <v>399</v>
      </c>
      <c r="B128">
        <v>0</v>
      </c>
      <c r="C128">
        <v>1</v>
      </c>
      <c r="D128">
        <v>0</v>
      </c>
      <c r="E128">
        <v>1</v>
      </c>
      <c r="F128">
        <v>0</v>
      </c>
      <c r="G128">
        <v>0</v>
      </c>
      <c r="H128">
        <v>0</v>
      </c>
      <c r="I128">
        <v>0</v>
      </c>
      <c r="J128">
        <v>0</v>
      </c>
      <c r="K128">
        <v>0</v>
      </c>
      <c r="L128">
        <v>0</v>
      </c>
      <c r="M128">
        <v>0</v>
      </c>
      <c r="N128">
        <v>0</v>
      </c>
      <c r="O128">
        <v>1</v>
      </c>
      <c r="P128">
        <v>1</v>
      </c>
      <c r="Q128">
        <v>0</v>
      </c>
      <c r="R128">
        <v>0</v>
      </c>
      <c r="S128">
        <v>1</v>
      </c>
      <c r="T128">
        <v>0</v>
      </c>
      <c r="U128">
        <v>0</v>
      </c>
      <c r="V128">
        <v>0</v>
      </c>
      <c r="W128">
        <v>0</v>
      </c>
      <c r="X128">
        <v>1</v>
      </c>
      <c r="Y128">
        <v>2</v>
      </c>
      <c r="Z128">
        <v>1</v>
      </c>
      <c r="AA128">
        <v>1</v>
      </c>
      <c r="AB128">
        <v>1</v>
      </c>
      <c r="AC128">
        <v>0</v>
      </c>
      <c r="AD128">
        <v>0</v>
      </c>
      <c r="AE128">
        <v>0</v>
      </c>
      <c r="AF128">
        <v>0</v>
      </c>
      <c r="AG128">
        <v>0</v>
      </c>
      <c r="AH128">
        <v>0</v>
      </c>
      <c r="AI128">
        <v>1</v>
      </c>
      <c r="AJ128">
        <v>0</v>
      </c>
      <c r="AK128">
        <v>0</v>
      </c>
      <c r="AL128">
        <v>2</v>
      </c>
      <c r="AM128">
        <v>0</v>
      </c>
      <c r="AN128">
        <v>3</v>
      </c>
      <c r="AO128">
        <v>0</v>
      </c>
      <c r="AP128">
        <v>0</v>
      </c>
      <c r="AQ128">
        <v>0</v>
      </c>
      <c r="AR128">
        <v>0</v>
      </c>
      <c r="AS128">
        <v>0</v>
      </c>
      <c r="AT128">
        <v>1</v>
      </c>
      <c r="AU128">
        <v>0</v>
      </c>
      <c r="AV128">
        <v>0</v>
      </c>
      <c r="AW128">
        <v>2</v>
      </c>
      <c r="AX128">
        <v>1</v>
      </c>
      <c r="AY128">
        <v>0</v>
      </c>
      <c r="AZ128">
        <v>1</v>
      </c>
      <c r="BA128">
        <v>0</v>
      </c>
      <c r="BB128">
        <v>0</v>
      </c>
      <c r="BC128">
        <v>1</v>
      </c>
      <c r="BD128">
        <v>0</v>
      </c>
      <c r="BE128">
        <v>0</v>
      </c>
      <c r="BF128">
        <v>0</v>
      </c>
      <c r="BG128">
        <v>0</v>
      </c>
      <c r="BH128">
        <v>1</v>
      </c>
      <c r="BI128">
        <v>2</v>
      </c>
      <c r="BJ128">
        <v>0</v>
      </c>
      <c r="BK128">
        <v>0</v>
      </c>
      <c r="BL128">
        <v>1</v>
      </c>
      <c r="BM128">
        <v>0</v>
      </c>
      <c r="BN128">
        <v>1</v>
      </c>
      <c r="BO128">
        <v>1</v>
      </c>
      <c r="BP128">
        <v>0</v>
      </c>
      <c r="BQ128">
        <v>0</v>
      </c>
      <c r="BR128">
        <v>0</v>
      </c>
      <c r="BS128">
        <v>1</v>
      </c>
      <c r="BT128">
        <v>0</v>
      </c>
      <c r="BU128">
        <v>3</v>
      </c>
      <c r="BV128">
        <v>0</v>
      </c>
      <c r="BW128">
        <v>0</v>
      </c>
      <c r="BX128">
        <v>0</v>
      </c>
      <c r="BY128">
        <v>0</v>
      </c>
      <c r="BZ128">
        <v>0</v>
      </c>
      <c r="CA128">
        <v>1</v>
      </c>
      <c r="CB128">
        <v>1</v>
      </c>
      <c r="CC128">
        <v>1</v>
      </c>
      <c r="CE128">
        <v>1</v>
      </c>
      <c r="CF128">
        <v>2</v>
      </c>
      <c r="CG128">
        <v>2</v>
      </c>
      <c r="CH128">
        <v>0</v>
      </c>
      <c r="CI128">
        <v>0</v>
      </c>
      <c r="CJ128">
        <v>0</v>
      </c>
      <c r="CK128">
        <v>1</v>
      </c>
    </row>
    <row r="129" spans="1:89" x14ac:dyDescent="0.25">
      <c r="A129" s="23" t="s">
        <v>400</v>
      </c>
      <c r="B129">
        <v>0</v>
      </c>
      <c r="C129">
        <v>2</v>
      </c>
      <c r="D129">
        <v>0</v>
      </c>
      <c r="E129">
        <v>1</v>
      </c>
      <c r="F129">
        <v>0</v>
      </c>
      <c r="G129">
        <v>1</v>
      </c>
      <c r="H129">
        <v>1</v>
      </c>
      <c r="I129">
        <v>0</v>
      </c>
      <c r="J129">
        <v>0</v>
      </c>
      <c r="K129">
        <v>0</v>
      </c>
      <c r="L129">
        <v>2</v>
      </c>
      <c r="M129">
        <v>2</v>
      </c>
      <c r="N129">
        <v>0</v>
      </c>
      <c r="O129">
        <v>1</v>
      </c>
      <c r="P129">
        <v>0</v>
      </c>
      <c r="Q129">
        <v>0</v>
      </c>
      <c r="R129">
        <v>0</v>
      </c>
      <c r="S129">
        <v>0</v>
      </c>
      <c r="T129">
        <v>0</v>
      </c>
      <c r="U129">
        <v>0</v>
      </c>
      <c r="V129">
        <v>0</v>
      </c>
      <c r="W129">
        <v>0</v>
      </c>
      <c r="X129">
        <v>0</v>
      </c>
      <c r="Y129">
        <v>1</v>
      </c>
      <c r="Z129">
        <v>1</v>
      </c>
      <c r="AA129">
        <v>0</v>
      </c>
      <c r="AB129">
        <v>0</v>
      </c>
      <c r="AC129">
        <v>0</v>
      </c>
      <c r="AD129">
        <v>0</v>
      </c>
      <c r="AE129">
        <v>0</v>
      </c>
      <c r="AF129">
        <v>0</v>
      </c>
      <c r="AG129">
        <v>1</v>
      </c>
      <c r="AH129">
        <v>1</v>
      </c>
      <c r="AI129">
        <v>2</v>
      </c>
      <c r="AJ129">
        <v>0</v>
      </c>
      <c r="AK129">
        <v>1</v>
      </c>
      <c r="AL129">
        <v>1</v>
      </c>
      <c r="AM129">
        <v>0</v>
      </c>
      <c r="AN129">
        <v>1</v>
      </c>
      <c r="AO129">
        <v>1</v>
      </c>
      <c r="AP129">
        <v>1</v>
      </c>
      <c r="AQ129">
        <v>0</v>
      </c>
      <c r="AR129">
        <v>0</v>
      </c>
      <c r="AS129">
        <v>0</v>
      </c>
      <c r="AT129">
        <v>0</v>
      </c>
      <c r="AU129">
        <v>1</v>
      </c>
      <c r="AV129">
        <v>0</v>
      </c>
      <c r="AW129">
        <v>0</v>
      </c>
      <c r="AX129">
        <v>0</v>
      </c>
      <c r="AY129">
        <v>1</v>
      </c>
      <c r="AZ129">
        <v>2</v>
      </c>
      <c r="BA129">
        <v>0</v>
      </c>
      <c r="BB129">
        <v>0</v>
      </c>
      <c r="BC129">
        <v>2</v>
      </c>
      <c r="BD129">
        <v>0</v>
      </c>
      <c r="BE129">
        <v>0</v>
      </c>
      <c r="BF129">
        <v>1</v>
      </c>
      <c r="BG129">
        <v>0</v>
      </c>
      <c r="BH129">
        <v>1</v>
      </c>
      <c r="BI129">
        <v>1</v>
      </c>
      <c r="BJ129">
        <v>0</v>
      </c>
      <c r="BK129">
        <v>0</v>
      </c>
      <c r="BL129">
        <v>0</v>
      </c>
      <c r="BM129">
        <v>0</v>
      </c>
      <c r="BN129">
        <v>0</v>
      </c>
      <c r="BO129">
        <v>0</v>
      </c>
      <c r="BP129">
        <v>0</v>
      </c>
      <c r="BQ129">
        <v>1</v>
      </c>
      <c r="BR129">
        <v>0</v>
      </c>
      <c r="BS129">
        <v>1</v>
      </c>
      <c r="BT129">
        <v>0</v>
      </c>
      <c r="BU129">
        <v>0</v>
      </c>
      <c r="BV129">
        <v>0</v>
      </c>
      <c r="BW129">
        <v>0</v>
      </c>
      <c r="BX129">
        <v>0</v>
      </c>
      <c r="BY129">
        <v>1</v>
      </c>
      <c r="BZ129">
        <v>2</v>
      </c>
      <c r="CA129">
        <v>0</v>
      </c>
      <c r="CB129">
        <v>0</v>
      </c>
      <c r="CC129">
        <v>1</v>
      </c>
      <c r="CD129">
        <v>2</v>
      </c>
      <c r="CE129">
        <v>1</v>
      </c>
      <c r="CF129">
        <v>1</v>
      </c>
      <c r="CG129">
        <v>1</v>
      </c>
      <c r="CH129">
        <v>0</v>
      </c>
      <c r="CI129">
        <v>0</v>
      </c>
      <c r="CJ129">
        <v>2</v>
      </c>
      <c r="CK129">
        <v>1</v>
      </c>
    </row>
    <row r="130" spans="1:89" x14ac:dyDescent="0.25">
      <c r="A130" s="23" t="s">
        <v>401</v>
      </c>
      <c r="B130">
        <v>0</v>
      </c>
      <c r="C130">
        <v>1</v>
      </c>
      <c r="D130">
        <v>0</v>
      </c>
      <c r="E130">
        <v>0</v>
      </c>
      <c r="F130">
        <v>0</v>
      </c>
      <c r="G130">
        <v>1</v>
      </c>
      <c r="H130">
        <v>1</v>
      </c>
      <c r="I130">
        <v>0</v>
      </c>
      <c r="J130">
        <v>1</v>
      </c>
      <c r="K130">
        <v>0</v>
      </c>
      <c r="L130">
        <v>0</v>
      </c>
      <c r="M130">
        <v>0</v>
      </c>
      <c r="N130">
        <v>1</v>
      </c>
      <c r="O130">
        <v>1</v>
      </c>
      <c r="P130">
        <v>1</v>
      </c>
      <c r="Q130">
        <v>0</v>
      </c>
      <c r="R130">
        <v>0</v>
      </c>
      <c r="S130">
        <v>0</v>
      </c>
      <c r="T130">
        <v>0</v>
      </c>
      <c r="U130">
        <v>1</v>
      </c>
      <c r="V130">
        <v>0</v>
      </c>
      <c r="W130">
        <v>0</v>
      </c>
      <c r="X130">
        <v>1</v>
      </c>
      <c r="Y130">
        <v>2</v>
      </c>
      <c r="Z130">
        <v>0</v>
      </c>
      <c r="AA130">
        <v>0</v>
      </c>
      <c r="AB130">
        <v>1</v>
      </c>
      <c r="AC130">
        <v>1</v>
      </c>
      <c r="AD130">
        <v>1</v>
      </c>
      <c r="AE130">
        <v>0</v>
      </c>
      <c r="AF130">
        <v>0</v>
      </c>
      <c r="AG130">
        <v>0</v>
      </c>
      <c r="AH130">
        <v>0</v>
      </c>
      <c r="AI130">
        <v>0</v>
      </c>
      <c r="AJ130">
        <v>1</v>
      </c>
      <c r="AK130">
        <v>0</v>
      </c>
      <c r="AL130">
        <v>2</v>
      </c>
      <c r="AM130">
        <v>0</v>
      </c>
      <c r="AN130">
        <v>1</v>
      </c>
      <c r="AO130">
        <v>1</v>
      </c>
      <c r="AP130">
        <v>1</v>
      </c>
      <c r="AQ130">
        <v>0</v>
      </c>
      <c r="AR130">
        <v>0</v>
      </c>
      <c r="AS130">
        <v>0</v>
      </c>
      <c r="AT130">
        <v>2</v>
      </c>
      <c r="AU130">
        <v>0</v>
      </c>
      <c r="AV130">
        <v>0</v>
      </c>
      <c r="AW130">
        <v>1</v>
      </c>
      <c r="AX130">
        <v>0</v>
      </c>
      <c r="AY130">
        <v>0</v>
      </c>
      <c r="AZ130">
        <v>0</v>
      </c>
      <c r="BA130">
        <v>0</v>
      </c>
      <c r="BB130">
        <v>0</v>
      </c>
      <c r="BC130">
        <v>1</v>
      </c>
      <c r="BD130">
        <v>0</v>
      </c>
      <c r="BE130">
        <v>0</v>
      </c>
      <c r="BF130">
        <v>0</v>
      </c>
      <c r="BG130">
        <v>0</v>
      </c>
      <c r="BH130">
        <v>1</v>
      </c>
      <c r="BI130">
        <v>0</v>
      </c>
      <c r="BJ130">
        <v>0</v>
      </c>
      <c r="BK130">
        <v>0</v>
      </c>
      <c r="BL130">
        <v>0</v>
      </c>
      <c r="BM130">
        <v>0</v>
      </c>
      <c r="BN130">
        <v>1</v>
      </c>
      <c r="BO130">
        <v>1</v>
      </c>
      <c r="BP130">
        <v>0</v>
      </c>
      <c r="BQ130">
        <v>1</v>
      </c>
      <c r="BR130">
        <v>0</v>
      </c>
      <c r="BS130">
        <v>1</v>
      </c>
      <c r="BT130">
        <v>0</v>
      </c>
      <c r="BU130">
        <v>3</v>
      </c>
      <c r="BV130">
        <v>0</v>
      </c>
      <c r="BW130">
        <v>0</v>
      </c>
      <c r="BX130">
        <v>0</v>
      </c>
      <c r="BY130">
        <v>2</v>
      </c>
      <c r="BZ130">
        <v>0</v>
      </c>
      <c r="CA130">
        <v>0</v>
      </c>
      <c r="CB130">
        <v>0</v>
      </c>
      <c r="CC130">
        <v>1</v>
      </c>
      <c r="CD130">
        <v>1</v>
      </c>
      <c r="CE130">
        <v>1</v>
      </c>
      <c r="CF130">
        <v>2</v>
      </c>
      <c r="CG130">
        <v>1</v>
      </c>
      <c r="CH130">
        <v>1</v>
      </c>
      <c r="CI130">
        <v>0</v>
      </c>
      <c r="CJ130">
        <v>1</v>
      </c>
      <c r="CK130">
        <v>1</v>
      </c>
    </row>
    <row r="131" spans="1:89" x14ac:dyDescent="0.25">
      <c r="A131" s="23" t="s">
        <v>402</v>
      </c>
      <c r="B131">
        <v>1</v>
      </c>
      <c r="C131">
        <v>0</v>
      </c>
      <c r="D131">
        <v>0</v>
      </c>
      <c r="E131">
        <v>4</v>
      </c>
      <c r="F131">
        <v>0</v>
      </c>
      <c r="G131">
        <v>0</v>
      </c>
      <c r="H131">
        <v>0</v>
      </c>
      <c r="I131">
        <v>0</v>
      </c>
      <c r="J131">
        <v>0</v>
      </c>
      <c r="K131">
        <v>0</v>
      </c>
      <c r="L131">
        <v>1</v>
      </c>
      <c r="M131">
        <v>0</v>
      </c>
      <c r="N131">
        <v>0</v>
      </c>
      <c r="O131">
        <v>1</v>
      </c>
      <c r="P131">
        <v>1</v>
      </c>
      <c r="Q131">
        <v>2</v>
      </c>
      <c r="R131">
        <v>0</v>
      </c>
      <c r="S131">
        <v>0</v>
      </c>
      <c r="T131">
        <v>0</v>
      </c>
      <c r="U131">
        <v>0</v>
      </c>
      <c r="V131">
        <v>1</v>
      </c>
      <c r="W131">
        <v>0</v>
      </c>
      <c r="X131">
        <v>0</v>
      </c>
      <c r="Y131">
        <v>2</v>
      </c>
      <c r="Z131">
        <v>1</v>
      </c>
      <c r="AA131">
        <v>0</v>
      </c>
      <c r="AB131">
        <v>0</v>
      </c>
      <c r="AC131">
        <v>0</v>
      </c>
      <c r="AD131">
        <v>0</v>
      </c>
      <c r="AE131">
        <v>2</v>
      </c>
      <c r="AF131">
        <v>0</v>
      </c>
      <c r="AG131">
        <v>0</v>
      </c>
      <c r="AH131">
        <v>1</v>
      </c>
      <c r="AI131">
        <v>0</v>
      </c>
      <c r="AJ131">
        <v>0</v>
      </c>
      <c r="AK131">
        <v>0</v>
      </c>
      <c r="AL131">
        <v>0</v>
      </c>
      <c r="AM131">
        <v>1</v>
      </c>
      <c r="AN131">
        <v>0</v>
      </c>
      <c r="AO131">
        <v>0</v>
      </c>
      <c r="AP131">
        <v>2</v>
      </c>
      <c r="AQ131">
        <v>1</v>
      </c>
      <c r="AR131">
        <v>0</v>
      </c>
      <c r="AS131">
        <v>1</v>
      </c>
      <c r="AT131">
        <v>0</v>
      </c>
      <c r="AU131">
        <v>0</v>
      </c>
      <c r="AV131">
        <v>0</v>
      </c>
      <c r="AW131">
        <v>0</v>
      </c>
      <c r="AX131">
        <v>0</v>
      </c>
      <c r="AY131">
        <v>0</v>
      </c>
      <c r="AZ131">
        <v>0</v>
      </c>
      <c r="BA131">
        <v>0</v>
      </c>
      <c r="BB131">
        <v>1</v>
      </c>
      <c r="BC131">
        <v>1</v>
      </c>
      <c r="BD131">
        <v>0</v>
      </c>
      <c r="BE131">
        <v>0</v>
      </c>
      <c r="BF131">
        <v>0</v>
      </c>
      <c r="BG131">
        <v>0</v>
      </c>
      <c r="BH131">
        <v>1</v>
      </c>
      <c r="BI131">
        <v>0</v>
      </c>
      <c r="BJ131">
        <v>0</v>
      </c>
      <c r="BK131">
        <v>0</v>
      </c>
      <c r="BL131">
        <v>1</v>
      </c>
      <c r="BM131">
        <v>0</v>
      </c>
      <c r="BN131">
        <v>0</v>
      </c>
      <c r="BO131">
        <v>0</v>
      </c>
      <c r="BP131">
        <v>0</v>
      </c>
      <c r="BQ131">
        <v>2</v>
      </c>
      <c r="BR131">
        <v>0</v>
      </c>
      <c r="BS131">
        <v>2</v>
      </c>
      <c r="BT131">
        <v>0</v>
      </c>
      <c r="BU131">
        <v>1</v>
      </c>
      <c r="BV131">
        <v>0</v>
      </c>
      <c r="BW131">
        <v>0</v>
      </c>
      <c r="BX131">
        <v>1</v>
      </c>
      <c r="BY131">
        <v>0</v>
      </c>
      <c r="BZ131">
        <v>0</v>
      </c>
      <c r="CA131">
        <v>0</v>
      </c>
      <c r="CB131">
        <v>0</v>
      </c>
      <c r="CC131">
        <v>1</v>
      </c>
      <c r="CD131">
        <v>0</v>
      </c>
      <c r="CE131">
        <v>1</v>
      </c>
      <c r="CF131">
        <v>0</v>
      </c>
      <c r="CG131">
        <v>0</v>
      </c>
      <c r="CH131">
        <v>0</v>
      </c>
      <c r="CI131">
        <v>0</v>
      </c>
      <c r="CJ131">
        <v>1</v>
      </c>
      <c r="CK131">
        <v>1</v>
      </c>
    </row>
    <row r="132" spans="1:89" x14ac:dyDescent="0.25">
      <c r="A132" s="23" t="s">
        <v>403</v>
      </c>
      <c r="B132">
        <v>0</v>
      </c>
      <c r="C132">
        <v>0</v>
      </c>
      <c r="D132">
        <v>0</v>
      </c>
      <c r="E132">
        <v>2</v>
      </c>
      <c r="F132">
        <v>0</v>
      </c>
      <c r="G132">
        <v>0</v>
      </c>
      <c r="H132">
        <v>0</v>
      </c>
      <c r="I132">
        <v>0</v>
      </c>
      <c r="J132">
        <v>0</v>
      </c>
      <c r="K132">
        <v>0</v>
      </c>
      <c r="L132">
        <v>1</v>
      </c>
      <c r="M132">
        <v>0</v>
      </c>
      <c r="N132">
        <v>0</v>
      </c>
      <c r="O132">
        <v>0</v>
      </c>
      <c r="P132">
        <v>1</v>
      </c>
      <c r="Q132">
        <v>0</v>
      </c>
      <c r="R132">
        <v>1</v>
      </c>
      <c r="S132">
        <v>0</v>
      </c>
      <c r="T132">
        <v>0</v>
      </c>
      <c r="U132">
        <v>1</v>
      </c>
      <c r="V132">
        <v>1</v>
      </c>
      <c r="W132">
        <v>0</v>
      </c>
      <c r="X132">
        <v>0</v>
      </c>
      <c r="Y132">
        <v>1</v>
      </c>
      <c r="Z132">
        <v>0</v>
      </c>
      <c r="AA132">
        <v>0</v>
      </c>
      <c r="AB132">
        <v>1</v>
      </c>
      <c r="AC132">
        <v>0</v>
      </c>
      <c r="AD132">
        <v>0</v>
      </c>
      <c r="AE132">
        <v>1</v>
      </c>
      <c r="AF132">
        <v>1</v>
      </c>
      <c r="AG132">
        <v>1</v>
      </c>
      <c r="AH132">
        <v>0</v>
      </c>
      <c r="AI132">
        <v>0</v>
      </c>
      <c r="AJ132">
        <v>1</v>
      </c>
      <c r="AK132">
        <v>0</v>
      </c>
      <c r="AL132">
        <v>1</v>
      </c>
      <c r="AM132">
        <v>0</v>
      </c>
      <c r="AN132">
        <v>0</v>
      </c>
      <c r="AO132">
        <v>0</v>
      </c>
      <c r="AP132">
        <v>1</v>
      </c>
      <c r="AQ132">
        <v>0</v>
      </c>
      <c r="AR132">
        <v>0</v>
      </c>
      <c r="AS132">
        <v>0</v>
      </c>
      <c r="AT132">
        <v>0</v>
      </c>
      <c r="AU132">
        <v>1</v>
      </c>
      <c r="AV132">
        <v>0</v>
      </c>
      <c r="AW132">
        <v>0</v>
      </c>
      <c r="AX132">
        <v>1</v>
      </c>
      <c r="AY132">
        <v>0</v>
      </c>
      <c r="AZ132">
        <v>2</v>
      </c>
      <c r="BA132">
        <v>0</v>
      </c>
      <c r="BB132">
        <v>1</v>
      </c>
      <c r="BC132">
        <v>0</v>
      </c>
      <c r="BD132">
        <v>0</v>
      </c>
      <c r="BE132">
        <v>0</v>
      </c>
      <c r="BF132">
        <v>0</v>
      </c>
      <c r="BG132">
        <v>0</v>
      </c>
      <c r="BH132">
        <v>0</v>
      </c>
      <c r="BI132">
        <v>0</v>
      </c>
      <c r="BJ132">
        <v>0</v>
      </c>
      <c r="BK132">
        <v>0</v>
      </c>
      <c r="BL132">
        <v>0</v>
      </c>
      <c r="BM132">
        <v>1</v>
      </c>
      <c r="BN132">
        <v>1</v>
      </c>
      <c r="BO132">
        <v>0</v>
      </c>
      <c r="BP132">
        <v>3</v>
      </c>
      <c r="BQ132">
        <v>1</v>
      </c>
      <c r="BR132">
        <v>0</v>
      </c>
      <c r="BS132">
        <v>0</v>
      </c>
      <c r="BT132">
        <v>0</v>
      </c>
      <c r="BU132">
        <v>1</v>
      </c>
      <c r="BV132">
        <v>0</v>
      </c>
      <c r="BW132">
        <v>0</v>
      </c>
      <c r="BX132">
        <v>1</v>
      </c>
      <c r="BY132">
        <v>3</v>
      </c>
      <c r="BZ132">
        <v>0</v>
      </c>
      <c r="CA132">
        <v>0</v>
      </c>
      <c r="CB132">
        <v>0</v>
      </c>
      <c r="CC132">
        <v>0</v>
      </c>
      <c r="CD132">
        <v>0</v>
      </c>
      <c r="CE132">
        <v>0</v>
      </c>
      <c r="CF132">
        <v>0</v>
      </c>
      <c r="CG132">
        <v>1</v>
      </c>
      <c r="CH132">
        <v>2</v>
      </c>
      <c r="CI132">
        <v>0</v>
      </c>
      <c r="CJ132">
        <v>1</v>
      </c>
      <c r="CK132">
        <v>0</v>
      </c>
    </row>
    <row r="133" spans="1:89" x14ac:dyDescent="0.25">
      <c r="A133" s="23" t="s">
        <v>404</v>
      </c>
      <c r="B133">
        <v>0</v>
      </c>
      <c r="C133">
        <v>2</v>
      </c>
      <c r="D133">
        <v>0</v>
      </c>
      <c r="E133">
        <v>1</v>
      </c>
      <c r="F133">
        <v>0</v>
      </c>
      <c r="G133">
        <v>1</v>
      </c>
      <c r="H133">
        <v>0</v>
      </c>
      <c r="I133">
        <v>0</v>
      </c>
      <c r="J133">
        <v>0</v>
      </c>
      <c r="K133">
        <v>0</v>
      </c>
      <c r="L133">
        <v>0</v>
      </c>
      <c r="M133">
        <v>2</v>
      </c>
      <c r="N133">
        <v>0</v>
      </c>
      <c r="O133">
        <v>0</v>
      </c>
      <c r="P133">
        <v>0</v>
      </c>
      <c r="Q133">
        <v>0</v>
      </c>
      <c r="R133">
        <v>0</v>
      </c>
      <c r="S133">
        <v>0</v>
      </c>
      <c r="T133">
        <v>0</v>
      </c>
      <c r="U133">
        <v>0</v>
      </c>
      <c r="V133">
        <v>1</v>
      </c>
      <c r="W133">
        <v>0</v>
      </c>
      <c r="X133">
        <v>1</v>
      </c>
      <c r="Y133">
        <v>3</v>
      </c>
      <c r="Z133">
        <v>0</v>
      </c>
      <c r="AA133">
        <v>0</v>
      </c>
      <c r="AB133">
        <v>0</v>
      </c>
      <c r="AC133">
        <v>1</v>
      </c>
      <c r="AD133">
        <v>0</v>
      </c>
      <c r="AE133">
        <v>1</v>
      </c>
      <c r="AF133">
        <v>1</v>
      </c>
      <c r="AG133">
        <v>1</v>
      </c>
      <c r="AH133">
        <v>2</v>
      </c>
      <c r="AI133">
        <v>0</v>
      </c>
      <c r="AJ133">
        <v>1</v>
      </c>
      <c r="AK133">
        <v>1</v>
      </c>
      <c r="AL133">
        <v>0</v>
      </c>
      <c r="AM133">
        <v>0</v>
      </c>
      <c r="AN133">
        <v>1</v>
      </c>
      <c r="AO133">
        <v>0</v>
      </c>
      <c r="AP133">
        <v>0</v>
      </c>
      <c r="AQ133">
        <v>1</v>
      </c>
      <c r="AR133">
        <v>0</v>
      </c>
      <c r="AS133">
        <v>0</v>
      </c>
      <c r="AT133">
        <v>0</v>
      </c>
      <c r="AU133">
        <v>0</v>
      </c>
      <c r="AV133">
        <v>1</v>
      </c>
      <c r="AW133">
        <v>1</v>
      </c>
      <c r="AX133">
        <v>0</v>
      </c>
      <c r="AY133">
        <v>0</v>
      </c>
      <c r="AZ133">
        <v>0</v>
      </c>
      <c r="BA133">
        <v>0</v>
      </c>
      <c r="BB133">
        <v>1</v>
      </c>
      <c r="BC133">
        <v>1</v>
      </c>
      <c r="BD133">
        <v>0</v>
      </c>
      <c r="BE133">
        <v>1</v>
      </c>
      <c r="BF133">
        <v>0</v>
      </c>
      <c r="BG133">
        <v>0</v>
      </c>
      <c r="BH133">
        <v>0</v>
      </c>
      <c r="BI133">
        <v>2</v>
      </c>
      <c r="BJ133">
        <v>0</v>
      </c>
      <c r="BK133">
        <v>0</v>
      </c>
      <c r="BL133">
        <v>0</v>
      </c>
      <c r="BM133">
        <v>0</v>
      </c>
      <c r="BN133">
        <v>0</v>
      </c>
      <c r="BO133">
        <v>0</v>
      </c>
      <c r="BP133">
        <v>0</v>
      </c>
      <c r="BQ133">
        <v>1</v>
      </c>
      <c r="BR133">
        <v>0</v>
      </c>
      <c r="BS133">
        <v>0</v>
      </c>
      <c r="BT133">
        <v>0</v>
      </c>
      <c r="BU133">
        <v>1</v>
      </c>
      <c r="BV133">
        <v>0</v>
      </c>
      <c r="BW133">
        <v>0</v>
      </c>
      <c r="BX133">
        <v>0</v>
      </c>
      <c r="BY133">
        <v>0</v>
      </c>
      <c r="BZ133">
        <v>1</v>
      </c>
      <c r="CA133">
        <v>0</v>
      </c>
      <c r="CB133">
        <v>0</v>
      </c>
      <c r="CC133">
        <v>0</v>
      </c>
      <c r="CD133">
        <v>1</v>
      </c>
      <c r="CE133">
        <v>2</v>
      </c>
      <c r="CF133">
        <v>0</v>
      </c>
      <c r="CG133">
        <v>1</v>
      </c>
      <c r="CH133">
        <v>1</v>
      </c>
      <c r="CI133">
        <v>0</v>
      </c>
      <c r="CJ133">
        <v>1</v>
      </c>
      <c r="CK133">
        <v>1</v>
      </c>
    </row>
    <row r="134" spans="1:89" x14ac:dyDescent="0.25">
      <c r="A134" s="23" t="s">
        <v>405</v>
      </c>
      <c r="B134">
        <v>0</v>
      </c>
      <c r="C134">
        <v>0</v>
      </c>
      <c r="D134">
        <v>0</v>
      </c>
      <c r="E134">
        <v>0</v>
      </c>
      <c r="F134">
        <v>0</v>
      </c>
      <c r="G134">
        <v>1</v>
      </c>
      <c r="H134">
        <v>1</v>
      </c>
      <c r="I134">
        <v>0</v>
      </c>
      <c r="J134">
        <v>0</v>
      </c>
      <c r="K134">
        <v>0</v>
      </c>
      <c r="L134">
        <v>0</v>
      </c>
      <c r="M134">
        <v>3</v>
      </c>
      <c r="N134">
        <v>0</v>
      </c>
      <c r="O134">
        <v>0</v>
      </c>
      <c r="P134">
        <v>0</v>
      </c>
      <c r="Q134">
        <v>0</v>
      </c>
      <c r="R134">
        <v>0</v>
      </c>
      <c r="S134">
        <v>0</v>
      </c>
      <c r="T134">
        <v>0</v>
      </c>
      <c r="U134">
        <v>1</v>
      </c>
      <c r="V134">
        <v>1</v>
      </c>
      <c r="W134">
        <v>0</v>
      </c>
      <c r="X134">
        <v>1</v>
      </c>
      <c r="Y134">
        <v>3</v>
      </c>
      <c r="Z134">
        <v>0</v>
      </c>
      <c r="AA134">
        <v>0</v>
      </c>
      <c r="AB134">
        <v>0</v>
      </c>
      <c r="AC134">
        <v>4</v>
      </c>
      <c r="AD134">
        <v>0</v>
      </c>
      <c r="AE134">
        <v>0</v>
      </c>
      <c r="AF134">
        <v>0</v>
      </c>
      <c r="AG134">
        <v>0</v>
      </c>
      <c r="AH134">
        <v>0</v>
      </c>
      <c r="AI134">
        <v>0</v>
      </c>
      <c r="AJ134">
        <v>2</v>
      </c>
      <c r="AK134">
        <v>0</v>
      </c>
      <c r="AL134">
        <v>0</v>
      </c>
      <c r="AM134">
        <v>0</v>
      </c>
      <c r="AN134">
        <v>0</v>
      </c>
      <c r="AO134">
        <v>0</v>
      </c>
      <c r="AP134">
        <v>0</v>
      </c>
      <c r="AQ134">
        <v>0</v>
      </c>
      <c r="AR134">
        <v>0</v>
      </c>
      <c r="AS134">
        <v>0</v>
      </c>
      <c r="AT134">
        <v>1</v>
      </c>
      <c r="AU134">
        <v>0</v>
      </c>
      <c r="AV134">
        <v>1</v>
      </c>
      <c r="AW134">
        <v>2</v>
      </c>
      <c r="AX134">
        <v>0</v>
      </c>
      <c r="AY134">
        <v>0</v>
      </c>
      <c r="AZ134">
        <v>0</v>
      </c>
      <c r="BA134">
        <v>0</v>
      </c>
      <c r="BB134">
        <v>1</v>
      </c>
      <c r="BC134">
        <v>2</v>
      </c>
      <c r="BD134">
        <v>1</v>
      </c>
      <c r="BE134">
        <v>0</v>
      </c>
      <c r="BF134">
        <v>0</v>
      </c>
      <c r="BG134">
        <v>0</v>
      </c>
      <c r="BH134">
        <v>0</v>
      </c>
      <c r="BI134">
        <v>0</v>
      </c>
      <c r="BJ134">
        <v>0</v>
      </c>
      <c r="BK134">
        <v>0</v>
      </c>
      <c r="BL134">
        <v>0</v>
      </c>
      <c r="BM134">
        <v>0</v>
      </c>
      <c r="BN134">
        <v>0</v>
      </c>
      <c r="BO134">
        <v>0</v>
      </c>
      <c r="BP134">
        <v>0</v>
      </c>
      <c r="BQ134">
        <v>0</v>
      </c>
      <c r="BR134">
        <v>0</v>
      </c>
      <c r="BS134">
        <v>1</v>
      </c>
      <c r="BT134">
        <v>0</v>
      </c>
      <c r="BU134">
        <v>1</v>
      </c>
      <c r="BV134">
        <v>0</v>
      </c>
      <c r="BW134">
        <v>0</v>
      </c>
      <c r="BX134">
        <v>1</v>
      </c>
      <c r="BY134">
        <v>0</v>
      </c>
      <c r="BZ134">
        <v>0</v>
      </c>
      <c r="CA134">
        <v>1</v>
      </c>
      <c r="CB134">
        <v>0</v>
      </c>
      <c r="CC134">
        <v>0</v>
      </c>
      <c r="CD134">
        <v>1</v>
      </c>
      <c r="CE134">
        <v>1</v>
      </c>
      <c r="CF134">
        <v>0</v>
      </c>
      <c r="CG134">
        <v>0</v>
      </c>
      <c r="CH134">
        <v>0</v>
      </c>
      <c r="CI134">
        <v>0</v>
      </c>
      <c r="CJ134">
        <v>1</v>
      </c>
      <c r="CK134">
        <v>1</v>
      </c>
    </row>
    <row r="135" spans="1:89" x14ac:dyDescent="0.25">
      <c r="A135" s="23" t="s">
        <v>406</v>
      </c>
      <c r="B135">
        <v>0</v>
      </c>
      <c r="C135">
        <v>1</v>
      </c>
      <c r="D135">
        <v>0</v>
      </c>
      <c r="E135">
        <v>0</v>
      </c>
      <c r="F135">
        <v>0</v>
      </c>
      <c r="G135">
        <v>2</v>
      </c>
      <c r="H135">
        <v>1</v>
      </c>
      <c r="I135">
        <v>0</v>
      </c>
      <c r="J135">
        <v>0</v>
      </c>
      <c r="K135">
        <v>0</v>
      </c>
      <c r="L135">
        <v>1</v>
      </c>
      <c r="M135">
        <v>1</v>
      </c>
      <c r="N135">
        <v>0</v>
      </c>
      <c r="O135">
        <v>0</v>
      </c>
      <c r="P135">
        <v>1</v>
      </c>
      <c r="Q135">
        <v>1</v>
      </c>
      <c r="R135">
        <v>0</v>
      </c>
      <c r="S135">
        <v>1</v>
      </c>
      <c r="T135">
        <v>0</v>
      </c>
      <c r="U135">
        <v>0</v>
      </c>
      <c r="V135">
        <v>0</v>
      </c>
      <c r="W135">
        <v>0</v>
      </c>
      <c r="X135">
        <v>2</v>
      </c>
      <c r="Y135">
        <v>1</v>
      </c>
      <c r="Z135">
        <v>0</v>
      </c>
      <c r="AA135">
        <v>1</v>
      </c>
      <c r="AB135">
        <v>2</v>
      </c>
      <c r="AC135">
        <v>1</v>
      </c>
      <c r="AD135">
        <v>0</v>
      </c>
      <c r="AE135">
        <v>0</v>
      </c>
      <c r="AF135">
        <v>0</v>
      </c>
      <c r="AG135">
        <v>0</v>
      </c>
      <c r="AH135">
        <v>0</v>
      </c>
      <c r="AI135">
        <v>0</v>
      </c>
      <c r="AJ135">
        <v>1</v>
      </c>
      <c r="AK135">
        <v>2</v>
      </c>
      <c r="AL135">
        <v>1</v>
      </c>
      <c r="AM135">
        <v>1</v>
      </c>
      <c r="AN135">
        <v>2</v>
      </c>
      <c r="AO135">
        <v>0</v>
      </c>
      <c r="AP135">
        <v>1</v>
      </c>
      <c r="AQ135">
        <v>1</v>
      </c>
      <c r="AR135">
        <v>0</v>
      </c>
      <c r="AS135">
        <v>0</v>
      </c>
      <c r="AT135">
        <v>0</v>
      </c>
      <c r="AU135">
        <v>0</v>
      </c>
      <c r="AV135">
        <v>0</v>
      </c>
      <c r="AW135">
        <v>0</v>
      </c>
      <c r="AX135">
        <v>0</v>
      </c>
      <c r="AY135">
        <v>2</v>
      </c>
      <c r="AZ135">
        <v>0</v>
      </c>
      <c r="BA135">
        <v>0</v>
      </c>
      <c r="BB135">
        <v>2</v>
      </c>
      <c r="BC135">
        <v>2</v>
      </c>
      <c r="BD135">
        <v>0</v>
      </c>
      <c r="BE135">
        <v>0</v>
      </c>
      <c r="BF135">
        <v>1</v>
      </c>
      <c r="BG135">
        <v>0</v>
      </c>
      <c r="BH135">
        <v>0</v>
      </c>
      <c r="BI135">
        <v>0</v>
      </c>
      <c r="BJ135">
        <v>0</v>
      </c>
      <c r="BK135">
        <v>0</v>
      </c>
      <c r="BL135">
        <v>0</v>
      </c>
      <c r="BM135">
        <v>0</v>
      </c>
      <c r="BN135">
        <v>1</v>
      </c>
      <c r="BO135">
        <v>0</v>
      </c>
      <c r="BP135">
        <v>0</v>
      </c>
      <c r="BQ135">
        <v>0</v>
      </c>
      <c r="BR135">
        <v>0</v>
      </c>
      <c r="BS135">
        <v>4</v>
      </c>
      <c r="BT135">
        <v>0</v>
      </c>
      <c r="BU135">
        <v>1</v>
      </c>
      <c r="BV135">
        <v>0</v>
      </c>
      <c r="BW135">
        <v>0</v>
      </c>
      <c r="BX135">
        <v>0</v>
      </c>
      <c r="BY135">
        <v>3</v>
      </c>
      <c r="BZ135">
        <v>0</v>
      </c>
      <c r="CA135">
        <v>0</v>
      </c>
      <c r="CB135">
        <v>0</v>
      </c>
      <c r="CC135">
        <v>0</v>
      </c>
      <c r="CD135">
        <v>2</v>
      </c>
      <c r="CE135">
        <v>1</v>
      </c>
      <c r="CF135">
        <v>0</v>
      </c>
      <c r="CG135">
        <v>0</v>
      </c>
      <c r="CH135">
        <v>2</v>
      </c>
      <c r="CI135">
        <v>0</v>
      </c>
      <c r="CJ135">
        <v>0</v>
      </c>
      <c r="CK135">
        <v>0</v>
      </c>
    </row>
    <row r="136" spans="1:89" x14ac:dyDescent="0.25">
      <c r="A136" s="23" t="s">
        <v>407</v>
      </c>
      <c r="B136">
        <v>0</v>
      </c>
      <c r="C136">
        <v>0</v>
      </c>
      <c r="D136">
        <v>0</v>
      </c>
      <c r="E136">
        <v>1</v>
      </c>
      <c r="F136">
        <v>0</v>
      </c>
      <c r="G136">
        <v>0</v>
      </c>
      <c r="H136">
        <v>0</v>
      </c>
      <c r="I136">
        <v>0</v>
      </c>
      <c r="J136">
        <v>1</v>
      </c>
      <c r="K136">
        <v>0</v>
      </c>
      <c r="L136">
        <v>0</v>
      </c>
      <c r="M136">
        <v>1</v>
      </c>
      <c r="N136">
        <v>0</v>
      </c>
      <c r="O136">
        <v>0</v>
      </c>
      <c r="P136">
        <v>0</v>
      </c>
      <c r="Q136">
        <v>0</v>
      </c>
      <c r="R136">
        <v>0</v>
      </c>
      <c r="S136">
        <v>0</v>
      </c>
      <c r="T136">
        <v>0</v>
      </c>
      <c r="U136">
        <v>0</v>
      </c>
      <c r="V136">
        <v>1</v>
      </c>
      <c r="W136">
        <v>0</v>
      </c>
      <c r="X136">
        <v>1</v>
      </c>
      <c r="Y136">
        <v>2</v>
      </c>
      <c r="AA136">
        <v>0</v>
      </c>
      <c r="AB136">
        <v>1</v>
      </c>
      <c r="AC136">
        <v>0</v>
      </c>
      <c r="AD136">
        <v>0</v>
      </c>
      <c r="AE136">
        <v>0</v>
      </c>
      <c r="AF136">
        <v>1</v>
      </c>
      <c r="AG136">
        <v>1</v>
      </c>
      <c r="AH136">
        <v>1</v>
      </c>
      <c r="AI136">
        <v>0</v>
      </c>
      <c r="AJ136">
        <v>0</v>
      </c>
      <c r="AK136">
        <v>0</v>
      </c>
      <c r="AL136">
        <v>1</v>
      </c>
      <c r="AM136">
        <v>0</v>
      </c>
      <c r="AN136">
        <v>1</v>
      </c>
      <c r="AO136">
        <v>0</v>
      </c>
      <c r="AP136">
        <v>1</v>
      </c>
      <c r="AQ136">
        <v>1</v>
      </c>
      <c r="AR136">
        <v>0</v>
      </c>
      <c r="AS136">
        <v>0</v>
      </c>
      <c r="AT136">
        <v>0</v>
      </c>
      <c r="AU136">
        <v>0</v>
      </c>
      <c r="AV136">
        <v>1</v>
      </c>
      <c r="AW136">
        <v>1</v>
      </c>
      <c r="AX136">
        <v>0</v>
      </c>
      <c r="AY136">
        <v>2</v>
      </c>
      <c r="AZ136">
        <v>1</v>
      </c>
      <c r="BA136">
        <v>0</v>
      </c>
      <c r="BB136">
        <v>1</v>
      </c>
      <c r="BC136">
        <v>2</v>
      </c>
      <c r="BD136">
        <v>1</v>
      </c>
      <c r="BE136">
        <v>0</v>
      </c>
      <c r="BF136">
        <v>1</v>
      </c>
      <c r="BG136">
        <v>0</v>
      </c>
      <c r="BH136">
        <v>0</v>
      </c>
      <c r="BI136">
        <v>0</v>
      </c>
      <c r="BJ136">
        <v>0</v>
      </c>
      <c r="BK136">
        <v>0</v>
      </c>
      <c r="BL136">
        <v>0</v>
      </c>
      <c r="BM136">
        <v>0</v>
      </c>
      <c r="BN136">
        <v>1</v>
      </c>
      <c r="BO136">
        <v>0</v>
      </c>
      <c r="BP136">
        <v>0</v>
      </c>
      <c r="BQ136">
        <v>3</v>
      </c>
      <c r="BR136">
        <v>0</v>
      </c>
      <c r="BS136">
        <v>3</v>
      </c>
      <c r="BT136">
        <v>0</v>
      </c>
      <c r="BU136">
        <v>1</v>
      </c>
      <c r="BV136">
        <v>1</v>
      </c>
      <c r="BW136">
        <v>0</v>
      </c>
      <c r="BX136">
        <v>1</v>
      </c>
      <c r="BY136">
        <v>1</v>
      </c>
      <c r="BZ136">
        <v>0</v>
      </c>
      <c r="CA136">
        <v>1</v>
      </c>
      <c r="CB136">
        <v>0</v>
      </c>
      <c r="CC136">
        <v>0</v>
      </c>
      <c r="CD136">
        <v>3</v>
      </c>
      <c r="CE136">
        <v>1</v>
      </c>
      <c r="CF136">
        <v>1</v>
      </c>
      <c r="CG136">
        <v>0</v>
      </c>
      <c r="CH136">
        <v>0</v>
      </c>
      <c r="CI136">
        <v>0</v>
      </c>
      <c r="CJ136">
        <v>0</v>
      </c>
      <c r="CK136">
        <v>0</v>
      </c>
    </row>
    <row r="137" spans="1:89" x14ac:dyDescent="0.25">
      <c r="A137" s="23"/>
    </row>
    <row r="138" spans="1:89" x14ac:dyDescent="0.25">
      <c r="A138" s="23" t="s">
        <v>296</v>
      </c>
      <c r="B138">
        <v>0</v>
      </c>
      <c r="C138">
        <v>1</v>
      </c>
      <c r="D138">
        <v>4</v>
      </c>
      <c r="E138">
        <v>1</v>
      </c>
      <c r="F138">
        <v>1</v>
      </c>
      <c r="G138">
        <v>1</v>
      </c>
      <c r="H138">
        <v>0</v>
      </c>
      <c r="I138">
        <v>0</v>
      </c>
      <c r="J138">
        <v>0</v>
      </c>
      <c r="K138">
        <v>2</v>
      </c>
      <c r="L138">
        <v>0</v>
      </c>
      <c r="M138">
        <v>1</v>
      </c>
      <c r="N138">
        <v>0</v>
      </c>
      <c r="O138">
        <v>0</v>
      </c>
      <c r="P138">
        <v>0</v>
      </c>
      <c r="Q138">
        <v>0</v>
      </c>
      <c r="R138">
        <v>0</v>
      </c>
      <c r="S138">
        <v>2</v>
      </c>
      <c r="T138">
        <v>0</v>
      </c>
      <c r="U138">
        <v>0</v>
      </c>
      <c r="V138">
        <v>1</v>
      </c>
      <c r="W138">
        <v>0</v>
      </c>
      <c r="X138">
        <v>0</v>
      </c>
      <c r="Y138">
        <v>1</v>
      </c>
      <c r="Z138">
        <v>1</v>
      </c>
      <c r="AA138">
        <v>0</v>
      </c>
      <c r="AB138">
        <v>0</v>
      </c>
      <c r="AC138">
        <v>0</v>
      </c>
      <c r="AD138">
        <v>0</v>
      </c>
      <c r="AE138">
        <v>0</v>
      </c>
      <c r="AF138">
        <v>0</v>
      </c>
      <c r="AG138">
        <v>0</v>
      </c>
      <c r="AH138">
        <v>0</v>
      </c>
      <c r="AI138">
        <v>1</v>
      </c>
      <c r="AJ138">
        <v>0</v>
      </c>
      <c r="AK138">
        <v>1</v>
      </c>
      <c r="AL138">
        <v>1</v>
      </c>
      <c r="AM138">
        <v>0</v>
      </c>
      <c r="AN138">
        <v>0</v>
      </c>
      <c r="AO138">
        <v>0</v>
      </c>
      <c r="AP138">
        <v>0</v>
      </c>
      <c r="AQ138">
        <v>0</v>
      </c>
      <c r="AR138">
        <v>0</v>
      </c>
      <c r="AS138">
        <v>1</v>
      </c>
      <c r="AT138">
        <v>0</v>
      </c>
      <c r="AU138">
        <v>0</v>
      </c>
      <c r="AV138">
        <v>1</v>
      </c>
      <c r="AW138">
        <v>0</v>
      </c>
      <c r="AX138">
        <v>0</v>
      </c>
      <c r="AY138">
        <v>1</v>
      </c>
      <c r="AZ138">
        <v>0</v>
      </c>
      <c r="BA138">
        <v>0</v>
      </c>
      <c r="BB138">
        <v>1</v>
      </c>
      <c r="BC138">
        <v>0</v>
      </c>
      <c r="BD138">
        <v>0</v>
      </c>
      <c r="BE138">
        <v>0</v>
      </c>
      <c r="BF138">
        <v>0</v>
      </c>
      <c r="BG138">
        <v>0</v>
      </c>
      <c r="BH138">
        <v>0</v>
      </c>
      <c r="BI138">
        <v>0</v>
      </c>
      <c r="BJ138">
        <v>1</v>
      </c>
      <c r="BK138">
        <v>0</v>
      </c>
      <c r="BL138">
        <v>0</v>
      </c>
      <c r="BM138">
        <v>0</v>
      </c>
      <c r="BN138">
        <v>0</v>
      </c>
      <c r="BO138">
        <v>1</v>
      </c>
      <c r="BP138">
        <v>0</v>
      </c>
      <c r="BQ138">
        <v>0</v>
      </c>
      <c r="BR138">
        <v>0</v>
      </c>
      <c r="BS138">
        <v>0</v>
      </c>
      <c r="BT138">
        <v>1</v>
      </c>
      <c r="BU138">
        <v>0</v>
      </c>
      <c r="BV138">
        <v>2</v>
      </c>
      <c r="BW138">
        <v>0</v>
      </c>
      <c r="BX138">
        <v>0</v>
      </c>
      <c r="BY138">
        <v>0</v>
      </c>
      <c r="BZ138">
        <v>2</v>
      </c>
      <c r="CA138">
        <v>0</v>
      </c>
      <c r="CB138">
        <v>0</v>
      </c>
      <c r="CC138">
        <v>1</v>
      </c>
      <c r="CD138">
        <v>2</v>
      </c>
      <c r="CE138">
        <v>0</v>
      </c>
      <c r="CF138">
        <v>1</v>
      </c>
      <c r="CG138">
        <v>0</v>
      </c>
      <c r="CH138">
        <v>0</v>
      </c>
      <c r="CI138">
        <v>1</v>
      </c>
      <c r="CJ138">
        <v>0</v>
      </c>
      <c r="CK138">
        <v>0</v>
      </c>
    </row>
    <row r="139" spans="1:89" x14ac:dyDescent="0.25">
      <c r="A139" s="23" t="s">
        <v>297</v>
      </c>
      <c r="B139">
        <v>1</v>
      </c>
      <c r="C139">
        <v>3</v>
      </c>
      <c r="D139">
        <v>4</v>
      </c>
      <c r="E139">
        <v>0</v>
      </c>
      <c r="F139">
        <v>2</v>
      </c>
      <c r="G139">
        <v>0</v>
      </c>
      <c r="H139">
        <v>0</v>
      </c>
      <c r="I139">
        <v>0</v>
      </c>
      <c r="J139">
        <v>0</v>
      </c>
      <c r="K139">
        <v>2</v>
      </c>
      <c r="L139">
        <v>0</v>
      </c>
      <c r="M139">
        <v>1</v>
      </c>
      <c r="N139">
        <v>0</v>
      </c>
      <c r="O139">
        <v>1</v>
      </c>
      <c r="P139">
        <v>0</v>
      </c>
      <c r="Q139">
        <v>3</v>
      </c>
      <c r="R139">
        <v>0</v>
      </c>
      <c r="S139">
        <v>3</v>
      </c>
      <c r="T139">
        <v>0</v>
      </c>
      <c r="U139">
        <v>0</v>
      </c>
      <c r="V139">
        <v>1</v>
      </c>
      <c r="W139">
        <v>0</v>
      </c>
      <c r="X139">
        <v>0</v>
      </c>
      <c r="Y139">
        <v>1</v>
      </c>
      <c r="Z139">
        <v>0</v>
      </c>
      <c r="AA139">
        <v>0</v>
      </c>
      <c r="AB139">
        <v>0</v>
      </c>
      <c r="AC139">
        <v>0</v>
      </c>
      <c r="AD139">
        <v>2</v>
      </c>
      <c r="AE139">
        <v>0</v>
      </c>
      <c r="AF139">
        <v>1</v>
      </c>
      <c r="AG139">
        <v>0</v>
      </c>
      <c r="AH139">
        <v>0</v>
      </c>
      <c r="AI139">
        <v>0</v>
      </c>
      <c r="AJ139">
        <v>0</v>
      </c>
      <c r="AK139">
        <v>0</v>
      </c>
      <c r="AL139">
        <v>1</v>
      </c>
      <c r="AM139">
        <v>0</v>
      </c>
      <c r="AN139">
        <v>0</v>
      </c>
      <c r="AO139">
        <v>0</v>
      </c>
      <c r="AP139">
        <v>0</v>
      </c>
      <c r="AQ139">
        <v>0</v>
      </c>
      <c r="AR139">
        <v>0</v>
      </c>
      <c r="AS139">
        <v>1</v>
      </c>
      <c r="AT139">
        <v>0</v>
      </c>
      <c r="AU139">
        <v>0</v>
      </c>
      <c r="AV139">
        <v>0</v>
      </c>
      <c r="AW139">
        <v>0</v>
      </c>
      <c r="AX139">
        <v>0</v>
      </c>
      <c r="AY139">
        <v>2</v>
      </c>
      <c r="AZ139">
        <v>0</v>
      </c>
      <c r="BA139">
        <v>1</v>
      </c>
      <c r="BB139">
        <v>1</v>
      </c>
      <c r="BC139">
        <v>2</v>
      </c>
      <c r="BD139">
        <v>0</v>
      </c>
      <c r="BE139">
        <v>0</v>
      </c>
      <c r="BF139">
        <v>1</v>
      </c>
      <c r="BG139">
        <v>0</v>
      </c>
      <c r="BH139">
        <v>1</v>
      </c>
      <c r="BI139">
        <v>0</v>
      </c>
      <c r="BJ139">
        <v>2</v>
      </c>
      <c r="BK139">
        <v>0</v>
      </c>
      <c r="BL139">
        <v>1</v>
      </c>
      <c r="BM139">
        <v>0</v>
      </c>
      <c r="BN139">
        <v>0</v>
      </c>
      <c r="BO139">
        <v>0</v>
      </c>
      <c r="BP139">
        <v>0</v>
      </c>
      <c r="BQ139">
        <v>1</v>
      </c>
      <c r="BR139">
        <v>0</v>
      </c>
      <c r="BS139">
        <v>0</v>
      </c>
      <c r="BT139">
        <v>2</v>
      </c>
      <c r="BU139">
        <v>1</v>
      </c>
      <c r="BV139">
        <v>2</v>
      </c>
      <c r="BW139">
        <v>0</v>
      </c>
      <c r="BX139">
        <v>2</v>
      </c>
      <c r="BY139">
        <v>2</v>
      </c>
      <c r="BZ139">
        <v>0</v>
      </c>
      <c r="CA139">
        <v>0</v>
      </c>
      <c r="CB139">
        <v>0</v>
      </c>
      <c r="CC139">
        <v>0</v>
      </c>
      <c r="CD139">
        <v>1</v>
      </c>
      <c r="CE139">
        <v>1</v>
      </c>
      <c r="CF139">
        <v>0</v>
      </c>
      <c r="CG139">
        <v>0</v>
      </c>
      <c r="CH139">
        <v>2</v>
      </c>
      <c r="CI139">
        <v>1</v>
      </c>
      <c r="CJ139">
        <v>0</v>
      </c>
      <c r="CK139">
        <v>2</v>
      </c>
    </row>
    <row r="140" spans="1:89" x14ac:dyDescent="0.25">
      <c r="A140" s="23" t="s">
        <v>298</v>
      </c>
      <c r="B140">
        <v>0</v>
      </c>
      <c r="C140">
        <v>1</v>
      </c>
      <c r="D140">
        <v>3</v>
      </c>
      <c r="E140">
        <v>1</v>
      </c>
      <c r="F140">
        <v>0</v>
      </c>
      <c r="G140">
        <v>0</v>
      </c>
      <c r="H140">
        <v>0</v>
      </c>
      <c r="I140">
        <v>2</v>
      </c>
      <c r="J140">
        <v>1</v>
      </c>
      <c r="K140">
        <v>1</v>
      </c>
      <c r="L140">
        <v>0</v>
      </c>
      <c r="M140">
        <v>2</v>
      </c>
      <c r="N140">
        <v>0</v>
      </c>
      <c r="O140">
        <v>2</v>
      </c>
      <c r="P140">
        <v>0</v>
      </c>
      <c r="Q140">
        <v>0</v>
      </c>
      <c r="R140">
        <v>0</v>
      </c>
      <c r="S140">
        <v>3</v>
      </c>
      <c r="T140">
        <v>0</v>
      </c>
      <c r="U140">
        <v>0</v>
      </c>
      <c r="V140">
        <v>3</v>
      </c>
      <c r="W140">
        <v>0</v>
      </c>
      <c r="X140">
        <v>1</v>
      </c>
      <c r="Y140">
        <v>1</v>
      </c>
      <c r="Z140">
        <v>2</v>
      </c>
      <c r="AA140">
        <v>0</v>
      </c>
      <c r="AB140">
        <v>0</v>
      </c>
      <c r="AC140">
        <v>0</v>
      </c>
      <c r="AD140">
        <v>2</v>
      </c>
      <c r="AE140">
        <v>0</v>
      </c>
      <c r="AF140">
        <v>0</v>
      </c>
      <c r="AG140">
        <v>0</v>
      </c>
      <c r="AH140">
        <v>0</v>
      </c>
      <c r="AI140">
        <v>0</v>
      </c>
      <c r="AJ140">
        <v>0</v>
      </c>
      <c r="AK140">
        <v>3</v>
      </c>
      <c r="AL140">
        <v>0</v>
      </c>
      <c r="AM140">
        <v>0</v>
      </c>
      <c r="AN140">
        <v>0</v>
      </c>
      <c r="AO140">
        <v>0</v>
      </c>
      <c r="AP140">
        <v>0</v>
      </c>
      <c r="AQ140">
        <v>0</v>
      </c>
      <c r="AR140">
        <v>1</v>
      </c>
      <c r="AS140">
        <v>1</v>
      </c>
      <c r="AT140">
        <v>0</v>
      </c>
      <c r="AU140">
        <v>0</v>
      </c>
      <c r="AV140">
        <v>0</v>
      </c>
      <c r="AW140">
        <v>0</v>
      </c>
      <c r="AX140">
        <v>0</v>
      </c>
      <c r="AY140">
        <v>2</v>
      </c>
      <c r="AZ140">
        <v>0</v>
      </c>
      <c r="BA140">
        <v>2</v>
      </c>
      <c r="BB140">
        <v>1</v>
      </c>
      <c r="BC140">
        <v>0</v>
      </c>
      <c r="BD140">
        <v>1</v>
      </c>
      <c r="BE140">
        <v>0</v>
      </c>
      <c r="BF140">
        <v>1</v>
      </c>
      <c r="BG140">
        <v>2</v>
      </c>
      <c r="BH140">
        <v>1</v>
      </c>
      <c r="BI140">
        <v>0</v>
      </c>
      <c r="BJ140">
        <v>0</v>
      </c>
      <c r="BK140">
        <v>0</v>
      </c>
      <c r="BL140">
        <v>0</v>
      </c>
      <c r="BM140">
        <v>0</v>
      </c>
      <c r="BN140">
        <v>0</v>
      </c>
      <c r="BO140">
        <v>1</v>
      </c>
      <c r="BP140">
        <v>0</v>
      </c>
      <c r="BQ140">
        <v>0</v>
      </c>
      <c r="BR140">
        <v>0</v>
      </c>
      <c r="BS140">
        <v>0</v>
      </c>
      <c r="BT140">
        <v>2</v>
      </c>
      <c r="BU140">
        <v>0</v>
      </c>
      <c r="BV140">
        <v>1</v>
      </c>
      <c r="BW140">
        <v>0</v>
      </c>
      <c r="BX140">
        <v>0</v>
      </c>
      <c r="BY140">
        <v>2</v>
      </c>
      <c r="BZ140">
        <v>0</v>
      </c>
      <c r="CA140">
        <v>0</v>
      </c>
      <c r="CB140">
        <v>3</v>
      </c>
      <c r="CC140">
        <v>1</v>
      </c>
      <c r="CD140">
        <v>0</v>
      </c>
      <c r="CE140">
        <v>0</v>
      </c>
      <c r="CF140">
        <v>0</v>
      </c>
      <c r="CG140">
        <v>1</v>
      </c>
      <c r="CH140">
        <v>0</v>
      </c>
      <c r="CI140">
        <v>1</v>
      </c>
      <c r="CJ140">
        <v>3</v>
      </c>
      <c r="CK140">
        <v>1</v>
      </c>
    </row>
    <row r="141" spans="1:89" x14ac:dyDescent="0.25">
      <c r="A141" s="23" t="s">
        <v>299</v>
      </c>
      <c r="B141">
        <v>1</v>
      </c>
      <c r="C141">
        <v>2</v>
      </c>
      <c r="D141">
        <v>3</v>
      </c>
      <c r="E141">
        <v>0</v>
      </c>
      <c r="F141">
        <v>1</v>
      </c>
      <c r="G141">
        <v>0</v>
      </c>
      <c r="H141">
        <v>0</v>
      </c>
      <c r="I141">
        <v>0</v>
      </c>
      <c r="J141">
        <v>0</v>
      </c>
      <c r="K141">
        <v>1</v>
      </c>
      <c r="L141">
        <v>0</v>
      </c>
      <c r="M141">
        <v>0</v>
      </c>
      <c r="N141">
        <v>0</v>
      </c>
      <c r="O141">
        <v>2</v>
      </c>
      <c r="P141">
        <v>0</v>
      </c>
      <c r="Q141">
        <v>0</v>
      </c>
      <c r="R141">
        <v>1</v>
      </c>
      <c r="S141">
        <v>2</v>
      </c>
      <c r="T141">
        <v>0</v>
      </c>
      <c r="U141">
        <v>0</v>
      </c>
      <c r="V141">
        <v>3</v>
      </c>
      <c r="W141">
        <v>0</v>
      </c>
      <c r="X141">
        <v>1</v>
      </c>
      <c r="Y141">
        <v>1</v>
      </c>
      <c r="Z141">
        <v>1</v>
      </c>
      <c r="AA141">
        <v>0</v>
      </c>
      <c r="AB141">
        <v>0</v>
      </c>
      <c r="AC141">
        <v>0</v>
      </c>
      <c r="AD141">
        <v>1</v>
      </c>
      <c r="AE141">
        <v>1</v>
      </c>
      <c r="AF141">
        <v>0</v>
      </c>
      <c r="AG141">
        <v>0</v>
      </c>
      <c r="AH141">
        <v>0</v>
      </c>
      <c r="AI141">
        <v>0</v>
      </c>
      <c r="AJ141">
        <v>0</v>
      </c>
      <c r="AK141">
        <v>1</v>
      </c>
      <c r="AL141">
        <v>1</v>
      </c>
      <c r="AM141">
        <v>0</v>
      </c>
      <c r="AN141">
        <v>0</v>
      </c>
      <c r="AO141">
        <v>1</v>
      </c>
      <c r="AP141">
        <v>0</v>
      </c>
      <c r="AQ141">
        <v>1</v>
      </c>
      <c r="AR141">
        <v>0</v>
      </c>
      <c r="AS141">
        <v>1</v>
      </c>
      <c r="AT141">
        <v>0</v>
      </c>
      <c r="AU141">
        <v>0</v>
      </c>
      <c r="AV141">
        <v>0</v>
      </c>
      <c r="AW141">
        <v>0</v>
      </c>
      <c r="AX141">
        <v>0</v>
      </c>
      <c r="AY141">
        <v>1</v>
      </c>
      <c r="AZ141">
        <v>0</v>
      </c>
      <c r="BA141">
        <v>1</v>
      </c>
      <c r="BB141">
        <v>1</v>
      </c>
      <c r="BC141">
        <v>0</v>
      </c>
      <c r="BD141">
        <v>0</v>
      </c>
      <c r="BE141">
        <v>0</v>
      </c>
      <c r="BF141">
        <v>0</v>
      </c>
      <c r="BG141">
        <v>2</v>
      </c>
      <c r="BH141">
        <v>0</v>
      </c>
      <c r="BI141">
        <v>1</v>
      </c>
      <c r="BJ141">
        <v>1</v>
      </c>
      <c r="BK141">
        <v>1</v>
      </c>
      <c r="BL141">
        <v>1</v>
      </c>
      <c r="BM141">
        <v>0</v>
      </c>
      <c r="BN141">
        <v>2</v>
      </c>
      <c r="BO141">
        <v>1</v>
      </c>
      <c r="BP141">
        <v>0</v>
      </c>
      <c r="BQ141">
        <v>0</v>
      </c>
      <c r="BR141">
        <v>0</v>
      </c>
      <c r="BS141">
        <v>0</v>
      </c>
      <c r="BT141">
        <v>2</v>
      </c>
      <c r="BU141">
        <v>1</v>
      </c>
      <c r="BV141">
        <v>2</v>
      </c>
      <c r="BW141">
        <v>0</v>
      </c>
      <c r="BX141">
        <v>0</v>
      </c>
      <c r="BY141">
        <v>0</v>
      </c>
      <c r="BZ141">
        <v>0</v>
      </c>
      <c r="CA141">
        <v>0</v>
      </c>
      <c r="CB141">
        <v>2</v>
      </c>
      <c r="CC141">
        <v>0</v>
      </c>
      <c r="CD141">
        <v>0</v>
      </c>
      <c r="CE141">
        <v>0</v>
      </c>
      <c r="CF141">
        <v>0</v>
      </c>
      <c r="CG141">
        <v>0</v>
      </c>
      <c r="CH141">
        <v>0</v>
      </c>
      <c r="CI141">
        <v>2</v>
      </c>
      <c r="CJ141">
        <v>2</v>
      </c>
      <c r="CK141">
        <v>0</v>
      </c>
    </row>
    <row r="142" spans="1:89" x14ac:dyDescent="0.25">
      <c r="A142" s="23" t="s">
        <v>300</v>
      </c>
      <c r="B142">
        <v>0</v>
      </c>
      <c r="C142">
        <v>0</v>
      </c>
      <c r="D142">
        <v>3</v>
      </c>
      <c r="E142">
        <v>1</v>
      </c>
      <c r="F142">
        <v>2</v>
      </c>
      <c r="G142">
        <v>0</v>
      </c>
      <c r="H142">
        <v>1</v>
      </c>
      <c r="I142">
        <v>0</v>
      </c>
      <c r="J142">
        <v>0</v>
      </c>
      <c r="K142">
        <v>1</v>
      </c>
      <c r="L142">
        <v>0</v>
      </c>
      <c r="M142">
        <v>1</v>
      </c>
      <c r="N142">
        <v>0</v>
      </c>
      <c r="O142">
        <v>1</v>
      </c>
      <c r="P142">
        <v>0</v>
      </c>
      <c r="Q142">
        <v>0</v>
      </c>
      <c r="R142">
        <v>0</v>
      </c>
      <c r="S142">
        <v>1</v>
      </c>
      <c r="T142">
        <v>0</v>
      </c>
      <c r="U142">
        <v>0</v>
      </c>
      <c r="V142">
        <v>2</v>
      </c>
      <c r="W142">
        <v>0</v>
      </c>
      <c r="X142">
        <v>0</v>
      </c>
      <c r="Y142">
        <v>1</v>
      </c>
      <c r="Z142">
        <v>1</v>
      </c>
      <c r="AA142">
        <v>0</v>
      </c>
      <c r="AB142">
        <v>0</v>
      </c>
      <c r="AC142">
        <v>0</v>
      </c>
      <c r="AD142">
        <v>1</v>
      </c>
      <c r="AE142">
        <v>0</v>
      </c>
      <c r="AF142">
        <v>0</v>
      </c>
      <c r="AG142">
        <v>0</v>
      </c>
      <c r="AH142">
        <v>0</v>
      </c>
      <c r="AI142">
        <v>1</v>
      </c>
      <c r="AJ142">
        <v>0</v>
      </c>
      <c r="AK142">
        <v>1</v>
      </c>
      <c r="AL142">
        <v>0</v>
      </c>
      <c r="AM142">
        <v>2</v>
      </c>
      <c r="AN142">
        <v>0</v>
      </c>
      <c r="AO142">
        <v>0</v>
      </c>
      <c r="AP142">
        <v>0</v>
      </c>
      <c r="AQ142">
        <v>0</v>
      </c>
      <c r="AR142">
        <v>0</v>
      </c>
      <c r="AS142">
        <v>1</v>
      </c>
      <c r="AT142">
        <v>0</v>
      </c>
      <c r="AU142">
        <v>0</v>
      </c>
      <c r="AV142">
        <v>0</v>
      </c>
      <c r="AW142">
        <v>0</v>
      </c>
      <c r="AX142">
        <v>0</v>
      </c>
      <c r="AY142">
        <v>0</v>
      </c>
      <c r="AZ142">
        <v>0</v>
      </c>
      <c r="BA142">
        <v>1</v>
      </c>
      <c r="BB142">
        <v>1</v>
      </c>
      <c r="BC142">
        <v>0</v>
      </c>
      <c r="BD142">
        <v>0</v>
      </c>
      <c r="BE142">
        <v>0</v>
      </c>
      <c r="BF142">
        <v>2</v>
      </c>
      <c r="BG142">
        <v>0</v>
      </c>
      <c r="BH142">
        <v>0</v>
      </c>
      <c r="BI142">
        <v>1</v>
      </c>
      <c r="BJ142">
        <v>2</v>
      </c>
      <c r="BK142">
        <v>0</v>
      </c>
      <c r="BL142">
        <v>0</v>
      </c>
      <c r="BM142">
        <v>0</v>
      </c>
      <c r="BN142">
        <v>0</v>
      </c>
      <c r="BO142">
        <v>0</v>
      </c>
      <c r="BP142">
        <v>0</v>
      </c>
      <c r="BQ142">
        <v>1</v>
      </c>
      <c r="BR142">
        <v>0</v>
      </c>
      <c r="BS142">
        <v>0</v>
      </c>
      <c r="BT142">
        <v>2</v>
      </c>
      <c r="BU142">
        <v>2</v>
      </c>
      <c r="BV142">
        <v>2</v>
      </c>
      <c r="BW142">
        <v>0</v>
      </c>
      <c r="BX142">
        <v>0</v>
      </c>
      <c r="BY142">
        <v>0</v>
      </c>
      <c r="BZ142">
        <v>0</v>
      </c>
      <c r="CA142">
        <v>1</v>
      </c>
      <c r="CB142">
        <v>1</v>
      </c>
      <c r="CC142">
        <v>1</v>
      </c>
      <c r="CD142">
        <v>0</v>
      </c>
      <c r="CE142">
        <v>0</v>
      </c>
      <c r="CF142">
        <v>1</v>
      </c>
      <c r="CG142">
        <v>0</v>
      </c>
      <c r="CH142">
        <v>0</v>
      </c>
      <c r="CI142">
        <v>3</v>
      </c>
      <c r="CJ142">
        <v>0</v>
      </c>
      <c r="CK142">
        <v>0</v>
      </c>
    </row>
    <row r="143" spans="1:89" x14ac:dyDescent="0.25">
      <c r="A143" s="23" t="s">
        <v>301</v>
      </c>
      <c r="B143">
        <v>1</v>
      </c>
      <c r="C143">
        <v>0</v>
      </c>
      <c r="D143">
        <v>1</v>
      </c>
      <c r="E143">
        <v>0</v>
      </c>
      <c r="F143">
        <v>3</v>
      </c>
      <c r="G143">
        <v>1</v>
      </c>
      <c r="H143">
        <v>0</v>
      </c>
      <c r="I143">
        <v>0</v>
      </c>
      <c r="J143">
        <v>0</v>
      </c>
      <c r="K143">
        <v>1</v>
      </c>
      <c r="L143">
        <v>0</v>
      </c>
      <c r="M143">
        <v>1</v>
      </c>
      <c r="N143">
        <v>0</v>
      </c>
      <c r="O143">
        <v>1</v>
      </c>
      <c r="P143">
        <v>1</v>
      </c>
      <c r="Q143">
        <v>0</v>
      </c>
      <c r="R143">
        <v>1</v>
      </c>
      <c r="S143">
        <v>3</v>
      </c>
      <c r="T143">
        <v>0</v>
      </c>
      <c r="U143">
        <v>1</v>
      </c>
      <c r="V143">
        <v>2</v>
      </c>
      <c r="W143">
        <v>0</v>
      </c>
      <c r="X143">
        <v>0</v>
      </c>
      <c r="Y143">
        <v>0</v>
      </c>
      <c r="Z143">
        <v>0</v>
      </c>
      <c r="AA143">
        <v>0</v>
      </c>
      <c r="AB143">
        <v>0</v>
      </c>
      <c r="AC143">
        <v>0</v>
      </c>
      <c r="AD143">
        <v>2</v>
      </c>
      <c r="AE143">
        <v>0</v>
      </c>
      <c r="AF143">
        <v>1</v>
      </c>
      <c r="AG143">
        <v>0</v>
      </c>
      <c r="AH143">
        <v>0</v>
      </c>
      <c r="AI143">
        <v>0</v>
      </c>
      <c r="AJ143">
        <v>0</v>
      </c>
      <c r="AK143">
        <v>2</v>
      </c>
      <c r="AL143">
        <v>0</v>
      </c>
      <c r="AM143">
        <v>3</v>
      </c>
      <c r="AN143">
        <v>0</v>
      </c>
      <c r="AO143">
        <v>1</v>
      </c>
      <c r="AP143">
        <v>0</v>
      </c>
      <c r="AQ143">
        <v>0</v>
      </c>
      <c r="AR143">
        <v>2</v>
      </c>
      <c r="AS143">
        <v>1</v>
      </c>
      <c r="AT143">
        <v>0</v>
      </c>
      <c r="AV143">
        <v>0</v>
      </c>
      <c r="AW143">
        <v>0</v>
      </c>
      <c r="AX143">
        <v>1</v>
      </c>
      <c r="AY143">
        <v>0</v>
      </c>
      <c r="AZ143">
        <v>0</v>
      </c>
      <c r="BA143">
        <v>2</v>
      </c>
      <c r="BB143">
        <v>0</v>
      </c>
      <c r="BC143">
        <v>0</v>
      </c>
      <c r="BD143">
        <v>1</v>
      </c>
      <c r="BE143">
        <v>0</v>
      </c>
      <c r="BF143">
        <v>0</v>
      </c>
      <c r="BG143">
        <v>4</v>
      </c>
      <c r="BH143">
        <v>0</v>
      </c>
      <c r="BI143">
        <v>1</v>
      </c>
      <c r="BJ143">
        <v>2</v>
      </c>
      <c r="BK143">
        <v>0</v>
      </c>
      <c r="BL143">
        <v>0</v>
      </c>
      <c r="BM143">
        <v>0</v>
      </c>
      <c r="BN143">
        <v>0</v>
      </c>
      <c r="BO143">
        <v>0</v>
      </c>
      <c r="BP143">
        <v>0</v>
      </c>
      <c r="BQ143">
        <v>1</v>
      </c>
      <c r="BR143">
        <v>0</v>
      </c>
      <c r="BS143">
        <v>0</v>
      </c>
      <c r="BT143">
        <v>2</v>
      </c>
      <c r="BU143">
        <v>1</v>
      </c>
      <c r="BV143">
        <v>2</v>
      </c>
      <c r="BW143">
        <v>0</v>
      </c>
      <c r="BX143">
        <v>1</v>
      </c>
      <c r="BY143">
        <v>0</v>
      </c>
      <c r="BZ143">
        <v>0</v>
      </c>
      <c r="CA143">
        <v>0</v>
      </c>
      <c r="CB143">
        <v>2</v>
      </c>
      <c r="CC143">
        <v>2</v>
      </c>
      <c r="CD143">
        <v>0</v>
      </c>
      <c r="CE143">
        <v>0</v>
      </c>
      <c r="CF143">
        <v>1</v>
      </c>
      <c r="CG143">
        <v>1</v>
      </c>
      <c r="CH143">
        <v>0</v>
      </c>
      <c r="CI143">
        <v>2</v>
      </c>
      <c r="CJ143">
        <v>0</v>
      </c>
      <c r="CK143">
        <v>1</v>
      </c>
    </row>
    <row r="144" spans="1:89" x14ac:dyDescent="0.25">
      <c r="A144" s="23" t="s">
        <v>302</v>
      </c>
      <c r="B144">
        <v>1</v>
      </c>
      <c r="C144">
        <v>0</v>
      </c>
      <c r="D144">
        <v>2</v>
      </c>
      <c r="E144">
        <v>0</v>
      </c>
      <c r="F144">
        <v>2</v>
      </c>
      <c r="G144">
        <v>1</v>
      </c>
      <c r="H144">
        <v>0</v>
      </c>
      <c r="I144">
        <v>0</v>
      </c>
      <c r="J144">
        <v>0</v>
      </c>
      <c r="K144">
        <v>1</v>
      </c>
      <c r="L144">
        <v>0</v>
      </c>
      <c r="M144">
        <v>0</v>
      </c>
      <c r="N144">
        <v>0</v>
      </c>
      <c r="O144">
        <v>1</v>
      </c>
      <c r="P144">
        <v>0</v>
      </c>
      <c r="Q144">
        <v>0</v>
      </c>
      <c r="R144">
        <v>0</v>
      </c>
      <c r="S144">
        <v>3</v>
      </c>
      <c r="T144">
        <v>0</v>
      </c>
      <c r="U144">
        <v>1</v>
      </c>
      <c r="V144">
        <v>2</v>
      </c>
      <c r="W144">
        <v>0</v>
      </c>
      <c r="X144">
        <v>1</v>
      </c>
      <c r="Y144">
        <v>0</v>
      </c>
      <c r="Z144">
        <v>0</v>
      </c>
      <c r="AA144">
        <v>0</v>
      </c>
      <c r="AB144">
        <v>0</v>
      </c>
      <c r="AC144">
        <v>0</v>
      </c>
      <c r="AD144">
        <v>2</v>
      </c>
      <c r="AE144">
        <v>0</v>
      </c>
      <c r="AF144">
        <v>0</v>
      </c>
      <c r="AG144">
        <v>0</v>
      </c>
      <c r="AH144">
        <v>0</v>
      </c>
      <c r="AI144">
        <v>0</v>
      </c>
      <c r="AJ144">
        <v>0</v>
      </c>
      <c r="AK144">
        <v>1</v>
      </c>
      <c r="AL144">
        <v>0</v>
      </c>
      <c r="AM144">
        <v>0</v>
      </c>
      <c r="AN144">
        <v>0</v>
      </c>
      <c r="AO144">
        <v>0</v>
      </c>
      <c r="AP144">
        <v>0</v>
      </c>
      <c r="AQ144">
        <v>0</v>
      </c>
      <c r="AR144">
        <v>2</v>
      </c>
      <c r="AS144">
        <v>2</v>
      </c>
      <c r="AT144">
        <v>0</v>
      </c>
      <c r="AU144">
        <v>0</v>
      </c>
      <c r="AV144">
        <v>0</v>
      </c>
      <c r="AW144">
        <v>0</v>
      </c>
      <c r="AX144">
        <v>1</v>
      </c>
      <c r="AY144">
        <v>3</v>
      </c>
      <c r="AZ144">
        <v>0</v>
      </c>
      <c r="BA144">
        <v>2</v>
      </c>
      <c r="BB144">
        <v>0</v>
      </c>
      <c r="BC144">
        <v>0</v>
      </c>
      <c r="BD144">
        <v>0</v>
      </c>
      <c r="BE144">
        <v>0</v>
      </c>
      <c r="BF144">
        <v>1</v>
      </c>
      <c r="BG144">
        <v>0</v>
      </c>
      <c r="BH144">
        <v>0</v>
      </c>
      <c r="BI144">
        <v>1</v>
      </c>
      <c r="BJ144">
        <v>2</v>
      </c>
      <c r="BK144">
        <v>0</v>
      </c>
      <c r="BL144">
        <v>0</v>
      </c>
      <c r="BM144">
        <v>0</v>
      </c>
      <c r="BN144">
        <v>0</v>
      </c>
      <c r="BO144">
        <v>1</v>
      </c>
      <c r="BP144">
        <v>0</v>
      </c>
      <c r="BQ144">
        <v>0</v>
      </c>
      <c r="BR144">
        <v>0</v>
      </c>
      <c r="BS144">
        <v>0</v>
      </c>
      <c r="BT144">
        <v>2</v>
      </c>
      <c r="BU144">
        <v>0</v>
      </c>
      <c r="BV144">
        <v>2</v>
      </c>
      <c r="BW144">
        <v>0</v>
      </c>
      <c r="BX144">
        <v>0</v>
      </c>
      <c r="BZ144">
        <v>0</v>
      </c>
      <c r="CA144">
        <v>1</v>
      </c>
      <c r="CB144">
        <v>1</v>
      </c>
      <c r="CC144">
        <v>1</v>
      </c>
      <c r="CD144">
        <v>2</v>
      </c>
      <c r="CE144">
        <v>0</v>
      </c>
      <c r="CF144">
        <v>0</v>
      </c>
      <c r="CG144">
        <v>0</v>
      </c>
      <c r="CH144">
        <v>1</v>
      </c>
      <c r="CI144">
        <v>3</v>
      </c>
      <c r="CJ144">
        <v>1</v>
      </c>
      <c r="CK144">
        <v>0</v>
      </c>
    </row>
    <row r="145" spans="1:89" x14ac:dyDescent="0.25">
      <c r="A145" s="23" t="s">
        <v>303</v>
      </c>
      <c r="B145">
        <v>0</v>
      </c>
      <c r="C145">
        <v>0</v>
      </c>
      <c r="D145">
        <v>2</v>
      </c>
      <c r="E145">
        <v>0</v>
      </c>
      <c r="F145">
        <v>1</v>
      </c>
      <c r="G145">
        <v>0</v>
      </c>
      <c r="H145">
        <v>1</v>
      </c>
      <c r="I145">
        <v>1</v>
      </c>
      <c r="J145">
        <v>0</v>
      </c>
      <c r="K145">
        <v>2</v>
      </c>
      <c r="L145">
        <v>0</v>
      </c>
      <c r="M145">
        <v>1</v>
      </c>
      <c r="N145">
        <v>0</v>
      </c>
      <c r="O145">
        <v>1</v>
      </c>
      <c r="P145">
        <v>0</v>
      </c>
      <c r="Q145">
        <v>0</v>
      </c>
      <c r="R145">
        <v>1</v>
      </c>
      <c r="S145">
        <v>4</v>
      </c>
      <c r="T145">
        <v>0</v>
      </c>
      <c r="U145">
        <v>0</v>
      </c>
      <c r="V145">
        <v>1</v>
      </c>
      <c r="W145">
        <v>0</v>
      </c>
      <c r="X145">
        <v>0</v>
      </c>
      <c r="Y145">
        <v>1</v>
      </c>
      <c r="Z145">
        <v>1</v>
      </c>
      <c r="AA145">
        <v>0</v>
      </c>
      <c r="AB145">
        <v>0</v>
      </c>
      <c r="AC145">
        <v>0</v>
      </c>
      <c r="AD145">
        <v>2</v>
      </c>
      <c r="AE145">
        <v>0</v>
      </c>
      <c r="AF145">
        <v>0</v>
      </c>
      <c r="AG145">
        <v>0</v>
      </c>
      <c r="AH145">
        <v>0</v>
      </c>
      <c r="AI145">
        <v>0</v>
      </c>
      <c r="AJ145">
        <v>0</v>
      </c>
      <c r="AK145">
        <v>1</v>
      </c>
      <c r="AL145">
        <v>0</v>
      </c>
      <c r="AM145">
        <v>0</v>
      </c>
      <c r="AN145">
        <v>1</v>
      </c>
      <c r="AO145">
        <v>1</v>
      </c>
      <c r="AP145">
        <v>0</v>
      </c>
      <c r="AQ145">
        <v>0</v>
      </c>
      <c r="AR145">
        <v>1</v>
      </c>
      <c r="AS145">
        <v>0</v>
      </c>
      <c r="AT145">
        <v>1</v>
      </c>
      <c r="AU145">
        <v>0</v>
      </c>
      <c r="AV145">
        <v>0</v>
      </c>
      <c r="AW145">
        <v>0</v>
      </c>
      <c r="AX145">
        <v>1</v>
      </c>
      <c r="AY145">
        <v>2</v>
      </c>
      <c r="AZ145">
        <v>0</v>
      </c>
      <c r="BA145">
        <v>1</v>
      </c>
      <c r="BB145">
        <v>1</v>
      </c>
      <c r="BC145">
        <v>0</v>
      </c>
      <c r="BD145">
        <v>0</v>
      </c>
      <c r="BE145">
        <v>0</v>
      </c>
      <c r="BF145">
        <v>1</v>
      </c>
      <c r="BG145">
        <v>0</v>
      </c>
      <c r="BH145">
        <v>0</v>
      </c>
      <c r="BI145">
        <v>1</v>
      </c>
      <c r="BJ145">
        <v>2</v>
      </c>
      <c r="BK145">
        <v>1</v>
      </c>
      <c r="BL145">
        <v>1</v>
      </c>
      <c r="BM145">
        <v>0</v>
      </c>
      <c r="BN145">
        <v>1</v>
      </c>
      <c r="BO145">
        <v>0</v>
      </c>
      <c r="BP145">
        <v>0</v>
      </c>
      <c r="BQ145">
        <v>1</v>
      </c>
      <c r="BR145">
        <v>1</v>
      </c>
      <c r="BS145">
        <v>0</v>
      </c>
      <c r="BT145">
        <v>1</v>
      </c>
      <c r="BU145">
        <v>2</v>
      </c>
      <c r="BV145">
        <v>1</v>
      </c>
      <c r="BW145">
        <v>0</v>
      </c>
      <c r="BX145">
        <v>0</v>
      </c>
      <c r="BY145">
        <v>2</v>
      </c>
      <c r="BZ145">
        <v>0</v>
      </c>
      <c r="CA145">
        <v>1</v>
      </c>
      <c r="CB145">
        <v>2</v>
      </c>
      <c r="CC145">
        <v>2</v>
      </c>
      <c r="CD145">
        <v>2</v>
      </c>
      <c r="CE145">
        <v>0</v>
      </c>
      <c r="CF145">
        <v>0</v>
      </c>
      <c r="CG145">
        <v>0</v>
      </c>
      <c r="CH145">
        <v>0</v>
      </c>
      <c r="CI145">
        <v>2</v>
      </c>
      <c r="CJ145">
        <v>1</v>
      </c>
      <c r="CK145">
        <v>0</v>
      </c>
    </row>
    <row r="146" spans="1:89" x14ac:dyDescent="0.25">
      <c r="A146" s="23" t="s">
        <v>304</v>
      </c>
      <c r="B146">
        <v>0</v>
      </c>
      <c r="C146">
        <v>0</v>
      </c>
      <c r="D146">
        <v>2</v>
      </c>
      <c r="E146">
        <v>0</v>
      </c>
      <c r="F146">
        <v>1</v>
      </c>
      <c r="G146">
        <v>0</v>
      </c>
      <c r="H146">
        <v>1</v>
      </c>
      <c r="I146">
        <v>1</v>
      </c>
      <c r="J146">
        <v>0</v>
      </c>
      <c r="K146">
        <v>0</v>
      </c>
      <c r="L146">
        <v>0</v>
      </c>
      <c r="M146">
        <v>0</v>
      </c>
      <c r="N146">
        <v>0</v>
      </c>
      <c r="O146">
        <v>2</v>
      </c>
      <c r="P146">
        <v>0</v>
      </c>
      <c r="Q146">
        <v>0</v>
      </c>
      <c r="R146">
        <v>1</v>
      </c>
      <c r="S146">
        <v>1</v>
      </c>
      <c r="T146">
        <v>0</v>
      </c>
      <c r="U146">
        <v>0</v>
      </c>
      <c r="V146">
        <v>0</v>
      </c>
      <c r="W146">
        <v>0</v>
      </c>
      <c r="X146">
        <v>1</v>
      </c>
      <c r="Y146">
        <v>1</v>
      </c>
      <c r="Z146">
        <v>1</v>
      </c>
      <c r="AA146">
        <v>0</v>
      </c>
      <c r="AB146">
        <v>0</v>
      </c>
      <c r="AC146">
        <v>0</v>
      </c>
      <c r="AD146">
        <v>0</v>
      </c>
      <c r="AE146">
        <v>0</v>
      </c>
      <c r="AF146">
        <v>1</v>
      </c>
      <c r="AG146">
        <v>0</v>
      </c>
      <c r="AH146">
        <v>0</v>
      </c>
      <c r="AI146">
        <v>0</v>
      </c>
      <c r="AJ146">
        <v>0</v>
      </c>
      <c r="AK146">
        <v>1</v>
      </c>
      <c r="AL146">
        <v>0</v>
      </c>
      <c r="AM146">
        <v>3</v>
      </c>
      <c r="AN146">
        <v>0</v>
      </c>
      <c r="AO146">
        <v>0</v>
      </c>
      <c r="AP146">
        <v>0</v>
      </c>
      <c r="AQ146">
        <v>0</v>
      </c>
      <c r="AR146">
        <v>0</v>
      </c>
      <c r="AS146">
        <v>0</v>
      </c>
      <c r="AT146">
        <v>0</v>
      </c>
      <c r="AU146">
        <v>0</v>
      </c>
      <c r="AV146">
        <v>0</v>
      </c>
      <c r="AW146">
        <v>0</v>
      </c>
      <c r="AX146">
        <v>1</v>
      </c>
      <c r="AY146">
        <v>2</v>
      </c>
      <c r="AZ146">
        <v>0</v>
      </c>
      <c r="BA146">
        <v>1</v>
      </c>
      <c r="BB146">
        <v>1</v>
      </c>
      <c r="BC146">
        <v>1</v>
      </c>
      <c r="BD146">
        <v>0</v>
      </c>
      <c r="BE146">
        <v>0</v>
      </c>
      <c r="BF146">
        <v>0</v>
      </c>
      <c r="BG146">
        <v>0</v>
      </c>
      <c r="BH146">
        <v>0</v>
      </c>
      <c r="BI146">
        <v>0</v>
      </c>
      <c r="BJ146">
        <v>1</v>
      </c>
      <c r="BK146">
        <v>0</v>
      </c>
      <c r="BL146">
        <v>0</v>
      </c>
      <c r="BM146">
        <v>0</v>
      </c>
      <c r="BN146">
        <v>0</v>
      </c>
      <c r="BO146">
        <v>0</v>
      </c>
      <c r="BP146">
        <v>1</v>
      </c>
      <c r="BQ146">
        <v>0</v>
      </c>
      <c r="BR146">
        <v>0</v>
      </c>
      <c r="BS146">
        <v>0</v>
      </c>
      <c r="BT146">
        <v>2</v>
      </c>
      <c r="BU146">
        <v>1</v>
      </c>
      <c r="BV146">
        <v>1</v>
      </c>
      <c r="BW146">
        <v>0</v>
      </c>
      <c r="BX146">
        <v>0</v>
      </c>
      <c r="BY146">
        <v>0</v>
      </c>
      <c r="BZ146">
        <v>0</v>
      </c>
      <c r="CA146">
        <v>0</v>
      </c>
      <c r="CB146">
        <v>0</v>
      </c>
      <c r="CC146">
        <v>0</v>
      </c>
      <c r="CD146">
        <v>0</v>
      </c>
      <c r="CE146">
        <v>0</v>
      </c>
      <c r="CF146">
        <v>0</v>
      </c>
      <c r="CG146">
        <v>2</v>
      </c>
      <c r="CH146">
        <v>0</v>
      </c>
      <c r="CI146">
        <v>0</v>
      </c>
      <c r="CJ146">
        <v>0</v>
      </c>
      <c r="CK146">
        <v>0</v>
      </c>
    </row>
    <row r="147" spans="1:89" x14ac:dyDescent="0.25">
      <c r="A147" s="23" t="s">
        <v>305</v>
      </c>
      <c r="B147">
        <v>0</v>
      </c>
      <c r="C147">
        <v>0</v>
      </c>
      <c r="D147">
        <v>1</v>
      </c>
      <c r="E147">
        <v>0</v>
      </c>
      <c r="F147">
        <v>0</v>
      </c>
      <c r="G147">
        <v>0</v>
      </c>
      <c r="H147">
        <v>1</v>
      </c>
      <c r="I147">
        <v>1</v>
      </c>
      <c r="J147">
        <v>0</v>
      </c>
      <c r="K147">
        <v>2</v>
      </c>
      <c r="L147">
        <v>2</v>
      </c>
      <c r="M147">
        <v>0</v>
      </c>
      <c r="N147">
        <v>0</v>
      </c>
      <c r="O147">
        <v>2</v>
      </c>
      <c r="P147">
        <v>2</v>
      </c>
      <c r="Q147">
        <v>1</v>
      </c>
      <c r="R147">
        <v>2</v>
      </c>
      <c r="S147">
        <v>1</v>
      </c>
      <c r="T147">
        <v>0</v>
      </c>
      <c r="U147">
        <v>0</v>
      </c>
      <c r="V147">
        <v>1</v>
      </c>
      <c r="W147">
        <v>0</v>
      </c>
      <c r="X147">
        <v>0</v>
      </c>
      <c r="Y147">
        <v>0</v>
      </c>
      <c r="Z147">
        <v>1</v>
      </c>
      <c r="AA147">
        <v>0</v>
      </c>
      <c r="AB147">
        <v>0</v>
      </c>
      <c r="AC147">
        <v>0</v>
      </c>
      <c r="AD147">
        <v>0</v>
      </c>
      <c r="AE147">
        <v>0</v>
      </c>
      <c r="AF147">
        <v>1</v>
      </c>
      <c r="AG147">
        <v>0</v>
      </c>
      <c r="AH147">
        <v>2</v>
      </c>
      <c r="AI147">
        <v>0</v>
      </c>
      <c r="AJ147">
        <v>0</v>
      </c>
      <c r="AK147">
        <v>0</v>
      </c>
      <c r="AL147">
        <v>2</v>
      </c>
      <c r="AM147">
        <v>1</v>
      </c>
      <c r="AN147">
        <v>0</v>
      </c>
      <c r="AO147">
        <v>2</v>
      </c>
      <c r="AP147">
        <v>0</v>
      </c>
      <c r="AQ147">
        <v>0</v>
      </c>
      <c r="AR147">
        <v>1</v>
      </c>
      <c r="AS147">
        <v>1</v>
      </c>
      <c r="AT147">
        <v>0</v>
      </c>
      <c r="AU147">
        <v>0</v>
      </c>
      <c r="AV147">
        <v>0</v>
      </c>
      <c r="AW147">
        <v>2</v>
      </c>
      <c r="AX147">
        <v>1</v>
      </c>
      <c r="AY147">
        <v>1</v>
      </c>
      <c r="AZ147">
        <v>0</v>
      </c>
      <c r="BA147">
        <v>2</v>
      </c>
      <c r="BB147">
        <v>1</v>
      </c>
      <c r="BC147">
        <v>0</v>
      </c>
      <c r="BD147">
        <v>0</v>
      </c>
      <c r="BE147">
        <v>0</v>
      </c>
      <c r="BF147">
        <v>0</v>
      </c>
      <c r="BG147">
        <v>0</v>
      </c>
      <c r="BH147">
        <v>0</v>
      </c>
      <c r="BI147">
        <v>1</v>
      </c>
      <c r="BJ147">
        <v>1</v>
      </c>
      <c r="BK147">
        <v>0</v>
      </c>
      <c r="BL147">
        <v>2</v>
      </c>
      <c r="BM147">
        <v>0</v>
      </c>
      <c r="BN147">
        <v>0</v>
      </c>
      <c r="BO147">
        <v>0</v>
      </c>
      <c r="BP147">
        <v>0</v>
      </c>
      <c r="BQ147">
        <v>0</v>
      </c>
      <c r="BR147">
        <v>0</v>
      </c>
      <c r="BS147">
        <v>0</v>
      </c>
      <c r="BT147">
        <v>2</v>
      </c>
      <c r="BU147">
        <v>0</v>
      </c>
      <c r="BV147">
        <v>2</v>
      </c>
      <c r="BW147">
        <v>0</v>
      </c>
      <c r="BX147">
        <v>0</v>
      </c>
      <c r="BY147">
        <v>0</v>
      </c>
      <c r="BZ147">
        <v>0</v>
      </c>
      <c r="CA147">
        <v>1</v>
      </c>
      <c r="CB147">
        <v>1</v>
      </c>
      <c r="CC147">
        <v>2</v>
      </c>
      <c r="CD147">
        <v>1</v>
      </c>
      <c r="CE147">
        <v>0</v>
      </c>
      <c r="CF147">
        <v>0</v>
      </c>
      <c r="CG147">
        <v>0</v>
      </c>
      <c r="CH147">
        <v>0</v>
      </c>
      <c r="CI147">
        <v>3</v>
      </c>
      <c r="CJ147">
        <v>3</v>
      </c>
      <c r="CK147">
        <v>0</v>
      </c>
    </row>
    <row r="148" spans="1:89" x14ac:dyDescent="0.25">
      <c r="A148" s="23" t="s">
        <v>306</v>
      </c>
      <c r="B148">
        <v>1</v>
      </c>
      <c r="C148">
        <v>0</v>
      </c>
      <c r="D148">
        <v>2</v>
      </c>
      <c r="E148">
        <v>0</v>
      </c>
      <c r="F148">
        <v>0</v>
      </c>
      <c r="G148">
        <v>0</v>
      </c>
      <c r="H148">
        <v>0</v>
      </c>
      <c r="I148">
        <v>0</v>
      </c>
      <c r="J148">
        <v>0</v>
      </c>
      <c r="K148">
        <v>2</v>
      </c>
      <c r="L148">
        <v>0</v>
      </c>
      <c r="M148">
        <v>2</v>
      </c>
      <c r="N148">
        <v>0</v>
      </c>
      <c r="O148">
        <v>1</v>
      </c>
      <c r="P148">
        <v>0</v>
      </c>
      <c r="Q148">
        <v>0</v>
      </c>
      <c r="R148">
        <v>1</v>
      </c>
      <c r="S148">
        <v>1</v>
      </c>
      <c r="T148">
        <v>0</v>
      </c>
      <c r="U148">
        <v>0</v>
      </c>
      <c r="V148">
        <v>2</v>
      </c>
      <c r="W148">
        <v>0</v>
      </c>
      <c r="X148">
        <v>0</v>
      </c>
      <c r="Y148">
        <v>0</v>
      </c>
      <c r="Z148">
        <v>1</v>
      </c>
      <c r="AA148">
        <v>0</v>
      </c>
      <c r="AB148">
        <v>0</v>
      </c>
      <c r="AC148">
        <v>0</v>
      </c>
      <c r="AD148">
        <v>1</v>
      </c>
      <c r="AE148">
        <v>0</v>
      </c>
      <c r="AF148">
        <v>0</v>
      </c>
      <c r="AG148">
        <v>0</v>
      </c>
      <c r="AH148">
        <v>0</v>
      </c>
      <c r="AI148">
        <v>0</v>
      </c>
      <c r="AJ148">
        <v>0</v>
      </c>
      <c r="AK148">
        <v>1</v>
      </c>
      <c r="AL148">
        <v>2</v>
      </c>
      <c r="AM148">
        <v>1</v>
      </c>
      <c r="AN148">
        <v>0</v>
      </c>
      <c r="AO148">
        <v>1</v>
      </c>
      <c r="AP148">
        <v>0</v>
      </c>
      <c r="AQ148">
        <v>0</v>
      </c>
      <c r="AR148">
        <v>0</v>
      </c>
      <c r="AS148">
        <v>1</v>
      </c>
      <c r="AT148">
        <v>0</v>
      </c>
      <c r="AU148">
        <v>0</v>
      </c>
      <c r="AV148">
        <v>0</v>
      </c>
      <c r="AW148">
        <v>0</v>
      </c>
      <c r="AX148">
        <v>0</v>
      </c>
      <c r="AY148">
        <v>2</v>
      </c>
      <c r="AZ148">
        <v>0</v>
      </c>
      <c r="BA148">
        <v>1</v>
      </c>
      <c r="BB148">
        <v>1</v>
      </c>
      <c r="BC148">
        <v>2</v>
      </c>
      <c r="BD148">
        <v>0</v>
      </c>
      <c r="BE148">
        <v>0</v>
      </c>
      <c r="BF148">
        <v>0</v>
      </c>
      <c r="BG148">
        <v>0</v>
      </c>
      <c r="BH148">
        <v>0</v>
      </c>
      <c r="BI148">
        <v>0</v>
      </c>
      <c r="BJ148">
        <v>1</v>
      </c>
      <c r="BK148">
        <v>0</v>
      </c>
      <c r="BL148">
        <v>1</v>
      </c>
      <c r="BM148">
        <v>0</v>
      </c>
      <c r="BN148">
        <v>1</v>
      </c>
      <c r="BO148">
        <v>0</v>
      </c>
      <c r="BP148">
        <v>0</v>
      </c>
      <c r="BQ148">
        <v>0</v>
      </c>
      <c r="BR148">
        <v>0</v>
      </c>
      <c r="BS148">
        <v>0</v>
      </c>
      <c r="BT148">
        <v>1</v>
      </c>
      <c r="BU148">
        <v>0</v>
      </c>
      <c r="BV148">
        <v>2</v>
      </c>
      <c r="BW148">
        <v>0</v>
      </c>
      <c r="BX148">
        <v>0</v>
      </c>
      <c r="BY148">
        <v>0</v>
      </c>
      <c r="BZ148">
        <v>0</v>
      </c>
      <c r="CA148">
        <v>2</v>
      </c>
      <c r="CB148">
        <v>2</v>
      </c>
      <c r="CC148">
        <v>1</v>
      </c>
      <c r="CD148">
        <v>2</v>
      </c>
      <c r="CE148">
        <v>0</v>
      </c>
      <c r="CF148">
        <v>0</v>
      </c>
      <c r="CG148">
        <v>1</v>
      </c>
      <c r="CH148">
        <v>2</v>
      </c>
      <c r="CI148">
        <v>2</v>
      </c>
      <c r="CJ148">
        <v>1</v>
      </c>
      <c r="CK148">
        <v>0</v>
      </c>
    </row>
    <row r="149" spans="1:89" x14ac:dyDescent="0.25">
      <c r="A149" s="23" t="s">
        <v>307</v>
      </c>
      <c r="C149">
        <v>1</v>
      </c>
      <c r="D149">
        <v>2</v>
      </c>
      <c r="E149">
        <v>0</v>
      </c>
      <c r="F149">
        <v>1</v>
      </c>
      <c r="G149">
        <v>0</v>
      </c>
      <c r="H149">
        <v>0</v>
      </c>
      <c r="I149">
        <v>0</v>
      </c>
      <c r="J149">
        <v>0</v>
      </c>
      <c r="K149">
        <v>2</v>
      </c>
      <c r="L149">
        <v>0</v>
      </c>
      <c r="M149">
        <v>0</v>
      </c>
      <c r="N149">
        <v>0</v>
      </c>
      <c r="O149">
        <v>3</v>
      </c>
      <c r="P149">
        <v>2</v>
      </c>
      <c r="Q149">
        <v>0</v>
      </c>
      <c r="R149">
        <v>0</v>
      </c>
      <c r="S149">
        <v>1</v>
      </c>
      <c r="T149">
        <v>0</v>
      </c>
      <c r="U149">
        <v>1</v>
      </c>
      <c r="V149">
        <v>3</v>
      </c>
      <c r="W149">
        <v>0</v>
      </c>
      <c r="X149">
        <v>0</v>
      </c>
      <c r="Y149">
        <v>0</v>
      </c>
      <c r="Z149">
        <v>0</v>
      </c>
      <c r="AA149">
        <v>0</v>
      </c>
      <c r="AB149">
        <v>2</v>
      </c>
      <c r="AC149">
        <v>0</v>
      </c>
      <c r="AD149">
        <v>0</v>
      </c>
      <c r="AE149">
        <v>0</v>
      </c>
      <c r="AF149">
        <v>0</v>
      </c>
      <c r="AH149">
        <v>1</v>
      </c>
      <c r="AI149">
        <v>0</v>
      </c>
      <c r="AJ149">
        <v>0</v>
      </c>
      <c r="AK149">
        <v>1</v>
      </c>
      <c r="AL149">
        <v>1</v>
      </c>
      <c r="AM149">
        <v>2</v>
      </c>
      <c r="AN149">
        <v>0</v>
      </c>
      <c r="AO149">
        <v>1</v>
      </c>
      <c r="AP149">
        <v>0</v>
      </c>
      <c r="AQ149">
        <v>0</v>
      </c>
      <c r="AR149">
        <v>0</v>
      </c>
      <c r="AS149">
        <v>2</v>
      </c>
      <c r="AT149">
        <v>0</v>
      </c>
      <c r="AU149">
        <v>0</v>
      </c>
      <c r="AV149">
        <v>0</v>
      </c>
      <c r="AW149">
        <v>0</v>
      </c>
      <c r="AX149">
        <v>0</v>
      </c>
      <c r="AY149">
        <v>0</v>
      </c>
      <c r="AZ149">
        <v>0</v>
      </c>
      <c r="BA149">
        <v>1</v>
      </c>
      <c r="BB149">
        <v>1</v>
      </c>
      <c r="BC149">
        <v>0</v>
      </c>
      <c r="BD149">
        <v>0</v>
      </c>
      <c r="BE149">
        <v>0</v>
      </c>
      <c r="BF149">
        <v>0</v>
      </c>
      <c r="BG149">
        <v>0</v>
      </c>
      <c r="BH149">
        <v>0</v>
      </c>
      <c r="BI149">
        <v>1</v>
      </c>
      <c r="BJ149">
        <v>1</v>
      </c>
      <c r="BL149">
        <v>1</v>
      </c>
      <c r="BM149">
        <v>0</v>
      </c>
      <c r="BN149">
        <v>0</v>
      </c>
      <c r="BO149">
        <v>0</v>
      </c>
      <c r="BP149">
        <v>0</v>
      </c>
      <c r="BQ149">
        <v>0</v>
      </c>
      <c r="BR149">
        <v>0</v>
      </c>
      <c r="BS149">
        <v>0</v>
      </c>
      <c r="BT149">
        <v>1</v>
      </c>
      <c r="BU149">
        <v>0</v>
      </c>
      <c r="BV149">
        <v>2</v>
      </c>
      <c r="BW149">
        <v>1</v>
      </c>
      <c r="BX149">
        <v>1</v>
      </c>
      <c r="BY149">
        <v>0</v>
      </c>
      <c r="BZ149">
        <v>0</v>
      </c>
      <c r="CA149">
        <v>1</v>
      </c>
      <c r="CB149">
        <v>0</v>
      </c>
      <c r="CC149">
        <v>0</v>
      </c>
      <c r="CD149">
        <v>2</v>
      </c>
      <c r="CE149">
        <v>0</v>
      </c>
      <c r="CF149">
        <v>0</v>
      </c>
      <c r="CG149">
        <v>0</v>
      </c>
      <c r="CH149">
        <v>1</v>
      </c>
      <c r="CI149">
        <v>2</v>
      </c>
      <c r="CJ149">
        <v>2</v>
      </c>
      <c r="CK149">
        <v>0</v>
      </c>
    </row>
    <row r="150" spans="1:89" x14ac:dyDescent="0.25">
      <c r="A150" s="23"/>
    </row>
    <row r="151" spans="1:89" x14ac:dyDescent="0.25">
      <c r="A151" s="23" t="s">
        <v>308</v>
      </c>
      <c r="B151">
        <v>0</v>
      </c>
      <c r="C151">
        <v>0</v>
      </c>
      <c r="D151">
        <v>1</v>
      </c>
      <c r="E151">
        <v>0</v>
      </c>
      <c r="F151">
        <v>0</v>
      </c>
      <c r="G151">
        <v>0</v>
      </c>
      <c r="H151">
        <v>0</v>
      </c>
      <c r="I151">
        <v>0</v>
      </c>
      <c r="J151">
        <v>1</v>
      </c>
      <c r="K151">
        <v>0</v>
      </c>
      <c r="L151">
        <v>1</v>
      </c>
      <c r="M151">
        <v>0</v>
      </c>
      <c r="N151">
        <v>0</v>
      </c>
      <c r="O151">
        <v>0</v>
      </c>
      <c r="P151">
        <v>0</v>
      </c>
      <c r="Q151">
        <v>0</v>
      </c>
      <c r="R151">
        <v>0</v>
      </c>
      <c r="S151">
        <v>0</v>
      </c>
      <c r="T151">
        <v>0</v>
      </c>
      <c r="U151">
        <v>0</v>
      </c>
      <c r="V151">
        <v>0</v>
      </c>
      <c r="W151">
        <v>0</v>
      </c>
      <c r="X151">
        <v>0</v>
      </c>
      <c r="Y151">
        <v>0</v>
      </c>
      <c r="Z151">
        <v>2</v>
      </c>
      <c r="AA151">
        <v>0</v>
      </c>
      <c r="AB151">
        <v>0</v>
      </c>
      <c r="AC151">
        <v>0</v>
      </c>
      <c r="AD151">
        <v>0</v>
      </c>
      <c r="AE151">
        <v>0</v>
      </c>
      <c r="AF151">
        <v>0</v>
      </c>
      <c r="AG151">
        <v>0</v>
      </c>
      <c r="AH151">
        <v>1</v>
      </c>
      <c r="AI151">
        <v>0</v>
      </c>
      <c r="AJ151">
        <v>1</v>
      </c>
      <c r="AK151">
        <v>0</v>
      </c>
      <c r="AL151">
        <v>1</v>
      </c>
      <c r="AM151">
        <v>0</v>
      </c>
      <c r="AN151">
        <v>0</v>
      </c>
      <c r="AO151">
        <v>1</v>
      </c>
      <c r="AP151">
        <v>1</v>
      </c>
      <c r="AQ151">
        <v>1</v>
      </c>
      <c r="AR151">
        <v>0</v>
      </c>
      <c r="AS151">
        <v>0</v>
      </c>
      <c r="AT151">
        <v>0</v>
      </c>
      <c r="AU151">
        <v>0</v>
      </c>
      <c r="AV151">
        <v>0</v>
      </c>
      <c r="AW151">
        <v>4</v>
      </c>
      <c r="AX151">
        <v>1</v>
      </c>
      <c r="AY151">
        <v>0</v>
      </c>
      <c r="AZ151">
        <v>0</v>
      </c>
      <c r="BA151">
        <v>0</v>
      </c>
      <c r="BB151">
        <v>0</v>
      </c>
      <c r="BC151">
        <v>1</v>
      </c>
      <c r="BD151">
        <v>1</v>
      </c>
      <c r="BE151">
        <v>0</v>
      </c>
      <c r="BF151">
        <v>0</v>
      </c>
      <c r="BG151">
        <v>0</v>
      </c>
      <c r="BH151">
        <v>0</v>
      </c>
      <c r="BI151">
        <v>0</v>
      </c>
      <c r="BJ151">
        <v>0</v>
      </c>
      <c r="BK151">
        <v>0</v>
      </c>
      <c r="BL151">
        <v>0</v>
      </c>
      <c r="BM151">
        <v>0</v>
      </c>
      <c r="BN151">
        <v>0</v>
      </c>
      <c r="BO151">
        <v>0</v>
      </c>
      <c r="BP151">
        <v>0</v>
      </c>
      <c r="BQ151">
        <v>0</v>
      </c>
      <c r="BR151">
        <v>0</v>
      </c>
      <c r="BS151">
        <v>0</v>
      </c>
      <c r="BT151">
        <v>1</v>
      </c>
      <c r="BU151">
        <v>0</v>
      </c>
      <c r="BV151">
        <v>0</v>
      </c>
      <c r="BW151">
        <v>0</v>
      </c>
      <c r="BX151">
        <v>0</v>
      </c>
      <c r="BY151">
        <v>0</v>
      </c>
      <c r="BZ151">
        <v>0</v>
      </c>
      <c r="CA151">
        <v>0</v>
      </c>
      <c r="CB151">
        <v>0</v>
      </c>
      <c r="CC151">
        <v>0</v>
      </c>
      <c r="CD151">
        <v>0</v>
      </c>
      <c r="CE151">
        <v>1</v>
      </c>
      <c r="CF151">
        <v>0</v>
      </c>
      <c r="CG151">
        <v>1</v>
      </c>
      <c r="CH151">
        <v>0</v>
      </c>
      <c r="CI151">
        <v>0</v>
      </c>
      <c r="CJ151">
        <v>0</v>
      </c>
      <c r="CK151">
        <v>0</v>
      </c>
    </row>
    <row r="152" spans="1:89" x14ac:dyDescent="0.25">
      <c r="A152" s="23" t="s">
        <v>309</v>
      </c>
      <c r="B152">
        <v>0</v>
      </c>
      <c r="C152">
        <v>0</v>
      </c>
      <c r="D152">
        <v>1</v>
      </c>
      <c r="E152">
        <v>1</v>
      </c>
      <c r="F152">
        <v>0</v>
      </c>
      <c r="G152">
        <v>0</v>
      </c>
      <c r="H152">
        <v>0</v>
      </c>
      <c r="I152">
        <v>0</v>
      </c>
      <c r="J152">
        <v>2</v>
      </c>
      <c r="K152">
        <v>0</v>
      </c>
      <c r="L152">
        <v>0</v>
      </c>
      <c r="M152">
        <v>0</v>
      </c>
      <c r="N152">
        <v>1</v>
      </c>
      <c r="O152">
        <v>1</v>
      </c>
      <c r="P152">
        <v>4</v>
      </c>
      <c r="Q152">
        <v>1</v>
      </c>
      <c r="R152">
        <v>0</v>
      </c>
      <c r="S152">
        <v>0</v>
      </c>
      <c r="T152">
        <v>0</v>
      </c>
      <c r="U152">
        <v>0</v>
      </c>
      <c r="V152">
        <v>1</v>
      </c>
      <c r="W152">
        <v>1</v>
      </c>
      <c r="X152">
        <v>0</v>
      </c>
      <c r="Y152">
        <v>1</v>
      </c>
      <c r="Z152">
        <v>1</v>
      </c>
      <c r="AA152">
        <v>1</v>
      </c>
      <c r="AB152">
        <v>0</v>
      </c>
      <c r="AC152">
        <v>0</v>
      </c>
      <c r="AD152">
        <v>0</v>
      </c>
      <c r="AE152">
        <v>1</v>
      </c>
      <c r="AF152">
        <v>0</v>
      </c>
      <c r="AG152">
        <v>0</v>
      </c>
      <c r="AH152">
        <v>0</v>
      </c>
      <c r="AI152">
        <v>0</v>
      </c>
      <c r="AJ152">
        <v>10</v>
      </c>
      <c r="AK152">
        <v>0</v>
      </c>
      <c r="AL152">
        <v>0</v>
      </c>
      <c r="AM152">
        <v>0</v>
      </c>
      <c r="AN152">
        <v>0</v>
      </c>
      <c r="AO152">
        <v>1</v>
      </c>
      <c r="AP152">
        <v>0</v>
      </c>
      <c r="AQ152">
        <v>1</v>
      </c>
      <c r="AR152">
        <v>0</v>
      </c>
      <c r="AS152">
        <v>0</v>
      </c>
      <c r="AT152">
        <v>0</v>
      </c>
      <c r="AU152">
        <v>0</v>
      </c>
      <c r="AV152">
        <v>0</v>
      </c>
      <c r="AW152">
        <v>2</v>
      </c>
      <c r="AX152">
        <v>0</v>
      </c>
      <c r="AY152">
        <v>0</v>
      </c>
      <c r="AZ152">
        <v>1</v>
      </c>
      <c r="BA152">
        <v>0</v>
      </c>
      <c r="BB152">
        <v>0</v>
      </c>
      <c r="BC152">
        <v>1</v>
      </c>
      <c r="BD152">
        <v>0</v>
      </c>
      <c r="BE152">
        <v>0</v>
      </c>
      <c r="BF152">
        <v>1</v>
      </c>
      <c r="BG152">
        <v>0</v>
      </c>
      <c r="BH152">
        <v>0</v>
      </c>
      <c r="BI152">
        <v>0</v>
      </c>
      <c r="BJ152">
        <v>0</v>
      </c>
      <c r="BK152">
        <v>0</v>
      </c>
      <c r="BL152">
        <v>0</v>
      </c>
      <c r="BM152">
        <v>0</v>
      </c>
      <c r="BN152">
        <v>2</v>
      </c>
      <c r="BO152">
        <v>0</v>
      </c>
      <c r="BP152">
        <v>0</v>
      </c>
      <c r="BQ152">
        <v>0</v>
      </c>
      <c r="BR152">
        <v>0</v>
      </c>
      <c r="BS152">
        <v>0</v>
      </c>
      <c r="BT152">
        <v>0</v>
      </c>
      <c r="BU152">
        <v>0</v>
      </c>
      <c r="BV152">
        <v>0</v>
      </c>
      <c r="BW152">
        <v>1</v>
      </c>
      <c r="BX152">
        <v>0</v>
      </c>
      <c r="BY152">
        <v>0</v>
      </c>
      <c r="BZ152">
        <v>1</v>
      </c>
      <c r="CA152">
        <v>0</v>
      </c>
      <c r="CB152">
        <v>0</v>
      </c>
      <c r="CC152">
        <v>0</v>
      </c>
      <c r="CD152">
        <v>0</v>
      </c>
      <c r="CE152">
        <v>1</v>
      </c>
      <c r="CF152">
        <v>1</v>
      </c>
      <c r="CG152">
        <v>1</v>
      </c>
      <c r="CH152">
        <v>0</v>
      </c>
      <c r="CI152">
        <v>0</v>
      </c>
      <c r="CJ152">
        <v>2</v>
      </c>
      <c r="CK152">
        <v>0</v>
      </c>
    </row>
    <row r="153" spans="1:89" x14ac:dyDescent="0.25">
      <c r="A153" s="23" t="s">
        <v>310</v>
      </c>
      <c r="B153">
        <v>1</v>
      </c>
      <c r="C153">
        <v>0</v>
      </c>
      <c r="D153">
        <v>2</v>
      </c>
      <c r="E153">
        <v>0</v>
      </c>
      <c r="F153">
        <v>1</v>
      </c>
      <c r="G153">
        <v>0</v>
      </c>
      <c r="H153">
        <v>0</v>
      </c>
      <c r="I153">
        <v>0</v>
      </c>
      <c r="J153">
        <v>1</v>
      </c>
      <c r="K153">
        <v>0</v>
      </c>
      <c r="L153">
        <v>1</v>
      </c>
      <c r="M153">
        <v>0</v>
      </c>
      <c r="N153">
        <v>1</v>
      </c>
      <c r="O153">
        <v>0</v>
      </c>
      <c r="P153">
        <v>1</v>
      </c>
      <c r="Q153">
        <v>1</v>
      </c>
      <c r="R153">
        <v>0</v>
      </c>
      <c r="S153">
        <v>0</v>
      </c>
      <c r="T153">
        <v>0</v>
      </c>
      <c r="U153">
        <v>0</v>
      </c>
      <c r="V153">
        <v>0</v>
      </c>
      <c r="W153">
        <v>1</v>
      </c>
      <c r="X153">
        <v>0</v>
      </c>
      <c r="Y153">
        <v>0</v>
      </c>
      <c r="Z153">
        <v>0</v>
      </c>
      <c r="AA153">
        <v>0</v>
      </c>
      <c r="AB153">
        <v>0</v>
      </c>
      <c r="AC153">
        <v>1</v>
      </c>
      <c r="AD153">
        <v>0</v>
      </c>
      <c r="AE153">
        <v>2</v>
      </c>
      <c r="AF153">
        <v>0</v>
      </c>
      <c r="AG153">
        <v>0</v>
      </c>
      <c r="AH153">
        <v>0</v>
      </c>
      <c r="AI153">
        <v>0</v>
      </c>
      <c r="AJ153">
        <v>1</v>
      </c>
      <c r="AK153">
        <v>0</v>
      </c>
      <c r="AL153">
        <v>0</v>
      </c>
      <c r="AM153">
        <v>0</v>
      </c>
      <c r="AN153">
        <v>0</v>
      </c>
      <c r="AO153">
        <v>1</v>
      </c>
      <c r="AP153">
        <v>1</v>
      </c>
      <c r="AQ153">
        <v>0</v>
      </c>
      <c r="AR153">
        <v>0</v>
      </c>
      <c r="AS153">
        <v>0</v>
      </c>
      <c r="AT153">
        <v>0</v>
      </c>
      <c r="AU153">
        <v>2</v>
      </c>
      <c r="AV153">
        <v>0</v>
      </c>
      <c r="AW153">
        <v>0</v>
      </c>
      <c r="AX153">
        <v>2</v>
      </c>
      <c r="AY153">
        <v>0</v>
      </c>
      <c r="AZ153">
        <v>1</v>
      </c>
      <c r="BA153">
        <v>0</v>
      </c>
      <c r="BB153">
        <v>0</v>
      </c>
      <c r="BC153">
        <v>1</v>
      </c>
      <c r="BD153">
        <v>1</v>
      </c>
      <c r="BE153">
        <v>0</v>
      </c>
      <c r="BF153">
        <v>1</v>
      </c>
      <c r="BG153">
        <v>0</v>
      </c>
      <c r="BH153">
        <v>0</v>
      </c>
      <c r="BI153">
        <v>1</v>
      </c>
      <c r="BJ153">
        <v>0</v>
      </c>
      <c r="BK153">
        <v>0</v>
      </c>
      <c r="BL153">
        <v>1</v>
      </c>
      <c r="BM153">
        <v>0</v>
      </c>
      <c r="BN153">
        <v>3</v>
      </c>
      <c r="BO153">
        <v>0</v>
      </c>
      <c r="BP153">
        <v>0</v>
      </c>
      <c r="BQ153">
        <v>2</v>
      </c>
      <c r="BR153">
        <v>0</v>
      </c>
      <c r="BS153">
        <v>0</v>
      </c>
      <c r="BT153">
        <v>0</v>
      </c>
      <c r="BU153">
        <v>0</v>
      </c>
      <c r="BV153">
        <v>0</v>
      </c>
      <c r="BW153">
        <v>1</v>
      </c>
      <c r="BX153">
        <v>0</v>
      </c>
      <c r="BY153">
        <v>0</v>
      </c>
      <c r="BZ153">
        <v>0</v>
      </c>
      <c r="CA153">
        <v>0</v>
      </c>
      <c r="CB153">
        <v>0</v>
      </c>
      <c r="CC153">
        <v>0</v>
      </c>
      <c r="CD153">
        <v>1</v>
      </c>
      <c r="CE153">
        <v>2</v>
      </c>
      <c r="CF153">
        <v>1</v>
      </c>
      <c r="CG153">
        <v>1</v>
      </c>
      <c r="CH153">
        <v>1</v>
      </c>
      <c r="CI153">
        <v>0</v>
      </c>
      <c r="CJ153">
        <v>0</v>
      </c>
      <c r="CK153">
        <v>0</v>
      </c>
    </row>
    <row r="154" spans="1:89" x14ac:dyDescent="0.25">
      <c r="A154" s="23" t="s">
        <v>311</v>
      </c>
      <c r="B154">
        <v>0</v>
      </c>
      <c r="C154">
        <v>0</v>
      </c>
      <c r="D154">
        <v>1</v>
      </c>
      <c r="E154">
        <v>0</v>
      </c>
      <c r="F154">
        <v>0</v>
      </c>
      <c r="G154">
        <v>0</v>
      </c>
      <c r="H154">
        <v>1</v>
      </c>
      <c r="I154">
        <v>0</v>
      </c>
      <c r="J154">
        <v>1</v>
      </c>
      <c r="K154">
        <v>0</v>
      </c>
      <c r="L154">
        <v>2</v>
      </c>
      <c r="M154">
        <v>2</v>
      </c>
      <c r="N154">
        <v>0</v>
      </c>
      <c r="O154">
        <v>0</v>
      </c>
      <c r="P154">
        <v>0</v>
      </c>
      <c r="Q154">
        <v>0</v>
      </c>
      <c r="R154">
        <v>1</v>
      </c>
      <c r="S154">
        <v>0</v>
      </c>
      <c r="T154">
        <v>0</v>
      </c>
      <c r="U154">
        <v>0</v>
      </c>
      <c r="V154">
        <v>0</v>
      </c>
      <c r="W154">
        <v>0</v>
      </c>
      <c r="X154">
        <v>0</v>
      </c>
      <c r="Y154">
        <v>1</v>
      </c>
      <c r="Z154">
        <v>1</v>
      </c>
      <c r="AA154">
        <v>0</v>
      </c>
      <c r="AB154">
        <v>0</v>
      </c>
      <c r="AC154">
        <v>0</v>
      </c>
      <c r="AD154">
        <v>1</v>
      </c>
      <c r="AE154">
        <v>0</v>
      </c>
      <c r="AF154">
        <v>1</v>
      </c>
      <c r="AG154">
        <v>0</v>
      </c>
      <c r="AH154">
        <v>1</v>
      </c>
      <c r="AI154">
        <v>0</v>
      </c>
      <c r="AJ154">
        <v>2</v>
      </c>
      <c r="AK154">
        <v>0</v>
      </c>
      <c r="AL154">
        <v>1</v>
      </c>
      <c r="AM154">
        <v>1</v>
      </c>
      <c r="AN154">
        <v>1</v>
      </c>
      <c r="AO154">
        <v>1</v>
      </c>
      <c r="AP154">
        <v>1</v>
      </c>
      <c r="AQ154">
        <v>0</v>
      </c>
      <c r="AR154">
        <v>0</v>
      </c>
      <c r="AS154">
        <v>1</v>
      </c>
      <c r="AT154">
        <v>0</v>
      </c>
      <c r="AU154">
        <v>3</v>
      </c>
      <c r="AV154">
        <v>0</v>
      </c>
      <c r="AW154">
        <v>0</v>
      </c>
      <c r="AX154">
        <v>1</v>
      </c>
      <c r="AY154">
        <v>0</v>
      </c>
      <c r="AZ154">
        <v>2</v>
      </c>
      <c r="BA154">
        <v>0</v>
      </c>
      <c r="BB154">
        <v>0</v>
      </c>
      <c r="BC154">
        <v>0</v>
      </c>
      <c r="BD154">
        <v>0</v>
      </c>
      <c r="BE154">
        <v>0</v>
      </c>
      <c r="BF154">
        <v>1</v>
      </c>
      <c r="BG154">
        <v>0</v>
      </c>
      <c r="BH154">
        <v>1</v>
      </c>
      <c r="BI154">
        <v>0</v>
      </c>
      <c r="BJ154">
        <v>0</v>
      </c>
      <c r="BK154">
        <v>0</v>
      </c>
      <c r="BL154">
        <v>0</v>
      </c>
      <c r="BM154">
        <v>0</v>
      </c>
      <c r="BN154">
        <v>1</v>
      </c>
      <c r="BO154">
        <v>0</v>
      </c>
      <c r="BP154">
        <v>0</v>
      </c>
      <c r="BQ154">
        <v>0</v>
      </c>
      <c r="BR154">
        <v>0</v>
      </c>
      <c r="BS154">
        <v>0</v>
      </c>
      <c r="BT154">
        <v>0</v>
      </c>
      <c r="BU154">
        <v>0</v>
      </c>
      <c r="BV154">
        <v>0</v>
      </c>
      <c r="BW154">
        <v>2</v>
      </c>
      <c r="BX154">
        <v>1</v>
      </c>
      <c r="BY154">
        <v>0</v>
      </c>
      <c r="BZ154">
        <v>0</v>
      </c>
      <c r="CA154">
        <v>0</v>
      </c>
      <c r="CB154">
        <v>0</v>
      </c>
      <c r="CC154">
        <v>0</v>
      </c>
      <c r="CD154">
        <v>0</v>
      </c>
      <c r="CE154">
        <v>1</v>
      </c>
      <c r="CF154">
        <v>1</v>
      </c>
      <c r="CG154">
        <v>1</v>
      </c>
      <c r="CH154">
        <v>2</v>
      </c>
      <c r="CI154">
        <v>0</v>
      </c>
      <c r="CJ154">
        <v>0</v>
      </c>
      <c r="CK154">
        <v>4</v>
      </c>
    </row>
    <row r="155" spans="1:89" x14ac:dyDescent="0.25">
      <c r="A155" s="23" t="s">
        <v>312</v>
      </c>
      <c r="B155">
        <v>0</v>
      </c>
      <c r="C155">
        <v>0</v>
      </c>
      <c r="D155">
        <v>0</v>
      </c>
      <c r="E155">
        <v>0</v>
      </c>
      <c r="F155">
        <v>0</v>
      </c>
      <c r="G155">
        <v>0</v>
      </c>
      <c r="H155">
        <v>0</v>
      </c>
      <c r="I155">
        <v>0</v>
      </c>
      <c r="J155">
        <v>1</v>
      </c>
      <c r="K155">
        <v>0</v>
      </c>
      <c r="L155">
        <v>0</v>
      </c>
      <c r="M155">
        <v>1</v>
      </c>
      <c r="N155">
        <v>0</v>
      </c>
      <c r="O155">
        <v>0</v>
      </c>
      <c r="P155">
        <v>0</v>
      </c>
      <c r="Q155">
        <v>1</v>
      </c>
      <c r="R155">
        <v>0</v>
      </c>
      <c r="S155">
        <v>0</v>
      </c>
      <c r="T155">
        <v>0</v>
      </c>
      <c r="U155">
        <v>1</v>
      </c>
      <c r="V155">
        <v>0</v>
      </c>
      <c r="W155">
        <v>0</v>
      </c>
      <c r="X155">
        <v>0</v>
      </c>
      <c r="Y155">
        <v>0</v>
      </c>
      <c r="Z155">
        <v>0</v>
      </c>
      <c r="AA155">
        <v>0</v>
      </c>
      <c r="AB155">
        <v>0</v>
      </c>
      <c r="AC155">
        <v>0</v>
      </c>
      <c r="AD155">
        <v>0</v>
      </c>
      <c r="AE155">
        <v>1</v>
      </c>
      <c r="AF155">
        <v>1</v>
      </c>
      <c r="AG155">
        <v>0</v>
      </c>
      <c r="AH155">
        <v>0</v>
      </c>
      <c r="AI155">
        <v>0</v>
      </c>
      <c r="AJ155">
        <v>0</v>
      </c>
      <c r="AK155">
        <v>0</v>
      </c>
      <c r="AL155">
        <v>0</v>
      </c>
      <c r="AM155">
        <v>0</v>
      </c>
      <c r="AN155">
        <v>0</v>
      </c>
      <c r="AO155">
        <v>1</v>
      </c>
      <c r="AP155">
        <v>1</v>
      </c>
      <c r="AQ155">
        <v>2</v>
      </c>
      <c r="AR155">
        <v>0</v>
      </c>
      <c r="AS155">
        <v>0</v>
      </c>
      <c r="AT155">
        <v>0</v>
      </c>
      <c r="AU155">
        <v>3</v>
      </c>
      <c r="AV155">
        <v>0</v>
      </c>
      <c r="AW155">
        <v>0</v>
      </c>
      <c r="AX155">
        <v>0</v>
      </c>
      <c r="AY155">
        <v>0</v>
      </c>
      <c r="AZ155">
        <v>1</v>
      </c>
      <c r="BA155">
        <v>0</v>
      </c>
      <c r="BB155">
        <v>0</v>
      </c>
      <c r="BC155">
        <v>1</v>
      </c>
      <c r="BD155">
        <v>0</v>
      </c>
      <c r="BE155">
        <v>0</v>
      </c>
      <c r="BF155">
        <v>1</v>
      </c>
      <c r="BG155">
        <v>0</v>
      </c>
      <c r="BH155">
        <v>0</v>
      </c>
      <c r="BI155">
        <v>0</v>
      </c>
      <c r="BJ155">
        <v>0</v>
      </c>
      <c r="BK155">
        <v>0</v>
      </c>
      <c r="BL155">
        <v>1</v>
      </c>
      <c r="BM155">
        <v>0</v>
      </c>
      <c r="BN155">
        <v>2</v>
      </c>
      <c r="BO155">
        <v>0</v>
      </c>
      <c r="BP155">
        <v>0</v>
      </c>
      <c r="BQ155">
        <v>0</v>
      </c>
      <c r="BR155">
        <v>0</v>
      </c>
      <c r="BS155">
        <v>0</v>
      </c>
      <c r="BT155">
        <v>0</v>
      </c>
      <c r="BU155">
        <v>1</v>
      </c>
      <c r="BV155">
        <v>0</v>
      </c>
      <c r="BW155">
        <v>1</v>
      </c>
      <c r="BX155">
        <v>1</v>
      </c>
      <c r="BY155">
        <v>0</v>
      </c>
      <c r="BZ155">
        <v>1</v>
      </c>
      <c r="CA155">
        <v>0</v>
      </c>
      <c r="CB155">
        <v>0</v>
      </c>
      <c r="CC155">
        <v>0</v>
      </c>
      <c r="CD155">
        <v>0</v>
      </c>
      <c r="CE155">
        <v>1</v>
      </c>
      <c r="CF155">
        <v>0</v>
      </c>
      <c r="CG155">
        <v>1</v>
      </c>
      <c r="CH155">
        <v>2</v>
      </c>
      <c r="CI155">
        <v>0</v>
      </c>
      <c r="CJ155">
        <v>1</v>
      </c>
      <c r="CK155">
        <v>1</v>
      </c>
    </row>
    <row r="156" spans="1:89" x14ac:dyDescent="0.25">
      <c r="A156" s="23" t="s">
        <v>313</v>
      </c>
      <c r="B156">
        <v>0</v>
      </c>
      <c r="C156">
        <v>0</v>
      </c>
      <c r="D156">
        <v>0</v>
      </c>
      <c r="E156">
        <v>0</v>
      </c>
      <c r="F156">
        <v>0</v>
      </c>
      <c r="G156">
        <v>0</v>
      </c>
      <c r="H156">
        <v>0</v>
      </c>
      <c r="I156">
        <v>0</v>
      </c>
      <c r="J156">
        <v>2</v>
      </c>
      <c r="K156">
        <v>0</v>
      </c>
      <c r="L156">
        <v>0</v>
      </c>
      <c r="M156">
        <v>0</v>
      </c>
      <c r="N156">
        <v>0</v>
      </c>
      <c r="O156">
        <v>0</v>
      </c>
      <c r="P156">
        <v>0</v>
      </c>
      <c r="Q156">
        <v>1</v>
      </c>
      <c r="R156">
        <v>0</v>
      </c>
      <c r="S156">
        <v>0</v>
      </c>
      <c r="T156">
        <v>0</v>
      </c>
      <c r="U156">
        <v>0</v>
      </c>
      <c r="V156">
        <v>0</v>
      </c>
      <c r="W156">
        <v>0</v>
      </c>
      <c r="X156">
        <v>0</v>
      </c>
      <c r="Y156">
        <v>0</v>
      </c>
      <c r="Z156">
        <v>0</v>
      </c>
      <c r="AA156">
        <v>0</v>
      </c>
      <c r="AB156">
        <v>0</v>
      </c>
      <c r="AC156">
        <v>1</v>
      </c>
      <c r="AD156">
        <v>0</v>
      </c>
      <c r="AE156">
        <v>0</v>
      </c>
      <c r="AF156">
        <v>0</v>
      </c>
      <c r="AG156">
        <v>0</v>
      </c>
      <c r="AH156">
        <v>0</v>
      </c>
      <c r="AI156">
        <v>0</v>
      </c>
      <c r="AJ156">
        <v>1</v>
      </c>
      <c r="AK156">
        <v>0</v>
      </c>
      <c r="AL156">
        <v>0</v>
      </c>
      <c r="AM156">
        <v>0</v>
      </c>
      <c r="AN156">
        <v>0</v>
      </c>
      <c r="AO156">
        <v>3</v>
      </c>
      <c r="AP156">
        <v>1</v>
      </c>
      <c r="AQ156">
        <v>0</v>
      </c>
      <c r="AR156">
        <v>0</v>
      </c>
      <c r="AS156">
        <v>0</v>
      </c>
      <c r="AT156">
        <v>0</v>
      </c>
      <c r="AV156">
        <v>0</v>
      </c>
      <c r="AW156">
        <v>0</v>
      </c>
      <c r="AX156">
        <v>0</v>
      </c>
      <c r="AY156">
        <v>0</v>
      </c>
      <c r="AZ156">
        <v>2</v>
      </c>
      <c r="BA156">
        <v>0</v>
      </c>
      <c r="BB156">
        <v>0</v>
      </c>
      <c r="BC156">
        <v>0</v>
      </c>
      <c r="BD156">
        <v>3</v>
      </c>
      <c r="BE156">
        <v>0</v>
      </c>
      <c r="BF156">
        <v>1</v>
      </c>
      <c r="BG156">
        <v>0</v>
      </c>
      <c r="BH156">
        <v>2</v>
      </c>
      <c r="BI156">
        <v>0</v>
      </c>
      <c r="BJ156">
        <v>0</v>
      </c>
      <c r="BK156">
        <v>0</v>
      </c>
      <c r="BL156">
        <v>2</v>
      </c>
      <c r="BM156">
        <v>0</v>
      </c>
      <c r="BN156">
        <v>1</v>
      </c>
      <c r="BO156">
        <v>0</v>
      </c>
      <c r="BP156">
        <v>0</v>
      </c>
      <c r="BQ156">
        <v>1</v>
      </c>
      <c r="BR156">
        <v>0</v>
      </c>
      <c r="BS156">
        <v>0</v>
      </c>
      <c r="BT156">
        <v>0</v>
      </c>
      <c r="BU156">
        <v>0</v>
      </c>
      <c r="BV156">
        <v>0</v>
      </c>
      <c r="BW156">
        <v>1</v>
      </c>
      <c r="BX156">
        <v>1</v>
      </c>
      <c r="BY156">
        <v>0</v>
      </c>
      <c r="BZ156">
        <v>0</v>
      </c>
      <c r="CA156">
        <v>2</v>
      </c>
      <c r="CB156">
        <v>0</v>
      </c>
      <c r="CC156">
        <v>1</v>
      </c>
      <c r="CD156">
        <v>0</v>
      </c>
      <c r="CE156">
        <v>1</v>
      </c>
      <c r="CF156">
        <v>0</v>
      </c>
      <c r="CG156">
        <v>3</v>
      </c>
      <c r="CH156">
        <v>3</v>
      </c>
      <c r="CI156">
        <v>0</v>
      </c>
      <c r="CJ156">
        <v>0</v>
      </c>
      <c r="CK156">
        <v>3</v>
      </c>
    </row>
    <row r="157" spans="1:89" x14ac:dyDescent="0.25">
      <c r="A157" s="23" t="s">
        <v>314</v>
      </c>
      <c r="B157">
        <v>1</v>
      </c>
      <c r="C157">
        <v>0</v>
      </c>
      <c r="D157">
        <v>0</v>
      </c>
      <c r="E157">
        <v>0</v>
      </c>
      <c r="F157">
        <v>1</v>
      </c>
      <c r="G157">
        <v>0</v>
      </c>
      <c r="H157">
        <v>0</v>
      </c>
      <c r="I157">
        <v>0</v>
      </c>
      <c r="J157">
        <v>2</v>
      </c>
      <c r="K157">
        <v>0</v>
      </c>
      <c r="L157">
        <v>0</v>
      </c>
      <c r="M157">
        <v>3</v>
      </c>
      <c r="N157">
        <v>0</v>
      </c>
      <c r="O157">
        <v>0</v>
      </c>
      <c r="P157">
        <v>1</v>
      </c>
      <c r="Q157">
        <v>1</v>
      </c>
      <c r="R157">
        <v>0</v>
      </c>
      <c r="S157">
        <v>0</v>
      </c>
      <c r="T157">
        <v>0</v>
      </c>
      <c r="U157">
        <v>0</v>
      </c>
      <c r="V157">
        <v>0</v>
      </c>
      <c r="W157">
        <v>0</v>
      </c>
      <c r="X157">
        <v>0</v>
      </c>
      <c r="Y157">
        <v>0</v>
      </c>
      <c r="Z157">
        <v>1</v>
      </c>
      <c r="AA157">
        <v>0</v>
      </c>
      <c r="AB157">
        <v>0</v>
      </c>
      <c r="AC157">
        <v>1</v>
      </c>
      <c r="AD157">
        <v>0</v>
      </c>
      <c r="AE157">
        <v>0</v>
      </c>
      <c r="AF157">
        <v>0</v>
      </c>
      <c r="AG157">
        <v>0</v>
      </c>
      <c r="AH157">
        <v>0</v>
      </c>
      <c r="AI157">
        <v>0</v>
      </c>
      <c r="AJ157">
        <v>1</v>
      </c>
      <c r="AK157">
        <v>0</v>
      </c>
      <c r="AL157">
        <v>0</v>
      </c>
      <c r="AM157">
        <v>1</v>
      </c>
      <c r="AN157">
        <v>2</v>
      </c>
      <c r="AO157">
        <v>1</v>
      </c>
      <c r="AP157">
        <v>2</v>
      </c>
      <c r="AQ157">
        <v>1</v>
      </c>
      <c r="AR157">
        <v>0</v>
      </c>
      <c r="AS157">
        <v>0</v>
      </c>
      <c r="AT157">
        <v>0</v>
      </c>
      <c r="AU157">
        <v>2</v>
      </c>
      <c r="AV157">
        <v>0</v>
      </c>
      <c r="AW157">
        <v>0</v>
      </c>
      <c r="AX157">
        <v>0</v>
      </c>
      <c r="AY157">
        <v>0</v>
      </c>
      <c r="AZ157">
        <v>2</v>
      </c>
      <c r="BA157">
        <v>0</v>
      </c>
      <c r="BB157">
        <v>0</v>
      </c>
      <c r="BC157">
        <v>0</v>
      </c>
      <c r="BD157">
        <v>1</v>
      </c>
      <c r="BE157">
        <v>0</v>
      </c>
      <c r="BF157">
        <v>3</v>
      </c>
      <c r="BG157">
        <v>0</v>
      </c>
      <c r="BH157">
        <v>1</v>
      </c>
      <c r="BI157">
        <v>0</v>
      </c>
      <c r="BJ157">
        <v>0</v>
      </c>
      <c r="BK157">
        <v>0</v>
      </c>
      <c r="BL157">
        <v>0</v>
      </c>
      <c r="BM157">
        <v>0</v>
      </c>
      <c r="BN157">
        <v>0</v>
      </c>
      <c r="BO157">
        <v>0</v>
      </c>
      <c r="BP157">
        <v>0</v>
      </c>
      <c r="BQ157">
        <v>1</v>
      </c>
      <c r="BR157">
        <v>0</v>
      </c>
      <c r="BS157">
        <v>0</v>
      </c>
      <c r="BT157">
        <v>0</v>
      </c>
      <c r="BU157">
        <v>0</v>
      </c>
      <c r="BV157">
        <v>0</v>
      </c>
      <c r="BW157">
        <v>1</v>
      </c>
      <c r="BX157">
        <v>0</v>
      </c>
      <c r="BY157">
        <v>0</v>
      </c>
      <c r="BZ157">
        <v>0</v>
      </c>
      <c r="CA157">
        <v>1</v>
      </c>
      <c r="CB157">
        <v>0</v>
      </c>
      <c r="CC157">
        <v>1</v>
      </c>
      <c r="CD157">
        <v>0</v>
      </c>
      <c r="CE157">
        <v>0</v>
      </c>
      <c r="CF157">
        <v>1</v>
      </c>
      <c r="CG157">
        <v>3</v>
      </c>
      <c r="CH157">
        <v>2</v>
      </c>
      <c r="CI157">
        <v>0</v>
      </c>
      <c r="CJ157">
        <v>2</v>
      </c>
      <c r="CK157">
        <v>4</v>
      </c>
    </row>
    <row r="158" spans="1:89" x14ac:dyDescent="0.25">
      <c r="A158" s="23" t="s">
        <v>315</v>
      </c>
      <c r="B158">
        <v>0</v>
      </c>
      <c r="C158">
        <v>0</v>
      </c>
      <c r="D158">
        <v>0</v>
      </c>
      <c r="E158">
        <v>0</v>
      </c>
      <c r="F158">
        <v>0</v>
      </c>
      <c r="G158">
        <v>0</v>
      </c>
      <c r="H158">
        <v>0</v>
      </c>
      <c r="I158">
        <v>0</v>
      </c>
      <c r="J158">
        <v>1</v>
      </c>
      <c r="K158">
        <v>0</v>
      </c>
      <c r="L158">
        <v>0</v>
      </c>
      <c r="M158">
        <v>1</v>
      </c>
      <c r="N158">
        <v>0</v>
      </c>
      <c r="O158">
        <v>0</v>
      </c>
      <c r="P158">
        <v>2</v>
      </c>
      <c r="Q158">
        <v>0</v>
      </c>
      <c r="R158">
        <v>0</v>
      </c>
      <c r="S158">
        <v>0</v>
      </c>
      <c r="T158">
        <v>0</v>
      </c>
      <c r="U158">
        <v>0</v>
      </c>
      <c r="V158">
        <v>0</v>
      </c>
      <c r="W158">
        <v>1</v>
      </c>
      <c r="X158">
        <v>0</v>
      </c>
      <c r="Y158">
        <v>0</v>
      </c>
      <c r="Z158">
        <v>0</v>
      </c>
      <c r="AA158">
        <v>0</v>
      </c>
      <c r="AB158">
        <v>0</v>
      </c>
      <c r="AC158">
        <v>0</v>
      </c>
      <c r="AD158">
        <v>0</v>
      </c>
      <c r="AE158">
        <v>0</v>
      </c>
      <c r="AF158">
        <v>0</v>
      </c>
      <c r="AG158">
        <v>0</v>
      </c>
      <c r="AH158">
        <v>0</v>
      </c>
      <c r="AI158">
        <v>0</v>
      </c>
      <c r="AJ158">
        <v>0</v>
      </c>
      <c r="AK158">
        <v>0</v>
      </c>
      <c r="AL158">
        <v>0</v>
      </c>
      <c r="AM158">
        <v>0</v>
      </c>
      <c r="AN158">
        <v>2</v>
      </c>
      <c r="AO158">
        <v>0</v>
      </c>
      <c r="AP158">
        <v>0</v>
      </c>
      <c r="AQ158">
        <v>2</v>
      </c>
      <c r="AR158">
        <v>0</v>
      </c>
      <c r="AS158">
        <v>0</v>
      </c>
      <c r="AT158">
        <v>0</v>
      </c>
      <c r="AU158">
        <v>3</v>
      </c>
      <c r="AV158">
        <v>0</v>
      </c>
      <c r="AW158">
        <v>0</v>
      </c>
      <c r="AX158">
        <v>1</v>
      </c>
      <c r="AY158">
        <v>0</v>
      </c>
      <c r="AZ158">
        <v>2</v>
      </c>
      <c r="BA158">
        <v>0</v>
      </c>
      <c r="BB158">
        <v>0</v>
      </c>
      <c r="BC158">
        <v>0</v>
      </c>
      <c r="BD158">
        <v>0</v>
      </c>
      <c r="BE158">
        <v>0</v>
      </c>
      <c r="BF158">
        <v>2</v>
      </c>
      <c r="BG158">
        <v>0</v>
      </c>
      <c r="BH158">
        <v>2</v>
      </c>
      <c r="BI158">
        <v>0</v>
      </c>
      <c r="BJ158">
        <v>0</v>
      </c>
      <c r="BK158">
        <v>0</v>
      </c>
      <c r="BL158">
        <v>0</v>
      </c>
      <c r="BM158">
        <v>0</v>
      </c>
      <c r="BN158">
        <v>1</v>
      </c>
      <c r="BO158">
        <v>1</v>
      </c>
      <c r="BP158">
        <v>0</v>
      </c>
      <c r="BQ158">
        <v>1</v>
      </c>
      <c r="BR158">
        <v>0</v>
      </c>
      <c r="BS158">
        <v>0</v>
      </c>
      <c r="BT158">
        <v>0</v>
      </c>
      <c r="BU158">
        <v>0</v>
      </c>
      <c r="BV158">
        <v>0</v>
      </c>
      <c r="BW158">
        <v>3</v>
      </c>
      <c r="BX158">
        <v>1</v>
      </c>
      <c r="BY158">
        <v>0</v>
      </c>
      <c r="BZ158">
        <v>0</v>
      </c>
      <c r="CA158">
        <v>1</v>
      </c>
      <c r="CB158">
        <v>0</v>
      </c>
      <c r="CC158">
        <v>0</v>
      </c>
      <c r="CD158">
        <v>0</v>
      </c>
      <c r="CE158">
        <v>1</v>
      </c>
      <c r="CF158">
        <v>2</v>
      </c>
      <c r="CG158">
        <v>3</v>
      </c>
      <c r="CH158">
        <v>1</v>
      </c>
      <c r="CI158">
        <v>0</v>
      </c>
      <c r="CJ158">
        <v>1</v>
      </c>
      <c r="CK158">
        <v>4</v>
      </c>
    </row>
    <row r="159" spans="1:89" x14ac:dyDescent="0.25">
      <c r="A159" s="23" t="s">
        <v>316</v>
      </c>
      <c r="B159">
        <v>0</v>
      </c>
      <c r="C159">
        <v>0</v>
      </c>
      <c r="D159">
        <v>0</v>
      </c>
      <c r="E159">
        <v>0</v>
      </c>
      <c r="F159">
        <v>0</v>
      </c>
      <c r="G159">
        <v>0</v>
      </c>
      <c r="H159">
        <v>0</v>
      </c>
      <c r="I159">
        <v>0</v>
      </c>
      <c r="J159">
        <v>0</v>
      </c>
      <c r="K159">
        <v>0</v>
      </c>
      <c r="L159">
        <v>0</v>
      </c>
      <c r="M159">
        <v>0</v>
      </c>
      <c r="N159">
        <v>1</v>
      </c>
      <c r="O159">
        <v>0</v>
      </c>
      <c r="P159">
        <v>0</v>
      </c>
      <c r="Q159">
        <v>0</v>
      </c>
      <c r="R159">
        <v>0</v>
      </c>
      <c r="S159">
        <v>0</v>
      </c>
      <c r="T159">
        <v>0</v>
      </c>
      <c r="U159">
        <v>0</v>
      </c>
      <c r="V159">
        <v>0</v>
      </c>
      <c r="W159">
        <v>1</v>
      </c>
      <c r="X159">
        <v>0</v>
      </c>
      <c r="Y159">
        <v>0</v>
      </c>
      <c r="Z159">
        <v>1</v>
      </c>
      <c r="AA159">
        <v>0</v>
      </c>
      <c r="AB159">
        <v>0</v>
      </c>
      <c r="AC159">
        <v>0</v>
      </c>
      <c r="AD159">
        <v>0</v>
      </c>
      <c r="AE159">
        <v>0</v>
      </c>
      <c r="AF159">
        <v>2</v>
      </c>
      <c r="AG159">
        <v>0</v>
      </c>
      <c r="AH159">
        <v>0</v>
      </c>
      <c r="AI159">
        <v>0</v>
      </c>
      <c r="AJ159">
        <v>1</v>
      </c>
      <c r="AK159">
        <v>0</v>
      </c>
      <c r="AL159">
        <v>1</v>
      </c>
      <c r="AM159">
        <v>0</v>
      </c>
      <c r="AN159">
        <v>2</v>
      </c>
      <c r="AO159">
        <v>0</v>
      </c>
      <c r="AP159">
        <v>1</v>
      </c>
      <c r="AQ159">
        <v>2</v>
      </c>
      <c r="AR159">
        <v>0</v>
      </c>
      <c r="AS159">
        <v>2</v>
      </c>
      <c r="AT159">
        <v>0</v>
      </c>
      <c r="AU159">
        <v>2</v>
      </c>
      <c r="AV159">
        <v>1</v>
      </c>
      <c r="AW159">
        <v>0</v>
      </c>
      <c r="AX159">
        <v>1</v>
      </c>
      <c r="AY159">
        <v>0</v>
      </c>
      <c r="AZ159">
        <v>1</v>
      </c>
      <c r="BA159">
        <v>0</v>
      </c>
      <c r="BB159">
        <v>0</v>
      </c>
      <c r="BC159">
        <v>0</v>
      </c>
      <c r="BD159">
        <v>0</v>
      </c>
      <c r="BE159">
        <v>0</v>
      </c>
      <c r="BF159">
        <v>1</v>
      </c>
      <c r="BG159">
        <v>0</v>
      </c>
      <c r="BH159">
        <v>0</v>
      </c>
      <c r="BI159">
        <v>0</v>
      </c>
      <c r="BJ159">
        <v>0</v>
      </c>
      <c r="BK159">
        <v>1</v>
      </c>
      <c r="BL159">
        <v>0</v>
      </c>
      <c r="BM159">
        <v>3</v>
      </c>
      <c r="BN159">
        <v>3</v>
      </c>
      <c r="BO159">
        <v>1</v>
      </c>
      <c r="BP159">
        <v>0</v>
      </c>
      <c r="BQ159">
        <v>0</v>
      </c>
      <c r="BR159">
        <v>1</v>
      </c>
      <c r="BS159">
        <v>0</v>
      </c>
      <c r="BT159">
        <v>0</v>
      </c>
      <c r="BU159">
        <v>0</v>
      </c>
      <c r="BV159">
        <v>0</v>
      </c>
      <c r="BW159">
        <v>0</v>
      </c>
      <c r="BX159">
        <v>0</v>
      </c>
      <c r="BY159">
        <v>0</v>
      </c>
      <c r="BZ159">
        <v>0</v>
      </c>
      <c r="CA159">
        <v>0</v>
      </c>
      <c r="CB159">
        <v>0</v>
      </c>
      <c r="CC159">
        <v>0</v>
      </c>
      <c r="CD159">
        <v>0</v>
      </c>
      <c r="CE159">
        <v>0</v>
      </c>
      <c r="CF159">
        <v>1</v>
      </c>
      <c r="CG159">
        <v>3</v>
      </c>
      <c r="CH159">
        <v>2</v>
      </c>
      <c r="CI159">
        <v>0</v>
      </c>
      <c r="CJ159">
        <v>0</v>
      </c>
      <c r="CK159">
        <v>2</v>
      </c>
    </row>
    <row r="160" spans="1:89" x14ac:dyDescent="0.25">
      <c r="A160" s="23" t="s">
        <v>317</v>
      </c>
      <c r="B160">
        <v>0</v>
      </c>
      <c r="C160">
        <v>0</v>
      </c>
      <c r="D160">
        <v>0</v>
      </c>
      <c r="E160">
        <v>1</v>
      </c>
      <c r="F160">
        <v>0</v>
      </c>
      <c r="G160">
        <v>0</v>
      </c>
      <c r="H160">
        <v>0</v>
      </c>
      <c r="I160">
        <v>0</v>
      </c>
      <c r="J160">
        <v>0</v>
      </c>
      <c r="K160">
        <v>0</v>
      </c>
      <c r="L160">
        <v>0</v>
      </c>
      <c r="M160">
        <v>0</v>
      </c>
      <c r="N160">
        <v>0</v>
      </c>
      <c r="O160">
        <v>0</v>
      </c>
      <c r="P160">
        <v>1</v>
      </c>
      <c r="Q160">
        <v>2</v>
      </c>
      <c r="R160">
        <v>0</v>
      </c>
      <c r="S160">
        <v>0</v>
      </c>
      <c r="T160">
        <v>0</v>
      </c>
      <c r="U160">
        <v>0</v>
      </c>
      <c r="V160">
        <v>0</v>
      </c>
      <c r="W160">
        <v>0</v>
      </c>
      <c r="X160">
        <v>0</v>
      </c>
      <c r="Y160">
        <v>0</v>
      </c>
      <c r="Z160">
        <v>1</v>
      </c>
      <c r="AA160">
        <v>1</v>
      </c>
      <c r="AB160">
        <v>0</v>
      </c>
      <c r="AC160">
        <v>0</v>
      </c>
      <c r="AD160">
        <v>0</v>
      </c>
      <c r="AE160">
        <v>0</v>
      </c>
      <c r="AF160">
        <v>1</v>
      </c>
      <c r="AG160">
        <v>0</v>
      </c>
      <c r="AH160">
        <v>0</v>
      </c>
      <c r="AI160">
        <v>0</v>
      </c>
      <c r="AJ160">
        <v>4</v>
      </c>
      <c r="AK160">
        <v>0</v>
      </c>
      <c r="AL160">
        <v>1</v>
      </c>
      <c r="AM160">
        <v>0</v>
      </c>
      <c r="AN160">
        <v>1</v>
      </c>
      <c r="AO160">
        <v>0</v>
      </c>
      <c r="AP160">
        <v>0</v>
      </c>
      <c r="AQ160">
        <v>0</v>
      </c>
      <c r="AR160">
        <v>0</v>
      </c>
      <c r="AS160">
        <v>0</v>
      </c>
      <c r="AT160">
        <v>0</v>
      </c>
      <c r="AU160">
        <v>1</v>
      </c>
      <c r="AV160">
        <v>0</v>
      </c>
      <c r="AW160">
        <v>1</v>
      </c>
      <c r="AX160">
        <v>0</v>
      </c>
      <c r="AY160">
        <v>0</v>
      </c>
      <c r="AZ160">
        <v>0</v>
      </c>
      <c r="BA160">
        <v>0</v>
      </c>
      <c r="BB160">
        <v>0</v>
      </c>
      <c r="BC160">
        <v>1</v>
      </c>
      <c r="BD160">
        <v>0</v>
      </c>
      <c r="BE160">
        <v>0</v>
      </c>
      <c r="BF160">
        <v>0</v>
      </c>
      <c r="BG160">
        <v>0</v>
      </c>
      <c r="BH160">
        <v>0</v>
      </c>
      <c r="BI160">
        <v>0</v>
      </c>
      <c r="BJ160">
        <v>0</v>
      </c>
      <c r="BK160">
        <v>0</v>
      </c>
      <c r="BL160">
        <v>0</v>
      </c>
      <c r="BM160">
        <v>0</v>
      </c>
      <c r="BN160">
        <v>1</v>
      </c>
      <c r="BO160">
        <v>1</v>
      </c>
      <c r="BP160">
        <v>1</v>
      </c>
      <c r="BQ160">
        <v>0</v>
      </c>
      <c r="BR160">
        <v>1</v>
      </c>
      <c r="BS160">
        <v>0</v>
      </c>
      <c r="BT160">
        <v>0</v>
      </c>
      <c r="BU160">
        <v>0</v>
      </c>
      <c r="BV160">
        <v>0</v>
      </c>
      <c r="BW160">
        <v>1</v>
      </c>
      <c r="BX160">
        <v>0</v>
      </c>
      <c r="BY160">
        <v>0</v>
      </c>
      <c r="BZ160">
        <v>1</v>
      </c>
      <c r="CA160">
        <v>0</v>
      </c>
      <c r="CB160">
        <v>0</v>
      </c>
      <c r="CC160">
        <v>0</v>
      </c>
      <c r="CD160">
        <v>0</v>
      </c>
      <c r="CE160">
        <v>1</v>
      </c>
      <c r="CF160">
        <v>2</v>
      </c>
      <c r="CG160">
        <v>2</v>
      </c>
      <c r="CH160">
        <v>0</v>
      </c>
      <c r="CI160">
        <v>0</v>
      </c>
      <c r="CJ160">
        <v>0</v>
      </c>
      <c r="CK160">
        <v>2</v>
      </c>
    </row>
    <row r="161" spans="1:89" x14ac:dyDescent="0.25">
      <c r="A161" s="23" t="s">
        <v>318</v>
      </c>
      <c r="B161">
        <v>0</v>
      </c>
      <c r="C161">
        <v>1</v>
      </c>
      <c r="D161">
        <v>0</v>
      </c>
      <c r="E161">
        <v>1</v>
      </c>
      <c r="F161">
        <v>0</v>
      </c>
      <c r="G161">
        <v>0</v>
      </c>
      <c r="H161">
        <v>0</v>
      </c>
      <c r="I161">
        <v>0</v>
      </c>
      <c r="J161">
        <v>0</v>
      </c>
      <c r="K161">
        <v>0</v>
      </c>
      <c r="L161">
        <v>0</v>
      </c>
      <c r="M161">
        <v>0</v>
      </c>
      <c r="N161">
        <v>0</v>
      </c>
      <c r="O161">
        <v>0</v>
      </c>
      <c r="P161">
        <v>1</v>
      </c>
      <c r="Q161">
        <v>2</v>
      </c>
      <c r="R161">
        <v>0</v>
      </c>
      <c r="S161">
        <v>0</v>
      </c>
      <c r="T161">
        <v>0</v>
      </c>
      <c r="U161">
        <v>0</v>
      </c>
      <c r="V161">
        <v>0</v>
      </c>
      <c r="W161">
        <v>1</v>
      </c>
      <c r="X161">
        <v>0</v>
      </c>
      <c r="Y161">
        <v>0</v>
      </c>
      <c r="Z161">
        <v>1</v>
      </c>
      <c r="AA161">
        <v>1</v>
      </c>
      <c r="AB161">
        <v>0</v>
      </c>
      <c r="AC161">
        <v>0</v>
      </c>
      <c r="AD161">
        <v>0</v>
      </c>
      <c r="AE161">
        <v>0</v>
      </c>
      <c r="AF161">
        <v>0</v>
      </c>
      <c r="AG161">
        <v>0</v>
      </c>
      <c r="AH161">
        <v>0</v>
      </c>
      <c r="AI161">
        <v>0</v>
      </c>
      <c r="AJ161">
        <v>0</v>
      </c>
      <c r="AK161">
        <v>0</v>
      </c>
      <c r="AL161">
        <v>0</v>
      </c>
      <c r="AM161">
        <v>1</v>
      </c>
      <c r="AN161">
        <v>0</v>
      </c>
      <c r="AO161">
        <v>0</v>
      </c>
      <c r="AP161">
        <v>0</v>
      </c>
      <c r="AQ161">
        <v>0</v>
      </c>
      <c r="AR161">
        <v>0</v>
      </c>
      <c r="AS161">
        <v>0</v>
      </c>
      <c r="AT161">
        <v>0</v>
      </c>
      <c r="AU161">
        <v>4</v>
      </c>
      <c r="AV161">
        <v>0</v>
      </c>
      <c r="AW161">
        <v>0</v>
      </c>
      <c r="AX161">
        <v>0</v>
      </c>
      <c r="AY161">
        <v>0</v>
      </c>
      <c r="AZ161">
        <v>0</v>
      </c>
      <c r="BA161">
        <v>0</v>
      </c>
      <c r="BB161">
        <v>2</v>
      </c>
      <c r="BC161">
        <v>2</v>
      </c>
      <c r="BD161">
        <v>0</v>
      </c>
      <c r="BE161">
        <v>0</v>
      </c>
      <c r="BF161">
        <v>0</v>
      </c>
      <c r="BG161">
        <v>0</v>
      </c>
      <c r="BH161">
        <v>0</v>
      </c>
      <c r="BI161">
        <v>1</v>
      </c>
      <c r="BJ161">
        <v>0</v>
      </c>
      <c r="BK161">
        <v>0</v>
      </c>
      <c r="BL161">
        <v>0</v>
      </c>
      <c r="BM161">
        <v>0</v>
      </c>
      <c r="BN161">
        <v>0</v>
      </c>
      <c r="BO161">
        <v>1</v>
      </c>
      <c r="BP161">
        <v>0</v>
      </c>
      <c r="BQ161">
        <v>0</v>
      </c>
      <c r="BR161">
        <v>2</v>
      </c>
      <c r="BS161">
        <v>0</v>
      </c>
      <c r="BT161">
        <v>0</v>
      </c>
      <c r="BU161">
        <v>0</v>
      </c>
      <c r="BV161">
        <v>0</v>
      </c>
      <c r="BW161">
        <v>1</v>
      </c>
      <c r="BX161">
        <v>0</v>
      </c>
      <c r="BY161">
        <v>1</v>
      </c>
      <c r="BZ161">
        <v>0</v>
      </c>
      <c r="CA161">
        <v>0</v>
      </c>
      <c r="CB161">
        <v>0</v>
      </c>
      <c r="CC161">
        <v>0</v>
      </c>
      <c r="CD161">
        <v>0</v>
      </c>
      <c r="CE161">
        <v>3</v>
      </c>
      <c r="CF161">
        <v>4</v>
      </c>
      <c r="CG161">
        <v>3</v>
      </c>
      <c r="CH161">
        <v>1</v>
      </c>
      <c r="CI161">
        <v>0</v>
      </c>
      <c r="CJ161">
        <v>0</v>
      </c>
      <c r="CK161">
        <v>1</v>
      </c>
    </row>
    <row r="162" spans="1:89" x14ac:dyDescent="0.25">
      <c r="A162" s="23" t="s">
        <v>319</v>
      </c>
      <c r="C162">
        <v>0</v>
      </c>
      <c r="D162">
        <v>0</v>
      </c>
      <c r="E162">
        <v>1</v>
      </c>
      <c r="F162">
        <v>0</v>
      </c>
      <c r="G162">
        <v>0</v>
      </c>
      <c r="H162">
        <v>0</v>
      </c>
      <c r="I162">
        <v>0</v>
      </c>
      <c r="J162">
        <v>0</v>
      </c>
      <c r="K162">
        <v>2</v>
      </c>
      <c r="L162">
        <v>0</v>
      </c>
      <c r="M162">
        <v>0</v>
      </c>
      <c r="N162">
        <v>0</v>
      </c>
      <c r="O162">
        <v>0</v>
      </c>
      <c r="P162">
        <v>0</v>
      </c>
      <c r="Q162">
        <v>2</v>
      </c>
      <c r="R162">
        <v>0</v>
      </c>
      <c r="S162">
        <v>0</v>
      </c>
      <c r="T162">
        <v>0</v>
      </c>
      <c r="U162">
        <v>0</v>
      </c>
      <c r="V162">
        <v>0</v>
      </c>
      <c r="W162">
        <v>1</v>
      </c>
      <c r="X162">
        <v>0</v>
      </c>
      <c r="Y162">
        <v>0</v>
      </c>
      <c r="Z162">
        <v>1</v>
      </c>
      <c r="AA162">
        <v>2</v>
      </c>
      <c r="AB162">
        <v>0</v>
      </c>
      <c r="AC162">
        <v>1</v>
      </c>
      <c r="AD162">
        <v>0</v>
      </c>
      <c r="AE162">
        <v>0</v>
      </c>
      <c r="AF162">
        <v>0</v>
      </c>
      <c r="AH162">
        <v>0</v>
      </c>
      <c r="AI162">
        <v>0</v>
      </c>
      <c r="AJ162">
        <v>0</v>
      </c>
      <c r="AK162">
        <v>0</v>
      </c>
      <c r="AL162">
        <v>0</v>
      </c>
      <c r="AM162">
        <v>2</v>
      </c>
      <c r="AN162">
        <v>1</v>
      </c>
      <c r="AO162">
        <v>0</v>
      </c>
      <c r="AP162">
        <v>0</v>
      </c>
      <c r="AQ162">
        <v>1</v>
      </c>
      <c r="AR162">
        <v>0</v>
      </c>
      <c r="AS162">
        <v>0</v>
      </c>
      <c r="AT162">
        <v>0</v>
      </c>
      <c r="AU162">
        <v>3</v>
      </c>
      <c r="AV162">
        <v>0</v>
      </c>
      <c r="AW162">
        <v>0</v>
      </c>
      <c r="AX162">
        <v>0</v>
      </c>
      <c r="AY162">
        <v>0</v>
      </c>
      <c r="AZ162">
        <v>1</v>
      </c>
      <c r="BA162">
        <v>0</v>
      </c>
      <c r="BB162">
        <v>0</v>
      </c>
      <c r="BC162">
        <v>2</v>
      </c>
      <c r="BD162">
        <v>1</v>
      </c>
      <c r="BE162">
        <v>0</v>
      </c>
      <c r="BF162">
        <v>0</v>
      </c>
      <c r="BG162">
        <v>0</v>
      </c>
      <c r="BH162">
        <v>1</v>
      </c>
      <c r="BI162">
        <v>0</v>
      </c>
      <c r="BJ162">
        <v>0</v>
      </c>
      <c r="BL162">
        <v>0</v>
      </c>
      <c r="BM162">
        <v>0</v>
      </c>
      <c r="BN162">
        <v>0</v>
      </c>
      <c r="BO162">
        <v>1</v>
      </c>
      <c r="BP162">
        <v>0</v>
      </c>
      <c r="BQ162">
        <v>1</v>
      </c>
      <c r="BR162">
        <v>0</v>
      </c>
      <c r="BS162">
        <v>0</v>
      </c>
      <c r="BT162">
        <v>0</v>
      </c>
      <c r="BU162">
        <v>1</v>
      </c>
      <c r="BV162">
        <v>0</v>
      </c>
      <c r="BW162">
        <v>1</v>
      </c>
      <c r="BX162">
        <v>0</v>
      </c>
      <c r="BY162">
        <v>0</v>
      </c>
      <c r="BZ162">
        <v>0</v>
      </c>
      <c r="CA162">
        <v>1</v>
      </c>
      <c r="CB162">
        <v>0</v>
      </c>
      <c r="CC162">
        <v>1</v>
      </c>
      <c r="CD162">
        <v>0</v>
      </c>
      <c r="CE162">
        <v>2</v>
      </c>
      <c r="CF162">
        <v>3</v>
      </c>
      <c r="CG162">
        <v>1</v>
      </c>
      <c r="CH162">
        <v>1</v>
      </c>
      <c r="CI162">
        <v>0</v>
      </c>
      <c r="CJ162">
        <v>0</v>
      </c>
      <c r="CK162">
        <v>1</v>
      </c>
    </row>
    <row r="163" spans="1:89" x14ac:dyDescent="0.25">
      <c r="A163" s="23"/>
    </row>
    <row r="164" spans="1:89" x14ac:dyDescent="0.25">
      <c r="A164" s="23" t="s">
        <v>320</v>
      </c>
      <c r="B164">
        <v>1</v>
      </c>
      <c r="C164">
        <v>1</v>
      </c>
      <c r="D164">
        <v>3</v>
      </c>
      <c r="E164">
        <v>1</v>
      </c>
      <c r="F164">
        <v>1</v>
      </c>
      <c r="G164">
        <v>4</v>
      </c>
      <c r="H164">
        <v>1</v>
      </c>
      <c r="I164">
        <v>2</v>
      </c>
      <c r="J164">
        <v>4</v>
      </c>
      <c r="K164">
        <v>0</v>
      </c>
      <c r="L164">
        <v>2</v>
      </c>
      <c r="M164">
        <v>1</v>
      </c>
      <c r="N164">
        <v>4</v>
      </c>
      <c r="O164">
        <v>0</v>
      </c>
      <c r="P164">
        <v>0</v>
      </c>
      <c r="Q164">
        <v>0</v>
      </c>
      <c r="R164">
        <v>0</v>
      </c>
      <c r="S164">
        <v>1</v>
      </c>
      <c r="T164">
        <v>1</v>
      </c>
      <c r="U164">
        <v>1</v>
      </c>
      <c r="V164">
        <v>0</v>
      </c>
      <c r="W164">
        <v>0</v>
      </c>
      <c r="X164">
        <v>0</v>
      </c>
      <c r="Y164">
        <v>0</v>
      </c>
      <c r="Z164">
        <v>0</v>
      </c>
      <c r="AA164">
        <v>1</v>
      </c>
      <c r="AB164">
        <v>0</v>
      </c>
      <c r="AC164">
        <v>0</v>
      </c>
      <c r="AD164">
        <v>0</v>
      </c>
      <c r="AE164">
        <v>0</v>
      </c>
      <c r="AF164">
        <v>1</v>
      </c>
      <c r="AG164">
        <v>0</v>
      </c>
      <c r="AH164">
        <v>0</v>
      </c>
      <c r="AI164">
        <v>4</v>
      </c>
      <c r="AJ164">
        <v>2</v>
      </c>
      <c r="AK164">
        <v>0</v>
      </c>
      <c r="AL164">
        <v>1</v>
      </c>
      <c r="AM164">
        <v>3</v>
      </c>
      <c r="AN164">
        <v>1</v>
      </c>
      <c r="AO164">
        <v>3</v>
      </c>
      <c r="AP164">
        <v>2</v>
      </c>
      <c r="AQ164">
        <v>1</v>
      </c>
      <c r="AR164">
        <v>1</v>
      </c>
      <c r="AS164">
        <v>0</v>
      </c>
      <c r="AT164">
        <v>2</v>
      </c>
      <c r="AU164">
        <v>3</v>
      </c>
      <c r="AV164">
        <v>0</v>
      </c>
      <c r="AW164">
        <v>0</v>
      </c>
      <c r="AX164">
        <v>0</v>
      </c>
      <c r="AY164">
        <v>0</v>
      </c>
      <c r="AZ164">
        <v>0</v>
      </c>
      <c r="BA164">
        <v>0</v>
      </c>
      <c r="BB164">
        <v>1</v>
      </c>
      <c r="BC164">
        <v>0</v>
      </c>
      <c r="BD164">
        <v>0</v>
      </c>
      <c r="BE164">
        <v>0</v>
      </c>
      <c r="BF164">
        <v>0</v>
      </c>
      <c r="BG164">
        <v>0</v>
      </c>
      <c r="BH164">
        <v>0</v>
      </c>
      <c r="BI164">
        <v>1</v>
      </c>
      <c r="BJ164">
        <v>0</v>
      </c>
      <c r="BK164">
        <v>1</v>
      </c>
      <c r="BL164">
        <v>1</v>
      </c>
      <c r="BM164">
        <v>0</v>
      </c>
      <c r="BN164">
        <v>0</v>
      </c>
      <c r="BO164">
        <v>4</v>
      </c>
      <c r="BP164">
        <v>0</v>
      </c>
      <c r="BQ164">
        <v>0</v>
      </c>
      <c r="BR164">
        <v>0</v>
      </c>
      <c r="BS164">
        <v>0</v>
      </c>
      <c r="BT164">
        <v>0</v>
      </c>
      <c r="BU164">
        <v>0</v>
      </c>
      <c r="BV164">
        <v>1</v>
      </c>
      <c r="BW164">
        <v>0</v>
      </c>
      <c r="BX164">
        <v>0</v>
      </c>
      <c r="BY164">
        <v>0</v>
      </c>
      <c r="BZ164">
        <v>3</v>
      </c>
      <c r="CA164">
        <v>2</v>
      </c>
      <c r="CB164">
        <v>0</v>
      </c>
      <c r="CC164">
        <v>2</v>
      </c>
      <c r="CD164">
        <v>4</v>
      </c>
      <c r="CE164">
        <v>0</v>
      </c>
      <c r="CF164">
        <v>2</v>
      </c>
      <c r="CG164">
        <v>0</v>
      </c>
      <c r="CH164">
        <v>1</v>
      </c>
      <c r="CI164">
        <v>0</v>
      </c>
      <c r="CJ164">
        <v>0</v>
      </c>
      <c r="CK164">
        <v>1</v>
      </c>
    </row>
    <row r="165" spans="1:89" x14ac:dyDescent="0.25">
      <c r="A165" s="23" t="s">
        <v>321</v>
      </c>
      <c r="B165">
        <v>0</v>
      </c>
      <c r="C165">
        <v>4</v>
      </c>
      <c r="D165">
        <v>3</v>
      </c>
      <c r="E165">
        <v>0</v>
      </c>
      <c r="F165">
        <v>2</v>
      </c>
      <c r="G165">
        <v>4</v>
      </c>
      <c r="H165">
        <v>0</v>
      </c>
      <c r="I165">
        <v>0</v>
      </c>
      <c r="J165">
        <v>1</v>
      </c>
      <c r="K165">
        <v>0</v>
      </c>
      <c r="L165">
        <v>1</v>
      </c>
      <c r="M165">
        <v>1</v>
      </c>
      <c r="N165">
        <v>1</v>
      </c>
      <c r="O165">
        <v>0</v>
      </c>
      <c r="P165">
        <v>1</v>
      </c>
      <c r="Q165">
        <v>4</v>
      </c>
      <c r="R165">
        <v>0</v>
      </c>
      <c r="S165">
        <v>2</v>
      </c>
      <c r="T165">
        <v>0</v>
      </c>
      <c r="U165">
        <v>0</v>
      </c>
      <c r="V165">
        <v>0</v>
      </c>
      <c r="W165">
        <v>4</v>
      </c>
      <c r="X165">
        <v>0</v>
      </c>
      <c r="Y165">
        <v>2</v>
      </c>
      <c r="Z165">
        <v>0</v>
      </c>
      <c r="AA165">
        <v>0</v>
      </c>
      <c r="AB165">
        <v>0</v>
      </c>
      <c r="AC165">
        <v>2</v>
      </c>
      <c r="AD165">
        <v>1</v>
      </c>
      <c r="AE165">
        <v>0</v>
      </c>
      <c r="AF165">
        <v>1</v>
      </c>
      <c r="AG165">
        <v>3</v>
      </c>
      <c r="AH165">
        <v>0</v>
      </c>
      <c r="AI165">
        <v>4</v>
      </c>
      <c r="AK165">
        <v>0</v>
      </c>
      <c r="AL165">
        <v>3</v>
      </c>
      <c r="AM165">
        <v>1</v>
      </c>
      <c r="AN165">
        <v>2</v>
      </c>
      <c r="AO165">
        <v>0</v>
      </c>
      <c r="AP165">
        <v>3</v>
      </c>
      <c r="AQ165">
        <v>0</v>
      </c>
      <c r="AR165">
        <v>1</v>
      </c>
      <c r="AS165">
        <v>1</v>
      </c>
      <c r="AT165">
        <v>1</v>
      </c>
      <c r="AU165">
        <v>0</v>
      </c>
      <c r="AV165">
        <v>0</v>
      </c>
      <c r="AW165">
        <v>0</v>
      </c>
      <c r="AX165">
        <v>0</v>
      </c>
      <c r="AY165">
        <v>0</v>
      </c>
      <c r="AZ165">
        <v>0</v>
      </c>
      <c r="BA165">
        <v>0</v>
      </c>
      <c r="BB165">
        <v>1</v>
      </c>
      <c r="BC165">
        <v>3</v>
      </c>
      <c r="BD165">
        <v>0</v>
      </c>
      <c r="BE165">
        <v>1</v>
      </c>
      <c r="BF165">
        <v>3</v>
      </c>
      <c r="BG165">
        <v>0</v>
      </c>
      <c r="BH165">
        <v>0</v>
      </c>
      <c r="BI165">
        <v>2</v>
      </c>
      <c r="BJ165">
        <v>0</v>
      </c>
      <c r="BK165">
        <v>2</v>
      </c>
      <c r="BL165">
        <v>1</v>
      </c>
      <c r="BM165">
        <v>0</v>
      </c>
      <c r="BN165">
        <v>2</v>
      </c>
      <c r="BO165">
        <v>0</v>
      </c>
      <c r="BP165">
        <v>0</v>
      </c>
      <c r="BQ165">
        <v>0</v>
      </c>
      <c r="BR165">
        <v>0</v>
      </c>
      <c r="BS165">
        <v>0</v>
      </c>
      <c r="BT165">
        <v>0</v>
      </c>
      <c r="BU165">
        <v>4</v>
      </c>
      <c r="BV165">
        <v>1</v>
      </c>
      <c r="BW165">
        <v>0</v>
      </c>
      <c r="BX165">
        <v>0</v>
      </c>
      <c r="BY165">
        <v>2</v>
      </c>
      <c r="BZ165">
        <v>0</v>
      </c>
      <c r="CA165">
        <v>3</v>
      </c>
      <c r="CB165">
        <v>3</v>
      </c>
      <c r="CC165">
        <v>1</v>
      </c>
      <c r="CD165">
        <v>1</v>
      </c>
      <c r="CE165">
        <v>1</v>
      </c>
      <c r="CF165">
        <v>0</v>
      </c>
      <c r="CG165">
        <v>0</v>
      </c>
      <c r="CH165">
        <v>3</v>
      </c>
      <c r="CI165">
        <v>1</v>
      </c>
      <c r="CJ165">
        <v>3</v>
      </c>
      <c r="CK165">
        <v>0</v>
      </c>
    </row>
    <row r="166" spans="1:89" x14ac:dyDescent="0.25">
      <c r="A166" s="23" t="s">
        <v>322</v>
      </c>
      <c r="B166">
        <v>0</v>
      </c>
      <c r="C166">
        <v>2</v>
      </c>
      <c r="D166">
        <v>4</v>
      </c>
      <c r="E166">
        <v>0</v>
      </c>
      <c r="F166">
        <v>0</v>
      </c>
      <c r="G166">
        <v>2</v>
      </c>
      <c r="H166">
        <v>0</v>
      </c>
      <c r="I166">
        <v>1</v>
      </c>
      <c r="J166">
        <v>4</v>
      </c>
      <c r="K166">
        <v>0</v>
      </c>
      <c r="L166">
        <v>0</v>
      </c>
      <c r="M166">
        <v>1</v>
      </c>
      <c r="N166">
        <v>3</v>
      </c>
      <c r="O166">
        <v>0</v>
      </c>
      <c r="P166">
        <v>0</v>
      </c>
      <c r="Q166">
        <v>0</v>
      </c>
      <c r="R166">
        <v>0</v>
      </c>
      <c r="S166">
        <v>0</v>
      </c>
      <c r="T166">
        <v>1</v>
      </c>
      <c r="U166">
        <v>2</v>
      </c>
      <c r="V166">
        <v>0</v>
      </c>
      <c r="W166">
        <v>0</v>
      </c>
      <c r="X166">
        <v>0</v>
      </c>
      <c r="Y166">
        <v>1</v>
      </c>
      <c r="Z166">
        <v>2</v>
      </c>
      <c r="AA166">
        <v>2</v>
      </c>
      <c r="AB166">
        <v>0</v>
      </c>
      <c r="AC166">
        <v>0</v>
      </c>
      <c r="AD166">
        <v>0</v>
      </c>
      <c r="AE166">
        <v>0</v>
      </c>
      <c r="AF166">
        <v>0</v>
      </c>
      <c r="AG166">
        <v>3</v>
      </c>
      <c r="AH166">
        <v>1</v>
      </c>
      <c r="AI166">
        <v>4</v>
      </c>
      <c r="AJ166">
        <v>0</v>
      </c>
      <c r="AK166">
        <v>1</v>
      </c>
      <c r="AL166">
        <v>3</v>
      </c>
      <c r="AM166">
        <v>3</v>
      </c>
      <c r="AN166">
        <v>0</v>
      </c>
      <c r="AO166">
        <v>1</v>
      </c>
      <c r="AP166">
        <v>0</v>
      </c>
      <c r="AQ166">
        <v>1</v>
      </c>
      <c r="AR166">
        <v>1</v>
      </c>
      <c r="AS166">
        <v>1</v>
      </c>
      <c r="AT166">
        <v>1</v>
      </c>
      <c r="AU166">
        <v>1</v>
      </c>
      <c r="AV166">
        <v>2</v>
      </c>
      <c r="AW166">
        <v>2</v>
      </c>
      <c r="AX166">
        <v>1</v>
      </c>
      <c r="AY166">
        <v>0</v>
      </c>
      <c r="AZ166">
        <v>0</v>
      </c>
      <c r="BA166">
        <v>0</v>
      </c>
      <c r="BB166">
        <v>0</v>
      </c>
      <c r="BC166">
        <v>0</v>
      </c>
      <c r="BD166">
        <v>1</v>
      </c>
      <c r="BE166">
        <v>0</v>
      </c>
      <c r="BF166">
        <v>0</v>
      </c>
      <c r="BG166">
        <v>1</v>
      </c>
      <c r="BH166">
        <v>0</v>
      </c>
      <c r="BI166">
        <v>0</v>
      </c>
      <c r="BJ166">
        <v>0</v>
      </c>
      <c r="BK166">
        <v>0</v>
      </c>
      <c r="BL166">
        <v>1</v>
      </c>
      <c r="BM166">
        <v>0</v>
      </c>
      <c r="BN166">
        <v>0</v>
      </c>
      <c r="BO166">
        <v>0</v>
      </c>
      <c r="BP166">
        <v>0</v>
      </c>
      <c r="BQ166">
        <v>1</v>
      </c>
      <c r="BR166">
        <v>0</v>
      </c>
      <c r="BS166">
        <v>0</v>
      </c>
      <c r="BT166">
        <v>2</v>
      </c>
      <c r="BU166">
        <v>1</v>
      </c>
      <c r="BV166">
        <v>2</v>
      </c>
      <c r="BW166">
        <v>0</v>
      </c>
      <c r="BX166">
        <v>0</v>
      </c>
      <c r="BY166">
        <v>3</v>
      </c>
      <c r="BZ166">
        <v>0</v>
      </c>
      <c r="CA166">
        <v>2</v>
      </c>
      <c r="CB166">
        <v>3</v>
      </c>
      <c r="CC166">
        <v>0</v>
      </c>
      <c r="CD166">
        <v>3</v>
      </c>
      <c r="CE166">
        <v>0</v>
      </c>
      <c r="CF166">
        <v>0</v>
      </c>
      <c r="CG166">
        <v>0</v>
      </c>
      <c r="CH166">
        <v>0</v>
      </c>
      <c r="CI166">
        <v>3</v>
      </c>
      <c r="CJ166">
        <v>3</v>
      </c>
      <c r="CK166">
        <v>2</v>
      </c>
    </row>
    <row r="167" spans="1:89" x14ac:dyDescent="0.25">
      <c r="A167" s="23" t="s">
        <v>323</v>
      </c>
      <c r="B167">
        <v>2</v>
      </c>
      <c r="C167">
        <v>2</v>
      </c>
      <c r="D167">
        <v>3</v>
      </c>
      <c r="E167">
        <v>0</v>
      </c>
      <c r="F167">
        <v>0</v>
      </c>
      <c r="G167">
        <v>0</v>
      </c>
      <c r="H167">
        <v>0</v>
      </c>
      <c r="I167">
        <v>0</v>
      </c>
      <c r="J167">
        <v>1</v>
      </c>
      <c r="K167">
        <v>0</v>
      </c>
      <c r="L167">
        <v>0</v>
      </c>
      <c r="M167">
        <v>0</v>
      </c>
      <c r="N167">
        <v>0</v>
      </c>
      <c r="O167">
        <v>0</v>
      </c>
      <c r="P167">
        <v>1</v>
      </c>
      <c r="Q167">
        <v>0</v>
      </c>
      <c r="R167">
        <v>0</v>
      </c>
      <c r="S167">
        <v>0</v>
      </c>
      <c r="T167">
        <v>1</v>
      </c>
      <c r="U167">
        <v>1</v>
      </c>
      <c r="V167">
        <v>0</v>
      </c>
      <c r="W167">
        <v>4</v>
      </c>
      <c r="X167">
        <v>1</v>
      </c>
      <c r="Y167">
        <v>1</v>
      </c>
      <c r="Z167">
        <v>4</v>
      </c>
      <c r="AA167">
        <v>0</v>
      </c>
      <c r="AB167">
        <v>0</v>
      </c>
      <c r="AC167">
        <v>0</v>
      </c>
      <c r="AD167">
        <v>1</v>
      </c>
      <c r="AE167">
        <v>4</v>
      </c>
      <c r="AF167">
        <v>1</v>
      </c>
      <c r="AG167">
        <v>0</v>
      </c>
      <c r="AH167">
        <v>0</v>
      </c>
      <c r="AI167">
        <v>4</v>
      </c>
      <c r="AJ167">
        <v>0</v>
      </c>
      <c r="AK167">
        <v>4</v>
      </c>
      <c r="AL167">
        <v>1</v>
      </c>
      <c r="AM167">
        <v>2</v>
      </c>
      <c r="AN167">
        <v>0</v>
      </c>
      <c r="AO167">
        <v>1</v>
      </c>
      <c r="AP167">
        <v>1</v>
      </c>
      <c r="AQ167">
        <v>1</v>
      </c>
      <c r="AR167">
        <v>0</v>
      </c>
      <c r="AS167">
        <v>0</v>
      </c>
      <c r="AT167">
        <v>2</v>
      </c>
      <c r="AU167">
        <v>0</v>
      </c>
      <c r="AV167">
        <v>3</v>
      </c>
      <c r="AW167">
        <v>1</v>
      </c>
      <c r="AX167">
        <v>0</v>
      </c>
      <c r="AY167">
        <v>0</v>
      </c>
      <c r="AZ167">
        <v>3</v>
      </c>
      <c r="BA167">
        <v>0</v>
      </c>
      <c r="BB167">
        <v>0</v>
      </c>
      <c r="BC167">
        <v>0</v>
      </c>
      <c r="BD167">
        <v>0</v>
      </c>
      <c r="BE167">
        <v>2</v>
      </c>
      <c r="BF167">
        <v>0</v>
      </c>
      <c r="BG167">
        <v>2</v>
      </c>
      <c r="BH167">
        <v>0</v>
      </c>
      <c r="BI167">
        <v>3</v>
      </c>
      <c r="BJ167">
        <v>1</v>
      </c>
      <c r="BK167">
        <v>2</v>
      </c>
      <c r="BL167">
        <v>1</v>
      </c>
      <c r="BM167">
        <v>3</v>
      </c>
      <c r="BN167">
        <v>4</v>
      </c>
      <c r="BO167">
        <v>4</v>
      </c>
      <c r="BP167">
        <v>0</v>
      </c>
      <c r="BQ167">
        <v>1</v>
      </c>
      <c r="BR167">
        <v>0</v>
      </c>
      <c r="BS167">
        <v>0</v>
      </c>
      <c r="BT167">
        <v>1</v>
      </c>
      <c r="BU167">
        <v>2</v>
      </c>
      <c r="BV167">
        <v>0</v>
      </c>
      <c r="BW167">
        <v>1</v>
      </c>
      <c r="BX167">
        <v>0</v>
      </c>
      <c r="BY167">
        <v>3</v>
      </c>
      <c r="BZ167">
        <v>4</v>
      </c>
      <c r="CA167">
        <v>3</v>
      </c>
      <c r="CB167">
        <v>3</v>
      </c>
      <c r="CC167">
        <v>0</v>
      </c>
      <c r="CD167">
        <v>4</v>
      </c>
      <c r="CE167">
        <v>0</v>
      </c>
      <c r="CF167">
        <v>0</v>
      </c>
      <c r="CG167">
        <v>0</v>
      </c>
      <c r="CH167">
        <v>0</v>
      </c>
      <c r="CI167">
        <v>3</v>
      </c>
      <c r="CJ167">
        <v>1</v>
      </c>
      <c r="CK167">
        <v>2</v>
      </c>
    </row>
    <row r="168" spans="1:89" x14ac:dyDescent="0.25">
      <c r="A168" s="23" t="s">
        <v>324</v>
      </c>
      <c r="B168">
        <v>3</v>
      </c>
      <c r="C168">
        <v>0</v>
      </c>
      <c r="D168">
        <v>3</v>
      </c>
      <c r="E168">
        <v>0</v>
      </c>
      <c r="F168">
        <v>4</v>
      </c>
      <c r="G168">
        <v>0</v>
      </c>
      <c r="H168">
        <v>0</v>
      </c>
      <c r="I168">
        <v>1</v>
      </c>
      <c r="J168">
        <v>2</v>
      </c>
      <c r="K168">
        <v>0</v>
      </c>
      <c r="L168">
        <v>1</v>
      </c>
      <c r="M168">
        <v>0</v>
      </c>
      <c r="N168">
        <v>0</v>
      </c>
      <c r="O168">
        <v>0</v>
      </c>
      <c r="P168">
        <v>2</v>
      </c>
      <c r="Q168">
        <v>0</v>
      </c>
      <c r="R168">
        <v>2</v>
      </c>
      <c r="S168">
        <v>0</v>
      </c>
      <c r="T168">
        <v>0</v>
      </c>
      <c r="U168">
        <v>0</v>
      </c>
      <c r="V168">
        <v>0</v>
      </c>
      <c r="W168">
        <v>0</v>
      </c>
      <c r="X168">
        <v>1</v>
      </c>
      <c r="Y168">
        <v>1</v>
      </c>
      <c r="Z168">
        <v>0</v>
      </c>
      <c r="AA168">
        <v>0</v>
      </c>
      <c r="AB168">
        <v>0</v>
      </c>
      <c r="AC168">
        <v>0</v>
      </c>
      <c r="AD168">
        <v>0</v>
      </c>
      <c r="AE168">
        <v>0</v>
      </c>
      <c r="AF168">
        <v>0</v>
      </c>
      <c r="AG168">
        <v>0</v>
      </c>
      <c r="AH168">
        <v>0</v>
      </c>
      <c r="AI168">
        <v>1</v>
      </c>
      <c r="AJ168">
        <v>0</v>
      </c>
      <c r="AK168">
        <v>1</v>
      </c>
      <c r="AL168">
        <v>0</v>
      </c>
      <c r="AM168">
        <v>3</v>
      </c>
      <c r="AN168">
        <v>0</v>
      </c>
      <c r="AO168">
        <v>0</v>
      </c>
      <c r="AP168">
        <v>0</v>
      </c>
      <c r="AQ168">
        <v>0</v>
      </c>
      <c r="AR168">
        <v>0</v>
      </c>
      <c r="AS168">
        <v>1</v>
      </c>
      <c r="AT168">
        <v>1</v>
      </c>
      <c r="AU168">
        <v>0</v>
      </c>
      <c r="AV168">
        <v>0</v>
      </c>
      <c r="AW168">
        <v>1</v>
      </c>
      <c r="AX168">
        <v>1</v>
      </c>
      <c r="AY168">
        <v>0</v>
      </c>
      <c r="AZ168">
        <v>0</v>
      </c>
      <c r="BA168">
        <v>0</v>
      </c>
      <c r="BB168">
        <v>1</v>
      </c>
      <c r="BC168">
        <v>1</v>
      </c>
      <c r="BD168">
        <v>0</v>
      </c>
      <c r="BE168">
        <v>0</v>
      </c>
      <c r="BF168">
        <v>0</v>
      </c>
      <c r="BG168">
        <v>0</v>
      </c>
      <c r="BH168">
        <v>0</v>
      </c>
      <c r="BI168">
        <v>0</v>
      </c>
      <c r="BJ168">
        <v>0</v>
      </c>
      <c r="BK168">
        <v>2</v>
      </c>
      <c r="BL168">
        <v>0</v>
      </c>
      <c r="BM168">
        <v>0</v>
      </c>
      <c r="BN168">
        <v>3</v>
      </c>
      <c r="BO168">
        <v>0</v>
      </c>
      <c r="BP168">
        <v>0</v>
      </c>
      <c r="BQ168">
        <v>3</v>
      </c>
      <c r="BR168">
        <v>0</v>
      </c>
      <c r="BS168">
        <v>0</v>
      </c>
      <c r="BT168">
        <v>1</v>
      </c>
      <c r="BU168">
        <v>2</v>
      </c>
      <c r="BV168">
        <v>0</v>
      </c>
      <c r="BW168">
        <v>0</v>
      </c>
      <c r="BX168">
        <v>0</v>
      </c>
      <c r="BY168">
        <v>3</v>
      </c>
      <c r="BZ168">
        <v>3</v>
      </c>
      <c r="CA168">
        <v>1</v>
      </c>
      <c r="CB168">
        <v>4</v>
      </c>
      <c r="CC168">
        <v>0</v>
      </c>
      <c r="CD168">
        <v>0</v>
      </c>
      <c r="CE168">
        <v>1</v>
      </c>
      <c r="CF168">
        <v>1</v>
      </c>
      <c r="CG168">
        <v>0</v>
      </c>
      <c r="CH168">
        <v>0</v>
      </c>
      <c r="CI168">
        <v>3</v>
      </c>
      <c r="CJ168">
        <v>0</v>
      </c>
      <c r="CK168">
        <v>0</v>
      </c>
    </row>
    <row r="169" spans="1:89" x14ac:dyDescent="0.25">
      <c r="A169" s="23" t="s">
        <v>325</v>
      </c>
      <c r="B169">
        <v>2</v>
      </c>
      <c r="C169">
        <v>0</v>
      </c>
      <c r="D169">
        <v>4</v>
      </c>
      <c r="E169">
        <v>1</v>
      </c>
      <c r="F169">
        <v>4</v>
      </c>
      <c r="G169">
        <v>0</v>
      </c>
      <c r="H169">
        <v>1</v>
      </c>
      <c r="I169">
        <v>1</v>
      </c>
      <c r="J169">
        <v>0</v>
      </c>
      <c r="K169">
        <v>0</v>
      </c>
      <c r="L169">
        <v>4</v>
      </c>
      <c r="M169">
        <v>0</v>
      </c>
      <c r="N169">
        <v>0</v>
      </c>
      <c r="O169">
        <v>0</v>
      </c>
      <c r="P169">
        <v>0</v>
      </c>
      <c r="Q169">
        <v>0</v>
      </c>
      <c r="R169">
        <v>0</v>
      </c>
      <c r="S169">
        <v>4</v>
      </c>
      <c r="T169">
        <v>0</v>
      </c>
      <c r="U169">
        <v>1</v>
      </c>
      <c r="V169">
        <v>0</v>
      </c>
      <c r="W169">
        <v>0</v>
      </c>
      <c r="X169">
        <v>0</v>
      </c>
      <c r="Y169">
        <v>0</v>
      </c>
      <c r="Z169">
        <v>1</v>
      </c>
      <c r="AA169">
        <v>1</v>
      </c>
      <c r="AB169">
        <v>0</v>
      </c>
      <c r="AC169">
        <v>0</v>
      </c>
      <c r="AD169">
        <v>2</v>
      </c>
      <c r="AE169">
        <v>0</v>
      </c>
      <c r="AF169">
        <v>2</v>
      </c>
      <c r="AG169">
        <v>0</v>
      </c>
      <c r="AH169">
        <v>0</v>
      </c>
      <c r="AI169">
        <v>0</v>
      </c>
      <c r="AJ169">
        <v>0</v>
      </c>
      <c r="AK169">
        <v>1</v>
      </c>
      <c r="AL169">
        <v>0</v>
      </c>
      <c r="AM169">
        <v>0</v>
      </c>
      <c r="AN169">
        <v>1</v>
      </c>
      <c r="AO169">
        <v>1</v>
      </c>
      <c r="AP169">
        <v>0</v>
      </c>
      <c r="AQ169">
        <v>1</v>
      </c>
      <c r="AR169">
        <v>1</v>
      </c>
      <c r="AS169">
        <v>0</v>
      </c>
      <c r="AT169">
        <v>4</v>
      </c>
      <c r="AU169">
        <v>2</v>
      </c>
      <c r="AV169">
        <v>0</v>
      </c>
      <c r="AW169">
        <v>4</v>
      </c>
      <c r="AX169">
        <v>0</v>
      </c>
      <c r="AY169">
        <v>0</v>
      </c>
      <c r="AZ169">
        <v>0</v>
      </c>
      <c r="BA169">
        <v>0</v>
      </c>
      <c r="BB169">
        <v>2</v>
      </c>
      <c r="BC169">
        <v>0</v>
      </c>
      <c r="BD169">
        <v>4</v>
      </c>
      <c r="BE169">
        <v>0</v>
      </c>
      <c r="BF169">
        <v>1</v>
      </c>
      <c r="BG169">
        <v>3</v>
      </c>
      <c r="BH169">
        <v>0</v>
      </c>
      <c r="BI169">
        <v>0</v>
      </c>
      <c r="BJ169">
        <v>1</v>
      </c>
      <c r="BK169">
        <v>3</v>
      </c>
      <c r="BL169">
        <v>1</v>
      </c>
      <c r="BM169">
        <v>3</v>
      </c>
      <c r="BN169">
        <v>0</v>
      </c>
      <c r="BO169">
        <v>0</v>
      </c>
      <c r="BP169">
        <v>0</v>
      </c>
      <c r="BQ169">
        <v>1</v>
      </c>
      <c r="BR169">
        <v>1</v>
      </c>
      <c r="BS169">
        <v>0</v>
      </c>
      <c r="BT169">
        <v>1</v>
      </c>
      <c r="BU169">
        <v>1</v>
      </c>
      <c r="BV169">
        <v>0</v>
      </c>
      <c r="BW169">
        <v>0</v>
      </c>
      <c r="BX169">
        <v>0</v>
      </c>
      <c r="BY169">
        <v>2</v>
      </c>
      <c r="BZ169">
        <v>2</v>
      </c>
      <c r="CA169">
        <v>1</v>
      </c>
      <c r="CB169">
        <v>3</v>
      </c>
      <c r="CC169">
        <v>0</v>
      </c>
      <c r="CD169">
        <v>4</v>
      </c>
      <c r="CE169">
        <v>0</v>
      </c>
      <c r="CF169">
        <v>2</v>
      </c>
      <c r="CG169">
        <v>2</v>
      </c>
      <c r="CH169">
        <v>2</v>
      </c>
      <c r="CI169">
        <v>3</v>
      </c>
      <c r="CJ169">
        <v>0</v>
      </c>
      <c r="CK169">
        <v>1</v>
      </c>
    </row>
    <row r="170" spans="1:89" x14ac:dyDescent="0.25">
      <c r="A170" s="23" t="s">
        <v>326</v>
      </c>
      <c r="B170">
        <v>0</v>
      </c>
      <c r="C170">
        <v>1</v>
      </c>
      <c r="D170">
        <v>3</v>
      </c>
      <c r="E170">
        <v>0</v>
      </c>
      <c r="F170">
        <v>2</v>
      </c>
      <c r="G170">
        <v>0</v>
      </c>
      <c r="H170">
        <v>4</v>
      </c>
      <c r="I170">
        <v>0</v>
      </c>
      <c r="J170">
        <v>0</v>
      </c>
      <c r="K170">
        <v>0</v>
      </c>
      <c r="L170">
        <v>0</v>
      </c>
      <c r="M170">
        <v>1</v>
      </c>
      <c r="N170">
        <v>0</v>
      </c>
      <c r="O170">
        <v>0</v>
      </c>
      <c r="P170">
        <v>0</v>
      </c>
      <c r="Q170">
        <v>0</v>
      </c>
      <c r="R170">
        <v>0</v>
      </c>
      <c r="S170">
        <v>1</v>
      </c>
      <c r="T170">
        <v>2</v>
      </c>
      <c r="U170">
        <v>3</v>
      </c>
      <c r="V170">
        <v>1</v>
      </c>
      <c r="W170">
        <v>0</v>
      </c>
      <c r="X170">
        <v>1</v>
      </c>
      <c r="Y170">
        <v>0</v>
      </c>
      <c r="Z170">
        <v>0</v>
      </c>
      <c r="AA170">
        <v>1</v>
      </c>
      <c r="AB170">
        <v>0</v>
      </c>
      <c r="AC170">
        <v>0</v>
      </c>
      <c r="AD170">
        <v>1</v>
      </c>
      <c r="AE170">
        <v>0</v>
      </c>
      <c r="AF170">
        <v>1</v>
      </c>
      <c r="AG170">
        <v>2</v>
      </c>
      <c r="AH170">
        <v>0</v>
      </c>
      <c r="AI170">
        <v>0</v>
      </c>
      <c r="AJ170">
        <v>2</v>
      </c>
      <c r="AK170">
        <v>0</v>
      </c>
      <c r="AL170">
        <v>0</v>
      </c>
      <c r="AM170">
        <v>0</v>
      </c>
      <c r="AN170">
        <v>0</v>
      </c>
      <c r="AO170">
        <v>2</v>
      </c>
      <c r="AP170">
        <v>0</v>
      </c>
      <c r="AQ170">
        <v>1</v>
      </c>
      <c r="AR170">
        <v>0</v>
      </c>
      <c r="AS170">
        <v>1</v>
      </c>
      <c r="AT170">
        <v>0</v>
      </c>
      <c r="AU170">
        <v>0</v>
      </c>
      <c r="AV170">
        <v>0</v>
      </c>
      <c r="AW170">
        <v>1</v>
      </c>
      <c r="AX170">
        <v>3</v>
      </c>
      <c r="AY170">
        <v>0</v>
      </c>
      <c r="AZ170">
        <v>0</v>
      </c>
      <c r="BA170">
        <v>1</v>
      </c>
      <c r="BB170">
        <v>1</v>
      </c>
      <c r="BC170">
        <v>0</v>
      </c>
      <c r="BD170">
        <v>0</v>
      </c>
      <c r="BE170">
        <v>0</v>
      </c>
      <c r="BF170">
        <v>0</v>
      </c>
      <c r="BG170">
        <v>1</v>
      </c>
      <c r="BH170">
        <v>0</v>
      </c>
      <c r="BI170">
        <v>0</v>
      </c>
      <c r="BJ170">
        <v>0</v>
      </c>
      <c r="BK170">
        <v>0</v>
      </c>
      <c r="BL170">
        <v>0</v>
      </c>
      <c r="BM170">
        <v>4</v>
      </c>
      <c r="BN170">
        <v>1</v>
      </c>
      <c r="BO170">
        <v>4</v>
      </c>
      <c r="BP170">
        <v>2</v>
      </c>
      <c r="BQ170">
        <v>1</v>
      </c>
      <c r="BR170">
        <v>0</v>
      </c>
      <c r="BS170">
        <v>0</v>
      </c>
      <c r="BT170">
        <v>2</v>
      </c>
      <c r="BU170">
        <v>1</v>
      </c>
      <c r="BV170">
        <v>0</v>
      </c>
      <c r="BW170">
        <v>0</v>
      </c>
      <c r="BX170">
        <v>4</v>
      </c>
      <c r="BY170">
        <v>0</v>
      </c>
      <c r="BZ170">
        <v>1</v>
      </c>
      <c r="CA170">
        <v>0</v>
      </c>
      <c r="CB170">
        <v>3</v>
      </c>
      <c r="CC170">
        <v>0</v>
      </c>
      <c r="CD170">
        <v>2</v>
      </c>
      <c r="CE170">
        <v>1</v>
      </c>
      <c r="CF170">
        <v>0</v>
      </c>
      <c r="CG170">
        <v>0</v>
      </c>
      <c r="CH170">
        <v>3</v>
      </c>
      <c r="CI170">
        <v>1</v>
      </c>
      <c r="CJ170">
        <v>0</v>
      </c>
      <c r="CK170">
        <v>0</v>
      </c>
    </row>
    <row r="171" spans="1:89" x14ac:dyDescent="0.25">
      <c r="A171" s="23" t="s">
        <v>327</v>
      </c>
      <c r="B171">
        <v>4</v>
      </c>
      <c r="C171">
        <v>0</v>
      </c>
      <c r="D171">
        <v>3</v>
      </c>
      <c r="E171">
        <v>0</v>
      </c>
      <c r="F171">
        <v>1</v>
      </c>
      <c r="G171">
        <v>0</v>
      </c>
      <c r="H171">
        <v>4</v>
      </c>
      <c r="I171">
        <v>0</v>
      </c>
      <c r="J171">
        <v>4</v>
      </c>
      <c r="K171">
        <v>0</v>
      </c>
      <c r="L171">
        <v>0</v>
      </c>
      <c r="M171">
        <v>0</v>
      </c>
      <c r="N171">
        <v>0</v>
      </c>
      <c r="O171">
        <v>0</v>
      </c>
      <c r="P171">
        <v>0</v>
      </c>
      <c r="Q171">
        <v>4</v>
      </c>
      <c r="R171">
        <v>0</v>
      </c>
      <c r="S171">
        <v>3</v>
      </c>
      <c r="T171">
        <v>0</v>
      </c>
      <c r="U171">
        <v>0</v>
      </c>
      <c r="V171">
        <v>0</v>
      </c>
      <c r="W171">
        <v>0</v>
      </c>
      <c r="X171">
        <v>0</v>
      </c>
      <c r="Y171">
        <v>0</v>
      </c>
      <c r="Z171">
        <v>1</v>
      </c>
      <c r="AA171">
        <v>0</v>
      </c>
      <c r="AB171">
        <v>0</v>
      </c>
      <c r="AC171">
        <v>0</v>
      </c>
      <c r="AD171">
        <v>4</v>
      </c>
      <c r="AE171">
        <v>0</v>
      </c>
      <c r="AF171">
        <v>0</v>
      </c>
      <c r="AG171">
        <v>0</v>
      </c>
      <c r="AH171">
        <v>0</v>
      </c>
      <c r="AI171">
        <v>0</v>
      </c>
      <c r="AJ171">
        <v>0</v>
      </c>
      <c r="AK171">
        <v>0</v>
      </c>
      <c r="AL171">
        <v>0</v>
      </c>
      <c r="AM171">
        <v>0</v>
      </c>
      <c r="AN171">
        <v>0</v>
      </c>
      <c r="AO171">
        <v>1</v>
      </c>
      <c r="AP171">
        <v>2</v>
      </c>
      <c r="AQ171">
        <v>0</v>
      </c>
      <c r="AR171">
        <v>0</v>
      </c>
      <c r="AS171">
        <v>0</v>
      </c>
      <c r="AT171">
        <v>4</v>
      </c>
      <c r="AU171">
        <v>0</v>
      </c>
      <c r="AV171">
        <v>0</v>
      </c>
      <c r="AW171">
        <v>0</v>
      </c>
      <c r="AX171">
        <v>0</v>
      </c>
      <c r="AY171">
        <v>0</v>
      </c>
      <c r="AZ171">
        <v>3</v>
      </c>
      <c r="BA171">
        <v>0</v>
      </c>
      <c r="BB171">
        <v>1</v>
      </c>
      <c r="BC171">
        <v>0</v>
      </c>
      <c r="BD171">
        <v>0</v>
      </c>
      <c r="BE171">
        <v>0</v>
      </c>
      <c r="BF171">
        <v>0</v>
      </c>
      <c r="BG171">
        <v>0</v>
      </c>
      <c r="BH171">
        <v>0</v>
      </c>
      <c r="BI171">
        <v>0</v>
      </c>
      <c r="BJ171">
        <v>0</v>
      </c>
      <c r="BK171">
        <v>0</v>
      </c>
      <c r="BL171">
        <v>2</v>
      </c>
      <c r="BM171">
        <v>0</v>
      </c>
      <c r="BN171">
        <v>4</v>
      </c>
      <c r="BO171">
        <v>0</v>
      </c>
      <c r="BP171">
        <v>2</v>
      </c>
      <c r="BQ171">
        <v>0</v>
      </c>
      <c r="BR171">
        <v>3</v>
      </c>
      <c r="BS171">
        <v>0</v>
      </c>
      <c r="BT171">
        <v>3</v>
      </c>
      <c r="BU171">
        <v>1</v>
      </c>
      <c r="BV171">
        <v>0</v>
      </c>
      <c r="BW171">
        <v>0</v>
      </c>
      <c r="BX171">
        <v>1</v>
      </c>
      <c r="BY171">
        <v>2</v>
      </c>
      <c r="BZ171">
        <v>0</v>
      </c>
      <c r="CA171">
        <v>0</v>
      </c>
      <c r="CB171">
        <v>3</v>
      </c>
      <c r="CC171">
        <v>0</v>
      </c>
      <c r="CD171">
        <v>3</v>
      </c>
      <c r="CE171">
        <v>0</v>
      </c>
      <c r="CF171">
        <v>0</v>
      </c>
      <c r="CG171">
        <v>0</v>
      </c>
      <c r="CH171">
        <v>0</v>
      </c>
      <c r="CI171">
        <v>2</v>
      </c>
      <c r="CJ171">
        <v>1</v>
      </c>
      <c r="CK171">
        <v>1</v>
      </c>
    </row>
    <row r="172" spans="1:89" x14ac:dyDescent="0.25">
      <c r="A172" s="23" t="s">
        <v>328</v>
      </c>
      <c r="B172">
        <v>0</v>
      </c>
      <c r="C172">
        <v>2</v>
      </c>
      <c r="D172">
        <v>3</v>
      </c>
      <c r="E172">
        <v>0</v>
      </c>
      <c r="F172">
        <v>1</v>
      </c>
      <c r="G172">
        <v>0</v>
      </c>
      <c r="H172">
        <v>0</v>
      </c>
      <c r="I172">
        <v>0</v>
      </c>
      <c r="J172">
        <v>4</v>
      </c>
      <c r="K172">
        <v>0</v>
      </c>
      <c r="L172">
        <v>0</v>
      </c>
      <c r="M172">
        <v>3</v>
      </c>
      <c r="N172">
        <v>0</v>
      </c>
      <c r="O172">
        <v>0</v>
      </c>
      <c r="P172">
        <v>2</v>
      </c>
      <c r="Q172">
        <v>0</v>
      </c>
      <c r="R172">
        <v>0</v>
      </c>
      <c r="S172">
        <v>1</v>
      </c>
      <c r="T172">
        <v>2</v>
      </c>
      <c r="U172">
        <v>0</v>
      </c>
      <c r="V172">
        <v>0</v>
      </c>
      <c r="W172">
        <v>0</v>
      </c>
      <c r="X172">
        <v>0</v>
      </c>
      <c r="Y172">
        <v>0</v>
      </c>
      <c r="Z172">
        <v>0</v>
      </c>
      <c r="AA172">
        <v>0</v>
      </c>
      <c r="AB172">
        <v>0</v>
      </c>
      <c r="AC172">
        <v>1</v>
      </c>
      <c r="AD172">
        <v>1</v>
      </c>
      <c r="AE172">
        <v>0</v>
      </c>
      <c r="AF172">
        <v>3</v>
      </c>
      <c r="AG172">
        <v>0</v>
      </c>
      <c r="AH172">
        <v>0</v>
      </c>
      <c r="AI172">
        <v>0</v>
      </c>
      <c r="AJ172">
        <v>1</v>
      </c>
      <c r="AK172">
        <v>0</v>
      </c>
      <c r="AL172">
        <v>1</v>
      </c>
      <c r="AM172">
        <v>2</v>
      </c>
      <c r="AN172">
        <v>0</v>
      </c>
      <c r="AO172">
        <v>2</v>
      </c>
      <c r="AP172">
        <v>2</v>
      </c>
      <c r="AQ172">
        <v>0</v>
      </c>
      <c r="AR172">
        <v>3</v>
      </c>
      <c r="AS172">
        <v>0</v>
      </c>
      <c r="AT172">
        <v>4</v>
      </c>
      <c r="AV172">
        <v>0</v>
      </c>
      <c r="AW172">
        <v>1</v>
      </c>
      <c r="AX172">
        <v>0</v>
      </c>
      <c r="AY172">
        <v>0</v>
      </c>
      <c r="AZ172">
        <v>0</v>
      </c>
      <c r="BA172">
        <v>0</v>
      </c>
      <c r="BB172">
        <v>0</v>
      </c>
      <c r="BC172">
        <v>2</v>
      </c>
      <c r="BD172">
        <v>0</v>
      </c>
      <c r="BE172">
        <v>1</v>
      </c>
      <c r="BF172">
        <v>0</v>
      </c>
      <c r="BG172">
        <v>0</v>
      </c>
      <c r="BH172">
        <v>0</v>
      </c>
      <c r="BI172">
        <v>0</v>
      </c>
      <c r="BJ172">
        <v>1</v>
      </c>
      <c r="BK172">
        <v>0</v>
      </c>
      <c r="BL172">
        <v>1</v>
      </c>
      <c r="BM172">
        <v>0</v>
      </c>
      <c r="BN172">
        <v>2</v>
      </c>
      <c r="BO172">
        <v>0</v>
      </c>
      <c r="BP172">
        <v>1</v>
      </c>
      <c r="BQ172">
        <v>1</v>
      </c>
      <c r="BR172">
        <v>0</v>
      </c>
      <c r="BS172">
        <v>0</v>
      </c>
      <c r="BT172">
        <v>2</v>
      </c>
      <c r="BU172">
        <v>0</v>
      </c>
      <c r="BV172">
        <v>1</v>
      </c>
      <c r="BW172">
        <v>2</v>
      </c>
      <c r="BX172">
        <v>2</v>
      </c>
      <c r="BY172">
        <v>0</v>
      </c>
      <c r="BZ172">
        <v>0</v>
      </c>
      <c r="CA172">
        <v>0</v>
      </c>
      <c r="CB172">
        <v>2</v>
      </c>
      <c r="CC172">
        <v>3</v>
      </c>
      <c r="CD172">
        <v>2</v>
      </c>
      <c r="CE172">
        <v>2</v>
      </c>
      <c r="CF172">
        <v>1</v>
      </c>
      <c r="CG172">
        <v>0</v>
      </c>
      <c r="CH172">
        <v>0</v>
      </c>
      <c r="CI172">
        <v>0</v>
      </c>
      <c r="CJ172">
        <v>3</v>
      </c>
      <c r="CK172">
        <v>0</v>
      </c>
    </row>
    <row r="173" spans="1:89" x14ac:dyDescent="0.25">
      <c r="A173" s="23" t="s">
        <v>329</v>
      </c>
      <c r="B173">
        <v>2</v>
      </c>
      <c r="C173">
        <v>2</v>
      </c>
      <c r="D173">
        <v>3</v>
      </c>
      <c r="E173">
        <v>0</v>
      </c>
      <c r="F173">
        <v>1</v>
      </c>
      <c r="G173">
        <v>4</v>
      </c>
      <c r="H173">
        <v>0</v>
      </c>
      <c r="I173">
        <v>0</v>
      </c>
      <c r="J173">
        <v>4</v>
      </c>
      <c r="K173">
        <v>2</v>
      </c>
      <c r="L173">
        <v>4</v>
      </c>
      <c r="M173">
        <v>4</v>
      </c>
      <c r="N173">
        <v>0</v>
      </c>
      <c r="O173">
        <v>0</v>
      </c>
      <c r="P173">
        <v>4</v>
      </c>
      <c r="Q173">
        <v>1</v>
      </c>
      <c r="R173">
        <v>0</v>
      </c>
      <c r="S173">
        <v>1</v>
      </c>
      <c r="T173">
        <v>4</v>
      </c>
      <c r="U173">
        <v>0</v>
      </c>
      <c r="V173">
        <v>0</v>
      </c>
      <c r="W173">
        <v>1</v>
      </c>
      <c r="X173">
        <v>0</v>
      </c>
      <c r="Y173">
        <v>0</v>
      </c>
      <c r="Z173">
        <v>0</v>
      </c>
      <c r="AA173">
        <v>0</v>
      </c>
      <c r="AB173">
        <v>0</v>
      </c>
      <c r="AC173">
        <v>1</v>
      </c>
      <c r="AD173">
        <v>0</v>
      </c>
      <c r="AE173">
        <v>0</v>
      </c>
      <c r="AF173">
        <v>0</v>
      </c>
      <c r="AG173">
        <v>0</v>
      </c>
      <c r="AH173">
        <v>0</v>
      </c>
      <c r="AI173">
        <v>1</v>
      </c>
      <c r="AJ173">
        <v>0</v>
      </c>
      <c r="AK173">
        <v>0</v>
      </c>
      <c r="AL173">
        <v>4</v>
      </c>
      <c r="AM173">
        <v>0</v>
      </c>
      <c r="AN173">
        <v>3</v>
      </c>
      <c r="AO173">
        <v>2</v>
      </c>
      <c r="AP173">
        <v>4</v>
      </c>
      <c r="AQ173">
        <v>1</v>
      </c>
      <c r="AR173">
        <v>4</v>
      </c>
      <c r="AS173">
        <v>0</v>
      </c>
      <c r="AT173">
        <v>4</v>
      </c>
      <c r="AU173">
        <v>0</v>
      </c>
      <c r="AV173">
        <v>0</v>
      </c>
      <c r="AW173">
        <v>0</v>
      </c>
      <c r="AX173">
        <v>0</v>
      </c>
      <c r="AY173">
        <v>1</v>
      </c>
      <c r="AZ173">
        <v>0</v>
      </c>
      <c r="BA173">
        <v>0</v>
      </c>
      <c r="BB173">
        <v>1</v>
      </c>
      <c r="BC173">
        <v>0</v>
      </c>
      <c r="BD173">
        <v>0</v>
      </c>
      <c r="BE173">
        <v>0</v>
      </c>
      <c r="BF173">
        <v>0</v>
      </c>
      <c r="BG173">
        <v>2</v>
      </c>
      <c r="BH173">
        <v>0</v>
      </c>
      <c r="BI173">
        <v>0</v>
      </c>
      <c r="BJ173">
        <v>1</v>
      </c>
      <c r="BK173">
        <v>0</v>
      </c>
      <c r="BL173">
        <v>2</v>
      </c>
      <c r="BM173">
        <v>0</v>
      </c>
      <c r="BN173">
        <v>0</v>
      </c>
      <c r="BO173">
        <v>0</v>
      </c>
      <c r="BP173">
        <v>0</v>
      </c>
      <c r="BQ173">
        <v>0</v>
      </c>
      <c r="BR173">
        <v>0</v>
      </c>
      <c r="BS173">
        <v>0</v>
      </c>
      <c r="BT173">
        <v>1</v>
      </c>
      <c r="BU173">
        <v>3</v>
      </c>
      <c r="BV173">
        <v>0</v>
      </c>
      <c r="BW173">
        <v>0</v>
      </c>
      <c r="BX173">
        <v>0</v>
      </c>
      <c r="BY173">
        <v>0</v>
      </c>
      <c r="BZ173">
        <v>0</v>
      </c>
      <c r="CA173">
        <v>1</v>
      </c>
      <c r="CB173">
        <v>3</v>
      </c>
      <c r="CC173">
        <v>1</v>
      </c>
      <c r="CD173">
        <v>4</v>
      </c>
      <c r="CE173">
        <v>1</v>
      </c>
      <c r="CF173">
        <v>0</v>
      </c>
      <c r="CG173">
        <v>0</v>
      </c>
      <c r="CH173">
        <v>0</v>
      </c>
      <c r="CI173">
        <v>3</v>
      </c>
      <c r="CJ173">
        <v>4</v>
      </c>
      <c r="CK173">
        <v>1</v>
      </c>
    </row>
    <row r="174" spans="1:89" x14ac:dyDescent="0.25">
      <c r="A174" s="23" t="s">
        <v>330</v>
      </c>
      <c r="B174">
        <v>1</v>
      </c>
      <c r="C174">
        <v>1</v>
      </c>
      <c r="D174">
        <v>0</v>
      </c>
      <c r="E174">
        <v>0</v>
      </c>
      <c r="F174">
        <v>1</v>
      </c>
      <c r="G174">
        <v>2</v>
      </c>
      <c r="H174">
        <v>0</v>
      </c>
      <c r="I174">
        <v>0</v>
      </c>
      <c r="J174">
        <v>4</v>
      </c>
      <c r="K174">
        <v>0</v>
      </c>
      <c r="L174">
        <v>0</v>
      </c>
      <c r="M174">
        <v>2</v>
      </c>
      <c r="N174">
        <v>0</v>
      </c>
      <c r="O174">
        <v>0</v>
      </c>
      <c r="P174">
        <v>3</v>
      </c>
      <c r="Q174">
        <v>0</v>
      </c>
      <c r="R174">
        <v>0</v>
      </c>
      <c r="S174">
        <v>1</v>
      </c>
      <c r="T174">
        <v>0</v>
      </c>
      <c r="U174">
        <v>1</v>
      </c>
      <c r="V174">
        <v>2</v>
      </c>
      <c r="W174">
        <v>0</v>
      </c>
      <c r="X174">
        <v>1</v>
      </c>
      <c r="Y174">
        <v>0</v>
      </c>
      <c r="Z174">
        <v>0</v>
      </c>
      <c r="AA174">
        <v>0</v>
      </c>
      <c r="AB174">
        <v>2</v>
      </c>
      <c r="AC174">
        <v>0</v>
      </c>
      <c r="AD174">
        <v>1</v>
      </c>
      <c r="AE174">
        <v>0</v>
      </c>
      <c r="AF174">
        <v>0</v>
      </c>
      <c r="AG174">
        <v>0</v>
      </c>
      <c r="AH174">
        <v>2</v>
      </c>
      <c r="AI174">
        <v>0</v>
      </c>
      <c r="AJ174">
        <v>3</v>
      </c>
      <c r="AK174">
        <v>0</v>
      </c>
      <c r="AL174">
        <v>4</v>
      </c>
      <c r="AM174">
        <v>0</v>
      </c>
      <c r="AN174">
        <v>1</v>
      </c>
      <c r="AO174">
        <v>2</v>
      </c>
      <c r="AP174">
        <v>4</v>
      </c>
      <c r="AQ174">
        <v>1</v>
      </c>
      <c r="AR174">
        <v>4</v>
      </c>
      <c r="AS174">
        <v>0</v>
      </c>
      <c r="AT174">
        <v>4</v>
      </c>
      <c r="AU174">
        <v>0</v>
      </c>
      <c r="AV174">
        <v>0</v>
      </c>
      <c r="AW174">
        <v>1</v>
      </c>
      <c r="AX174">
        <v>0</v>
      </c>
      <c r="AY174">
        <v>0</v>
      </c>
      <c r="AZ174">
        <v>3</v>
      </c>
      <c r="BA174">
        <v>0</v>
      </c>
      <c r="BB174">
        <v>1</v>
      </c>
      <c r="BC174">
        <v>1</v>
      </c>
      <c r="BD174">
        <v>0</v>
      </c>
      <c r="BE174">
        <v>3</v>
      </c>
      <c r="BF174">
        <v>0</v>
      </c>
      <c r="BG174">
        <v>2</v>
      </c>
      <c r="BH174">
        <v>0</v>
      </c>
      <c r="BI174">
        <v>0</v>
      </c>
      <c r="BJ174">
        <v>0</v>
      </c>
      <c r="BK174">
        <v>0</v>
      </c>
      <c r="BL174">
        <v>2</v>
      </c>
      <c r="BM174">
        <v>0</v>
      </c>
      <c r="BN174">
        <v>0</v>
      </c>
      <c r="BO174">
        <v>0</v>
      </c>
      <c r="BP174">
        <v>0</v>
      </c>
      <c r="BQ174">
        <v>0</v>
      </c>
      <c r="BR174">
        <v>0</v>
      </c>
      <c r="BS174">
        <v>0</v>
      </c>
      <c r="BT174">
        <v>3</v>
      </c>
      <c r="BU174">
        <v>1</v>
      </c>
      <c r="BV174">
        <v>0</v>
      </c>
      <c r="BW174">
        <v>0</v>
      </c>
      <c r="BX174">
        <v>0</v>
      </c>
      <c r="BY174">
        <v>0</v>
      </c>
      <c r="BZ174">
        <v>3</v>
      </c>
      <c r="CA174">
        <v>2</v>
      </c>
      <c r="CB174">
        <v>4</v>
      </c>
      <c r="CC174">
        <v>1</v>
      </c>
      <c r="CD174">
        <v>3</v>
      </c>
      <c r="CE174">
        <v>0</v>
      </c>
      <c r="CF174">
        <v>0</v>
      </c>
      <c r="CG174">
        <v>3</v>
      </c>
      <c r="CH174">
        <v>4</v>
      </c>
      <c r="CI174">
        <v>3</v>
      </c>
      <c r="CJ174">
        <v>2</v>
      </c>
      <c r="CK174">
        <v>0</v>
      </c>
    </row>
    <row r="175" spans="1:89" x14ac:dyDescent="0.25">
      <c r="A175" s="23" t="s">
        <v>331</v>
      </c>
      <c r="C175">
        <v>0</v>
      </c>
      <c r="D175">
        <v>1</v>
      </c>
      <c r="E175">
        <v>0</v>
      </c>
      <c r="F175">
        <v>4</v>
      </c>
      <c r="G175">
        <v>4</v>
      </c>
      <c r="H175">
        <v>0</v>
      </c>
      <c r="I175">
        <v>0</v>
      </c>
      <c r="J175">
        <v>4</v>
      </c>
      <c r="K175">
        <v>0</v>
      </c>
      <c r="L175">
        <v>0</v>
      </c>
      <c r="M175">
        <v>1</v>
      </c>
      <c r="N175">
        <v>0</v>
      </c>
      <c r="O175">
        <v>1</v>
      </c>
      <c r="P175">
        <v>0</v>
      </c>
      <c r="Q175">
        <v>0</v>
      </c>
      <c r="R175">
        <v>0</v>
      </c>
      <c r="S175">
        <v>0</v>
      </c>
      <c r="T175">
        <v>2</v>
      </c>
      <c r="U175">
        <v>0</v>
      </c>
      <c r="V175">
        <v>0</v>
      </c>
      <c r="W175">
        <v>0</v>
      </c>
      <c r="X175">
        <v>0</v>
      </c>
      <c r="Y175">
        <v>1</v>
      </c>
      <c r="Z175">
        <v>0</v>
      </c>
      <c r="AA175">
        <v>3</v>
      </c>
      <c r="AB175">
        <v>4</v>
      </c>
      <c r="AC175">
        <v>0</v>
      </c>
      <c r="AD175">
        <v>0</v>
      </c>
      <c r="AE175">
        <v>3</v>
      </c>
      <c r="AF175">
        <v>0</v>
      </c>
      <c r="AG175">
        <v>0</v>
      </c>
      <c r="AH175">
        <v>1</v>
      </c>
      <c r="AI175">
        <v>0</v>
      </c>
      <c r="AJ175">
        <v>4</v>
      </c>
      <c r="AK175">
        <v>0</v>
      </c>
      <c r="AL175">
        <v>4</v>
      </c>
      <c r="AM175">
        <v>4</v>
      </c>
      <c r="AN175">
        <v>0</v>
      </c>
      <c r="AO175">
        <v>1</v>
      </c>
      <c r="AP175">
        <v>1</v>
      </c>
      <c r="AQ175">
        <v>0</v>
      </c>
      <c r="AR175">
        <v>4</v>
      </c>
      <c r="AS175">
        <v>1</v>
      </c>
      <c r="AT175">
        <v>4</v>
      </c>
      <c r="AU175">
        <v>0</v>
      </c>
      <c r="AV175">
        <v>0</v>
      </c>
      <c r="AW175">
        <v>0</v>
      </c>
      <c r="AX175">
        <v>0</v>
      </c>
      <c r="AY175">
        <v>0</v>
      </c>
      <c r="AZ175">
        <v>0</v>
      </c>
      <c r="BA175">
        <v>0</v>
      </c>
      <c r="BB175">
        <v>0</v>
      </c>
      <c r="BC175">
        <v>0</v>
      </c>
      <c r="BD175">
        <v>2</v>
      </c>
      <c r="BE175">
        <v>0</v>
      </c>
      <c r="BF175">
        <v>0</v>
      </c>
      <c r="BG175">
        <v>0</v>
      </c>
      <c r="BH175">
        <v>1</v>
      </c>
      <c r="BI175">
        <v>3</v>
      </c>
      <c r="BJ175">
        <v>0</v>
      </c>
      <c r="BL175">
        <v>2</v>
      </c>
      <c r="BM175">
        <v>0</v>
      </c>
      <c r="BN175">
        <v>0</v>
      </c>
      <c r="BO175">
        <v>3</v>
      </c>
      <c r="BP175">
        <v>4</v>
      </c>
      <c r="BQ175">
        <v>0</v>
      </c>
      <c r="BR175">
        <v>0</v>
      </c>
      <c r="BS175">
        <v>1</v>
      </c>
      <c r="BT175">
        <v>0</v>
      </c>
      <c r="BU175">
        <v>0</v>
      </c>
      <c r="BV175">
        <v>0</v>
      </c>
      <c r="BW175">
        <v>3</v>
      </c>
      <c r="BX175">
        <v>0</v>
      </c>
      <c r="BY175">
        <v>2</v>
      </c>
      <c r="BZ175">
        <v>0</v>
      </c>
      <c r="CA175">
        <v>0</v>
      </c>
      <c r="CB175">
        <v>1</v>
      </c>
      <c r="CC175">
        <v>0</v>
      </c>
      <c r="CD175">
        <v>4</v>
      </c>
      <c r="CE175">
        <v>1</v>
      </c>
      <c r="CF175">
        <v>1</v>
      </c>
      <c r="CG175">
        <v>0</v>
      </c>
      <c r="CH175">
        <v>4</v>
      </c>
      <c r="CI175">
        <v>4</v>
      </c>
      <c r="CJ175">
        <v>2</v>
      </c>
      <c r="CK175">
        <v>2</v>
      </c>
    </row>
    <row r="176" spans="1:89" x14ac:dyDescent="0.25">
      <c r="A176" s="23"/>
    </row>
    <row r="177" spans="1:89" x14ac:dyDescent="0.25">
      <c r="A177" s="23" t="s">
        <v>408</v>
      </c>
      <c r="B177">
        <v>35</v>
      </c>
      <c r="C177">
        <v>20</v>
      </c>
      <c r="D177">
        <v>40</v>
      </c>
      <c r="E177">
        <v>5</v>
      </c>
      <c r="F177">
        <v>5</v>
      </c>
      <c r="G177">
        <v>45</v>
      </c>
      <c r="H177">
        <v>45</v>
      </c>
      <c r="I177">
        <v>15</v>
      </c>
      <c r="J177">
        <v>15</v>
      </c>
      <c r="K177">
        <v>35</v>
      </c>
      <c r="L177">
        <v>2</v>
      </c>
      <c r="M177">
        <v>35</v>
      </c>
      <c r="N177">
        <v>70</v>
      </c>
      <c r="O177">
        <v>45</v>
      </c>
      <c r="P177">
        <v>10</v>
      </c>
      <c r="Q177">
        <v>30</v>
      </c>
      <c r="R177">
        <v>60</v>
      </c>
      <c r="S177">
        <v>30</v>
      </c>
      <c r="T177">
        <v>35</v>
      </c>
      <c r="U177">
        <v>5</v>
      </c>
      <c r="V177">
        <v>65</v>
      </c>
      <c r="W177">
        <v>25</v>
      </c>
      <c r="X177">
        <v>30</v>
      </c>
      <c r="Y177">
        <v>35</v>
      </c>
      <c r="Z177">
        <v>20</v>
      </c>
      <c r="AA177">
        <v>15</v>
      </c>
      <c r="AB177">
        <v>20</v>
      </c>
      <c r="AC177">
        <v>65</v>
      </c>
      <c r="AD177">
        <v>10</v>
      </c>
      <c r="AE177">
        <v>10</v>
      </c>
      <c r="AF177">
        <v>20</v>
      </c>
      <c r="AG177">
        <v>65</v>
      </c>
      <c r="AH177">
        <v>30</v>
      </c>
      <c r="AI177">
        <v>25</v>
      </c>
      <c r="AJ177">
        <v>40</v>
      </c>
      <c r="AK177">
        <v>55</v>
      </c>
      <c r="AL177">
        <v>50</v>
      </c>
      <c r="AM177">
        <v>65</v>
      </c>
      <c r="AN177">
        <v>50</v>
      </c>
      <c r="AO177">
        <v>40</v>
      </c>
      <c r="AP177">
        <v>10</v>
      </c>
      <c r="AQ177">
        <v>10</v>
      </c>
      <c r="AR177">
        <v>40</v>
      </c>
      <c r="AS177">
        <v>35</v>
      </c>
      <c r="AT177">
        <v>50</v>
      </c>
      <c r="AU177">
        <v>20</v>
      </c>
      <c r="AV177">
        <v>10</v>
      </c>
      <c r="AW177">
        <v>35</v>
      </c>
      <c r="AX177">
        <v>25</v>
      </c>
      <c r="AY177">
        <v>40</v>
      </c>
      <c r="AZ177">
        <v>30</v>
      </c>
      <c r="BA177">
        <v>40</v>
      </c>
      <c r="BB177">
        <v>30</v>
      </c>
      <c r="BC177">
        <v>15</v>
      </c>
      <c r="BD177">
        <v>30</v>
      </c>
      <c r="BE177">
        <v>35</v>
      </c>
      <c r="BF177">
        <v>10</v>
      </c>
      <c r="BG177">
        <v>5</v>
      </c>
      <c r="BH177">
        <v>55</v>
      </c>
      <c r="BI177">
        <v>35</v>
      </c>
      <c r="BJ177">
        <v>25</v>
      </c>
      <c r="BK177">
        <v>30</v>
      </c>
      <c r="BL177">
        <v>30</v>
      </c>
      <c r="BM177">
        <v>50</v>
      </c>
      <c r="BN177">
        <v>10</v>
      </c>
      <c r="BO177">
        <v>55</v>
      </c>
      <c r="BP177">
        <v>55</v>
      </c>
      <c r="BQ177">
        <v>30</v>
      </c>
      <c r="BR177">
        <v>10</v>
      </c>
      <c r="BS177">
        <v>15</v>
      </c>
      <c r="BT177">
        <v>35</v>
      </c>
      <c r="BU177">
        <v>35</v>
      </c>
      <c r="BV177">
        <v>30</v>
      </c>
      <c r="BW177">
        <v>50</v>
      </c>
      <c r="BX177">
        <v>30</v>
      </c>
      <c r="BY177">
        <v>15</v>
      </c>
      <c r="BZ177">
        <v>65</v>
      </c>
      <c r="CA177">
        <v>45</v>
      </c>
      <c r="CB177">
        <v>20</v>
      </c>
      <c r="CC177">
        <v>50</v>
      </c>
      <c r="CD177">
        <v>65</v>
      </c>
      <c r="CE177">
        <v>20</v>
      </c>
      <c r="CF177">
        <v>55</v>
      </c>
      <c r="CG177">
        <v>7</v>
      </c>
      <c r="CH177">
        <v>50</v>
      </c>
      <c r="CI177">
        <v>35</v>
      </c>
      <c r="CJ177">
        <v>55</v>
      </c>
      <c r="CK177">
        <v>40</v>
      </c>
    </row>
    <row r="178" spans="1:89" x14ac:dyDescent="0.25">
      <c r="A178" s="23" t="s">
        <v>409</v>
      </c>
      <c r="B178">
        <v>50</v>
      </c>
      <c r="C178">
        <v>50</v>
      </c>
      <c r="D178">
        <v>30</v>
      </c>
      <c r="E178">
        <v>25</v>
      </c>
      <c r="F178">
        <v>70</v>
      </c>
      <c r="G178">
        <v>55</v>
      </c>
      <c r="H178">
        <v>55</v>
      </c>
      <c r="I178">
        <v>30</v>
      </c>
      <c r="J178">
        <v>20</v>
      </c>
      <c r="K178">
        <v>50</v>
      </c>
      <c r="L178">
        <v>10</v>
      </c>
      <c r="M178">
        <v>45</v>
      </c>
      <c r="N178">
        <v>45</v>
      </c>
      <c r="O178">
        <v>70</v>
      </c>
      <c r="P178">
        <v>65</v>
      </c>
      <c r="Q178">
        <v>30</v>
      </c>
      <c r="R178">
        <v>40</v>
      </c>
      <c r="S178">
        <v>25</v>
      </c>
      <c r="T178">
        <v>30</v>
      </c>
      <c r="U178">
        <v>65</v>
      </c>
      <c r="V178">
        <v>55</v>
      </c>
      <c r="W178">
        <v>50</v>
      </c>
      <c r="X178">
        <v>50</v>
      </c>
      <c r="Y178">
        <v>40</v>
      </c>
      <c r="Z178">
        <v>35</v>
      </c>
      <c r="AA178">
        <v>40</v>
      </c>
      <c r="AB178">
        <v>40</v>
      </c>
      <c r="AC178">
        <v>60</v>
      </c>
      <c r="AD178">
        <v>35</v>
      </c>
      <c r="AE178">
        <v>35</v>
      </c>
      <c r="AF178">
        <v>15</v>
      </c>
      <c r="AG178">
        <v>60</v>
      </c>
      <c r="AH178">
        <v>45</v>
      </c>
      <c r="AI178">
        <v>55</v>
      </c>
      <c r="AJ178">
        <v>60</v>
      </c>
      <c r="AK178">
        <v>25</v>
      </c>
      <c r="AL178">
        <v>55</v>
      </c>
      <c r="AM178">
        <v>35</v>
      </c>
      <c r="AN178">
        <v>40</v>
      </c>
      <c r="AO178">
        <v>70</v>
      </c>
      <c r="AP178">
        <v>25</v>
      </c>
      <c r="AQ178">
        <v>25</v>
      </c>
      <c r="AR178">
        <v>30</v>
      </c>
      <c r="AS178">
        <v>20</v>
      </c>
      <c r="AT178">
        <v>20</v>
      </c>
      <c r="AU178">
        <v>20</v>
      </c>
      <c r="AV178">
        <v>15</v>
      </c>
      <c r="AW178">
        <v>30</v>
      </c>
      <c r="AX178">
        <v>15</v>
      </c>
      <c r="AY178">
        <v>40</v>
      </c>
      <c r="AZ178">
        <v>50</v>
      </c>
      <c r="BA178">
        <v>40</v>
      </c>
      <c r="BB178">
        <v>40</v>
      </c>
      <c r="BC178">
        <v>45</v>
      </c>
      <c r="BD178">
        <v>45</v>
      </c>
      <c r="BE178">
        <v>45</v>
      </c>
      <c r="BF178">
        <v>35</v>
      </c>
      <c r="BG178">
        <v>30</v>
      </c>
      <c r="BH178">
        <v>55</v>
      </c>
      <c r="BI178">
        <v>55</v>
      </c>
      <c r="BJ178">
        <v>45</v>
      </c>
      <c r="BK178">
        <v>65</v>
      </c>
      <c r="BL178">
        <v>65</v>
      </c>
      <c r="BM178">
        <v>80</v>
      </c>
      <c r="BN178">
        <v>30</v>
      </c>
      <c r="BO178">
        <v>70</v>
      </c>
      <c r="BP178">
        <v>15</v>
      </c>
      <c r="BQ178">
        <v>0</v>
      </c>
      <c r="BR178">
        <v>20</v>
      </c>
      <c r="BS178">
        <v>30</v>
      </c>
      <c r="BT178">
        <v>35</v>
      </c>
      <c r="BU178">
        <v>5</v>
      </c>
      <c r="BV178">
        <v>45</v>
      </c>
      <c r="BW178">
        <v>5</v>
      </c>
      <c r="BX178">
        <v>55</v>
      </c>
      <c r="BY178">
        <v>40</v>
      </c>
      <c r="BZ178">
        <v>10</v>
      </c>
      <c r="CA178">
        <v>35</v>
      </c>
      <c r="CB178">
        <v>55</v>
      </c>
      <c r="CC178">
        <v>65</v>
      </c>
      <c r="CD178">
        <v>65</v>
      </c>
      <c r="CE178">
        <v>55</v>
      </c>
      <c r="CF178">
        <v>25</v>
      </c>
      <c r="CG178">
        <v>2</v>
      </c>
      <c r="CH178">
        <v>55</v>
      </c>
      <c r="CI178">
        <v>30</v>
      </c>
      <c r="CJ178">
        <v>25</v>
      </c>
      <c r="CK178">
        <v>90</v>
      </c>
    </row>
    <row r="179" spans="1:89" x14ac:dyDescent="0.25">
      <c r="A179" s="23" t="s">
        <v>410</v>
      </c>
      <c r="B179">
        <v>30</v>
      </c>
      <c r="C179">
        <v>75</v>
      </c>
      <c r="D179">
        <v>25</v>
      </c>
      <c r="E179">
        <v>20</v>
      </c>
      <c r="F179">
        <v>15</v>
      </c>
      <c r="G179">
        <v>35</v>
      </c>
      <c r="H179">
        <v>5</v>
      </c>
      <c r="I179">
        <v>80</v>
      </c>
      <c r="J179">
        <v>35</v>
      </c>
      <c r="K179">
        <v>45</v>
      </c>
      <c r="L179">
        <v>45</v>
      </c>
      <c r="M179">
        <v>50</v>
      </c>
      <c r="N179">
        <v>60</v>
      </c>
      <c r="O179">
        <v>50</v>
      </c>
      <c r="P179">
        <v>25</v>
      </c>
      <c r="Q179">
        <v>20</v>
      </c>
      <c r="R179">
        <v>0</v>
      </c>
      <c r="S179">
        <v>25</v>
      </c>
      <c r="T179">
        <v>40</v>
      </c>
      <c r="U179">
        <v>60</v>
      </c>
      <c r="V179">
        <v>55</v>
      </c>
      <c r="W179">
        <v>5</v>
      </c>
      <c r="X179">
        <v>45</v>
      </c>
      <c r="Y179">
        <v>30</v>
      </c>
      <c r="Z179">
        <v>40</v>
      </c>
      <c r="AA179">
        <v>25</v>
      </c>
      <c r="AB179">
        <v>40</v>
      </c>
      <c r="AC179">
        <v>60</v>
      </c>
      <c r="AD179">
        <v>15</v>
      </c>
      <c r="AE179">
        <v>10</v>
      </c>
      <c r="AF179">
        <v>10</v>
      </c>
      <c r="AG179">
        <v>65</v>
      </c>
      <c r="AH179">
        <v>75</v>
      </c>
      <c r="AI179">
        <v>60</v>
      </c>
      <c r="AJ179">
        <v>35</v>
      </c>
      <c r="AK179">
        <v>45</v>
      </c>
      <c r="AL179">
        <v>20</v>
      </c>
      <c r="AM179">
        <v>55</v>
      </c>
      <c r="AN179">
        <v>35</v>
      </c>
      <c r="AO179">
        <v>65</v>
      </c>
      <c r="AP179">
        <v>30</v>
      </c>
      <c r="AQ179">
        <v>50</v>
      </c>
      <c r="AR179">
        <v>45</v>
      </c>
      <c r="AS179">
        <v>35</v>
      </c>
      <c r="AT179">
        <v>40</v>
      </c>
      <c r="AU179">
        <v>30</v>
      </c>
      <c r="AV179">
        <v>45</v>
      </c>
      <c r="AW179">
        <v>75</v>
      </c>
      <c r="AX179">
        <v>10</v>
      </c>
      <c r="AY179">
        <v>65</v>
      </c>
      <c r="AZ179">
        <v>20</v>
      </c>
      <c r="BA179">
        <v>45</v>
      </c>
      <c r="BB179">
        <v>25</v>
      </c>
      <c r="BC179">
        <v>15</v>
      </c>
      <c r="BD179">
        <v>20</v>
      </c>
      <c r="BE179">
        <v>45</v>
      </c>
      <c r="BF179">
        <v>40</v>
      </c>
      <c r="BG179">
        <v>50</v>
      </c>
      <c r="BH179">
        <v>35</v>
      </c>
      <c r="BI179">
        <v>35</v>
      </c>
      <c r="BJ179">
        <v>25</v>
      </c>
      <c r="BK179">
        <v>55</v>
      </c>
      <c r="BL179">
        <v>45</v>
      </c>
      <c r="BM179">
        <v>50</v>
      </c>
      <c r="BN179">
        <v>10</v>
      </c>
      <c r="BO179">
        <v>5</v>
      </c>
      <c r="BP179">
        <v>35</v>
      </c>
      <c r="BQ179">
        <v>25</v>
      </c>
      <c r="BR179">
        <v>50</v>
      </c>
      <c r="BS179">
        <v>55</v>
      </c>
      <c r="BT179">
        <v>45</v>
      </c>
      <c r="BU179">
        <v>40</v>
      </c>
      <c r="BV179">
        <v>55</v>
      </c>
      <c r="BW179">
        <v>5</v>
      </c>
      <c r="BX179">
        <v>20</v>
      </c>
      <c r="BY179">
        <v>45</v>
      </c>
      <c r="BZ179">
        <v>5</v>
      </c>
      <c r="CA179">
        <v>60</v>
      </c>
      <c r="CB179">
        <v>55</v>
      </c>
      <c r="CC179">
        <v>35</v>
      </c>
      <c r="CD179">
        <v>65</v>
      </c>
      <c r="CE179">
        <v>30</v>
      </c>
      <c r="CF179">
        <v>65</v>
      </c>
      <c r="CG179">
        <v>4</v>
      </c>
      <c r="CH179">
        <v>5</v>
      </c>
      <c r="CI179">
        <v>55</v>
      </c>
      <c r="CJ179">
        <v>70</v>
      </c>
      <c r="CK179">
        <v>35</v>
      </c>
    </row>
    <row r="180" spans="1:89" x14ac:dyDescent="0.25">
      <c r="A180" s="23" t="s">
        <v>411</v>
      </c>
      <c r="B180">
        <v>35</v>
      </c>
      <c r="C180">
        <v>35</v>
      </c>
      <c r="D180">
        <v>40</v>
      </c>
      <c r="E180">
        <v>15</v>
      </c>
      <c r="F180">
        <v>10</v>
      </c>
      <c r="G180">
        <v>45</v>
      </c>
      <c r="H180">
        <v>25</v>
      </c>
      <c r="I180">
        <v>30</v>
      </c>
      <c r="J180">
        <v>25</v>
      </c>
      <c r="K180">
        <v>45</v>
      </c>
      <c r="L180">
        <v>10</v>
      </c>
      <c r="M180">
        <v>10</v>
      </c>
      <c r="N180">
        <v>40</v>
      </c>
      <c r="O180">
        <v>65</v>
      </c>
      <c r="P180">
        <v>35</v>
      </c>
      <c r="Q180">
        <v>40</v>
      </c>
      <c r="R180">
        <v>50</v>
      </c>
      <c r="S180">
        <v>35</v>
      </c>
      <c r="T180">
        <v>45</v>
      </c>
      <c r="U180">
        <v>75</v>
      </c>
      <c r="V180">
        <v>60</v>
      </c>
      <c r="W180">
        <v>10</v>
      </c>
      <c r="X180">
        <v>55</v>
      </c>
      <c r="Y180">
        <v>15</v>
      </c>
      <c r="Z180">
        <v>35</v>
      </c>
      <c r="AA180">
        <v>30</v>
      </c>
      <c r="AB180">
        <v>35</v>
      </c>
      <c r="AC180">
        <v>35</v>
      </c>
      <c r="AD180">
        <v>30</v>
      </c>
      <c r="AE180">
        <v>65</v>
      </c>
      <c r="AF180">
        <v>10</v>
      </c>
      <c r="AG180">
        <v>50</v>
      </c>
      <c r="AH180">
        <v>70</v>
      </c>
      <c r="AI180">
        <v>25</v>
      </c>
      <c r="AJ180">
        <v>30</v>
      </c>
      <c r="AK180">
        <v>55</v>
      </c>
      <c r="AL180">
        <v>10</v>
      </c>
      <c r="AM180">
        <v>50</v>
      </c>
      <c r="AN180">
        <v>65</v>
      </c>
      <c r="AO180">
        <v>30</v>
      </c>
      <c r="AP180">
        <v>20</v>
      </c>
      <c r="AQ180">
        <v>65</v>
      </c>
      <c r="AR180">
        <v>10</v>
      </c>
      <c r="AS180">
        <v>45</v>
      </c>
      <c r="AT180">
        <v>50</v>
      </c>
      <c r="AU180">
        <v>40</v>
      </c>
      <c r="AV180">
        <v>35</v>
      </c>
      <c r="AW180">
        <v>40</v>
      </c>
      <c r="AX180">
        <v>45</v>
      </c>
      <c r="AY180">
        <v>55</v>
      </c>
      <c r="AZ180">
        <v>50</v>
      </c>
      <c r="BA180">
        <v>30</v>
      </c>
      <c r="BB180">
        <v>30</v>
      </c>
      <c r="BC180">
        <v>5</v>
      </c>
      <c r="BD180">
        <v>50</v>
      </c>
      <c r="BE180">
        <v>40</v>
      </c>
      <c r="BF180">
        <v>45</v>
      </c>
      <c r="BG180">
        <v>25</v>
      </c>
      <c r="BH180">
        <v>20</v>
      </c>
      <c r="BI180">
        <v>25</v>
      </c>
      <c r="BJ180">
        <v>20</v>
      </c>
      <c r="BK180">
        <v>20</v>
      </c>
      <c r="BL180">
        <v>65</v>
      </c>
      <c r="BM180">
        <v>45</v>
      </c>
      <c r="BN180">
        <v>80</v>
      </c>
      <c r="BO180">
        <v>45</v>
      </c>
      <c r="BP180">
        <v>50</v>
      </c>
      <c r="BQ180">
        <v>10</v>
      </c>
      <c r="BR180">
        <v>5</v>
      </c>
      <c r="BS180">
        <v>60</v>
      </c>
      <c r="BT180">
        <v>40</v>
      </c>
      <c r="BU180">
        <v>45</v>
      </c>
      <c r="BV180">
        <v>55</v>
      </c>
      <c r="BW180">
        <v>15</v>
      </c>
      <c r="BX180">
        <v>10</v>
      </c>
      <c r="BY180">
        <v>25</v>
      </c>
      <c r="BZ180">
        <v>40</v>
      </c>
      <c r="CA180">
        <v>30</v>
      </c>
      <c r="CB180">
        <v>55</v>
      </c>
      <c r="CC180">
        <v>30</v>
      </c>
      <c r="CD180">
        <v>75</v>
      </c>
      <c r="CE180">
        <v>30</v>
      </c>
      <c r="CF180">
        <v>40</v>
      </c>
      <c r="CG180">
        <v>34</v>
      </c>
      <c r="CH180">
        <v>15</v>
      </c>
      <c r="CI180">
        <v>55</v>
      </c>
      <c r="CJ180">
        <v>25</v>
      </c>
      <c r="CK180">
        <v>25</v>
      </c>
    </row>
    <row r="181" spans="1:89" x14ac:dyDescent="0.25">
      <c r="A181" s="23" t="s">
        <v>412</v>
      </c>
      <c r="B181">
        <v>50</v>
      </c>
      <c r="C181">
        <v>5</v>
      </c>
      <c r="D181">
        <v>45</v>
      </c>
      <c r="E181">
        <v>35</v>
      </c>
      <c r="F181">
        <v>55</v>
      </c>
      <c r="G181">
        <v>50</v>
      </c>
      <c r="H181">
        <v>35</v>
      </c>
      <c r="I181">
        <v>25</v>
      </c>
      <c r="J181">
        <v>65</v>
      </c>
      <c r="K181">
        <v>30</v>
      </c>
      <c r="L181">
        <v>5</v>
      </c>
      <c r="M181">
        <v>15</v>
      </c>
      <c r="N181">
        <v>20</v>
      </c>
      <c r="O181">
        <v>55</v>
      </c>
      <c r="P181">
        <v>55</v>
      </c>
      <c r="Q181">
        <v>50</v>
      </c>
      <c r="R181">
        <v>55</v>
      </c>
      <c r="S181">
        <v>40</v>
      </c>
      <c r="T181">
        <v>70</v>
      </c>
      <c r="U181">
        <v>40</v>
      </c>
      <c r="V181">
        <v>50</v>
      </c>
      <c r="W181">
        <v>35</v>
      </c>
      <c r="X181">
        <v>40</v>
      </c>
      <c r="Y181">
        <v>40</v>
      </c>
      <c r="Z181">
        <v>10</v>
      </c>
      <c r="AA181">
        <v>15</v>
      </c>
      <c r="AB181">
        <v>20</v>
      </c>
      <c r="AC181">
        <v>35</v>
      </c>
      <c r="AD181">
        <v>35</v>
      </c>
      <c r="AE181">
        <v>10</v>
      </c>
      <c r="AF181">
        <v>35</v>
      </c>
      <c r="AG181">
        <v>30</v>
      </c>
      <c r="AH181">
        <v>30</v>
      </c>
      <c r="AI181">
        <v>35</v>
      </c>
      <c r="AJ181">
        <v>15</v>
      </c>
      <c r="AK181">
        <v>45</v>
      </c>
      <c r="AL181">
        <v>25</v>
      </c>
      <c r="AM181">
        <v>50</v>
      </c>
      <c r="AN181">
        <v>20</v>
      </c>
      <c r="AO181">
        <v>15</v>
      </c>
      <c r="AP181">
        <v>60</v>
      </c>
      <c r="AQ181">
        <v>10</v>
      </c>
      <c r="AR181">
        <v>30</v>
      </c>
      <c r="AS181">
        <v>50</v>
      </c>
      <c r="AT181">
        <v>30</v>
      </c>
      <c r="AU181">
        <v>10</v>
      </c>
      <c r="AV181">
        <v>10</v>
      </c>
      <c r="AW181">
        <v>35</v>
      </c>
      <c r="AX181">
        <v>70</v>
      </c>
      <c r="AY181">
        <v>45</v>
      </c>
      <c r="AZ181">
        <v>5</v>
      </c>
      <c r="BA181">
        <v>40</v>
      </c>
      <c r="BB181">
        <v>30</v>
      </c>
      <c r="BC181">
        <v>25</v>
      </c>
      <c r="BD181">
        <v>5</v>
      </c>
      <c r="BE181">
        <v>35</v>
      </c>
      <c r="BF181">
        <v>25</v>
      </c>
      <c r="BG181">
        <v>30</v>
      </c>
      <c r="BH181">
        <v>25</v>
      </c>
      <c r="BI181">
        <v>5</v>
      </c>
      <c r="BJ181">
        <v>20</v>
      </c>
      <c r="BK181">
        <v>50</v>
      </c>
      <c r="BL181">
        <v>15</v>
      </c>
      <c r="BM181">
        <v>80</v>
      </c>
      <c r="BN181">
        <v>30</v>
      </c>
      <c r="BO181">
        <v>2</v>
      </c>
      <c r="BP181">
        <v>40</v>
      </c>
      <c r="BQ181">
        <v>55</v>
      </c>
      <c r="BR181">
        <v>55</v>
      </c>
      <c r="BS181">
        <v>40</v>
      </c>
      <c r="BT181">
        <v>40</v>
      </c>
      <c r="BU181">
        <v>45</v>
      </c>
      <c r="BV181">
        <v>50</v>
      </c>
      <c r="BW181">
        <v>10</v>
      </c>
      <c r="BX181">
        <v>25</v>
      </c>
      <c r="BY181">
        <v>70</v>
      </c>
      <c r="BZ181">
        <v>65</v>
      </c>
      <c r="CA181">
        <v>60</v>
      </c>
      <c r="CB181">
        <v>50</v>
      </c>
      <c r="CC181">
        <v>50</v>
      </c>
      <c r="CD181">
        <v>10</v>
      </c>
      <c r="CE181">
        <v>25</v>
      </c>
      <c r="CF181">
        <v>5</v>
      </c>
      <c r="CG181">
        <v>0</v>
      </c>
      <c r="CH181">
        <v>25</v>
      </c>
      <c r="CI181">
        <v>30</v>
      </c>
      <c r="CJ181">
        <v>25</v>
      </c>
      <c r="CK181">
        <v>5</v>
      </c>
    </row>
    <row r="182" spans="1:89" x14ac:dyDescent="0.25">
      <c r="A182" s="23" t="s">
        <v>413</v>
      </c>
      <c r="B182">
        <v>15</v>
      </c>
      <c r="C182">
        <v>45</v>
      </c>
      <c r="D182">
        <v>15</v>
      </c>
      <c r="E182">
        <v>25</v>
      </c>
      <c r="F182">
        <v>50</v>
      </c>
      <c r="G182">
        <v>40</v>
      </c>
      <c r="H182">
        <v>55</v>
      </c>
      <c r="I182">
        <v>15</v>
      </c>
      <c r="J182">
        <v>30</v>
      </c>
      <c r="K182">
        <v>35</v>
      </c>
      <c r="L182">
        <v>2</v>
      </c>
      <c r="M182">
        <v>58</v>
      </c>
      <c r="N182">
        <v>40</v>
      </c>
      <c r="O182">
        <v>30</v>
      </c>
      <c r="P182">
        <v>50</v>
      </c>
      <c r="Q182">
        <v>35</v>
      </c>
      <c r="R182">
        <v>50</v>
      </c>
      <c r="S182">
        <v>45</v>
      </c>
      <c r="T182">
        <v>20</v>
      </c>
      <c r="U182">
        <v>75</v>
      </c>
      <c r="V182">
        <v>30</v>
      </c>
      <c r="W182">
        <v>50</v>
      </c>
      <c r="X182">
        <v>40</v>
      </c>
      <c r="Y182">
        <v>20</v>
      </c>
      <c r="Z182">
        <v>25</v>
      </c>
      <c r="AA182">
        <v>50</v>
      </c>
      <c r="AB182">
        <v>10</v>
      </c>
      <c r="AC182">
        <v>65</v>
      </c>
      <c r="AD182">
        <v>45</v>
      </c>
      <c r="AE182">
        <v>40</v>
      </c>
      <c r="AF182">
        <v>20</v>
      </c>
      <c r="AG182">
        <v>40</v>
      </c>
      <c r="AH182">
        <v>75</v>
      </c>
      <c r="AI182">
        <v>20</v>
      </c>
      <c r="AJ182">
        <v>25</v>
      </c>
      <c r="AK182">
        <v>40</v>
      </c>
      <c r="AL182">
        <v>15</v>
      </c>
      <c r="AM182">
        <v>55</v>
      </c>
      <c r="AN182">
        <v>10</v>
      </c>
      <c r="AO182">
        <v>5</v>
      </c>
      <c r="AP182">
        <v>5</v>
      </c>
      <c r="AQ182">
        <v>20</v>
      </c>
      <c r="AR182">
        <v>70</v>
      </c>
      <c r="AS182">
        <v>40</v>
      </c>
      <c r="AT182">
        <v>30</v>
      </c>
      <c r="AU182">
        <v>15</v>
      </c>
      <c r="AV182">
        <v>5</v>
      </c>
      <c r="AW182">
        <v>50</v>
      </c>
      <c r="AX182">
        <v>40</v>
      </c>
      <c r="AY182">
        <v>45</v>
      </c>
      <c r="AZ182">
        <v>45</v>
      </c>
      <c r="BA182">
        <v>40</v>
      </c>
      <c r="BB182">
        <v>60</v>
      </c>
      <c r="BC182">
        <v>20</v>
      </c>
      <c r="BD182">
        <v>85</v>
      </c>
      <c r="BE182">
        <v>25</v>
      </c>
      <c r="BF182">
        <v>30</v>
      </c>
      <c r="BG182">
        <v>55</v>
      </c>
      <c r="BH182">
        <v>40</v>
      </c>
      <c r="BI182">
        <v>45</v>
      </c>
      <c r="BJ182">
        <v>10</v>
      </c>
      <c r="BK182">
        <v>35</v>
      </c>
      <c r="BL182">
        <v>10</v>
      </c>
      <c r="BM182">
        <v>75</v>
      </c>
      <c r="BN182">
        <v>10</v>
      </c>
      <c r="BO182">
        <v>10</v>
      </c>
      <c r="BP182">
        <v>50</v>
      </c>
      <c r="BQ182">
        <v>20</v>
      </c>
      <c r="BR182">
        <v>25</v>
      </c>
      <c r="BS182">
        <v>40</v>
      </c>
      <c r="BT182">
        <v>30</v>
      </c>
      <c r="BU182">
        <v>40</v>
      </c>
      <c r="BV182">
        <v>65</v>
      </c>
      <c r="BW182">
        <v>10</v>
      </c>
      <c r="BX182">
        <v>25</v>
      </c>
      <c r="BY182">
        <v>15</v>
      </c>
      <c r="BZ182">
        <v>5</v>
      </c>
      <c r="CA182">
        <v>55</v>
      </c>
      <c r="CB182">
        <v>55</v>
      </c>
      <c r="CC182">
        <v>40</v>
      </c>
      <c r="CD182">
        <v>35</v>
      </c>
      <c r="CE182">
        <v>35</v>
      </c>
      <c r="CF182">
        <v>35</v>
      </c>
      <c r="CG182">
        <v>5</v>
      </c>
      <c r="CH182">
        <v>50</v>
      </c>
      <c r="CI182">
        <v>65</v>
      </c>
      <c r="CJ182">
        <v>20</v>
      </c>
      <c r="CK182">
        <v>30</v>
      </c>
    </row>
    <row r="183" spans="1:89" x14ac:dyDescent="0.25">
      <c r="A183" s="23" t="s">
        <v>414</v>
      </c>
      <c r="B183">
        <v>35</v>
      </c>
      <c r="C183">
        <v>50</v>
      </c>
      <c r="D183">
        <v>35</v>
      </c>
      <c r="E183">
        <v>25</v>
      </c>
      <c r="F183">
        <v>55</v>
      </c>
      <c r="G183">
        <v>25</v>
      </c>
      <c r="H183">
        <v>70</v>
      </c>
      <c r="I183">
        <v>70</v>
      </c>
      <c r="J183">
        <v>25</v>
      </c>
      <c r="K183">
        <v>45</v>
      </c>
      <c r="L183">
        <v>10</v>
      </c>
      <c r="M183">
        <v>25</v>
      </c>
      <c r="N183">
        <v>10</v>
      </c>
      <c r="O183">
        <v>65</v>
      </c>
      <c r="P183">
        <v>35</v>
      </c>
      <c r="Q183">
        <v>2</v>
      </c>
      <c r="R183">
        <v>60</v>
      </c>
      <c r="S183">
        <v>50</v>
      </c>
      <c r="T183">
        <v>30</v>
      </c>
      <c r="U183">
        <v>55</v>
      </c>
      <c r="V183">
        <v>60</v>
      </c>
      <c r="W183">
        <v>5</v>
      </c>
      <c r="X183">
        <v>50</v>
      </c>
      <c r="Y183">
        <v>25</v>
      </c>
      <c r="Z183">
        <v>15</v>
      </c>
      <c r="AA183">
        <v>45</v>
      </c>
      <c r="AB183">
        <v>40</v>
      </c>
      <c r="AC183">
        <v>15</v>
      </c>
      <c r="AD183">
        <v>30</v>
      </c>
      <c r="AE183">
        <v>25</v>
      </c>
      <c r="AF183">
        <v>30</v>
      </c>
      <c r="AG183">
        <v>70</v>
      </c>
      <c r="AH183">
        <v>5</v>
      </c>
      <c r="AI183">
        <v>20</v>
      </c>
      <c r="AJ183">
        <v>50</v>
      </c>
      <c r="AK183">
        <v>45</v>
      </c>
      <c r="AL183">
        <v>35</v>
      </c>
      <c r="AM183">
        <v>25</v>
      </c>
      <c r="AN183">
        <v>15</v>
      </c>
      <c r="AO183">
        <v>50</v>
      </c>
      <c r="AP183">
        <v>15</v>
      </c>
      <c r="AQ183">
        <v>50</v>
      </c>
      <c r="AR183">
        <v>35</v>
      </c>
      <c r="AS183">
        <v>55</v>
      </c>
      <c r="AT183">
        <v>10</v>
      </c>
      <c r="AU183">
        <v>15</v>
      </c>
      <c r="AV183">
        <v>5</v>
      </c>
      <c r="AW183">
        <v>60</v>
      </c>
      <c r="AX183">
        <v>90</v>
      </c>
      <c r="AY183">
        <v>60</v>
      </c>
      <c r="AZ183">
        <v>35</v>
      </c>
      <c r="BA183">
        <v>30</v>
      </c>
      <c r="BB183">
        <v>55</v>
      </c>
      <c r="BC183">
        <v>40</v>
      </c>
      <c r="BD183">
        <v>25</v>
      </c>
      <c r="BE183">
        <v>30</v>
      </c>
      <c r="BF183">
        <v>35</v>
      </c>
      <c r="BG183">
        <v>35</v>
      </c>
      <c r="BH183">
        <v>25</v>
      </c>
      <c r="BI183">
        <v>5</v>
      </c>
      <c r="BJ183">
        <v>25</v>
      </c>
      <c r="BK183">
        <v>30</v>
      </c>
      <c r="BL183">
        <v>20</v>
      </c>
      <c r="BM183">
        <v>70</v>
      </c>
      <c r="BN183">
        <v>70</v>
      </c>
      <c r="BO183">
        <v>10</v>
      </c>
      <c r="BP183">
        <v>70</v>
      </c>
      <c r="BQ183">
        <v>5</v>
      </c>
      <c r="BR183">
        <v>30</v>
      </c>
      <c r="BS183">
        <v>60</v>
      </c>
      <c r="BT183">
        <v>35</v>
      </c>
      <c r="BU183">
        <v>30</v>
      </c>
      <c r="BV183">
        <v>60</v>
      </c>
      <c r="BW183">
        <v>50</v>
      </c>
      <c r="BX183">
        <v>35</v>
      </c>
      <c r="BY183">
        <v>60</v>
      </c>
      <c r="BZ183">
        <v>10</v>
      </c>
      <c r="CA183">
        <v>50</v>
      </c>
      <c r="CB183">
        <v>50</v>
      </c>
      <c r="CC183">
        <v>45</v>
      </c>
      <c r="CD183">
        <v>45</v>
      </c>
      <c r="CE183">
        <v>20</v>
      </c>
      <c r="CF183">
        <v>20</v>
      </c>
      <c r="CG183">
        <v>10</v>
      </c>
      <c r="CH183">
        <v>35</v>
      </c>
      <c r="CI183">
        <v>70</v>
      </c>
      <c r="CJ183">
        <v>10</v>
      </c>
      <c r="CK183">
        <v>35</v>
      </c>
    </row>
    <row r="184" spans="1:89" x14ac:dyDescent="0.25">
      <c r="A184" s="23" t="s">
        <v>415</v>
      </c>
      <c r="B184">
        <v>44</v>
      </c>
      <c r="C184">
        <v>80</v>
      </c>
      <c r="D184">
        <v>65</v>
      </c>
      <c r="E184">
        <v>20</v>
      </c>
      <c r="F184">
        <v>40</v>
      </c>
      <c r="G184">
        <v>45</v>
      </c>
      <c r="H184">
        <v>45</v>
      </c>
      <c r="I184">
        <v>80</v>
      </c>
      <c r="J184">
        <v>30</v>
      </c>
      <c r="K184">
        <v>45</v>
      </c>
      <c r="L184">
        <v>35</v>
      </c>
      <c r="M184">
        <v>20</v>
      </c>
      <c r="N184">
        <v>60</v>
      </c>
      <c r="O184">
        <v>40</v>
      </c>
      <c r="P184">
        <v>10</v>
      </c>
      <c r="Q184">
        <v>20</v>
      </c>
      <c r="R184">
        <v>60</v>
      </c>
      <c r="S184">
        <v>50</v>
      </c>
      <c r="T184">
        <v>20</v>
      </c>
      <c r="U184">
        <v>45</v>
      </c>
      <c r="V184">
        <v>55</v>
      </c>
      <c r="W184">
        <v>25</v>
      </c>
      <c r="X184">
        <v>40</v>
      </c>
      <c r="Y184">
        <v>20</v>
      </c>
      <c r="Z184">
        <v>40</v>
      </c>
      <c r="AA184">
        <v>35</v>
      </c>
      <c r="AB184">
        <v>15</v>
      </c>
      <c r="AC184">
        <v>35</v>
      </c>
      <c r="AD184">
        <v>50</v>
      </c>
      <c r="AE184">
        <v>75</v>
      </c>
      <c r="AF184">
        <v>30</v>
      </c>
      <c r="AG184">
        <v>60</v>
      </c>
      <c r="AH184">
        <v>5</v>
      </c>
      <c r="AI184">
        <v>25</v>
      </c>
      <c r="AJ184">
        <v>20</v>
      </c>
      <c r="AK184">
        <v>30</v>
      </c>
      <c r="AL184">
        <v>40</v>
      </c>
      <c r="AM184">
        <v>15</v>
      </c>
      <c r="AN184">
        <v>30</v>
      </c>
      <c r="AO184">
        <v>30</v>
      </c>
      <c r="AP184">
        <v>70</v>
      </c>
      <c r="AQ184">
        <v>10</v>
      </c>
      <c r="AR184">
        <v>35</v>
      </c>
      <c r="AS184">
        <v>40</v>
      </c>
      <c r="AT184">
        <v>40</v>
      </c>
      <c r="AU184">
        <v>10</v>
      </c>
      <c r="AV184">
        <v>5</v>
      </c>
      <c r="AW184">
        <v>45</v>
      </c>
      <c r="AX184">
        <v>70</v>
      </c>
      <c r="AY184">
        <v>60</v>
      </c>
      <c r="AZ184">
        <v>5</v>
      </c>
      <c r="BA184">
        <v>55</v>
      </c>
      <c r="BB184">
        <v>65</v>
      </c>
      <c r="BC184">
        <v>10</v>
      </c>
      <c r="BD184">
        <v>25</v>
      </c>
      <c r="BE184">
        <v>40</v>
      </c>
      <c r="BF184">
        <v>35</v>
      </c>
      <c r="BG184">
        <v>15</v>
      </c>
      <c r="BH184">
        <v>50</v>
      </c>
      <c r="BI184">
        <v>20</v>
      </c>
      <c r="BJ184">
        <v>20</v>
      </c>
      <c r="BK184">
        <v>55</v>
      </c>
      <c r="BL184">
        <v>50</v>
      </c>
      <c r="BM184">
        <v>35</v>
      </c>
      <c r="BN184">
        <v>80</v>
      </c>
      <c r="BO184">
        <v>15</v>
      </c>
      <c r="BP184">
        <v>45</v>
      </c>
      <c r="BQ184">
        <v>45</v>
      </c>
      <c r="BR184">
        <v>35</v>
      </c>
      <c r="BS184">
        <v>60</v>
      </c>
      <c r="BT184">
        <v>35</v>
      </c>
      <c r="BU184">
        <v>35</v>
      </c>
      <c r="BV184">
        <v>50</v>
      </c>
      <c r="BW184">
        <v>15</v>
      </c>
      <c r="BX184">
        <v>35</v>
      </c>
      <c r="BY184">
        <v>20</v>
      </c>
      <c r="BZ184">
        <v>75</v>
      </c>
      <c r="CA184">
        <v>35</v>
      </c>
      <c r="CB184">
        <v>45</v>
      </c>
      <c r="CC184">
        <v>55</v>
      </c>
      <c r="CD184">
        <v>45</v>
      </c>
      <c r="CE184">
        <v>45</v>
      </c>
      <c r="CF184">
        <v>35</v>
      </c>
      <c r="CG184">
        <v>20</v>
      </c>
      <c r="CH184">
        <v>30</v>
      </c>
      <c r="CI184">
        <v>30</v>
      </c>
      <c r="CJ184">
        <v>45</v>
      </c>
      <c r="CK184">
        <v>30</v>
      </c>
    </row>
    <row r="185" spans="1:89" x14ac:dyDescent="0.25">
      <c r="A185" s="23" t="s">
        <v>416</v>
      </c>
      <c r="B185">
        <v>50</v>
      </c>
      <c r="C185">
        <v>45</v>
      </c>
      <c r="D185">
        <v>40</v>
      </c>
      <c r="E185">
        <v>15</v>
      </c>
      <c r="F185">
        <v>35</v>
      </c>
      <c r="G185">
        <v>50</v>
      </c>
      <c r="H185">
        <v>50</v>
      </c>
      <c r="I185">
        <v>50</v>
      </c>
      <c r="J185">
        <v>20</v>
      </c>
      <c r="K185">
        <v>35</v>
      </c>
      <c r="L185">
        <v>15</v>
      </c>
      <c r="M185">
        <v>70</v>
      </c>
      <c r="N185">
        <v>30</v>
      </c>
      <c r="O185">
        <v>40</v>
      </c>
      <c r="P185">
        <v>35</v>
      </c>
      <c r="Q185">
        <v>30</v>
      </c>
      <c r="R185">
        <v>50</v>
      </c>
      <c r="S185">
        <v>35</v>
      </c>
      <c r="T185">
        <v>35</v>
      </c>
      <c r="U185">
        <v>70</v>
      </c>
      <c r="V185">
        <v>50</v>
      </c>
      <c r="W185">
        <v>10</v>
      </c>
      <c r="X185">
        <v>40</v>
      </c>
      <c r="Y185">
        <v>75</v>
      </c>
      <c r="Z185">
        <v>10</v>
      </c>
      <c r="AA185">
        <v>60</v>
      </c>
      <c r="AB185">
        <v>10</v>
      </c>
      <c r="AC185">
        <v>20</v>
      </c>
      <c r="AD185">
        <v>35</v>
      </c>
      <c r="AE185">
        <v>15</v>
      </c>
      <c r="AF185">
        <v>60</v>
      </c>
      <c r="AG185">
        <v>60</v>
      </c>
      <c r="AH185">
        <v>10</v>
      </c>
      <c r="AI185">
        <v>10</v>
      </c>
      <c r="AJ185">
        <v>30</v>
      </c>
      <c r="AK185">
        <v>35</v>
      </c>
      <c r="AL185">
        <v>50</v>
      </c>
      <c r="AM185">
        <v>5</v>
      </c>
      <c r="AN185">
        <v>0</v>
      </c>
      <c r="AO185">
        <v>50</v>
      </c>
      <c r="AP185">
        <v>25</v>
      </c>
      <c r="AQ185">
        <v>50</v>
      </c>
      <c r="AR185">
        <v>40</v>
      </c>
      <c r="AS185">
        <v>40</v>
      </c>
      <c r="AT185">
        <v>40</v>
      </c>
      <c r="AU185">
        <v>20</v>
      </c>
      <c r="AV185">
        <v>35</v>
      </c>
      <c r="AW185">
        <v>50</v>
      </c>
      <c r="AX185">
        <v>10</v>
      </c>
      <c r="AY185">
        <v>65</v>
      </c>
      <c r="AZ185">
        <v>25</v>
      </c>
      <c r="BA185">
        <v>40</v>
      </c>
      <c r="BB185">
        <v>10</v>
      </c>
      <c r="BC185">
        <v>10</v>
      </c>
      <c r="BD185">
        <v>55</v>
      </c>
      <c r="BE185">
        <v>25</v>
      </c>
      <c r="BF185">
        <v>40</v>
      </c>
      <c r="BG185">
        <v>70</v>
      </c>
      <c r="BH185">
        <v>35</v>
      </c>
      <c r="BI185">
        <v>25</v>
      </c>
      <c r="BJ185">
        <v>50</v>
      </c>
      <c r="BK185">
        <v>60</v>
      </c>
      <c r="BL185">
        <v>40</v>
      </c>
      <c r="BM185">
        <v>40</v>
      </c>
      <c r="BN185">
        <v>60</v>
      </c>
      <c r="BO185">
        <v>25</v>
      </c>
      <c r="BP185">
        <v>5</v>
      </c>
      <c r="BQ185">
        <v>10</v>
      </c>
      <c r="BR185">
        <v>15</v>
      </c>
      <c r="BS185">
        <v>50</v>
      </c>
      <c r="BT185">
        <v>30</v>
      </c>
      <c r="BU185">
        <v>45</v>
      </c>
      <c r="BV185">
        <v>55</v>
      </c>
      <c r="BW185">
        <v>60</v>
      </c>
      <c r="BX185">
        <v>40</v>
      </c>
      <c r="BY185">
        <v>30</v>
      </c>
      <c r="BZ185">
        <v>70</v>
      </c>
      <c r="CA185">
        <v>50</v>
      </c>
      <c r="CB185">
        <v>45</v>
      </c>
      <c r="CC185">
        <v>10</v>
      </c>
      <c r="CD185">
        <v>20</v>
      </c>
      <c r="CE185">
        <v>35</v>
      </c>
      <c r="CF185">
        <v>45</v>
      </c>
      <c r="CG185">
        <v>15</v>
      </c>
      <c r="CH185">
        <v>10</v>
      </c>
      <c r="CI185">
        <v>25</v>
      </c>
      <c r="CJ185">
        <v>40</v>
      </c>
      <c r="CK185">
        <v>25</v>
      </c>
    </row>
    <row r="186" spans="1:89" x14ac:dyDescent="0.25">
      <c r="A186" s="23" t="s">
        <v>417</v>
      </c>
      <c r="B186">
        <v>40</v>
      </c>
      <c r="C186">
        <v>45</v>
      </c>
      <c r="D186">
        <v>45</v>
      </c>
      <c r="E186">
        <v>5</v>
      </c>
      <c r="F186">
        <v>15</v>
      </c>
      <c r="G186">
        <v>35</v>
      </c>
      <c r="H186">
        <v>45</v>
      </c>
      <c r="I186">
        <v>70</v>
      </c>
      <c r="J186">
        <v>5</v>
      </c>
      <c r="K186">
        <v>45</v>
      </c>
      <c r="L186">
        <v>80</v>
      </c>
      <c r="M186">
        <v>60</v>
      </c>
      <c r="N186">
        <v>55</v>
      </c>
      <c r="O186">
        <v>50</v>
      </c>
      <c r="P186">
        <v>40</v>
      </c>
      <c r="Q186">
        <v>50</v>
      </c>
      <c r="R186">
        <v>45</v>
      </c>
      <c r="S186">
        <v>50</v>
      </c>
      <c r="T186">
        <v>50</v>
      </c>
      <c r="U186">
        <v>40</v>
      </c>
      <c r="V186">
        <v>45</v>
      </c>
      <c r="W186">
        <v>30</v>
      </c>
      <c r="X186">
        <v>40</v>
      </c>
      <c r="Y186">
        <v>65</v>
      </c>
      <c r="Z186">
        <v>5</v>
      </c>
      <c r="AA186">
        <v>20</v>
      </c>
      <c r="AB186">
        <v>20</v>
      </c>
      <c r="AC186">
        <v>50</v>
      </c>
      <c r="AD186">
        <v>30</v>
      </c>
      <c r="AE186">
        <v>30</v>
      </c>
      <c r="AF186">
        <v>40</v>
      </c>
      <c r="AG186">
        <v>60</v>
      </c>
      <c r="AH186">
        <v>10</v>
      </c>
      <c r="AI186">
        <v>10</v>
      </c>
      <c r="AJ186">
        <v>50</v>
      </c>
      <c r="AK186">
        <v>20</v>
      </c>
      <c r="AL186">
        <v>50</v>
      </c>
      <c r="AM186">
        <v>35</v>
      </c>
      <c r="AN186">
        <v>35</v>
      </c>
      <c r="AO186">
        <v>40</v>
      </c>
      <c r="AP186">
        <v>60</v>
      </c>
      <c r="AQ186">
        <v>30</v>
      </c>
      <c r="AS186">
        <v>35</v>
      </c>
      <c r="AT186">
        <v>65</v>
      </c>
      <c r="AU186">
        <v>65</v>
      </c>
      <c r="AV186">
        <v>15</v>
      </c>
      <c r="AW186">
        <v>20</v>
      </c>
      <c r="AX186">
        <v>40</v>
      </c>
      <c r="AY186">
        <v>45</v>
      </c>
      <c r="AZ186">
        <v>40</v>
      </c>
      <c r="BA186">
        <v>40</v>
      </c>
      <c r="BB186">
        <v>60</v>
      </c>
      <c r="BC186">
        <v>15</v>
      </c>
      <c r="BD186">
        <v>70</v>
      </c>
      <c r="BE186">
        <v>20</v>
      </c>
      <c r="BF186">
        <v>40</v>
      </c>
      <c r="BG186">
        <v>30</v>
      </c>
      <c r="BH186">
        <v>32</v>
      </c>
      <c r="BI186">
        <v>5</v>
      </c>
      <c r="BJ186">
        <v>50</v>
      </c>
      <c r="BK186">
        <v>50</v>
      </c>
      <c r="BL186">
        <v>25</v>
      </c>
      <c r="BM186">
        <v>10</v>
      </c>
      <c r="BN186">
        <v>50</v>
      </c>
      <c r="BO186">
        <v>30</v>
      </c>
      <c r="BP186">
        <v>55</v>
      </c>
      <c r="BQ186">
        <v>35</v>
      </c>
      <c r="BR186">
        <v>10</v>
      </c>
      <c r="BS186">
        <v>55</v>
      </c>
      <c r="BT186">
        <v>35</v>
      </c>
      <c r="BU186">
        <v>50</v>
      </c>
      <c r="BV186">
        <v>60</v>
      </c>
      <c r="BW186">
        <v>35</v>
      </c>
      <c r="BX186">
        <v>40</v>
      </c>
      <c r="BY186">
        <v>30</v>
      </c>
      <c r="BZ186">
        <v>5</v>
      </c>
      <c r="CA186">
        <v>35</v>
      </c>
      <c r="CB186">
        <v>40</v>
      </c>
      <c r="CC186">
        <v>50</v>
      </c>
      <c r="CD186">
        <v>55</v>
      </c>
      <c r="CE186">
        <v>45</v>
      </c>
      <c r="CF186">
        <v>30</v>
      </c>
      <c r="CG186">
        <v>30</v>
      </c>
      <c r="CH186">
        <v>20</v>
      </c>
      <c r="CI186">
        <v>45</v>
      </c>
      <c r="CJ186">
        <v>35</v>
      </c>
      <c r="CK186">
        <v>35</v>
      </c>
    </row>
    <row r="187" spans="1:89" x14ac:dyDescent="0.25">
      <c r="A187" s="23" t="s">
        <v>418</v>
      </c>
      <c r="B187">
        <v>50</v>
      </c>
      <c r="C187">
        <v>55</v>
      </c>
      <c r="D187">
        <v>35</v>
      </c>
      <c r="E187">
        <v>20</v>
      </c>
      <c r="F187">
        <v>10</v>
      </c>
      <c r="G187">
        <v>25</v>
      </c>
      <c r="H187">
        <v>40</v>
      </c>
      <c r="I187">
        <v>80</v>
      </c>
      <c r="J187">
        <v>20</v>
      </c>
      <c r="K187">
        <v>40</v>
      </c>
      <c r="L187">
        <v>15</v>
      </c>
      <c r="M187">
        <v>60</v>
      </c>
      <c r="N187">
        <v>20</v>
      </c>
      <c r="O187">
        <v>55</v>
      </c>
      <c r="P187">
        <v>40</v>
      </c>
      <c r="Q187">
        <v>15</v>
      </c>
      <c r="R187">
        <v>35</v>
      </c>
      <c r="S187">
        <v>65</v>
      </c>
      <c r="T187">
        <v>50</v>
      </c>
      <c r="U187">
        <v>70</v>
      </c>
      <c r="V187">
        <v>65</v>
      </c>
      <c r="W187">
        <v>20</v>
      </c>
      <c r="X187">
        <v>50</v>
      </c>
      <c r="Y187">
        <v>60</v>
      </c>
      <c r="Z187">
        <v>45</v>
      </c>
      <c r="AA187">
        <v>5</v>
      </c>
      <c r="AB187">
        <v>15</v>
      </c>
      <c r="AC187">
        <v>50</v>
      </c>
      <c r="AD187">
        <v>45</v>
      </c>
      <c r="AE187">
        <v>25</v>
      </c>
      <c r="AF187">
        <v>45</v>
      </c>
      <c r="AG187">
        <v>45</v>
      </c>
      <c r="AH187">
        <v>70</v>
      </c>
      <c r="AI187">
        <v>10</v>
      </c>
      <c r="AJ187">
        <v>25</v>
      </c>
      <c r="AK187">
        <v>50</v>
      </c>
      <c r="AL187">
        <v>45</v>
      </c>
      <c r="AM187">
        <v>25</v>
      </c>
      <c r="AN187">
        <v>60</v>
      </c>
      <c r="AO187">
        <v>35</v>
      </c>
      <c r="AP187">
        <v>70</v>
      </c>
      <c r="AQ187">
        <v>20</v>
      </c>
      <c r="AR187">
        <v>65</v>
      </c>
      <c r="AS187">
        <v>35</v>
      </c>
      <c r="AT187">
        <v>45</v>
      </c>
      <c r="AU187">
        <v>10</v>
      </c>
      <c r="AV187">
        <v>15</v>
      </c>
      <c r="AW187">
        <v>45</v>
      </c>
      <c r="AX187">
        <v>35</v>
      </c>
      <c r="AY187">
        <v>35</v>
      </c>
      <c r="AZ187">
        <v>65</v>
      </c>
      <c r="BA187">
        <v>45</v>
      </c>
      <c r="BB187">
        <v>25</v>
      </c>
      <c r="BC187">
        <v>40</v>
      </c>
      <c r="BD187">
        <v>15</v>
      </c>
      <c r="BE187">
        <v>20</v>
      </c>
      <c r="BF187">
        <v>20</v>
      </c>
      <c r="BG187">
        <v>35</v>
      </c>
      <c r="BH187">
        <v>32</v>
      </c>
      <c r="BI187">
        <v>5</v>
      </c>
      <c r="BJ187">
        <v>35</v>
      </c>
      <c r="BK187">
        <v>50</v>
      </c>
      <c r="BL187">
        <v>60</v>
      </c>
      <c r="BM187">
        <v>40</v>
      </c>
      <c r="BN187">
        <v>60</v>
      </c>
      <c r="BO187">
        <v>5</v>
      </c>
      <c r="BP187">
        <v>25</v>
      </c>
      <c r="BQ187">
        <v>5</v>
      </c>
      <c r="BR187">
        <v>20</v>
      </c>
      <c r="BS187">
        <v>40</v>
      </c>
      <c r="BT187">
        <v>20</v>
      </c>
      <c r="BU187">
        <v>40</v>
      </c>
      <c r="BV187">
        <v>50</v>
      </c>
      <c r="BW187">
        <v>10</v>
      </c>
      <c r="BX187">
        <v>20</v>
      </c>
      <c r="BY187">
        <v>10</v>
      </c>
      <c r="BZ187">
        <v>75</v>
      </c>
      <c r="CA187">
        <v>50</v>
      </c>
      <c r="CB187">
        <v>55</v>
      </c>
      <c r="CC187">
        <v>45</v>
      </c>
      <c r="CD187">
        <v>65</v>
      </c>
      <c r="CE187">
        <v>45</v>
      </c>
      <c r="CF187">
        <v>40</v>
      </c>
      <c r="CG187">
        <v>5</v>
      </c>
      <c r="CH187">
        <v>45</v>
      </c>
      <c r="CI187">
        <v>35</v>
      </c>
      <c r="CJ187">
        <v>60</v>
      </c>
      <c r="CK187">
        <v>35</v>
      </c>
    </row>
    <row r="188" spans="1:89" x14ac:dyDescent="0.25">
      <c r="A188" s="23" t="s">
        <v>419</v>
      </c>
      <c r="B188">
        <v>50</v>
      </c>
      <c r="C188">
        <v>50</v>
      </c>
      <c r="D188">
        <v>40</v>
      </c>
      <c r="E188">
        <v>15</v>
      </c>
      <c r="F188">
        <v>40</v>
      </c>
      <c r="G188">
        <v>45</v>
      </c>
      <c r="H188">
        <v>40</v>
      </c>
      <c r="I188">
        <v>90</v>
      </c>
      <c r="J188">
        <v>20</v>
      </c>
      <c r="K188">
        <v>25</v>
      </c>
      <c r="L188">
        <v>5</v>
      </c>
      <c r="M188">
        <v>55</v>
      </c>
      <c r="N188">
        <v>10</v>
      </c>
      <c r="O188">
        <v>60</v>
      </c>
      <c r="P188">
        <v>55</v>
      </c>
      <c r="Q188">
        <v>10</v>
      </c>
      <c r="R188">
        <v>45</v>
      </c>
      <c r="S188">
        <v>70</v>
      </c>
      <c r="T188">
        <v>40</v>
      </c>
      <c r="U188">
        <v>60</v>
      </c>
      <c r="V188">
        <v>55</v>
      </c>
      <c r="W188">
        <v>25</v>
      </c>
      <c r="X188">
        <v>20</v>
      </c>
      <c r="Y188">
        <v>55</v>
      </c>
      <c r="Z188">
        <v>40</v>
      </c>
      <c r="AA188">
        <v>35</v>
      </c>
      <c r="AB188">
        <v>30</v>
      </c>
      <c r="AC188">
        <v>30</v>
      </c>
      <c r="AD188">
        <v>40</v>
      </c>
      <c r="AE188">
        <v>90</v>
      </c>
      <c r="AF188">
        <v>5</v>
      </c>
      <c r="AG188">
        <v>60</v>
      </c>
      <c r="AH188">
        <v>50</v>
      </c>
      <c r="AI188">
        <v>15</v>
      </c>
      <c r="AJ188">
        <v>70</v>
      </c>
      <c r="AK188">
        <v>35</v>
      </c>
      <c r="AL188">
        <v>60</v>
      </c>
      <c r="AM188">
        <v>45</v>
      </c>
      <c r="AN188">
        <v>5</v>
      </c>
      <c r="AO188">
        <v>35</v>
      </c>
      <c r="AP188">
        <v>45</v>
      </c>
      <c r="AQ188">
        <v>35</v>
      </c>
      <c r="AR188">
        <v>55</v>
      </c>
      <c r="AS188">
        <v>40</v>
      </c>
      <c r="AT188">
        <v>40</v>
      </c>
      <c r="AU188">
        <v>10</v>
      </c>
      <c r="AV188">
        <v>15</v>
      </c>
      <c r="AW188">
        <v>40</v>
      </c>
      <c r="AX188">
        <v>60</v>
      </c>
      <c r="AY188">
        <v>70</v>
      </c>
      <c r="AZ188">
        <v>45</v>
      </c>
      <c r="BA188">
        <v>65</v>
      </c>
      <c r="BB188">
        <v>5</v>
      </c>
      <c r="BC188">
        <v>30</v>
      </c>
      <c r="BD188">
        <v>15</v>
      </c>
      <c r="BE188">
        <v>15</v>
      </c>
      <c r="BF188">
        <v>20</v>
      </c>
      <c r="BG188">
        <v>55</v>
      </c>
      <c r="BH188">
        <v>40</v>
      </c>
      <c r="BI188">
        <v>20</v>
      </c>
      <c r="BJ188">
        <v>10</v>
      </c>
      <c r="BK188">
        <v>50</v>
      </c>
      <c r="BL188">
        <v>40</v>
      </c>
      <c r="BM188">
        <v>50</v>
      </c>
      <c r="BN188">
        <v>30</v>
      </c>
      <c r="BO188">
        <v>45</v>
      </c>
      <c r="BP188">
        <v>20</v>
      </c>
      <c r="BQ188">
        <v>5</v>
      </c>
      <c r="BR188">
        <v>25</v>
      </c>
      <c r="BS188">
        <v>25</v>
      </c>
      <c r="BT188">
        <v>25</v>
      </c>
      <c r="BU188">
        <v>15</v>
      </c>
      <c r="BV188">
        <v>60</v>
      </c>
      <c r="BW188">
        <v>20</v>
      </c>
      <c r="BX188">
        <v>35</v>
      </c>
      <c r="BY188">
        <v>15</v>
      </c>
      <c r="CA188">
        <v>30</v>
      </c>
      <c r="CB188">
        <v>50</v>
      </c>
      <c r="CC188">
        <v>20</v>
      </c>
      <c r="CD188">
        <v>35</v>
      </c>
      <c r="CE188">
        <v>35</v>
      </c>
      <c r="CF188">
        <v>40</v>
      </c>
      <c r="CG188">
        <v>40</v>
      </c>
      <c r="CH188">
        <v>55</v>
      </c>
      <c r="CI188">
        <v>50</v>
      </c>
      <c r="CJ188">
        <v>60</v>
      </c>
      <c r="CK188">
        <v>15</v>
      </c>
    </row>
    <row r="189" spans="1:89" x14ac:dyDescent="0.25">
      <c r="A189" s="23"/>
    </row>
    <row r="190" spans="1:89" x14ac:dyDescent="0.25">
      <c r="A190" s="23" t="s">
        <v>420</v>
      </c>
      <c r="B190">
        <v>35</v>
      </c>
      <c r="C190">
        <v>70</v>
      </c>
      <c r="D190">
        <v>45</v>
      </c>
      <c r="E190">
        <v>50</v>
      </c>
      <c r="F190">
        <v>75</v>
      </c>
      <c r="G190">
        <v>50</v>
      </c>
      <c r="H190">
        <v>20</v>
      </c>
      <c r="I190">
        <v>5</v>
      </c>
      <c r="J190">
        <v>35</v>
      </c>
      <c r="K190">
        <v>40</v>
      </c>
      <c r="L190">
        <v>25</v>
      </c>
      <c r="M190">
        <v>40</v>
      </c>
      <c r="N190">
        <v>50</v>
      </c>
      <c r="O190">
        <v>15</v>
      </c>
      <c r="P190">
        <v>40</v>
      </c>
      <c r="Q190">
        <v>30</v>
      </c>
      <c r="R190">
        <v>25</v>
      </c>
      <c r="S190">
        <v>50</v>
      </c>
      <c r="T190">
        <v>45</v>
      </c>
      <c r="U190">
        <v>55</v>
      </c>
      <c r="V190">
        <v>45</v>
      </c>
      <c r="W190">
        <v>20</v>
      </c>
      <c r="X190">
        <v>45</v>
      </c>
      <c r="Y190">
        <v>35</v>
      </c>
      <c r="Z190">
        <v>25</v>
      </c>
      <c r="AA190">
        <v>20</v>
      </c>
      <c r="AB190">
        <v>30</v>
      </c>
      <c r="AC190">
        <v>50</v>
      </c>
      <c r="AD190">
        <v>25</v>
      </c>
      <c r="AE190">
        <v>40</v>
      </c>
      <c r="AF190">
        <v>35</v>
      </c>
      <c r="AG190">
        <v>65</v>
      </c>
      <c r="AH190">
        <v>25</v>
      </c>
      <c r="AI190">
        <v>55</v>
      </c>
      <c r="AJ190">
        <v>5</v>
      </c>
      <c r="AK190">
        <v>30</v>
      </c>
      <c r="AL190">
        <v>5</v>
      </c>
      <c r="AM190">
        <v>40</v>
      </c>
      <c r="AN190">
        <v>20</v>
      </c>
      <c r="AO190">
        <v>60</v>
      </c>
      <c r="AP190">
        <v>50</v>
      </c>
      <c r="AQ190">
        <v>10</v>
      </c>
      <c r="AR190">
        <v>25</v>
      </c>
      <c r="AS190">
        <v>30</v>
      </c>
      <c r="AT190">
        <v>35</v>
      </c>
      <c r="AU190">
        <v>15</v>
      </c>
      <c r="AV190">
        <v>30</v>
      </c>
      <c r="AW190">
        <v>30</v>
      </c>
      <c r="AX190">
        <v>40</v>
      </c>
      <c r="AY190">
        <v>50</v>
      </c>
      <c r="AZ190">
        <v>5</v>
      </c>
      <c r="BA190">
        <v>50</v>
      </c>
      <c r="BB190">
        <v>30</v>
      </c>
      <c r="BC190">
        <v>55</v>
      </c>
      <c r="BD190">
        <v>10</v>
      </c>
      <c r="BE190">
        <v>40</v>
      </c>
      <c r="BF190">
        <v>40</v>
      </c>
      <c r="BG190">
        <v>5</v>
      </c>
      <c r="BH190">
        <v>65</v>
      </c>
      <c r="BI190">
        <v>5</v>
      </c>
      <c r="BJ190">
        <v>30</v>
      </c>
      <c r="BK190">
        <v>25</v>
      </c>
      <c r="BL190">
        <v>35</v>
      </c>
      <c r="BM190">
        <v>45</v>
      </c>
      <c r="BN190">
        <v>5</v>
      </c>
      <c r="BO190">
        <v>35</v>
      </c>
      <c r="BP190">
        <v>10</v>
      </c>
      <c r="BQ190">
        <v>5</v>
      </c>
      <c r="BR190">
        <v>15</v>
      </c>
      <c r="BS190">
        <v>35</v>
      </c>
      <c r="BT190">
        <v>35</v>
      </c>
      <c r="BU190">
        <v>45</v>
      </c>
      <c r="BV190">
        <v>50</v>
      </c>
      <c r="BW190">
        <v>25</v>
      </c>
      <c r="BX190">
        <v>45</v>
      </c>
      <c r="BY190">
        <v>25</v>
      </c>
      <c r="BZ190">
        <v>25</v>
      </c>
      <c r="CA190">
        <v>25</v>
      </c>
      <c r="CB190">
        <v>25</v>
      </c>
      <c r="CC190">
        <v>45</v>
      </c>
      <c r="CD190">
        <v>85</v>
      </c>
      <c r="CE190">
        <v>30</v>
      </c>
      <c r="CF190">
        <v>30</v>
      </c>
      <c r="CG190">
        <v>35</v>
      </c>
      <c r="CH190">
        <v>5</v>
      </c>
      <c r="CI190">
        <v>50</v>
      </c>
      <c r="CJ190">
        <v>20</v>
      </c>
      <c r="CK190">
        <v>40</v>
      </c>
    </row>
    <row r="191" spans="1:89" x14ac:dyDescent="0.25">
      <c r="A191" s="23" t="s">
        <v>421</v>
      </c>
      <c r="B191">
        <v>25</v>
      </c>
      <c r="C191">
        <v>50</v>
      </c>
      <c r="D191">
        <v>50</v>
      </c>
      <c r="E191">
        <v>35</v>
      </c>
      <c r="F191">
        <v>60</v>
      </c>
      <c r="G191">
        <v>45</v>
      </c>
      <c r="H191">
        <v>10</v>
      </c>
      <c r="I191">
        <v>15</v>
      </c>
      <c r="J191">
        <v>30</v>
      </c>
      <c r="K191">
        <v>45</v>
      </c>
      <c r="L191">
        <v>40</v>
      </c>
      <c r="M191">
        <v>25</v>
      </c>
      <c r="N191">
        <v>20</v>
      </c>
      <c r="O191">
        <v>45</v>
      </c>
      <c r="P191">
        <v>55</v>
      </c>
      <c r="R191">
        <v>60</v>
      </c>
      <c r="S191">
        <v>50</v>
      </c>
      <c r="T191">
        <v>55</v>
      </c>
      <c r="U191">
        <v>30</v>
      </c>
      <c r="V191">
        <v>35</v>
      </c>
      <c r="W191">
        <v>50</v>
      </c>
      <c r="X191">
        <v>30</v>
      </c>
      <c r="Y191">
        <v>55</v>
      </c>
      <c r="Z191">
        <v>15</v>
      </c>
      <c r="AA191">
        <v>5</v>
      </c>
      <c r="AB191">
        <v>30</v>
      </c>
      <c r="AC191">
        <v>30</v>
      </c>
      <c r="AD191">
        <v>40</v>
      </c>
      <c r="AE191">
        <v>30</v>
      </c>
      <c r="AF191">
        <v>35</v>
      </c>
      <c r="AG191">
        <v>70</v>
      </c>
      <c r="AH191">
        <v>25</v>
      </c>
      <c r="AI191">
        <v>25</v>
      </c>
      <c r="AJ191">
        <v>25</v>
      </c>
      <c r="AK191">
        <v>30</v>
      </c>
      <c r="AL191">
        <v>45</v>
      </c>
      <c r="AM191">
        <v>40</v>
      </c>
      <c r="AN191">
        <v>25</v>
      </c>
      <c r="AO191">
        <v>5</v>
      </c>
      <c r="AP191">
        <v>65</v>
      </c>
      <c r="AQ191">
        <v>15</v>
      </c>
      <c r="AR191">
        <v>20</v>
      </c>
      <c r="AS191">
        <v>50</v>
      </c>
      <c r="AT191">
        <v>40</v>
      </c>
      <c r="AU191">
        <v>35</v>
      </c>
      <c r="AV191">
        <v>40</v>
      </c>
      <c r="AW191">
        <v>30</v>
      </c>
      <c r="AX191">
        <v>50</v>
      </c>
      <c r="AY191">
        <v>65</v>
      </c>
      <c r="AZ191">
        <v>40</v>
      </c>
      <c r="BA191">
        <v>50</v>
      </c>
      <c r="BB191">
        <v>40</v>
      </c>
      <c r="BC191">
        <v>25</v>
      </c>
      <c r="BD191">
        <v>15</v>
      </c>
      <c r="BE191">
        <v>40</v>
      </c>
      <c r="BF191">
        <v>45</v>
      </c>
      <c r="BG191">
        <v>25</v>
      </c>
      <c r="BH191">
        <v>70</v>
      </c>
      <c r="BI191">
        <v>20</v>
      </c>
      <c r="BJ191">
        <v>25</v>
      </c>
      <c r="BK191">
        <v>45</v>
      </c>
      <c r="BL191">
        <v>30</v>
      </c>
      <c r="BM191">
        <v>30</v>
      </c>
      <c r="BN191">
        <v>5</v>
      </c>
      <c r="BO191">
        <v>20</v>
      </c>
      <c r="BP191">
        <v>20</v>
      </c>
      <c r="BQ191">
        <v>60</v>
      </c>
      <c r="BR191">
        <v>20</v>
      </c>
      <c r="BS191">
        <v>50</v>
      </c>
      <c r="BT191">
        <v>40</v>
      </c>
      <c r="BU191">
        <v>35</v>
      </c>
      <c r="BV191">
        <v>50</v>
      </c>
      <c r="BW191">
        <v>10</v>
      </c>
      <c r="BX191">
        <v>25</v>
      </c>
      <c r="BY191">
        <v>40</v>
      </c>
      <c r="BZ191">
        <v>30</v>
      </c>
      <c r="CA191">
        <v>45</v>
      </c>
      <c r="CB191">
        <v>30</v>
      </c>
      <c r="CC191">
        <v>30</v>
      </c>
      <c r="CD191">
        <v>40</v>
      </c>
      <c r="CE191">
        <v>30</v>
      </c>
      <c r="CF191">
        <v>25</v>
      </c>
      <c r="CG191">
        <v>45</v>
      </c>
      <c r="CH191">
        <v>30</v>
      </c>
      <c r="CI191">
        <v>50</v>
      </c>
      <c r="CJ191">
        <v>70</v>
      </c>
      <c r="CK191">
        <v>10</v>
      </c>
    </row>
    <row r="192" spans="1:89" x14ac:dyDescent="0.25">
      <c r="A192" s="23" t="s">
        <v>422</v>
      </c>
      <c r="B192">
        <v>20</v>
      </c>
      <c r="C192">
        <v>30</v>
      </c>
      <c r="D192">
        <v>50</v>
      </c>
      <c r="E192">
        <v>35</v>
      </c>
      <c r="F192">
        <v>70</v>
      </c>
      <c r="G192">
        <v>45</v>
      </c>
      <c r="H192">
        <v>45</v>
      </c>
      <c r="I192">
        <v>60</v>
      </c>
      <c r="J192">
        <v>35</v>
      </c>
      <c r="K192">
        <v>35</v>
      </c>
      <c r="L192">
        <v>20</v>
      </c>
      <c r="M192">
        <v>5</v>
      </c>
      <c r="N192">
        <v>50</v>
      </c>
      <c r="O192">
        <v>55</v>
      </c>
      <c r="P192">
        <v>60</v>
      </c>
      <c r="Q192">
        <v>5</v>
      </c>
      <c r="R192">
        <v>50</v>
      </c>
      <c r="S192">
        <v>55</v>
      </c>
      <c r="T192">
        <v>35</v>
      </c>
      <c r="U192">
        <v>45</v>
      </c>
      <c r="V192">
        <v>60</v>
      </c>
      <c r="W192">
        <v>50</v>
      </c>
      <c r="X192">
        <v>45</v>
      </c>
      <c r="Y192">
        <v>35</v>
      </c>
      <c r="Z192">
        <v>25</v>
      </c>
      <c r="AA192">
        <v>50</v>
      </c>
      <c r="AB192">
        <v>25</v>
      </c>
      <c r="AC192">
        <v>5</v>
      </c>
      <c r="AD192">
        <v>40</v>
      </c>
      <c r="AE192">
        <v>5</v>
      </c>
      <c r="AF192">
        <v>35</v>
      </c>
      <c r="AH192">
        <v>30</v>
      </c>
      <c r="AI192">
        <v>25</v>
      </c>
      <c r="AJ192">
        <v>0</v>
      </c>
      <c r="AK192">
        <v>55</v>
      </c>
      <c r="AL192">
        <v>30</v>
      </c>
      <c r="AM192">
        <v>45</v>
      </c>
      <c r="AN192">
        <v>25</v>
      </c>
      <c r="AO192">
        <v>10</v>
      </c>
      <c r="AP192">
        <v>20</v>
      </c>
      <c r="AQ192">
        <v>15</v>
      </c>
      <c r="AR192">
        <v>25</v>
      </c>
      <c r="AS192">
        <v>60</v>
      </c>
      <c r="AT192">
        <v>40</v>
      </c>
      <c r="AU192">
        <v>30</v>
      </c>
      <c r="AV192">
        <v>40</v>
      </c>
      <c r="AW192">
        <v>10</v>
      </c>
      <c r="AX192">
        <v>30</v>
      </c>
      <c r="AY192">
        <v>60</v>
      </c>
      <c r="AZ192">
        <v>25</v>
      </c>
      <c r="BA192">
        <v>50</v>
      </c>
      <c r="BB192">
        <v>55</v>
      </c>
      <c r="BC192">
        <v>20</v>
      </c>
      <c r="BD192">
        <v>35</v>
      </c>
      <c r="BE192">
        <v>40</v>
      </c>
      <c r="BF192">
        <v>45</v>
      </c>
      <c r="BG192">
        <v>45</v>
      </c>
      <c r="BH192">
        <v>60</v>
      </c>
      <c r="BI192">
        <v>5</v>
      </c>
      <c r="BJ192">
        <v>30</v>
      </c>
      <c r="BK192">
        <v>35</v>
      </c>
      <c r="BL192">
        <v>25</v>
      </c>
      <c r="BM192">
        <v>50</v>
      </c>
      <c r="BN192">
        <v>10</v>
      </c>
      <c r="BO192">
        <v>65</v>
      </c>
      <c r="BP192">
        <v>35</v>
      </c>
      <c r="BQ192">
        <v>10</v>
      </c>
      <c r="BR192">
        <v>20</v>
      </c>
      <c r="BS192">
        <v>35</v>
      </c>
      <c r="BT192">
        <v>45</v>
      </c>
      <c r="BU192">
        <v>15</v>
      </c>
      <c r="BV192">
        <v>70</v>
      </c>
      <c r="BW192">
        <v>35</v>
      </c>
      <c r="BX192">
        <v>15</v>
      </c>
      <c r="BY192">
        <v>35</v>
      </c>
      <c r="BZ192">
        <v>5</v>
      </c>
      <c r="CA192">
        <v>65</v>
      </c>
      <c r="CB192">
        <v>45</v>
      </c>
      <c r="CC192">
        <v>50</v>
      </c>
      <c r="CD192">
        <v>30</v>
      </c>
      <c r="CE192">
        <v>30</v>
      </c>
      <c r="CF192">
        <v>25</v>
      </c>
      <c r="CG192">
        <v>60</v>
      </c>
      <c r="CH192">
        <v>35</v>
      </c>
      <c r="CI192">
        <v>45</v>
      </c>
      <c r="CJ192">
        <v>25</v>
      </c>
      <c r="CK192">
        <v>30</v>
      </c>
    </row>
    <row r="193" spans="1:89" x14ac:dyDescent="0.25">
      <c r="A193" s="23" t="s">
        <v>423</v>
      </c>
      <c r="B193">
        <v>45</v>
      </c>
      <c r="C193">
        <v>80</v>
      </c>
      <c r="D193">
        <v>50</v>
      </c>
      <c r="E193">
        <v>45</v>
      </c>
      <c r="F193">
        <v>65</v>
      </c>
      <c r="G193">
        <v>55</v>
      </c>
      <c r="H193">
        <v>10</v>
      </c>
      <c r="I193">
        <v>10</v>
      </c>
      <c r="J193">
        <v>65</v>
      </c>
      <c r="K193">
        <v>50</v>
      </c>
      <c r="L193">
        <v>5</v>
      </c>
      <c r="M193">
        <v>60</v>
      </c>
      <c r="N193">
        <v>45</v>
      </c>
      <c r="O193">
        <v>60</v>
      </c>
      <c r="P193">
        <v>50</v>
      </c>
      <c r="Q193">
        <v>30</v>
      </c>
      <c r="R193">
        <v>45</v>
      </c>
      <c r="S193">
        <v>60</v>
      </c>
      <c r="T193">
        <v>55</v>
      </c>
      <c r="U193">
        <v>20</v>
      </c>
      <c r="V193">
        <v>50</v>
      </c>
      <c r="W193">
        <v>60</v>
      </c>
      <c r="X193">
        <v>50</v>
      </c>
      <c r="Y193">
        <v>10</v>
      </c>
      <c r="Z193">
        <v>55</v>
      </c>
      <c r="AA193">
        <v>35</v>
      </c>
      <c r="AB193">
        <v>30</v>
      </c>
      <c r="AC193">
        <v>40</v>
      </c>
      <c r="AD193">
        <v>15</v>
      </c>
      <c r="AE193">
        <v>25</v>
      </c>
      <c r="AF193">
        <v>5</v>
      </c>
      <c r="AG193">
        <v>30</v>
      </c>
      <c r="AH193">
        <v>25</v>
      </c>
      <c r="AI193">
        <v>35</v>
      </c>
      <c r="AJ193">
        <v>20</v>
      </c>
      <c r="AK193">
        <v>60</v>
      </c>
      <c r="AL193">
        <v>70</v>
      </c>
      <c r="AM193">
        <v>40</v>
      </c>
      <c r="AN193">
        <v>10</v>
      </c>
      <c r="AO193">
        <v>70</v>
      </c>
      <c r="AP193">
        <v>50</v>
      </c>
      <c r="AQ193">
        <v>50</v>
      </c>
      <c r="AR193">
        <v>30</v>
      </c>
      <c r="AS193">
        <v>30</v>
      </c>
      <c r="AT193">
        <v>25</v>
      </c>
      <c r="AU193">
        <v>5</v>
      </c>
      <c r="AV193">
        <v>40</v>
      </c>
      <c r="AW193">
        <v>50</v>
      </c>
      <c r="AX193">
        <v>50</v>
      </c>
      <c r="AY193">
        <v>65</v>
      </c>
      <c r="AZ193">
        <v>25</v>
      </c>
      <c r="BA193">
        <v>45</v>
      </c>
      <c r="BB193">
        <v>40</v>
      </c>
      <c r="BC193">
        <v>30</v>
      </c>
      <c r="BD193">
        <v>5</v>
      </c>
      <c r="BE193">
        <v>35</v>
      </c>
      <c r="BF193">
        <v>40</v>
      </c>
      <c r="BG193">
        <v>60</v>
      </c>
      <c r="BH193">
        <v>30</v>
      </c>
      <c r="BI193">
        <v>65</v>
      </c>
      <c r="BJ193">
        <v>20</v>
      </c>
      <c r="BK193">
        <v>50</v>
      </c>
      <c r="BL193">
        <v>45</v>
      </c>
      <c r="BM193">
        <v>60</v>
      </c>
      <c r="BN193">
        <v>30</v>
      </c>
      <c r="BO193">
        <v>35</v>
      </c>
      <c r="BP193">
        <v>25</v>
      </c>
      <c r="BQ193">
        <v>30</v>
      </c>
      <c r="BR193">
        <v>40</v>
      </c>
      <c r="BS193">
        <v>20</v>
      </c>
      <c r="BT193">
        <v>40</v>
      </c>
      <c r="BU193">
        <v>20</v>
      </c>
      <c r="BV193">
        <v>60</v>
      </c>
      <c r="BW193">
        <v>55</v>
      </c>
      <c r="BX193">
        <v>15</v>
      </c>
      <c r="BY193">
        <v>65</v>
      </c>
      <c r="BZ193">
        <v>25</v>
      </c>
      <c r="CA193">
        <v>45</v>
      </c>
      <c r="CB193">
        <v>50</v>
      </c>
      <c r="CC193">
        <v>40</v>
      </c>
      <c r="CD193">
        <v>55</v>
      </c>
      <c r="CE193">
        <v>45</v>
      </c>
      <c r="CF193">
        <v>10</v>
      </c>
      <c r="CG193">
        <v>25</v>
      </c>
      <c r="CH193">
        <v>40</v>
      </c>
      <c r="CI193">
        <v>45</v>
      </c>
      <c r="CJ193">
        <v>35</v>
      </c>
      <c r="CK193">
        <v>25</v>
      </c>
    </row>
    <row r="194" spans="1:89" x14ac:dyDescent="0.25">
      <c r="A194" s="23" t="s">
        <v>424</v>
      </c>
      <c r="B194">
        <v>45</v>
      </c>
      <c r="C194">
        <v>45</v>
      </c>
      <c r="D194">
        <v>30</v>
      </c>
      <c r="E194">
        <v>15</v>
      </c>
      <c r="F194">
        <v>45</v>
      </c>
      <c r="G194">
        <v>20</v>
      </c>
      <c r="H194">
        <v>45</v>
      </c>
      <c r="I194">
        <v>20</v>
      </c>
      <c r="J194">
        <v>40</v>
      </c>
      <c r="K194">
        <v>35</v>
      </c>
      <c r="L194">
        <v>20</v>
      </c>
      <c r="M194">
        <v>65</v>
      </c>
      <c r="N194">
        <v>45</v>
      </c>
      <c r="O194">
        <v>45</v>
      </c>
      <c r="P194">
        <v>50</v>
      </c>
      <c r="Q194">
        <v>10</v>
      </c>
      <c r="R194">
        <v>55</v>
      </c>
      <c r="S194">
        <v>50</v>
      </c>
      <c r="T194">
        <v>10</v>
      </c>
      <c r="U194">
        <v>45</v>
      </c>
      <c r="V194">
        <v>60</v>
      </c>
      <c r="W194">
        <v>30</v>
      </c>
      <c r="X194">
        <v>45</v>
      </c>
      <c r="Y194">
        <v>30</v>
      </c>
      <c r="Z194">
        <v>65</v>
      </c>
      <c r="AA194">
        <v>65</v>
      </c>
      <c r="AB194">
        <v>10</v>
      </c>
      <c r="AC194">
        <v>35</v>
      </c>
      <c r="AD194">
        <v>35</v>
      </c>
      <c r="AE194">
        <v>5</v>
      </c>
      <c r="AF194">
        <v>10</v>
      </c>
      <c r="AG194">
        <v>35</v>
      </c>
      <c r="AH194">
        <v>10</v>
      </c>
      <c r="AI194">
        <v>60</v>
      </c>
      <c r="AJ194">
        <v>30</v>
      </c>
      <c r="AK194">
        <v>55</v>
      </c>
      <c r="AL194">
        <v>10</v>
      </c>
      <c r="AM194">
        <v>50</v>
      </c>
      <c r="AN194">
        <v>55</v>
      </c>
      <c r="AO194">
        <v>15</v>
      </c>
      <c r="AP194">
        <v>30</v>
      </c>
      <c r="AQ194">
        <v>20</v>
      </c>
      <c r="AR194">
        <v>30</v>
      </c>
      <c r="AS194">
        <v>45</v>
      </c>
      <c r="AT194">
        <v>40</v>
      </c>
      <c r="AU194">
        <v>50</v>
      </c>
      <c r="AV194">
        <v>10</v>
      </c>
      <c r="AW194">
        <v>30</v>
      </c>
      <c r="AX194">
        <v>30</v>
      </c>
      <c r="AY194">
        <v>35</v>
      </c>
      <c r="AZ194">
        <v>25</v>
      </c>
      <c r="BA194">
        <v>45</v>
      </c>
      <c r="BB194">
        <v>30</v>
      </c>
      <c r="BC194">
        <v>30</v>
      </c>
      <c r="BD194">
        <v>50</v>
      </c>
      <c r="BE194">
        <v>45</v>
      </c>
      <c r="BF194">
        <v>45</v>
      </c>
      <c r="BG194">
        <v>5</v>
      </c>
      <c r="BH194">
        <v>30</v>
      </c>
      <c r="BI194">
        <v>50</v>
      </c>
      <c r="BJ194">
        <v>10</v>
      </c>
      <c r="BK194">
        <v>40</v>
      </c>
      <c r="BL194">
        <v>15</v>
      </c>
      <c r="BM194">
        <v>45</v>
      </c>
      <c r="BN194">
        <v>25</v>
      </c>
      <c r="BO194">
        <v>5</v>
      </c>
      <c r="BP194">
        <v>35</v>
      </c>
      <c r="BQ194">
        <v>25</v>
      </c>
      <c r="BR194">
        <v>5</v>
      </c>
      <c r="BS194">
        <v>60</v>
      </c>
      <c r="BT194">
        <v>40</v>
      </c>
      <c r="BU194">
        <v>15</v>
      </c>
      <c r="BV194">
        <v>75</v>
      </c>
      <c r="BW194">
        <v>35</v>
      </c>
      <c r="BX194">
        <v>20</v>
      </c>
      <c r="BY194">
        <v>15</v>
      </c>
      <c r="BZ194">
        <v>10</v>
      </c>
      <c r="CA194">
        <v>35</v>
      </c>
      <c r="CB194">
        <v>55</v>
      </c>
      <c r="CC194">
        <v>40</v>
      </c>
      <c r="CD194">
        <v>55</v>
      </c>
      <c r="CE194">
        <v>30</v>
      </c>
      <c r="CF194">
        <v>70</v>
      </c>
      <c r="CG194">
        <v>10</v>
      </c>
      <c r="CH194">
        <v>55</v>
      </c>
      <c r="CI194">
        <v>55</v>
      </c>
      <c r="CJ194">
        <v>30</v>
      </c>
      <c r="CK194">
        <v>15</v>
      </c>
    </row>
    <row r="195" spans="1:89" x14ac:dyDescent="0.25">
      <c r="A195" s="23" t="s">
        <v>425</v>
      </c>
      <c r="B195">
        <v>45</v>
      </c>
      <c r="C195">
        <v>60</v>
      </c>
      <c r="D195">
        <v>75</v>
      </c>
      <c r="E195">
        <v>30</v>
      </c>
      <c r="F195">
        <v>55</v>
      </c>
      <c r="G195">
        <v>50</v>
      </c>
      <c r="H195">
        <v>20</v>
      </c>
      <c r="I195">
        <v>25</v>
      </c>
      <c r="J195">
        <v>50</v>
      </c>
      <c r="K195">
        <v>45</v>
      </c>
      <c r="L195">
        <v>5</v>
      </c>
      <c r="M195">
        <v>40</v>
      </c>
      <c r="N195">
        <v>35</v>
      </c>
      <c r="O195">
        <v>50</v>
      </c>
      <c r="P195">
        <v>30</v>
      </c>
      <c r="Q195">
        <v>5</v>
      </c>
      <c r="R195">
        <v>45</v>
      </c>
      <c r="S195">
        <v>50</v>
      </c>
      <c r="T195">
        <v>35</v>
      </c>
      <c r="U195">
        <v>10</v>
      </c>
      <c r="V195">
        <v>45</v>
      </c>
      <c r="W195">
        <v>10</v>
      </c>
      <c r="X195">
        <v>40</v>
      </c>
      <c r="Y195">
        <v>5</v>
      </c>
      <c r="Z195">
        <v>60</v>
      </c>
      <c r="AA195">
        <v>25</v>
      </c>
      <c r="AB195">
        <v>35</v>
      </c>
      <c r="AC195">
        <v>60</v>
      </c>
      <c r="AD195">
        <v>50</v>
      </c>
      <c r="AE195">
        <v>5</v>
      </c>
      <c r="AF195">
        <v>60</v>
      </c>
      <c r="AG195">
        <v>35</v>
      </c>
      <c r="AH195">
        <v>10</v>
      </c>
      <c r="AI195">
        <v>40</v>
      </c>
      <c r="AJ195">
        <v>70</v>
      </c>
      <c r="AK195">
        <v>30</v>
      </c>
      <c r="AL195">
        <v>25</v>
      </c>
      <c r="AM195">
        <v>25</v>
      </c>
      <c r="AN195">
        <v>70</v>
      </c>
      <c r="AO195">
        <v>50</v>
      </c>
      <c r="AP195">
        <v>20</v>
      </c>
      <c r="AQ195">
        <v>20</v>
      </c>
      <c r="AR195">
        <v>30</v>
      </c>
      <c r="AS195">
        <v>35</v>
      </c>
      <c r="AT195">
        <v>50</v>
      </c>
      <c r="AU195">
        <v>60</v>
      </c>
      <c r="AV195">
        <v>10</v>
      </c>
      <c r="AW195">
        <v>55</v>
      </c>
      <c r="AX195">
        <v>35</v>
      </c>
      <c r="AY195">
        <v>50</v>
      </c>
      <c r="AZ195">
        <v>20</v>
      </c>
      <c r="BA195">
        <v>55</v>
      </c>
      <c r="BB195">
        <v>15</v>
      </c>
      <c r="BC195">
        <v>15</v>
      </c>
      <c r="BD195">
        <v>60</v>
      </c>
      <c r="BE195">
        <v>25</v>
      </c>
      <c r="BF195">
        <v>20</v>
      </c>
      <c r="BG195">
        <v>50</v>
      </c>
      <c r="BH195">
        <v>10</v>
      </c>
      <c r="BI195">
        <v>20</v>
      </c>
      <c r="BJ195">
        <v>15</v>
      </c>
      <c r="BK195">
        <v>45</v>
      </c>
      <c r="BL195">
        <v>35</v>
      </c>
      <c r="BM195">
        <v>35</v>
      </c>
      <c r="BN195">
        <v>30</v>
      </c>
      <c r="BO195">
        <v>10</v>
      </c>
      <c r="BP195">
        <v>55</v>
      </c>
      <c r="BQ195">
        <v>65</v>
      </c>
      <c r="BR195">
        <v>10</v>
      </c>
      <c r="BS195">
        <v>65</v>
      </c>
      <c r="BT195">
        <v>50</v>
      </c>
      <c r="BU195">
        <v>10</v>
      </c>
      <c r="BV195">
        <v>65</v>
      </c>
      <c r="BW195">
        <v>5</v>
      </c>
      <c r="BX195">
        <v>25</v>
      </c>
      <c r="BY195">
        <v>55</v>
      </c>
      <c r="BZ195">
        <v>5</v>
      </c>
      <c r="CA195">
        <v>40</v>
      </c>
      <c r="CB195">
        <v>60</v>
      </c>
      <c r="CC195">
        <v>50</v>
      </c>
      <c r="CD195">
        <v>50</v>
      </c>
      <c r="CE195">
        <v>35</v>
      </c>
      <c r="CF195">
        <v>5</v>
      </c>
      <c r="CG195">
        <v>2</v>
      </c>
      <c r="CH195">
        <v>45</v>
      </c>
      <c r="CI195">
        <v>40</v>
      </c>
      <c r="CJ195">
        <v>35</v>
      </c>
      <c r="CK195">
        <v>15</v>
      </c>
    </row>
    <row r="196" spans="1:89" x14ac:dyDescent="0.25">
      <c r="A196" s="23" t="s">
        <v>426</v>
      </c>
      <c r="B196">
        <v>40</v>
      </c>
      <c r="C196">
        <v>40</v>
      </c>
      <c r="D196">
        <v>50</v>
      </c>
      <c r="E196">
        <v>20</v>
      </c>
      <c r="F196">
        <v>40</v>
      </c>
      <c r="G196">
        <v>50</v>
      </c>
      <c r="H196">
        <v>45</v>
      </c>
      <c r="I196">
        <v>40</v>
      </c>
      <c r="J196">
        <v>10</v>
      </c>
      <c r="K196">
        <v>40</v>
      </c>
      <c r="L196">
        <v>25</v>
      </c>
      <c r="M196">
        <v>25</v>
      </c>
      <c r="N196">
        <v>30</v>
      </c>
      <c r="O196">
        <v>55</v>
      </c>
      <c r="P196">
        <v>50</v>
      </c>
      <c r="Q196">
        <v>40</v>
      </c>
      <c r="R196">
        <v>40</v>
      </c>
      <c r="S196">
        <v>45</v>
      </c>
      <c r="T196">
        <v>45</v>
      </c>
      <c r="U196">
        <v>10</v>
      </c>
      <c r="V196">
        <v>50</v>
      </c>
      <c r="W196">
        <v>25</v>
      </c>
      <c r="X196">
        <v>40</v>
      </c>
      <c r="Y196">
        <v>65</v>
      </c>
      <c r="Z196">
        <v>40</v>
      </c>
      <c r="AA196">
        <v>15</v>
      </c>
      <c r="AB196">
        <v>15</v>
      </c>
      <c r="AC196">
        <v>50</v>
      </c>
      <c r="AD196">
        <v>55</v>
      </c>
      <c r="AE196">
        <v>5</v>
      </c>
      <c r="AF196">
        <v>40</v>
      </c>
      <c r="AG196">
        <v>70</v>
      </c>
      <c r="AH196">
        <v>35</v>
      </c>
      <c r="AI196">
        <v>30</v>
      </c>
      <c r="AJ196">
        <v>45</v>
      </c>
      <c r="AK196">
        <v>45</v>
      </c>
      <c r="AL196">
        <v>40</v>
      </c>
      <c r="AM196">
        <v>45</v>
      </c>
      <c r="AN196">
        <v>20</v>
      </c>
      <c r="AO196">
        <v>20</v>
      </c>
      <c r="AP196">
        <v>5</v>
      </c>
      <c r="AQ196">
        <v>30</v>
      </c>
      <c r="AR196">
        <v>50</v>
      </c>
      <c r="AS196">
        <v>40</v>
      </c>
      <c r="AT196">
        <v>10</v>
      </c>
      <c r="AU196">
        <v>40</v>
      </c>
      <c r="AV196">
        <v>50</v>
      </c>
      <c r="AW196">
        <v>15</v>
      </c>
      <c r="AX196">
        <v>40</v>
      </c>
      <c r="AY196">
        <v>45</v>
      </c>
      <c r="AZ196">
        <v>65</v>
      </c>
      <c r="BA196">
        <v>70</v>
      </c>
      <c r="BB196">
        <v>30</v>
      </c>
      <c r="BC196">
        <v>10</v>
      </c>
      <c r="BD196">
        <v>5</v>
      </c>
      <c r="BE196">
        <v>45</v>
      </c>
      <c r="BF196">
        <v>10</v>
      </c>
      <c r="BG196">
        <v>55</v>
      </c>
      <c r="BH196">
        <v>50</v>
      </c>
      <c r="BI196">
        <v>80</v>
      </c>
      <c r="BJ196">
        <v>20</v>
      </c>
      <c r="BK196">
        <v>25</v>
      </c>
      <c r="BL196">
        <v>30</v>
      </c>
      <c r="BM196">
        <v>50</v>
      </c>
      <c r="BN196">
        <v>10</v>
      </c>
      <c r="BO196">
        <v>65</v>
      </c>
      <c r="BP196">
        <v>30</v>
      </c>
      <c r="BQ196">
        <v>50</v>
      </c>
      <c r="BR196">
        <v>65</v>
      </c>
      <c r="BS196">
        <v>40</v>
      </c>
      <c r="BT196">
        <v>30</v>
      </c>
      <c r="BU196">
        <v>40</v>
      </c>
      <c r="BV196">
        <v>60</v>
      </c>
      <c r="BW196">
        <v>5</v>
      </c>
      <c r="BX196">
        <v>30</v>
      </c>
      <c r="BY196">
        <v>10</v>
      </c>
      <c r="BZ196">
        <v>70</v>
      </c>
      <c r="CA196">
        <v>55</v>
      </c>
      <c r="CB196">
        <v>60</v>
      </c>
      <c r="CC196">
        <v>25</v>
      </c>
      <c r="CD196">
        <v>45</v>
      </c>
      <c r="CE196">
        <v>45</v>
      </c>
      <c r="CF196">
        <v>40</v>
      </c>
      <c r="CG196">
        <v>5</v>
      </c>
      <c r="CH196">
        <v>30</v>
      </c>
      <c r="CI196">
        <v>55</v>
      </c>
      <c r="CJ196">
        <v>60</v>
      </c>
      <c r="CK196">
        <v>10</v>
      </c>
    </row>
    <row r="197" spans="1:89" x14ac:dyDescent="0.25">
      <c r="A197" s="23" t="s">
        <v>427</v>
      </c>
      <c r="B197">
        <v>30</v>
      </c>
      <c r="C197">
        <v>20</v>
      </c>
      <c r="D197">
        <v>60</v>
      </c>
      <c r="E197">
        <v>15</v>
      </c>
      <c r="F197">
        <v>45</v>
      </c>
      <c r="G197">
        <v>40</v>
      </c>
      <c r="H197">
        <v>50</v>
      </c>
      <c r="I197">
        <v>80</v>
      </c>
      <c r="J197">
        <v>15</v>
      </c>
      <c r="K197">
        <v>40</v>
      </c>
      <c r="L197">
        <v>10</v>
      </c>
      <c r="M197">
        <v>45</v>
      </c>
      <c r="N197">
        <v>25</v>
      </c>
      <c r="O197">
        <v>55</v>
      </c>
      <c r="P197">
        <v>25</v>
      </c>
      <c r="Q197">
        <v>55</v>
      </c>
      <c r="R197">
        <v>50</v>
      </c>
      <c r="S197">
        <v>55</v>
      </c>
      <c r="T197">
        <v>25</v>
      </c>
      <c r="U197">
        <v>60</v>
      </c>
      <c r="V197">
        <v>60</v>
      </c>
      <c r="W197">
        <v>25</v>
      </c>
      <c r="X197">
        <v>50</v>
      </c>
      <c r="Y197">
        <v>60</v>
      </c>
      <c r="Z197">
        <v>10</v>
      </c>
      <c r="AA197">
        <v>20</v>
      </c>
      <c r="AB197">
        <v>20</v>
      </c>
      <c r="AC197">
        <v>50</v>
      </c>
      <c r="AD197">
        <v>45</v>
      </c>
      <c r="AE197">
        <v>5</v>
      </c>
      <c r="AF197">
        <v>5</v>
      </c>
      <c r="AG197">
        <v>30</v>
      </c>
      <c r="AH197">
        <v>40</v>
      </c>
      <c r="AI197">
        <v>40</v>
      </c>
      <c r="AJ197">
        <v>15</v>
      </c>
      <c r="AK197">
        <v>55</v>
      </c>
      <c r="AL197">
        <v>40</v>
      </c>
      <c r="AM197">
        <v>5</v>
      </c>
      <c r="AN197">
        <v>10</v>
      </c>
      <c r="AO197">
        <v>45</v>
      </c>
      <c r="AP197">
        <v>40</v>
      </c>
      <c r="AQ197">
        <v>10</v>
      </c>
      <c r="AR197">
        <v>30</v>
      </c>
      <c r="AS197">
        <v>45</v>
      </c>
      <c r="AT197">
        <v>40</v>
      </c>
      <c r="AU197">
        <v>15</v>
      </c>
      <c r="AV197">
        <v>65</v>
      </c>
      <c r="AW197">
        <v>25</v>
      </c>
      <c r="AX197">
        <v>30</v>
      </c>
      <c r="AY197">
        <v>50</v>
      </c>
      <c r="AZ197">
        <v>50</v>
      </c>
      <c r="BA197">
        <v>60</v>
      </c>
      <c r="BB197">
        <v>50</v>
      </c>
      <c r="BC197">
        <v>45</v>
      </c>
      <c r="BD197">
        <v>20</v>
      </c>
      <c r="BE197">
        <v>35</v>
      </c>
      <c r="BF197">
        <v>35</v>
      </c>
      <c r="BG197">
        <v>45</v>
      </c>
      <c r="BH197">
        <v>25</v>
      </c>
      <c r="BI197">
        <v>65</v>
      </c>
      <c r="BJ197">
        <v>20</v>
      </c>
      <c r="BK197">
        <v>40</v>
      </c>
      <c r="BL197">
        <v>35</v>
      </c>
      <c r="BM197">
        <v>65</v>
      </c>
      <c r="BN197">
        <v>10</v>
      </c>
      <c r="BO197">
        <v>15</v>
      </c>
      <c r="BP197">
        <v>35</v>
      </c>
      <c r="BQ197">
        <v>10</v>
      </c>
      <c r="BR197">
        <v>20</v>
      </c>
      <c r="BS197">
        <v>35</v>
      </c>
      <c r="BT197">
        <v>40</v>
      </c>
      <c r="BU197">
        <v>50</v>
      </c>
      <c r="BV197">
        <v>60</v>
      </c>
      <c r="BW197">
        <v>10</v>
      </c>
      <c r="BX197">
        <v>15</v>
      </c>
      <c r="BY197">
        <v>40</v>
      </c>
      <c r="BZ197">
        <v>70</v>
      </c>
      <c r="CA197">
        <v>40</v>
      </c>
      <c r="CB197">
        <v>55</v>
      </c>
      <c r="CC197">
        <v>30</v>
      </c>
      <c r="CD197">
        <v>35</v>
      </c>
      <c r="CE197">
        <v>25</v>
      </c>
      <c r="CF197">
        <v>60</v>
      </c>
      <c r="CG197">
        <v>15</v>
      </c>
      <c r="CH197">
        <v>10</v>
      </c>
      <c r="CI197">
        <v>70</v>
      </c>
      <c r="CJ197">
        <v>5</v>
      </c>
      <c r="CK197">
        <v>10</v>
      </c>
    </row>
    <row r="198" spans="1:89" x14ac:dyDescent="0.25">
      <c r="A198" s="23" t="s">
        <v>428</v>
      </c>
      <c r="B198">
        <v>30</v>
      </c>
      <c r="C198">
        <v>50</v>
      </c>
      <c r="D198">
        <v>55</v>
      </c>
      <c r="E198">
        <v>10</v>
      </c>
      <c r="F198">
        <v>40</v>
      </c>
      <c r="G198">
        <v>35</v>
      </c>
      <c r="H198">
        <v>45</v>
      </c>
      <c r="I198">
        <v>70</v>
      </c>
      <c r="J198">
        <v>50</v>
      </c>
      <c r="K198">
        <v>30</v>
      </c>
      <c r="L198">
        <v>20</v>
      </c>
      <c r="M198">
        <v>32</v>
      </c>
      <c r="N198">
        <v>20</v>
      </c>
      <c r="O198">
        <v>55</v>
      </c>
      <c r="P198">
        <v>55</v>
      </c>
      <c r="Q198">
        <v>20</v>
      </c>
      <c r="R198">
        <v>55</v>
      </c>
      <c r="S198">
        <v>35</v>
      </c>
      <c r="T198">
        <v>15</v>
      </c>
      <c r="U198">
        <v>65</v>
      </c>
      <c r="V198">
        <v>4</v>
      </c>
      <c r="W198">
        <v>5</v>
      </c>
      <c r="X198">
        <v>30</v>
      </c>
      <c r="Y198">
        <v>45</v>
      </c>
      <c r="Z198">
        <v>40</v>
      </c>
      <c r="AA198">
        <v>10</v>
      </c>
      <c r="AB198">
        <v>15</v>
      </c>
      <c r="AC198">
        <v>40</v>
      </c>
      <c r="AD198">
        <v>25</v>
      </c>
      <c r="AE198">
        <v>40</v>
      </c>
      <c r="AF198">
        <v>30</v>
      </c>
      <c r="AG198">
        <v>60</v>
      </c>
      <c r="AH198">
        <v>60</v>
      </c>
      <c r="AI198">
        <v>10</v>
      </c>
      <c r="AJ198">
        <v>40</v>
      </c>
      <c r="AK198">
        <v>60</v>
      </c>
      <c r="AL198">
        <v>40</v>
      </c>
      <c r="AM198">
        <v>60</v>
      </c>
      <c r="AN198">
        <v>65</v>
      </c>
      <c r="AO198">
        <v>30</v>
      </c>
      <c r="AP198">
        <v>10</v>
      </c>
      <c r="AQ198">
        <v>25</v>
      </c>
      <c r="AR198">
        <v>0</v>
      </c>
      <c r="AS198">
        <v>30</v>
      </c>
      <c r="AT198">
        <v>50</v>
      </c>
      <c r="AU198">
        <v>10</v>
      </c>
      <c r="AV198">
        <v>40</v>
      </c>
      <c r="AW198">
        <v>65</v>
      </c>
      <c r="AX198">
        <v>40</v>
      </c>
      <c r="AY198">
        <v>35</v>
      </c>
      <c r="AZ198">
        <v>45</v>
      </c>
      <c r="BA198">
        <v>40</v>
      </c>
      <c r="BB198">
        <v>60</v>
      </c>
      <c r="BC198">
        <v>20</v>
      </c>
      <c r="BD198">
        <v>5</v>
      </c>
      <c r="BE198">
        <v>30</v>
      </c>
      <c r="BF198">
        <v>35</v>
      </c>
      <c r="BG198">
        <v>20</v>
      </c>
      <c r="BH198">
        <v>50</v>
      </c>
      <c r="BI198">
        <v>35</v>
      </c>
      <c r="BJ198">
        <v>20</v>
      </c>
      <c r="BK198">
        <v>25</v>
      </c>
      <c r="BL198">
        <v>45</v>
      </c>
      <c r="BM198">
        <v>35</v>
      </c>
      <c r="BN198">
        <v>30</v>
      </c>
      <c r="BO198">
        <v>5</v>
      </c>
      <c r="BP198">
        <v>60</v>
      </c>
      <c r="BQ198">
        <v>40</v>
      </c>
      <c r="BR198">
        <v>15</v>
      </c>
      <c r="BS198">
        <v>50</v>
      </c>
      <c r="BT198">
        <v>30</v>
      </c>
      <c r="BU198">
        <v>20</v>
      </c>
      <c r="BV198">
        <v>50</v>
      </c>
      <c r="BW198">
        <v>5</v>
      </c>
      <c r="BX198">
        <v>20</v>
      </c>
      <c r="BY198">
        <v>10</v>
      </c>
      <c r="BZ198">
        <v>5</v>
      </c>
      <c r="CA198">
        <v>60</v>
      </c>
      <c r="CB198">
        <v>25</v>
      </c>
      <c r="CC198">
        <v>75</v>
      </c>
      <c r="CD198">
        <v>50</v>
      </c>
      <c r="CE198">
        <v>25</v>
      </c>
      <c r="CF198">
        <v>30</v>
      </c>
      <c r="CG198">
        <v>45</v>
      </c>
      <c r="CH198">
        <v>20</v>
      </c>
      <c r="CI198">
        <v>45</v>
      </c>
      <c r="CJ198">
        <v>55</v>
      </c>
      <c r="CK198">
        <v>10</v>
      </c>
    </row>
    <row r="199" spans="1:89" x14ac:dyDescent="0.25">
      <c r="A199" s="23" t="s">
        <v>429</v>
      </c>
      <c r="B199">
        <v>37</v>
      </c>
      <c r="C199">
        <v>70</v>
      </c>
      <c r="D199">
        <v>40</v>
      </c>
      <c r="E199">
        <v>5</v>
      </c>
      <c r="F199">
        <v>50</v>
      </c>
      <c r="G199">
        <v>65</v>
      </c>
      <c r="H199">
        <v>30</v>
      </c>
      <c r="I199">
        <v>65</v>
      </c>
      <c r="J199">
        <v>15</v>
      </c>
      <c r="K199">
        <v>55</v>
      </c>
      <c r="L199">
        <v>35</v>
      </c>
      <c r="M199">
        <v>35</v>
      </c>
      <c r="N199">
        <v>40</v>
      </c>
      <c r="O199">
        <v>50</v>
      </c>
      <c r="P199">
        <v>50</v>
      </c>
      <c r="Q199">
        <v>35</v>
      </c>
      <c r="R199">
        <v>60</v>
      </c>
      <c r="S199">
        <v>45</v>
      </c>
      <c r="T199">
        <v>40</v>
      </c>
      <c r="U199">
        <v>25</v>
      </c>
      <c r="V199">
        <v>25</v>
      </c>
      <c r="W199">
        <v>30</v>
      </c>
      <c r="X199">
        <v>35</v>
      </c>
      <c r="Y199">
        <v>15</v>
      </c>
      <c r="Z199">
        <v>55</v>
      </c>
      <c r="AA199">
        <v>15</v>
      </c>
      <c r="AB199">
        <v>15</v>
      </c>
      <c r="AC199">
        <v>60</v>
      </c>
      <c r="AD199">
        <v>25</v>
      </c>
      <c r="AE199">
        <v>35</v>
      </c>
      <c r="AF199">
        <v>15</v>
      </c>
      <c r="AG199">
        <v>50</v>
      </c>
      <c r="AH199">
        <v>50</v>
      </c>
      <c r="AI199">
        <v>10</v>
      </c>
      <c r="AJ199">
        <v>20</v>
      </c>
      <c r="AK199">
        <v>55</v>
      </c>
      <c r="AL199">
        <v>55</v>
      </c>
      <c r="AM199">
        <v>5</v>
      </c>
      <c r="AN199">
        <v>35</v>
      </c>
      <c r="AO199">
        <v>65</v>
      </c>
      <c r="AP199">
        <v>10</v>
      </c>
      <c r="AQ199">
        <v>20</v>
      </c>
      <c r="AR199">
        <v>75</v>
      </c>
      <c r="AS199">
        <v>40</v>
      </c>
      <c r="AT199">
        <v>40</v>
      </c>
      <c r="AU199">
        <v>10</v>
      </c>
      <c r="AV199">
        <v>25</v>
      </c>
      <c r="AW199">
        <v>70</v>
      </c>
      <c r="AX199">
        <v>40</v>
      </c>
      <c r="AY199">
        <v>50</v>
      </c>
      <c r="AZ199">
        <v>30</v>
      </c>
      <c r="BA199">
        <v>45</v>
      </c>
      <c r="BB199">
        <v>55</v>
      </c>
      <c r="BC199">
        <v>10</v>
      </c>
      <c r="BD199">
        <v>10</v>
      </c>
      <c r="BE199">
        <v>30</v>
      </c>
      <c r="BF199">
        <v>50</v>
      </c>
      <c r="BG199">
        <v>30</v>
      </c>
      <c r="BH199">
        <v>25</v>
      </c>
      <c r="BI199">
        <v>75</v>
      </c>
      <c r="BJ199">
        <v>30</v>
      </c>
      <c r="BK199">
        <v>40</v>
      </c>
      <c r="BL199">
        <v>45</v>
      </c>
      <c r="BM199">
        <v>85</v>
      </c>
      <c r="BN199">
        <v>40</v>
      </c>
      <c r="BO199">
        <v>10</v>
      </c>
      <c r="BP199">
        <v>30</v>
      </c>
      <c r="BQ199">
        <v>15</v>
      </c>
      <c r="BR199">
        <v>25</v>
      </c>
      <c r="BS199">
        <v>70</v>
      </c>
      <c r="BT199">
        <v>35</v>
      </c>
      <c r="BU199">
        <v>35</v>
      </c>
      <c r="BV199">
        <v>55</v>
      </c>
      <c r="BW199">
        <v>5</v>
      </c>
      <c r="BX199">
        <v>40</v>
      </c>
      <c r="BY199">
        <v>20</v>
      </c>
      <c r="BZ199">
        <v>5</v>
      </c>
      <c r="CA199">
        <v>35</v>
      </c>
      <c r="CB199">
        <v>55</v>
      </c>
      <c r="CC199">
        <v>10</v>
      </c>
      <c r="CD199">
        <v>40</v>
      </c>
      <c r="CE199">
        <v>30</v>
      </c>
      <c r="CF199">
        <v>40</v>
      </c>
      <c r="CG199">
        <v>40</v>
      </c>
      <c r="CH199">
        <v>30</v>
      </c>
      <c r="CI199">
        <v>50</v>
      </c>
      <c r="CJ199">
        <v>35</v>
      </c>
      <c r="CK199">
        <v>55</v>
      </c>
    </row>
    <row r="200" spans="1:89" x14ac:dyDescent="0.25">
      <c r="A200" s="23" t="s">
        <v>430</v>
      </c>
      <c r="B200">
        <v>40</v>
      </c>
      <c r="D200">
        <v>45</v>
      </c>
      <c r="E200">
        <v>7</v>
      </c>
      <c r="F200">
        <v>45</v>
      </c>
      <c r="G200">
        <v>50</v>
      </c>
      <c r="H200">
        <v>35</v>
      </c>
      <c r="I200">
        <v>80</v>
      </c>
      <c r="J200">
        <v>30</v>
      </c>
      <c r="K200">
        <v>25</v>
      </c>
      <c r="L200">
        <v>55</v>
      </c>
      <c r="M200">
        <v>55</v>
      </c>
      <c r="N200">
        <v>50</v>
      </c>
      <c r="O200">
        <v>50</v>
      </c>
      <c r="P200">
        <v>70</v>
      </c>
      <c r="Q200">
        <v>45</v>
      </c>
      <c r="R200">
        <v>35</v>
      </c>
      <c r="S200">
        <v>70</v>
      </c>
      <c r="T200">
        <v>50</v>
      </c>
      <c r="U200">
        <v>55</v>
      </c>
      <c r="V200">
        <v>65</v>
      </c>
      <c r="W200">
        <v>10</v>
      </c>
      <c r="X200">
        <v>50</v>
      </c>
      <c r="Y200">
        <v>10</v>
      </c>
      <c r="Z200">
        <v>15</v>
      </c>
      <c r="AA200">
        <v>60</v>
      </c>
      <c r="AB200">
        <v>10</v>
      </c>
      <c r="AC200">
        <v>40</v>
      </c>
      <c r="AD200">
        <v>45</v>
      </c>
      <c r="AE200">
        <v>90</v>
      </c>
      <c r="AF200">
        <v>10</v>
      </c>
      <c r="AG200">
        <v>35</v>
      </c>
      <c r="AH200">
        <v>25</v>
      </c>
      <c r="AI200">
        <v>15</v>
      </c>
      <c r="AJ200">
        <v>25</v>
      </c>
      <c r="AK200">
        <v>40</v>
      </c>
      <c r="AL200">
        <v>45</v>
      </c>
      <c r="AM200">
        <v>45</v>
      </c>
      <c r="AN200">
        <v>20</v>
      </c>
      <c r="AO200">
        <v>30</v>
      </c>
      <c r="AP200">
        <v>30</v>
      </c>
      <c r="AQ200">
        <v>30</v>
      </c>
      <c r="AR200">
        <v>40</v>
      </c>
      <c r="AS200">
        <v>45</v>
      </c>
      <c r="AT200">
        <v>50</v>
      </c>
      <c r="AU200">
        <v>40</v>
      </c>
      <c r="AV200">
        <v>20</v>
      </c>
      <c r="AW200">
        <v>30</v>
      </c>
      <c r="AX200">
        <v>40</v>
      </c>
      <c r="AY200">
        <v>55</v>
      </c>
      <c r="AZ200">
        <v>35</v>
      </c>
      <c r="BA200">
        <v>55</v>
      </c>
      <c r="BB200">
        <v>20</v>
      </c>
      <c r="BC200">
        <v>60</v>
      </c>
      <c r="BD200">
        <v>60</v>
      </c>
      <c r="BE200">
        <v>30</v>
      </c>
      <c r="BF200">
        <v>50</v>
      </c>
      <c r="BG200">
        <v>50</v>
      </c>
      <c r="BH200">
        <v>40</v>
      </c>
      <c r="BI200">
        <v>55</v>
      </c>
      <c r="BJ200">
        <v>30</v>
      </c>
      <c r="BK200">
        <v>50</v>
      </c>
      <c r="BL200">
        <v>40</v>
      </c>
      <c r="BM200">
        <v>35</v>
      </c>
      <c r="BN200">
        <v>10</v>
      </c>
      <c r="BO200">
        <v>5</v>
      </c>
      <c r="BP200">
        <v>55</v>
      </c>
      <c r="BQ200">
        <v>30</v>
      </c>
      <c r="BR200">
        <v>25</v>
      </c>
      <c r="BS200">
        <v>40</v>
      </c>
      <c r="BT200">
        <v>25</v>
      </c>
      <c r="BU200">
        <v>10</v>
      </c>
      <c r="BV200">
        <v>55</v>
      </c>
      <c r="BW200">
        <v>5</v>
      </c>
      <c r="BX200">
        <v>25</v>
      </c>
      <c r="BY200">
        <v>30</v>
      </c>
      <c r="BZ200">
        <v>80</v>
      </c>
      <c r="CA200">
        <v>70</v>
      </c>
      <c r="CB200">
        <v>45</v>
      </c>
      <c r="CC200">
        <v>60</v>
      </c>
      <c r="CD200">
        <v>60</v>
      </c>
      <c r="CE200">
        <v>5</v>
      </c>
      <c r="CF200">
        <v>30</v>
      </c>
      <c r="CG200">
        <v>35</v>
      </c>
      <c r="CH200">
        <v>65</v>
      </c>
      <c r="CI200">
        <v>60</v>
      </c>
      <c r="CJ200">
        <v>40</v>
      </c>
      <c r="CK200">
        <v>45</v>
      </c>
    </row>
    <row r="201" spans="1:89" x14ac:dyDescent="0.25">
      <c r="A201" s="23" t="s">
        <v>431</v>
      </c>
      <c r="B201">
        <v>25</v>
      </c>
      <c r="C201">
        <v>80</v>
      </c>
      <c r="D201">
        <v>65</v>
      </c>
      <c r="E201">
        <v>20</v>
      </c>
      <c r="F201">
        <v>50</v>
      </c>
      <c r="G201">
        <v>65</v>
      </c>
      <c r="H201">
        <v>20</v>
      </c>
      <c r="I201">
        <v>80</v>
      </c>
      <c r="J201">
        <v>30</v>
      </c>
      <c r="K201">
        <v>45</v>
      </c>
      <c r="L201">
        <v>30</v>
      </c>
      <c r="M201">
        <v>45</v>
      </c>
      <c r="N201">
        <v>30</v>
      </c>
      <c r="O201">
        <v>55</v>
      </c>
      <c r="P201">
        <v>40</v>
      </c>
      <c r="Q201">
        <v>40</v>
      </c>
      <c r="R201">
        <v>55</v>
      </c>
      <c r="S201">
        <v>35</v>
      </c>
      <c r="T201">
        <v>60</v>
      </c>
      <c r="U201">
        <v>15</v>
      </c>
      <c r="V201">
        <v>30</v>
      </c>
      <c r="W201">
        <v>10</v>
      </c>
      <c r="X201">
        <v>40</v>
      </c>
      <c r="Y201">
        <v>35</v>
      </c>
      <c r="Z201">
        <v>5</v>
      </c>
      <c r="AA201">
        <v>5</v>
      </c>
      <c r="AB201">
        <v>25</v>
      </c>
      <c r="AC201">
        <v>40</v>
      </c>
      <c r="AD201">
        <v>5</v>
      </c>
      <c r="AE201">
        <v>90</v>
      </c>
      <c r="AF201">
        <v>70</v>
      </c>
      <c r="AG201">
        <v>25</v>
      </c>
      <c r="AH201">
        <v>15</v>
      </c>
      <c r="AI201">
        <v>15</v>
      </c>
      <c r="AJ201">
        <v>25</v>
      </c>
      <c r="AK201">
        <v>30</v>
      </c>
      <c r="AL201">
        <v>45</v>
      </c>
      <c r="AM201">
        <v>70</v>
      </c>
      <c r="AN201">
        <v>0</v>
      </c>
      <c r="AO201">
        <v>35</v>
      </c>
      <c r="AP201">
        <v>20</v>
      </c>
      <c r="AQ201">
        <v>10</v>
      </c>
      <c r="AR201">
        <v>60</v>
      </c>
      <c r="AS201">
        <v>35</v>
      </c>
      <c r="AT201">
        <v>40</v>
      </c>
      <c r="AU201">
        <v>40</v>
      </c>
      <c r="AV201">
        <v>10</v>
      </c>
      <c r="AW201">
        <v>50</v>
      </c>
      <c r="AX201">
        <v>25</v>
      </c>
      <c r="AY201">
        <v>55</v>
      </c>
      <c r="AZ201">
        <v>25</v>
      </c>
      <c r="BA201">
        <v>65</v>
      </c>
      <c r="BB201">
        <v>10</v>
      </c>
      <c r="BC201">
        <v>20</v>
      </c>
      <c r="BD201">
        <v>25</v>
      </c>
      <c r="BE201">
        <v>15</v>
      </c>
      <c r="BF201">
        <v>10</v>
      </c>
      <c r="BG201">
        <v>10</v>
      </c>
      <c r="BH201">
        <v>40</v>
      </c>
      <c r="BI201">
        <v>10</v>
      </c>
      <c r="BJ201">
        <v>25</v>
      </c>
      <c r="BK201">
        <v>25</v>
      </c>
      <c r="BL201">
        <v>40</v>
      </c>
      <c r="BM201">
        <v>10</v>
      </c>
      <c r="BN201">
        <v>50</v>
      </c>
      <c r="BO201">
        <v>10</v>
      </c>
      <c r="BP201">
        <v>30</v>
      </c>
      <c r="BQ201">
        <v>35</v>
      </c>
      <c r="BR201">
        <v>35</v>
      </c>
      <c r="BS201">
        <v>55</v>
      </c>
      <c r="BT201">
        <v>30</v>
      </c>
      <c r="BU201">
        <v>20</v>
      </c>
      <c r="BV201">
        <v>50</v>
      </c>
      <c r="BW201">
        <v>40</v>
      </c>
      <c r="BX201">
        <v>25</v>
      </c>
      <c r="BY201">
        <v>45</v>
      </c>
      <c r="BZ201">
        <v>5</v>
      </c>
      <c r="CA201">
        <v>20</v>
      </c>
      <c r="CB201">
        <v>55</v>
      </c>
      <c r="CC201">
        <v>25</v>
      </c>
      <c r="CD201">
        <v>45</v>
      </c>
      <c r="CE201">
        <v>30</v>
      </c>
      <c r="CF201">
        <v>15</v>
      </c>
      <c r="CG201">
        <v>5</v>
      </c>
      <c r="CH201">
        <v>10</v>
      </c>
      <c r="CI201">
        <v>40</v>
      </c>
      <c r="CJ201">
        <v>25</v>
      </c>
      <c r="CK201">
        <v>35</v>
      </c>
    </row>
    <row r="202" spans="1:89" x14ac:dyDescent="0.25">
      <c r="A202" s="23"/>
    </row>
    <row r="203" spans="1:89" x14ac:dyDescent="0.25">
      <c r="A203" s="23" t="s">
        <v>432</v>
      </c>
      <c r="B203">
        <v>2</v>
      </c>
      <c r="C203">
        <v>1</v>
      </c>
      <c r="D203">
        <v>0</v>
      </c>
      <c r="E203">
        <v>1</v>
      </c>
      <c r="F203">
        <v>0</v>
      </c>
      <c r="G203">
        <v>1</v>
      </c>
      <c r="H203">
        <v>0</v>
      </c>
      <c r="I203">
        <v>4</v>
      </c>
      <c r="J203">
        <v>4</v>
      </c>
      <c r="K203">
        <v>1</v>
      </c>
      <c r="L203">
        <v>0</v>
      </c>
      <c r="M203">
        <v>2</v>
      </c>
      <c r="N203">
        <v>1</v>
      </c>
      <c r="O203">
        <v>1</v>
      </c>
      <c r="P203">
        <v>1</v>
      </c>
      <c r="Q203">
        <v>1</v>
      </c>
      <c r="R203">
        <v>0</v>
      </c>
      <c r="S203">
        <v>1</v>
      </c>
      <c r="T203">
        <v>1</v>
      </c>
      <c r="U203">
        <v>0</v>
      </c>
      <c r="V203">
        <v>0</v>
      </c>
      <c r="W203">
        <v>0</v>
      </c>
      <c r="X203">
        <v>0</v>
      </c>
      <c r="Y203">
        <v>0</v>
      </c>
      <c r="Z203">
        <v>1</v>
      </c>
      <c r="AA203">
        <v>1</v>
      </c>
      <c r="AB203">
        <v>0</v>
      </c>
      <c r="AC203">
        <v>2</v>
      </c>
      <c r="AD203">
        <v>0</v>
      </c>
      <c r="AE203">
        <v>1</v>
      </c>
      <c r="AF203">
        <v>0</v>
      </c>
      <c r="AG203">
        <v>0</v>
      </c>
      <c r="AH203">
        <v>0</v>
      </c>
      <c r="AI203">
        <v>0</v>
      </c>
      <c r="AJ203">
        <v>0</v>
      </c>
      <c r="AK203">
        <v>0</v>
      </c>
      <c r="AL203">
        <v>0</v>
      </c>
      <c r="AM203">
        <v>0</v>
      </c>
      <c r="AN203">
        <v>2</v>
      </c>
      <c r="AO203">
        <v>0</v>
      </c>
      <c r="AP203">
        <v>0</v>
      </c>
      <c r="AQ203">
        <v>1</v>
      </c>
      <c r="AR203">
        <v>0</v>
      </c>
      <c r="AS203">
        <v>0</v>
      </c>
      <c r="AT203">
        <v>4</v>
      </c>
      <c r="AU203">
        <v>0</v>
      </c>
      <c r="AV203">
        <v>0</v>
      </c>
      <c r="AW203">
        <v>0</v>
      </c>
      <c r="AX203">
        <v>0</v>
      </c>
      <c r="AY203">
        <v>0</v>
      </c>
      <c r="AZ203">
        <v>0</v>
      </c>
      <c r="BA203">
        <v>0</v>
      </c>
      <c r="BB203">
        <v>0</v>
      </c>
      <c r="BC203">
        <v>0</v>
      </c>
      <c r="BD203">
        <v>4</v>
      </c>
      <c r="BE203">
        <v>2</v>
      </c>
      <c r="BF203">
        <v>0</v>
      </c>
      <c r="BG203">
        <v>2</v>
      </c>
      <c r="BH203">
        <v>1</v>
      </c>
      <c r="BI203">
        <v>0</v>
      </c>
      <c r="BJ203">
        <v>0</v>
      </c>
      <c r="BK203">
        <v>2</v>
      </c>
      <c r="BL203">
        <v>0</v>
      </c>
      <c r="BM203">
        <v>0</v>
      </c>
      <c r="BN203">
        <v>0</v>
      </c>
      <c r="BO203">
        <v>1</v>
      </c>
      <c r="BP203">
        <v>0</v>
      </c>
      <c r="BQ203">
        <v>0</v>
      </c>
      <c r="BR203">
        <v>0</v>
      </c>
      <c r="BS203">
        <v>1</v>
      </c>
      <c r="BT203">
        <v>2</v>
      </c>
      <c r="BU203">
        <v>2</v>
      </c>
      <c r="BV203">
        <v>0</v>
      </c>
      <c r="BW203">
        <v>1</v>
      </c>
      <c r="BX203">
        <v>1</v>
      </c>
      <c r="BY203">
        <v>1</v>
      </c>
      <c r="BZ203">
        <v>1</v>
      </c>
      <c r="CA203">
        <v>2</v>
      </c>
      <c r="CB203">
        <v>1</v>
      </c>
      <c r="CC203">
        <v>1</v>
      </c>
      <c r="CD203">
        <v>0</v>
      </c>
      <c r="CE203">
        <v>0</v>
      </c>
      <c r="CF203">
        <v>1</v>
      </c>
      <c r="CG203">
        <v>0</v>
      </c>
      <c r="CH203">
        <v>1</v>
      </c>
      <c r="CI203">
        <v>0</v>
      </c>
      <c r="CJ203">
        <v>3</v>
      </c>
      <c r="CK203">
        <v>1</v>
      </c>
    </row>
    <row r="204" spans="1:89" x14ac:dyDescent="0.25">
      <c r="A204" s="23" t="s">
        <v>433</v>
      </c>
      <c r="B204">
        <v>0</v>
      </c>
      <c r="C204">
        <v>0</v>
      </c>
      <c r="D204">
        <v>1</v>
      </c>
      <c r="E204">
        <v>0</v>
      </c>
      <c r="F204">
        <v>0</v>
      </c>
      <c r="G204">
        <v>4</v>
      </c>
      <c r="H204">
        <v>1</v>
      </c>
      <c r="I204">
        <v>0</v>
      </c>
      <c r="J204">
        <v>2</v>
      </c>
      <c r="K204">
        <v>1</v>
      </c>
      <c r="L204">
        <v>1</v>
      </c>
      <c r="M204">
        <v>2</v>
      </c>
      <c r="N204">
        <v>2</v>
      </c>
      <c r="O204">
        <v>0</v>
      </c>
      <c r="P204">
        <v>0</v>
      </c>
      <c r="Q204">
        <v>2</v>
      </c>
      <c r="R204">
        <v>3</v>
      </c>
      <c r="S204">
        <v>1</v>
      </c>
      <c r="T204">
        <v>0</v>
      </c>
      <c r="U204">
        <v>4</v>
      </c>
      <c r="V204">
        <v>0</v>
      </c>
      <c r="W204">
        <v>0</v>
      </c>
      <c r="X204">
        <v>0</v>
      </c>
      <c r="Y204">
        <v>0</v>
      </c>
      <c r="Z204">
        <v>0</v>
      </c>
      <c r="AA204">
        <v>4</v>
      </c>
      <c r="AB204">
        <v>0</v>
      </c>
      <c r="AC204">
        <v>2</v>
      </c>
      <c r="AD204">
        <v>1</v>
      </c>
      <c r="AE204">
        <v>0</v>
      </c>
      <c r="AF204">
        <v>0</v>
      </c>
      <c r="AG204">
        <v>1</v>
      </c>
      <c r="AH204">
        <v>1</v>
      </c>
      <c r="AI204">
        <v>0</v>
      </c>
      <c r="AJ204">
        <v>2</v>
      </c>
      <c r="AK204">
        <v>1</v>
      </c>
      <c r="AL204">
        <v>1</v>
      </c>
      <c r="AM204">
        <v>0</v>
      </c>
      <c r="AN204">
        <v>1</v>
      </c>
      <c r="AO204">
        <v>4</v>
      </c>
      <c r="AP204">
        <v>0</v>
      </c>
      <c r="AQ204">
        <v>0</v>
      </c>
      <c r="AR204">
        <v>0</v>
      </c>
      <c r="AS204">
        <v>0</v>
      </c>
      <c r="AT204">
        <v>4</v>
      </c>
      <c r="AU204">
        <v>0</v>
      </c>
      <c r="AW204">
        <v>0</v>
      </c>
      <c r="AX204">
        <v>0</v>
      </c>
      <c r="AY204">
        <v>0</v>
      </c>
      <c r="AZ204">
        <v>2</v>
      </c>
      <c r="BA204">
        <v>0</v>
      </c>
      <c r="BB204">
        <v>0</v>
      </c>
      <c r="BC204">
        <v>1</v>
      </c>
      <c r="BD204">
        <v>0</v>
      </c>
      <c r="BE204">
        <v>2</v>
      </c>
      <c r="BF204">
        <v>0</v>
      </c>
      <c r="BG204">
        <v>3</v>
      </c>
      <c r="BH204">
        <v>2</v>
      </c>
      <c r="BI204">
        <v>1</v>
      </c>
      <c r="BJ204">
        <v>0</v>
      </c>
      <c r="BK204">
        <v>4</v>
      </c>
      <c r="BL204">
        <v>0</v>
      </c>
      <c r="BM204">
        <v>1</v>
      </c>
      <c r="BN204">
        <v>0</v>
      </c>
      <c r="BO204">
        <v>1</v>
      </c>
      <c r="BP204">
        <v>0</v>
      </c>
      <c r="BQ204">
        <v>0</v>
      </c>
      <c r="BR204">
        <v>0</v>
      </c>
      <c r="BS204">
        <v>1</v>
      </c>
      <c r="BT204">
        <v>1</v>
      </c>
      <c r="BU204">
        <v>1</v>
      </c>
      <c r="BV204">
        <v>0</v>
      </c>
      <c r="BW204">
        <v>0</v>
      </c>
      <c r="BX204">
        <v>1</v>
      </c>
      <c r="BY204">
        <v>0</v>
      </c>
      <c r="BZ204">
        <v>0</v>
      </c>
      <c r="CA204">
        <v>0</v>
      </c>
      <c r="CB204">
        <v>0</v>
      </c>
      <c r="CC204">
        <v>1</v>
      </c>
      <c r="CD204">
        <v>1</v>
      </c>
      <c r="CE204">
        <v>4</v>
      </c>
      <c r="CF204">
        <v>1</v>
      </c>
      <c r="CG204">
        <v>0</v>
      </c>
      <c r="CH204">
        <v>3</v>
      </c>
      <c r="CI204">
        <v>0</v>
      </c>
      <c r="CJ204">
        <v>3</v>
      </c>
      <c r="CK204">
        <v>3</v>
      </c>
    </row>
    <row r="205" spans="1:89" x14ac:dyDescent="0.25">
      <c r="A205" s="23" t="s">
        <v>434</v>
      </c>
      <c r="B205">
        <v>1</v>
      </c>
      <c r="C205">
        <v>4</v>
      </c>
      <c r="D205">
        <v>2</v>
      </c>
      <c r="E205">
        <v>0</v>
      </c>
      <c r="F205">
        <v>1</v>
      </c>
      <c r="G205">
        <v>4</v>
      </c>
      <c r="H205">
        <v>0</v>
      </c>
      <c r="I205">
        <v>0</v>
      </c>
      <c r="J205">
        <v>2</v>
      </c>
      <c r="K205">
        <v>0</v>
      </c>
      <c r="L205">
        <v>1</v>
      </c>
      <c r="M205">
        <v>0</v>
      </c>
      <c r="N205">
        <v>0</v>
      </c>
      <c r="O205">
        <v>1</v>
      </c>
      <c r="P205">
        <v>1</v>
      </c>
      <c r="Q205">
        <v>1</v>
      </c>
      <c r="R205">
        <v>2</v>
      </c>
      <c r="S205">
        <v>0</v>
      </c>
      <c r="T205">
        <v>0</v>
      </c>
      <c r="U205">
        <v>0</v>
      </c>
      <c r="V205">
        <v>1</v>
      </c>
      <c r="W205">
        <v>0</v>
      </c>
      <c r="X205">
        <v>0</v>
      </c>
      <c r="Y205">
        <v>0</v>
      </c>
      <c r="Z205">
        <v>0</v>
      </c>
      <c r="AA205">
        <v>1</v>
      </c>
      <c r="AB205">
        <v>0</v>
      </c>
      <c r="AC205">
        <v>4</v>
      </c>
      <c r="AD205">
        <v>1</v>
      </c>
      <c r="AE205">
        <v>1</v>
      </c>
      <c r="AF205">
        <v>0</v>
      </c>
      <c r="AG205">
        <v>0</v>
      </c>
      <c r="AH205">
        <v>4</v>
      </c>
      <c r="AI205">
        <v>0</v>
      </c>
      <c r="AJ205">
        <v>1</v>
      </c>
      <c r="AK205">
        <v>1</v>
      </c>
      <c r="AL205">
        <v>0</v>
      </c>
      <c r="AM205">
        <v>0</v>
      </c>
      <c r="AN205">
        <v>1</v>
      </c>
      <c r="AO205">
        <v>1</v>
      </c>
      <c r="AP205">
        <v>0</v>
      </c>
      <c r="AQ205">
        <v>0</v>
      </c>
      <c r="AR205">
        <v>0</v>
      </c>
      <c r="AS205">
        <v>1</v>
      </c>
      <c r="AT205">
        <v>4</v>
      </c>
      <c r="AU205">
        <v>0</v>
      </c>
      <c r="AV205">
        <v>2</v>
      </c>
      <c r="AW205">
        <v>3</v>
      </c>
      <c r="AX205">
        <v>0</v>
      </c>
      <c r="AY205">
        <v>0</v>
      </c>
      <c r="AZ205">
        <v>0</v>
      </c>
      <c r="BA205">
        <v>0</v>
      </c>
      <c r="BB205">
        <v>0</v>
      </c>
      <c r="BC205">
        <v>0</v>
      </c>
      <c r="BD205">
        <v>0</v>
      </c>
      <c r="BE205">
        <v>1</v>
      </c>
      <c r="BF205">
        <v>0</v>
      </c>
      <c r="BG205">
        <v>1</v>
      </c>
      <c r="BH205">
        <v>2</v>
      </c>
      <c r="BI205">
        <v>2</v>
      </c>
      <c r="BJ205">
        <v>0</v>
      </c>
      <c r="BK205">
        <v>2</v>
      </c>
      <c r="BL205">
        <v>1</v>
      </c>
      <c r="BM205">
        <v>0</v>
      </c>
      <c r="BN205">
        <v>0</v>
      </c>
      <c r="BO205">
        <v>0</v>
      </c>
      <c r="BP205">
        <v>1</v>
      </c>
      <c r="BQ205">
        <v>0</v>
      </c>
      <c r="BR205">
        <v>0</v>
      </c>
      <c r="BS205">
        <v>2</v>
      </c>
      <c r="BT205">
        <v>0</v>
      </c>
      <c r="BU205">
        <v>1</v>
      </c>
      <c r="BV205">
        <v>0</v>
      </c>
      <c r="BW205">
        <v>0</v>
      </c>
      <c r="BX205">
        <v>1</v>
      </c>
      <c r="BY205">
        <v>0</v>
      </c>
      <c r="BZ205">
        <v>0</v>
      </c>
      <c r="CA205">
        <v>0</v>
      </c>
      <c r="CB205">
        <v>1</v>
      </c>
      <c r="CC205">
        <v>1</v>
      </c>
      <c r="CD205">
        <v>4</v>
      </c>
      <c r="CE205">
        <v>0</v>
      </c>
      <c r="CF205">
        <v>3</v>
      </c>
      <c r="CG205">
        <v>0</v>
      </c>
      <c r="CH205">
        <v>0</v>
      </c>
      <c r="CI205">
        <v>0</v>
      </c>
      <c r="CJ205">
        <v>3</v>
      </c>
      <c r="CK205">
        <v>0</v>
      </c>
    </row>
    <row r="206" spans="1:89" x14ac:dyDescent="0.25">
      <c r="A206" s="23" t="s">
        <v>435</v>
      </c>
      <c r="B206">
        <v>1</v>
      </c>
      <c r="C206">
        <v>1</v>
      </c>
      <c r="D206">
        <v>1</v>
      </c>
      <c r="E206">
        <v>0</v>
      </c>
      <c r="F206">
        <v>2</v>
      </c>
      <c r="G206">
        <v>2</v>
      </c>
      <c r="H206">
        <v>0</v>
      </c>
      <c r="I206">
        <v>4</v>
      </c>
      <c r="J206">
        <v>2</v>
      </c>
      <c r="K206">
        <v>1</v>
      </c>
      <c r="L206">
        <v>1</v>
      </c>
      <c r="M206">
        <v>1</v>
      </c>
      <c r="N206">
        <v>0</v>
      </c>
      <c r="O206">
        <v>1</v>
      </c>
      <c r="P206">
        <v>1</v>
      </c>
      <c r="Q206">
        <v>2</v>
      </c>
      <c r="R206">
        <v>0</v>
      </c>
      <c r="S206">
        <v>1</v>
      </c>
      <c r="T206">
        <v>2</v>
      </c>
      <c r="U206">
        <v>2</v>
      </c>
      <c r="V206">
        <v>0</v>
      </c>
      <c r="W206">
        <v>3</v>
      </c>
      <c r="X206">
        <v>0</v>
      </c>
      <c r="Y206">
        <v>0</v>
      </c>
      <c r="Z206">
        <v>1</v>
      </c>
      <c r="AA206">
        <v>3</v>
      </c>
      <c r="AB206">
        <v>0</v>
      </c>
      <c r="AC206">
        <v>1</v>
      </c>
      <c r="AD206">
        <v>4</v>
      </c>
      <c r="AE206">
        <v>1</v>
      </c>
      <c r="AF206">
        <v>0</v>
      </c>
      <c r="AG206">
        <v>3</v>
      </c>
      <c r="AH206">
        <v>3</v>
      </c>
      <c r="AI206">
        <v>1</v>
      </c>
      <c r="AJ206">
        <v>0</v>
      </c>
      <c r="AK206">
        <v>0</v>
      </c>
      <c r="AL206">
        <v>1</v>
      </c>
      <c r="AM206">
        <v>0</v>
      </c>
      <c r="AN206">
        <v>2</v>
      </c>
      <c r="AO206">
        <v>0</v>
      </c>
      <c r="AP206">
        <v>0</v>
      </c>
      <c r="AQ206">
        <v>0</v>
      </c>
      <c r="AR206">
        <v>0</v>
      </c>
      <c r="AS206">
        <v>0</v>
      </c>
      <c r="AT206">
        <v>4</v>
      </c>
      <c r="AU206">
        <v>0</v>
      </c>
      <c r="AV206">
        <v>0</v>
      </c>
      <c r="AW206">
        <v>1</v>
      </c>
      <c r="AX206">
        <v>0</v>
      </c>
      <c r="AY206">
        <v>0</v>
      </c>
      <c r="AZ206">
        <v>1</v>
      </c>
      <c r="BA206">
        <v>0</v>
      </c>
      <c r="BB206">
        <v>0</v>
      </c>
      <c r="BC206">
        <v>1</v>
      </c>
      <c r="BD206">
        <v>2</v>
      </c>
      <c r="BE206">
        <v>0</v>
      </c>
      <c r="BF206">
        <v>0</v>
      </c>
      <c r="BG206">
        <v>0</v>
      </c>
      <c r="BH206">
        <v>0</v>
      </c>
      <c r="BI206">
        <v>1</v>
      </c>
      <c r="BJ206">
        <v>1</v>
      </c>
      <c r="BK206">
        <v>1</v>
      </c>
      <c r="BL206">
        <v>0</v>
      </c>
      <c r="BM206">
        <v>0</v>
      </c>
      <c r="BN206">
        <v>3</v>
      </c>
      <c r="BO206">
        <v>0</v>
      </c>
      <c r="BP206">
        <v>0</v>
      </c>
      <c r="BQ206">
        <v>0</v>
      </c>
      <c r="BR206">
        <v>0</v>
      </c>
      <c r="BS206">
        <v>4</v>
      </c>
      <c r="BT206">
        <v>1</v>
      </c>
      <c r="BU206">
        <v>1</v>
      </c>
      <c r="BV206">
        <v>0</v>
      </c>
      <c r="BW206">
        <v>0</v>
      </c>
      <c r="BX206">
        <v>1</v>
      </c>
      <c r="BY206">
        <v>0</v>
      </c>
      <c r="BZ206">
        <v>0</v>
      </c>
      <c r="CA206">
        <v>0</v>
      </c>
      <c r="CB206">
        <v>0</v>
      </c>
      <c r="CC206">
        <v>3</v>
      </c>
      <c r="CD206">
        <v>1</v>
      </c>
      <c r="CE206">
        <v>0</v>
      </c>
      <c r="CF206">
        <v>1</v>
      </c>
      <c r="CG206">
        <v>0</v>
      </c>
      <c r="CH206">
        <v>0</v>
      </c>
      <c r="CI206">
        <v>0</v>
      </c>
      <c r="CJ206">
        <v>0</v>
      </c>
      <c r="CK206">
        <v>1</v>
      </c>
    </row>
    <row r="207" spans="1:89" x14ac:dyDescent="0.25">
      <c r="A207" s="23" t="s">
        <v>436</v>
      </c>
      <c r="B207">
        <v>0</v>
      </c>
      <c r="C207">
        <v>4</v>
      </c>
      <c r="D207">
        <v>4</v>
      </c>
      <c r="E207">
        <v>1</v>
      </c>
      <c r="F207">
        <v>1</v>
      </c>
      <c r="G207">
        <v>4</v>
      </c>
      <c r="H207">
        <v>1</v>
      </c>
      <c r="I207">
        <v>1</v>
      </c>
      <c r="J207">
        <v>2</v>
      </c>
      <c r="K207">
        <v>0</v>
      </c>
      <c r="L207">
        <v>0</v>
      </c>
      <c r="M207">
        <v>1</v>
      </c>
      <c r="N207">
        <v>0</v>
      </c>
      <c r="O207">
        <v>0</v>
      </c>
      <c r="P207">
        <v>2</v>
      </c>
      <c r="Q207">
        <v>2</v>
      </c>
      <c r="R207">
        <v>0</v>
      </c>
      <c r="S207">
        <v>1</v>
      </c>
      <c r="T207">
        <v>3</v>
      </c>
      <c r="U207">
        <v>0</v>
      </c>
      <c r="V207">
        <v>0</v>
      </c>
      <c r="W207">
        <v>1</v>
      </c>
      <c r="X207">
        <v>0</v>
      </c>
      <c r="Y207">
        <v>0</v>
      </c>
      <c r="Z207">
        <v>0</v>
      </c>
      <c r="AA207">
        <v>1</v>
      </c>
      <c r="AB207">
        <v>0</v>
      </c>
      <c r="AC207">
        <v>2</v>
      </c>
      <c r="AD207">
        <v>1</v>
      </c>
      <c r="AE207">
        <v>0</v>
      </c>
      <c r="AF207">
        <v>0</v>
      </c>
      <c r="AG207">
        <v>1</v>
      </c>
      <c r="AH207">
        <v>0</v>
      </c>
      <c r="AI207">
        <v>1</v>
      </c>
      <c r="AJ207">
        <v>0</v>
      </c>
      <c r="AK207">
        <v>0</v>
      </c>
      <c r="AL207">
        <v>1</v>
      </c>
      <c r="AM207">
        <v>0</v>
      </c>
      <c r="AN207">
        <v>0</v>
      </c>
      <c r="AO207">
        <v>1</v>
      </c>
      <c r="AP207">
        <v>0</v>
      </c>
      <c r="AQ207">
        <v>1</v>
      </c>
      <c r="AR207">
        <v>0</v>
      </c>
      <c r="AS207">
        <v>2</v>
      </c>
      <c r="AT207">
        <v>3</v>
      </c>
      <c r="AU207">
        <v>0</v>
      </c>
      <c r="AW207">
        <v>0</v>
      </c>
      <c r="AX207">
        <v>1</v>
      </c>
      <c r="AY207">
        <v>0</v>
      </c>
      <c r="AZ207">
        <v>1</v>
      </c>
      <c r="BA207">
        <v>0</v>
      </c>
      <c r="BB207">
        <v>0</v>
      </c>
      <c r="BC207">
        <v>1</v>
      </c>
      <c r="BD207">
        <v>0</v>
      </c>
      <c r="BE207">
        <v>1</v>
      </c>
      <c r="BF207">
        <v>0</v>
      </c>
      <c r="BG207">
        <v>3</v>
      </c>
      <c r="BH207">
        <v>1</v>
      </c>
      <c r="BI207">
        <v>1</v>
      </c>
      <c r="BJ207">
        <v>0</v>
      </c>
      <c r="BK207">
        <v>2</v>
      </c>
      <c r="BL207">
        <v>1</v>
      </c>
      <c r="BM207">
        <v>0</v>
      </c>
      <c r="BN207">
        <v>0</v>
      </c>
      <c r="BO207">
        <v>0</v>
      </c>
      <c r="BP207">
        <v>2</v>
      </c>
      <c r="BQ207">
        <v>0</v>
      </c>
      <c r="BR207">
        <v>0</v>
      </c>
      <c r="BS207">
        <v>1</v>
      </c>
      <c r="BT207">
        <v>1</v>
      </c>
      <c r="BU207">
        <v>0</v>
      </c>
      <c r="BV207">
        <v>0</v>
      </c>
      <c r="BW207">
        <v>0</v>
      </c>
      <c r="BX207">
        <v>1</v>
      </c>
      <c r="BY207">
        <v>0</v>
      </c>
      <c r="BZ207">
        <v>0</v>
      </c>
      <c r="CA207">
        <v>3</v>
      </c>
      <c r="CB207">
        <v>0</v>
      </c>
      <c r="CC207">
        <v>1</v>
      </c>
      <c r="CD207">
        <v>0</v>
      </c>
      <c r="CE207">
        <v>1</v>
      </c>
      <c r="CF207">
        <v>0</v>
      </c>
      <c r="CG207">
        <v>2</v>
      </c>
      <c r="CH207">
        <v>0</v>
      </c>
      <c r="CI207">
        <v>0</v>
      </c>
      <c r="CJ207">
        <v>2</v>
      </c>
      <c r="CK207">
        <v>0</v>
      </c>
    </row>
    <row r="208" spans="1:89" x14ac:dyDescent="0.25">
      <c r="A208" s="23" t="s">
        <v>437</v>
      </c>
      <c r="B208">
        <v>3</v>
      </c>
      <c r="C208">
        <v>2</v>
      </c>
      <c r="D208">
        <v>4</v>
      </c>
      <c r="E208">
        <v>1</v>
      </c>
      <c r="F208">
        <v>1</v>
      </c>
      <c r="G208">
        <v>1</v>
      </c>
      <c r="H208">
        <v>0</v>
      </c>
      <c r="I208">
        <v>1</v>
      </c>
      <c r="J208">
        <v>1</v>
      </c>
      <c r="K208">
        <v>1</v>
      </c>
      <c r="L208">
        <v>4</v>
      </c>
      <c r="M208">
        <v>4</v>
      </c>
      <c r="N208">
        <v>0</v>
      </c>
      <c r="O208">
        <v>0</v>
      </c>
      <c r="P208">
        <v>4</v>
      </c>
      <c r="Q208">
        <v>1</v>
      </c>
      <c r="R208">
        <v>0</v>
      </c>
      <c r="S208">
        <v>0</v>
      </c>
      <c r="T208">
        <v>1</v>
      </c>
      <c r="U208">
        <v>4</v>
      </c>
      <c r="V208">
        <v>1</v>
      </c>
      <c r="W208">
        <v>1</v>
      </c>
      <c r="X208">
        <v>0</v>
      </c>
      <c r="Y208">
        <v>0</v>
      </c>
      <c r="Z208">
        <v>0</v>
      </c>
      <c r="AA208">
        <v>1</v>
      </c>
      <c r="AB208">
        <v>0</v>
      </c>
      <c r="AC208">
        <v>3</v>
      </c>
      <c r="AD208">
        <v>0</v>
      </c>
      <c r="AE208">
        <v>0</v>
      </c>
      <c r="AF208">
        <v>0</v>
      </c>
      <c r="AG208">
        <v>1</v>
      </c>
      <c r="AH208">
        <v>3</v>
      </c>
      <c r="AI208">
        <v>3</v>
      </c>
      <c r="AJ208">
        <v>0</v>
      </c>
      <c r="AK208">
        <v>1</v>
      </c>
      <c r="AL208">
        <v>0</v>
      </c>
      <c r="AM208">
        <v>0</v>
      </c>
      <c r="AN208">
        <v>0</v>
      </c>
      <c r="AO208">
        <v>0</v>
      </c>
      <c r="AP208">
        <v>0</v>
      </c>
      <c r="AQ208">
        <v>1</v>
      </c>
      <c r="AR208">
        <v>0</v>
      </c>
      <c r="AS208">
        <v>0</v>
      </c>
      <c r="AT208">
        <v>4</v>
      </c>
      <c r="AU208">
        <v>0</v>
      </c>
      <c r="AV208">
        <v>0</v>
      </c>
      <c r="AW208">
        <v>1</v>
      </c>
      <c r="AX208">
        <v>0</v>
      </c>
      <c r="AY208">
        <v>0</v>
      </c>
      <c r="AZ208">
        <v>1</v>
      </c>
      <c r="BA208">
        <v>0</v>
      </c>
      <c r="BB208">
        <v>0</v>
      </c>
      <c r="BC208">
        <v>1</v>
      </c>
      <c r="BD208">
        <v>0</v>
      </c>
      <c r="BE208">
        <v>0</v>
      </c>
      <c r="BF208">
        <v>0</v>
      </c>
      <c r="BG208">
        <v>0</v>
      </c>
      <c r="BH208">
        <v>0</v>
      </c>
      <c r="BI208">
        <v>0</v>
      </c>
      <c r="BJ208">
        <v>0</v>
      </c>
      <c r="BK208">
        <v>1</v>
      </c>
      <c r="BL208">
        <v>1</v>
      </c>
      <c r="BM208">
        <v>0</v>
      </c>
      <c r="BN208">
        <v>0</v>
      </c>
      <c r="BO208">
        <v>0</v>
      </c>
      <c r="BP208">
        <v>2</v>
      </c>
      <c r="BQ208">
        <v>1</v>
      </c>
      <c r="BR208">
        <v>0</v>
      </c>
      <c r="BS208">
        <v>0</v>
      </c>
      <c r="BT208">
        <v>2</v>
      </c>
      <c r="BU208">
        <v>0</v>
      </c>
      <c r="BV208">
        <v>0</v>
      </c>
      <c r="BW208">
        <v>2</v>
      </c>
      <c r="BX208">
        <v>0</v>
      </c>
      <c r="BY208">
        <v>0</v>
      </c>
      <c r="BZ208">
        <v>2</v>
      </c>
      <c r="CA208">
        <v>4</v>
      </c>
      <c r="CB208">
        <v>0</v>
      </c>
      <c r="CC208">
        <v>2</v>
      </c>
      <c r="CD208">
        <v>2</v>
      </c>
      <c r="CE208">
        <v>0</v>
      </c>
      <c r="CF208">
        <v>1</v>
      </c>
      <c r="CG208">
        <v>4</v>
      </c>
      <c r="CH208">
        <v>3</v>
      </c>
      <c r="CI208">
        <v>2</v>
      </c>
      <c r="CJ208">
        <v>0</v>
      </c>
      <c r="CK208">
        <v>0</v>
      </c>
    </row>
    <row r="209" spans="1:89" x14ac:dyDescent="0.25">
      <c r="A209" s="23" t="s">
        <v>438</v>
      </c>
      <c r="B209">
        <v>0</v>
      </c>
      <c r="C209">
        <v>2</v>
      </c>
      <c r="D209">
        <v>1</v>
      </c>
      <c r="E209">
        <v>1</v>
      </c>
      <c r="F209">
        <v>2</v>
      </c>
      <c r="G209">
        <v>3</v>
      </c>
      <c r="H209">
        <v>0</v>
      </c>
      <c r="I209">
        <v>0</v>
      </c>
      <c r="J209">
        <v>1</v>
      </c>
      <c r="K209">
        <v>1</v>
      </c>
      <c r="L209">
        <v>0</v>
      </c>
      <c r="M209">
        <v>0</v>
      </c>
      <c r="N209">
        <v>0</v>
      </c>
      <c r="O209">
        <v>0</v>
      </c>
      <c r="P209">
        <v>1</v>
      </c>
      <c r="Q209">
        <v>0</v>
      </c>
      <c r="R209">
        <v>1</v>
      </c>
      <c r="S209">
        <v>0</v>
      </c>
      <c r="T209">
        <v>0</v>
      </c>
      <c r="U209">
        <v>0</v>
      </c>
      <c r="V209">
        <v>0</v>
      </c>
      <c r="W209">
        <v>0</v>
      </c>
      <c r="X209">
        <v>0</v>
      </c>
      <c r="Y209">
        <v>0</v>
      </c>
      <c r="Z209">
        <v>0</v>
      </c>
      <c r="AA209">
        <v>3</v>
      </c>
      <c r="AB209">
        <v>0</v>
      </c>
      <c r="AC209">
        <v>4</v>
      </c>
      <c r="AD209">
        <v>0</v>
      </c>
      <c r="AE209">
        <v>0</v>
      </c>
      <c r="AF209">
        <v>1</v>
      </c>
      <c r="AG209">
        <v>4</v>
      </c>
      <c r="AH209">
        <v>1</v>
      </c>
      <c r="AI209">
        <v>3</v>
      </c>
      <c r="AJ209">
        <v>1</v>
      </c>
      <c r="AK209">
        <v>0</v>
      </c>
      <c r="AL209">
        <v>0</v>
      </c>
      <c r="AM209">
        <v>0</v>
      </c>
      <c r="AN209">
        <v>2</v>
      </c>
      <c r="AO209">
        <v>0</v>
      </c>
      <c r="AP209">
        <v>0</v>
      </c>
      <c r="AQ209">
        <v>0</v>
      </c>
      <c r="AR209">
        <v>0</v>
      </c>
      <c r="AS209">
        <v>1</v>
      </c>
      <c r="AT209">
        <v>4</v>
      </c>
      <c r="AU209">
        <v>0</v>
      </c>
      <c r="AV209">
        <v>0</v>
      </c>
      <c r="AW209">
        <v>2</v>
      </c>
      <c r="AX209">
        <v>0</v>
      </c>
      <c r="AY209">
        <v>1</v>
      </c>
      <c r="AZ209">
        <v>1</v>
      </c>
      <c r="BA209">
        <v>0</v>
      </c>
      <c r="BB209">
        <v>0</v>
      </c>
      <c r="BC209">
        <v>2</v>
      </c>
      <c r="BD209">
        <v>0</v>
      </c>
      <c r="BE209">
        <v>0</v>
      </c>
      <c r="BF209">
        <v>1</v>
      </c>
      <c r="BG209">
        <v>1</v>
      </c>
      <c r="BH209">
        <v>0</v>
      </c>
      <c r="BI209">
        <v>0</v>
      </c>
      <c r="BJ209">
        <v>0</v>
      </c>
      <c r="BK209">
        <v>1</v>
      </c>
      <c r="BL209">
        <v>0</v>
      </c>
      <c r="BM209">
        <v>0</v>
      </c>
      <c r="BN209">
        <v>4</v>
      </c>
      <c r="BO209">
        <v>1</v>
      </c>
      <c r="BP209">
        <v>2</v>
      </c>
      <c r="BQ209">
        <v>0</v>
      </c>
      <c r="BR209">
        <v>0</v>
      </c>
      <c r="BS209">
        <v>2</v>
      </c>
      <c r="BT209">
        <v>1</v>
      </c>
      <c r="BU209">
        <v>1</v>
      </c>
      <c r="BV209">
        <v>0</v>
      </c>
      <c r="BW209">
        <v>2</v>
      </c>
      <c r="BX209">
        <v>2</v>
      </c>
      <c r="BY209">
        <v>4</v>
      </c>
      <c r="BZ209">
        <v>0</v>
      </c>
      <c r="CA209">
        <v>0</v>
      </c>
      <c r="CB209">
        <v>0</v>
      </c>
      <c r="CC209">
        <v>4</v>
      </c>
      <c r="CD209">
        <v>0</v>
      </c>
      <c r="CE209">
        <v>1</v>
      </c>
      <c r="CF209">
        <v>0</v>
      </c>
      <c r="CG209">
        <v>4</v>
      </c>
      <c r="CH209">
        <v>0</v>
      </c>
      <c r="CI209">
        <v>1</v>
      </c>
      <c r="CJ209">
        <v>0</v>
      </c>
      <c r="CK209">
        <v>0</v>
      </c>
    </row>
    <row r="210" spans="1:89" x14ac:dyDescent="0.25">
      <c r="A210" s="23" t="s">
        <v>439</v>
      </c>
      <c r="B210">
        <v>1</v>
      </c>
      <c r="C210">
        <v>1</v>
      </c>
      <c r="D210">
        <v>0</v>
      </c>
      <c r="E210">
        <v>1</v>
      </c>
      <c r="F210">
        <v>1</v>
      </c>
      <c r="G210">
        <v>1</v>
      </c>
      <c r="H210">
        <v>0</v>
      </c>
      <c r="I210">
        <v>1</v>
      </c>
      <c r="J210">
        <v>1</v>
      </c>
      <c r="K210">
        <v>1</v>
      </c>
      <c r="L210">
        <v>0</v>
      </c>
      <c r="M210">
        <v>1</v>
      </c>
      <c r="N210">
        <v>2</v>
      </c>
      <c r="O210">
        <v>1</v>
      </c>
      <c r="P210">
        <v>1</v>
      </c>
      <c r="Q210">
        <v>1</v>
      </c>
      <c r="R210">
        <v>2</v>
      </c>
      <c r="S210">
        <v>0</v>
      </c>
      <c r="T210">
        <v>0</v>
      </c>
      <c r="U210">
        <v>0</v>
      </c>
      <c r="V210">
        <v>1</v>
      </c>
      <c r="W210">
        <v>0</v>
      </c>
      <c r="X210">
        <v>0</v>
      </c>
      <c r="Y210">
        <v>1</v>
      </c>
      <c r="Z210">
        <v>1</v>
      </c>
      <c r="AA210">
        <v>2</v>
      </c>
      <c r="AB210">
        <v>0</v>
      </c>
      <c r="AC210">
        <v>1</v>
      </c>
      <c r="AD210">
        <v>0</v>
      </c>
      <c r="AE210">
        <v>1</v>
      </c>
      <c r="AF210">
        <v>0</v>
      </c>
      <c r="AG210">
        <v>1</v>
      </c>
      <c r="AH210">
        <v>0</v>
      </c>
      <c r="AI210">
        <v>2</v>
      </c>
      <c r="AJ210">
        <v>0</v>
      </c>
      <c r="AK210">
        <v>1</v>
      </c>
      <c r="AL210">
        <v>0</v>
      </c>
      <c r="AM210">
        <v>0</v>
      </c>
      <c r="AN210">
        <v>0</v>
      </c>
      <c r="AO210">
        <v>0</v>
      </c>
      <c r="AP210">
        <v>2</v>
      </c>
      <c r="AQ210">
        <v>0</v>
      </c>
      <c r="AR210">
        <v>0</v>
      </c>
      <c r="AS210">
        <v>0</v>
      </c>
      <c r="AT210">
        <v>4</v>
      </c>
      <c r="AU210">
        <v>0</v>
      </c>
      <c r="AV210">
        <v>0</v>
      </c>
      <c r="AW210">
        <v>3</v>
      </c>
      <c r="AX210">
        <v>1</v>
      </c>
      <c r="AY210">
        <v>0</v>
      </c>
      <c r="AZ210">
        <v>0</v>
      </c>
      <c r="BA210">
        <v>0</v>
      </c>
      <c r="BB210">
        <v>0</v>
      </c>
      <c r="BC210">
        <v>0</v>
      </c>
      <c r="BD210">
        <v>0</v>
      </c>
      <c r="BE210">
        <v>0</v>
      </c>
      <c r="BF210">
        <v>0</v>
      </c>
      <c r="BG210">
        <v>0</v>
      </c>
      <c r="BH210">
        <v>1</v>
      </c>
      <c r="BI210">
        <v>0</v>
      </c>
      <c r="BJ210">
        <v>0</v>
      </c>
      <c r="BK210">
        <v>0</v>
      </c>
      <c r="BL210">
        <v>0</v>
      </c>
      <c r="BM210">
        <v>0</v>
      </c>
      <c r="BN210">
        <v>1</v>
      </c>
      <c r="BO210">
        <v>0</v>
      </c>
      <c r="BP210">
        <v>0</v>
      </c>
      <c r="BQ210">
        <v>0</v>
      </c>
      <c r="BR210">
        <v>0</v>
      </c>
      <c r="BS210">
        <v>0</v>
      </c>
      <c r="BT210">
        <v>1</v>
      </c>
      <c r="BU210">
        <v>0</v>
      </c>
      <c r="BV210">
        <v>0</v>
      </c>
      <c r="BW210">
        <v>0</v>
      </c>
      <c r="BX210">
        <v>2</v>
      </c>
      <c r="BY210">
        <v>1</v>
      </c>
      <c r="BZ210">
        <v>0</v>
      </c>
      <c r="CA210">
        <v>0</v>
      </c>
      <c r="CB210">
        <v>0</v>
      </c>
      <c r="CC210">
        <v>1</v>
      </c>
      <c r="CD210">
        <v>0</v>
      </c>
      <c r="CE210">
        <v>3</v>
      </c>
      <c r="CF210">
        <v>0</v>
      </c>
      <c r="CG210">
        <v>0</v>
      </c>
      <c r="CH210">
        <v>0</v>
      </c>
      <c r="CI210">
        <v>0</v>
      </c>
      <c r="CJ210">
        <v>2</v>
      </c>
      <c r="CK210">
        <v>0</v>
      </c>
    </row>
    <row r="211" spans="1:89" x14ac:dyDescent="0.25">
      <c r="A211" s="23" t="s">
        <v>440</v>
      </c>
      <c r="B211">
        <v>4</v>
      </c>
      <c r="C211">
        <v>2</v>
      </c>
      <c r="D211">
        <v>1</v>
      </c>
      <c r="E211">
        <v>1</v>
      </c>
      <c r="F211">
        <v>0</v>
      </c>
      <c r="G211">
        <v>4</v>
      </c>
      <c r="H211">
        <v>1</v>
      </c>
      <c r="I211">
        <v>1</v>
      </c>
      <c r="J211">
        <v>1</v>
      </c>
      <c r="K211">
        <v>1</v>
      </c>
      <c r="L211">
        <v>1</v>
      </c>
      <c r="M211">
        <v>1</v>
      </c>
      <c r="N211">
        <v>2</v>
      </c>
      <c r="O211">
        <v>0</v>
      </c>
      <c r="P211">
        <v>1</v>
      </c>
      <c r="Q211">
        <v>0</v>
      </c>
      <c r="R211">
        <v>0</v>
      </c>
      <c r="S211">
        <v>0</v>
      </c>
      <c r="T211">
        <v>1</v>
      </c>
      <c r="U211">
        <v>2</v>
      </c>
      <c r="V211">
        <v>1</v>
      </c>
      <c r="W211">
        <v>0</v>
      </c>
      <c r="X211">
        <v>0</v>
      </c>
      <c r="Y211">
        <v>1</v>
      </c>
      <c r="Z211">
        <v>0</v>
      </c>
      <c r="AA211">
        <v>3</v>
      </c>
      <c r="AB211">
        <v>0</v>
      </c>
      <c r="AC211">
        <v>1</v>
      </c>
      <c r="AD211">
        <v>1</v>
      </c>
      <c r="AE211">
        <v>0</v>
      </c>
      <c r="AF211">
        <v>1</v>
      </c>
      <c r="AG211">
        <v>0</v>
      </c>
      <c r="AH211">
        <v>0</v>
      </c>
      <c r="AI211">
        <v>3</v>
      </c>
      <c r="AJ211">
        <v>1</v>
      </c>
      <c r="AK211">
        <v>0</v>
      </c>
      <c r="AL211">
        <v>0</v>
      </c>
      <c r="AM211">
        <v>0</v>
      </c>
      <c r="AN211">
        <v>1</v>
      </c>
      <c r="AO211">
        <v>0</v>
      </c>
      <c r="AP211">
        <v>0</v>
      </c>
      <c r="AQ211">
        <v>0</v>
      </c>
      <c r="AR211">
        <v>0</v>
      </c>
      <c r="AS211">
        <v>0</v>
      </c>
      <c r="AT211">
        <v>1</v>
      </c>
      <c r="AU211">
        <v>0</v>
      </c>
      <c r="AV211">
        <v>0</v>
      </c>
      <c r="AW211">
        <v>0</v>
      </c>
      <c r="AX211">
        <v>0</v>
      </c>
      <c r="AY211">
        <v>0</v>
      </c>
      <c r="AZ211">
        <v>0</v>
      </c>
      <c r="BA211">
        <v>0</v>
      </c>
      <c r="BB211">
        <v>0</v>
      </c>
      <c r="BC211">
        <v>2</v>
      </c>
      <c r="BD211">
        <v>3</v>
      </c>
      <c r="BE211">
        <v>0</v>
      </c>
      <c r="BF211">
        <v>1</v>
      </c>
      <c r="BG211">
        <v>1</v>
      </c>
      <c r="BH211">
        <v>0</v>
      </c>
      <c r="BI211">
        <v>0</v>
      </c>
      <c r="BJ211">
        <v>0</v>
      </c>
      <c r="BK211">
        <v>3</v>
      </c>
      <c r="BL211">
        <v>0</v>
      </c>
      <c r="BM211">
        <v>0</v>
      </c>
      <c r="BN211">
        <v>0</v>
      </c>
      <c r="BO211">
        <v>0</v>
      </c>
      <c r="BP211">
        <v>0</v>
      </c>
      <c r="BQ211">
        <v>0</v>
      </c>
      <c r="BR211">
        <v>0</v>
      </c>
      <c r="BS211">
        <v>3</v>
      </c>
      <c r="BT211">
        <v>2</v>
      </c>
      <c r="BU211">
        <v>1</v>
      </c>
      <c r="BV211">
        <v>0</v>
      </c>
      <c r="BW211">
        <v>4</v>
      </c>
      <c r="BX211">
        <v>1</v>
      </c>
      <c r="BY211">
        <v>0</v>
      </c>
      <c r="BZ211">
        <v>3</v>
      </c>
      <c r="CA211">
        <v>0</v>
      </c>
      <c r="CB211">
        <v>0</v>
      </c>
      <c r="CC211">
        <v>1</v>
      </c>
      <c r="CD211">
        <v>0</v>
      </c>
      <c r="CE211">
        <v>1</v>
      </c>
      <c r="CF211">
        <v>2</v>
      </c>
      <c r="CG211">
        <v>0</v>
      </c>
      <c r="CH211">
        <v>0</v>
      </c>
      <c r="CI211">
        <v>0</v>
      </c>
      <c r="CJ211">
        <v>0</v>
      </c>
      <c r="CK211">
        <v>0</v>
      </c>
    </row>
    <row r="212" spans="1:89" x14ac:dyDescent="0.25">
      <c r="A212" s="23" t="s">
        <v>441</v>
      </c>
      <c r="B212">
        <v>2</v>
      </c>
      <c r="C212">
        <v>4</v>
      </c>
      <c r="D212">
        <v>2</v>
      </c>
      <c r="E212">
        <v>0</v>
      </c>
      <c r="F212">
        <v>0</v>
      </c>
      <c r="G212">
        <v>4</v>
      </c>
      <c r="H212">
        <v>0</v>
      </c>
      <c r="I212">
        <v>1</v>
      </c>
      <c r="J212">
        <v>1</v>
      </c>
      <c r="K212">
        <v>0</v>
      </c>
      <c r="L212">
        <v>1</v>
      </c>
      <c r="M212">
        <v>0</v>
      </c>
      <c r="N212">
        <v>1</v>
      </c>
      <c r="O212">
        <v>0</v>
      </c>
      <c r="P212">
        <v>2</v>
      </c>
      <c r="Q212">
        <v>0</v>
      </c>
      <c r="R212">
        <v>0</v>
      </c>
      <c r="S212">
        <v>0</v>
      </c>
      <c r="T212">
        <v>3</v>
      </c>
      <c r="U212">
        <v>0</v>
      </c>
      <c r="V212">
        <v>0</v>
      </c>
      <c r="W212">
        <v>0</v>
      </c>
      <c r="X212">
        <v>0</v>
      </c>
      <c r="Y212">
        <v>1</v>
      </c>
      <c r="Z212">
        <v>0</v>
      </c>
      <c r="AA212">
        <v>0</v>
      </c>
      <c r="AC212">
        <v>1</v>
      </c>
      <c r="AD212">
        <v>1</v>
      </c>
      <c r="AE212">
        <v>0</v>
      </c>
      <c r="AF212">
        <v>1</v>
      </c>
      <c r="AG212">
        <v>0</v>
      </c>
      <c r="AH212">
        <v>0</v>
      </c>
      <c r="AI212">
        <v>2</v>
      </c>
      <c r="AJ212">
        <v>0</v>
      </c>
      <c r="AK212">
        <v>1</v>
      </c>
      <c r="AL212">
        <v>0</v>
      </c>
      <c r="AM212">
        <v>0</v>
      </c>
      <c r="AN212">
        <v>1</v>
      </c>
      <c r="AO212">
        <v>0</v>
      </c>
      <c r="AP212">
        <v>0</v>
      </c>
      <c r="AQ212">
        <v>2</v>
      </c>
      <c r="AR212">
        <v>0</v>
      </c>
      <c r="AS212">
        <v>0</v>
      </c>
      <c r="AT212">
        <v>1</v>
      </c>
      <c r="AU212">
        <v>0</v>
      </c>
      <c r="AV212">
        <v>0</v>
      </c>
      <c r="AW212">
        <v>0</v>
      </c>
      <c r="AX212">
        <v>0</v>
      </c>
      <c r="AY212">
        <v>1</v>
      </c>
      <c r="AZ212">
        <v>0</v>
      </c>
      <c r="BA212">
        <v>0</v>
      </c>
      <c r="BB212">
        <v>1</v>
      </c>
      <c r="BC212">
        <v>1</v>
      </c>
      <c r="BD212">
        <v>1</v>
      </c>
      <c r="BE212">
        <v>0</v>
      </c>
      <c r="BF212">
        <v>0</v>
      </c>
      <c r="BG212">
        <v>1</v>
      </c>
      <c r="BH212">
        <v>0</v>
      </c>
      <c r="BI212">
        <v>0</v>
      </c>
      <c r="BJ212">
        <v>1</v>
      </c>
      <c r="BK212">
        <v>1</v>
      </c>
      <c r="BL212">
        <v>0</v>
      </c>
      <c r="BM212">
        <v>3</v>
      </c>
      <c r="BN212">
        <v>1</v>
      </c>
      <c r="BO212">
        <v>0</v>
      </c>
      <c r="BP212">
        <v>1</v>
      </c>
      <c r="BQ212">
        <v>2</v>
      </c>
      <c r="BR212">
        <v>0</v>
      </c>
      <c r="BS212">
        <v>0</v>
      </c>
      <c r="BT212">
        <v>2</v>
      </c>
      <c r="BU212">
        <v>3</v>
      </c>
      <c r="BV212">
        <v>0</v>
      </c>
      <c r="BW212">
        <v>0</v>
      </c>
      <c r="BX212">
        <v>1</v>
      </c>
      <c r="BY212">
        <v>0</v>
      </c>
      <c r="BZ212">
        <v>1</v>
      </c>
      <c r="CA212">
        <v>0</v>
      </c>
      <c r="CB212">
        <v>0</v>
      </c>
      <c r="CC212">
        <v>3</v>
      </c>
      <c r="CD212">
        <v>1</v>
      </c>
      <c r="CE212">
        <v>1</v>
      </c>
      <c r="CF212">
        <v>0</v>
      </c>
      <c r="CG212">
        <v>0</v>
      </c>
      <c r="CH212">
        <v>0</v>
      </c>
      <c r="CI212">
        <v>0</v>
      </c>
      <c r="CJ212">
        <v>0</v>
      </c>
      <c r="CK212">
        <v>0</v>
      </c>
    </row>
    <row r="213" spans="1:89" x14ac:dyDescent="0.25">
      <c r="A213" s="23" t="s">
        <v>442</v>
      </c>
      <c r="B213">
        <v>1</v>
      </c>
      <c r="C213">
        <v>2</v>
      </c>
      <c r="D213">
        <v>4</v>
      </c>
      <c r="E213">
        <v>0</v>
      </c>
      <c r="F213">
        <v>0</v>
      </c>
      <c r="G213">
        <v>1</v>
      </c>
      <c r="H213">
        <v>0</v>
      </c>
      <c r="I213">
        <v>2</v>
      </c>
      <c r="J213">
        <v>1</v>
      </c>
      <c r="K213">
        <v>0</v>
      </c>
      <c r="L213">
        <v>0</v>
      </c>
      <c r="M213">
        <v>0</v>
      </c>
      <c r="N213">
        <v>0</v>
      </c>
      <c r="O213">
        <v>1</v>
      </c>
      <c r="P213">
        <v>0</v>
      </c>
      <c r="Q213">
        <v>0</v>
      </c>
      <c r="R213">
        <v>0</v>
      </c>
      <c r="S213">
        <v>0</v>
      </c>
      <c r="T213">
        <v>0</v>
      </c>
      <c r="U213">
        <v>1</v>
      </c>
      <c r="V213">
        <v>0</v>
      </c>
      <c r="W213">
        <v>1</v>
      </c>
      <c r="X213">
        <v>0</v>
      </c>
      <c r="Y213">
        <v>0</v>
      </c>
      <c r="Z213">
        <v>1</v>
      </c>
      <c r="AA213">
        <v>0</v>
      </c>
      <c r="AB213">
        <v>0</v>
      </c>
      <c r="AC213">
        <v>2</v>
      </c>
      <c r="AD213">
        <v>0</v>
      </c>
      <c r="AE213">
        <v>0</v>
      </c>
      <c r="AF213">
        <v>0</v>
      </c>
      <c r="AG213">
        <v>0</v>
      </c>
      <c r="AH213">
        <v>4</v>
      </c>
      <c r="AI213">
        <v>2</v>
      </c>
      <c r="AJ213">
        <v>0</v>
      </c>
      <c r="AK213">
        <v>0</v>
      </c>
      <c r="AL213">
        <v>0</v>
      </c>
      <c r="AM213">
        <v>0</v>
      </c>
      <c r="AN213">
        <v>1</v>
      </c>
      <c r="AO213">
        <v>0</v>
      </c>
      <c r="AP213">
        <v>0</v>
      </c>
      <c r="AQ213">
        <v>0</v>
      </c>
      <c r="AR213">
        <v>0</v>
      </c>
      <c r="AS213">
        <v>0</v>
      </c>
      <c r="AT213">
        <v>1</v>
      </c>
      <c r="AU213">
        <v>0</v>
      </c>
      <c r="AV213">
        <v>0</v>
      </c>
      <c r="AW213">
        <v>0</v>
      </c>
      <c r="AX213">
        <v>0</v>
      </c>
      <c r="AY213">
        <v>0</v>
      </c>
      <c r="AZ213">
        <v>3</v>
      </c>
      <c r="BA213">
        <v>0</v>
      </c>
      <c r="BB213">
        <v>0</v>
      </c>
      <c r="BC213">
        <v>2</v>
      </c>
      <c r="BD213">
        <v>0</v>
      </c>
      <c r="BE213">
        <v>0</v>
      </c>
      <c r="BF213">
        <v>0</v>
      </c>
      <c r="BG213">
        <v>2</v>
      </c>
      <c r="BH213">
        <v>0</v>
      </c>
      <c r="BI213">
        <v>0</v>
      </c>
      <c r="BJ213">
        <v>1</v>
      </c>
      <c r="BK213">
        <v>1</v>
      </c>
      <c r="BL213">
        <v>0</v>
      </c>
      <c r="BM213">
        <v>0</v>
      </c>
      <c r="BN213">
        <v>1</v>
      </c>
      <c r="BO213">
        <v>0</v>
      </c>
      <c r="BP213">
        <v>0</v>
      </c>
      <c r="BQ213">
        <v>0</v>
      </c>
      <c r="BR213">
        <v>0</v>
      </c>
      <c r="BS213">
        <v>1</v>
      </c>
      <c r="BT213">
        <v>1</v>
      </c>
      <c r="BU213">
        <v>4</v>
      </c>
      <c r="BV213">
        <v>0</v>
      </c>
      <c r="BW213">
        <v>0</v>
      </c>
      <c r="BX213">
        <v>0</v>
      </c>
      <c r="BY213">
        <v>0</v>
      </c>
      <c r="BZ213">
        <v>1</v>
      </c>
      <c r="CA213">
        <v>0</v>
      </c>
      <c r="CB213">
        <v>4</v>
      </c>
      <c r="CC213">
        <v>1</v>
      </c>
      <c r="CD213">
        <v>0</v>
      </c>
      <c r="CE213">
        <v>2</v>
      </c>
      <c r="CF213">
        <v>1</v>
      </c>
      <c r="CG213">
        <v>0</v>
      </c>
      <c r="CH213">
        <v>0</v>
      </c>
      <c r="CI213">
        <v>0</v>
      </c>
      <c r="CJ213">
        <v>0</v>
      </c>
      <c r="CK213">
        <v>0</v>
      </c>
    </row>
    <row r="214" spans="1:89" x14ac:dyDescent="0.25">
      <c r="A214" s="23" t="s">
        <v>443</v>
      </c>
      <c r="B214">
        <v>2</v>
      </c>
      <c r="C214">
        <v>2</v>
      </c>
      <c r="D214">
        <v>3</v>
      </c>
      <c r="E214">
        <v>0</v>
      </c>
      <c r="F214">
        <v>1</v>
      </c>
      <c r="G214">
        <v>4</v>
      </c>
      <c r="H214">
        <v>1</v>
      </c>
      <c r="I214">
        <v>1</v>
      </c>
      <c r="J214">
        <v>2</v>
      </c>
      <c r="K214">
        <v>1</v>
      </c>
      <c r="L214">
        <v>0</v>
      </c>
      <c r="M214">
        <v>1</v>
      </c>
      <c r="N214">
        <v>0</v>
      </c>
      <c r="O214">
        <v>0</v>
      </c>
      <c r="P214">
        <v>0</v>
      </c>
      <c r="Q214">
        <v>0</v>
      </c>
      <c r="R214">
        <v>0</v>
      </c>
      <c r="S214">
        <v>0</v>
      </c>
      <c r="T214">
        <v>1</v>
      </c>
      <c r="U214">
        <v>1</v>
      </c>
      <c r="V214">
        <v>0</v>
      </c>
      <c r="W214">
        <v>1</v>
      </c>
      <c r="X214">
        <v>0</v>
      </c>
      <c r="Y214">
        <v>0</v>
      </c>
      <c r="Z214">
        <v>1</v>
      </c>
      <c r="AA214">
        <v>1</v>
      </c>
      <c r="AB214">
        <v>0</v>
      </c>
      <c r="AC214">
        <v>1</v>
      </c>
      <c r="AD214">
        <v>2</v>
      </c>
      <c r="AE214">
        <v>4</v>
      </c>
      <c r="AF214">
        <v>0</v>
      </c>
      <c r="AG214">
        <v>0</v>
      </c>
      <c r="AH214">
        <v>1</v>
      </c>
      <c r="AI214">
        <v>2</v>
      </c>
      <c r="AJ214">
        <v>1</v>
      </c>
      <c r="AK214">
        <v>0</v>
      </c>
      <c r="AL214">
        <v>0</v>
      </c>
      <c r="AM214">
        <v>1</v>
      </c>
      <c r="AN214">
        <v>0</v>
      </c>
      <c r="AO214">
        <v>0</v>
      </c>
      <c r="AP214">
        <v>0</v>
      </c>
      <c r="AQ214">
        <v>1</v>
      </c>
      <c r="AR214">
        <v>0</v>
      </c>
      <c r="AS214">
        <v>0</v>
      </c>
      <c r="AT214">
        <v>4</v>
      </c>
      <c r="AU214">
        <v>0</v>
      </c>
      <c r="AV214">
        <v>0</v>
      </c>
      <c r="AW214">
        <v>1</v>
      </c>
      <c r="AX214">
        <v>0</v>
      </c>
      <c r="AY214">
        <v>0</v>
      </c>
      <c r="AZ214">
        <v>2</v>
      </c>
      <c r="BA214">
        <v>0</v>
      </c>
      <c r="BB214">
        <v>0</v>
      </c>
      <c r="BC214">
        <v>1</v>
      </c>
      <c r="BD214">
        <v>0</v>
      </c>
      <c r="BE214">
        <v>0</v>
      </c>
      <c r="BF214">
        <v>0</v>
      </c>
      <c r="BG214">
        <v>2</v>
      </c>
      <c r="BH214">
        <v>3</v>
      </c>
      <c r="BI214">
        <v>2</v>
      </c>
      <c r="BJ214">
        <v>1</v>
      </c>
      <c r="BK214">
        <v>2</v>
      </c>
      <c r="BL214">
        <v>0</v>
      </c>
      <c r="BM214">
        <v>2</v>
      </c>
      <c r="BN214">
        <v>0</v>
      </c>
      <c r="BO214">
        <v>0</v>
      </c>
      <c r="BQ214">
        <v>0</v>
      </c>
      <c r="BR214">
        <v>0</v>
      </c>
      <c r="BS214">
        <v>1</v>
      </c>
      <c r="BT214">
        <v>1</v>
      </c>
      <c r="BU214">
        <v>1</v>
      </c>
      <c r="BV214">
        <v>0</v>
      </c>
      <c r="BW214">
        <v>0</v>
      </c>
      <c r="BX214">
        <v>1</v>
      </c>
      <c r="BY214">
        <v>0</v>
      </c>
      <c r="BZ214">
        <v>2</v>
      </c>
      <c r="CA214">
        <v>0</v>
      </c>
      <c r="CB214">
        <v>3</v>
      </c>
      <c r="CC214">
        <v>0</v>
      </c>
      <c r="CD214">
        <v>1</v>
      </c>
      <c r="CE214">
        <v>2</v>
      </c>
      <c r="CF214">
        <v>2</v>
      </c>
      <c r="CG214">
        <v>1</v>
      </c>
      <c r="CH214">
        <v>0</v>
      </c>
      <c r="CI214">
        <v>0</v>
      </c>
      <c r="CJ214">
        <v>2</v>
      </c>
      <c r="CK214">
        <v>0</v>
      </c>
    </row>
    <row r="215" spans="1:89" x14ac:dyDescent="0.25">
      <c r="A215" s="23"/>
    </row>
    <row r="216" spans="1:89" x14ac:dyDescent="0.25">
      <c r="A216" s="23" t="s">
        <v>444</v>
      </c>
      <c r="B216">
        <v>0</v>
      </c>
      <c r="C216">
        <v>2</v>
      </c>
      <c r="D216">
        <v>1</v>
      </c>
      <c r="E216">
        <v>1</v>
      </c>
      <c r="F216">
        <v>4</v>
      </c>
      <c r="G216">
        <v>4</v>
      </c>
      <c r="H216">
        <v>0</v>
      </c>
      <c r="I216">
        <v>4</v>
      </c>
      <c r="J216">
        <v>2</v>
      </c>
      <c r="K216">
        <v>2</v>
      </c>
      <c r="L216">
        <v>1</v>
      </c>
      <c r="M216">
        <v>1</v>
      </c>
      <c r="N216">
        <v>1</v>
      </c>
      <c r="O216">
        <v>2</v>
      </c>
      <c r="P216">
        <v>1</v>
      </c>
      <c r="Q216">
        <v>1</v>
      </c>
      <c r="R216">
        <v>1</v>
      </c>
      <c r="S216">
        <v>0</v>
      </c>
      <c r="T216">
        <v>2</v>
      </c>
      <c r="U216">
        <v>0</v>
      </c>
      <c r="V216">
        <v>0</v>
      </c>
      <c r="W216">
        <v>0</v>
      </c>
      <c r="X216">
        <v>2</v>
      </c>
      <c r="Y216">
        <v>0</v>
      </c>
      <c r="Z216">
        <v>0</v>
      </c>
      <c r="AA216">
        <v>1</v>
      </c>
      <c r="AB216">
        <v>0</v>
      </c>
      <c r="AC216">
        <v>0</v>
      </c>
      <c r="AD216">
        <v>2</v>
      </c>
      <c r="AE216">
        <v>2</v>
      </c>
      <c r="AF216">
        <v>0</v>
      </c>
      <c r="AG216">
        <v>0</v>
      </c>
      <c r="AH216">
        <v>1</v>
      </c>
      <c r="AI216">
        <v>0</v>
      </c>
      <c r="AJ216">
        <v>1</v>
      </c>
      <c r="AK216">
        <v>0</v>
      </c>
      <c r="AL216">
        <v>0</v>
      </c>
      <c r="AM216">
        <v>0</v>
      </c>
      <c r="AN216">
        <v>1</v>
      </c>
      <c r="AO216">
        <v>1</v>
      </c>
      <c r="AP216">
        <v>3</v>
      </c>
      <c r="AQ216">
        <v>1</v>
      </c>
      <c r="AR216">
        <v>0</v>
      </c>
      <c r="AS216">
        <v>1</v>
      </c>
      <c r="AT216">
        <v>4</v>
      </c>
      <c r="AU216">
        <v>0</v>
      </c>
      <c r="AV216">
        <v>2</v>
      </c>
      <c r="AW216">
        <v>0</v>
      </c>
      <c r="AX216">
        <v>0</v>
      </c>
      <c r="AY216">
        <v>0</v>
      </c>
      <c r="AZ216">
        <v>0</v>
      </c>
      <c r="BA216">
        <v>0</v>
      </c>
      <c r="BB216">
        <v>0</v>
      </c>
      <c r="BC216">
        <v>3</v>
      </c>
      <c r="BD216">
        <v>0</v>
      </c>
      <c r="BE216">
        <v>2</v>
      </c>
      <c r="BF216">
        <v>0</v>
      </c>
      <c r="BG216">
        <v>2</v>
      </c>
      <c r="BH216">
        <v>1</v>
      </c>
      <c r="BI216">
        <v>2</v>
      </c>
      <c r="BJ216">
        <v>0</v>
      </c>
      <c r="BK216">
        <v>0</v>
      </c>
      <c r="BL216">
        <v>0</v>
      </c>
      <c r="BM216">
        <v>1</v>
      </c>
      <c r="BN216">
        <v>0</v>
      </c>
      <c r="BO216">
        <v>0</v>
      </c>
      <c r="BP216">
        <v>4</v>
      </c>
      <c r="BQ216">
        <v>0</v>
      </c>
      <c r="BR216">
        <v>0</v>
      </c>
      <c r="BS216">
        <v>3</v>
      </c>
      <c r="BT216">
        <v>0</v>
      </c>
      <c r="BU216">
        <v>1</v>
      </c>
      <c r="BV216">
        <v>0</v>
      </c>
      <c r="BW216">
        <v>1</v>
      </c>
      <c r="BX216">
        <v>0</v>
      </c>
      <c r="BY216">
        <v>0</v>
      </c>
      <c r="BZ216">
        <v>0</v>
      </c>
      <c r="CA216">
        <v>1</v>
      </c>
      <c r="CB216">
        <v>0</v>
      </c>
      <c r="CC216">
        <v>2</v>
      </c>
      <c r="CD216">
        <v>0</v>
      </c>
      <c r="CE216">
        <v>0</v>
      </c>
      <c r="CF216">
        <v>1</v>
      </c>
      <c r="CG216">
        <v>1</v>
      </c>
      <c r="CH216">
        <v>0</v>
      </c>
      <c r="CI216">
        <v>0</v>
      </c>
      <c r="CJ216">
        <v>0</v>
      </c>
      <c r="CK216">
        <v>1</v>
      </c>
    </row>
    <row r="217" spans="1:89" x14ac:dyDescent="0.25">
      <c r="A217" s="23" t="s">
        <v>445</v>
      </c>
      <c r="B217">
        <v>1</v>
      </c>
      <c r="C217">
        <v>1</v>
      </c>
      <c r="D217">
        <v>1</v>
      </c>
      <c r="E217">
        <v>0</v>
      </c>
      <c r="F217">
        <v>4</v>
      </c>
      <c r="G217">
        <v>3</v>
      </c>
      <c r="H217">
        <v>1</v>
      </c>
      <c r="I217">
        <v>1</v>
      </c>
      <c r="J217">
        <v>2</v>
      </c>
      <c r="K217">
        <v>1</v>
      </c>
      <c r="L217">
        <v>1</v>
      </c>
      <c r="M217">
        <v>3</v>
      </c>
      <c r="N217">
        <v>1</v>
      </c>
      <c r="O217">
        <v>0</v>
      </c>
      <c r="P217">
        <v>0</v>
      </c>
      <c r="Q217">
        <v>0</v>
      </c>
      <c r="R217">
        <v>1</v>
      </c>
      <c r="S217">
        <v>3</v>
      </c>
      <c r="T217">
        <v>4</v>
      </c>
      <c r="U217">
        <v>0</v>
      </c>
      <c r="V217">
        <v>0</v>
      </c>
      <c r="W217">
        <v>0</v>
      </c>
      <c r="X217">
        <v>0</v>
      </c>
      <c r="Y217">
        <v>0</v>
      </c>
      <c r="Z217">
        <v>0</v>
      </c>
      <c r="AA217">
        <v>1</v>
      </c>
      <c r="AB217">
        <v>0</v>
      </c>
      <c r="AC217">
        <v>3</v>
      </c>
      <c r="AD217">
        <v>1</v>
      </c>
      <c r="AE217">
        <v>0</v>
      </c>
      <c r="AF217">
        <v>1</v>
      </c>
      <c r="AG217">
        <v>1</v>
      </c>
      <c r="AH217">
        <v>1</v>
      </c>
      <c r="AI217">
        <v>0</v>
      </c>
      <c r="AJ217">
        <v>0</v>
      </c>
      <c r="AK217">
        <v>4</v>
      </c>
      <c r="AL217">
        <v>1</v>
      </c>
      <c r="AM217">
        <v>0</v>
      </c>
      <c r="AN217">
        <v>0</v>
      </c>
      <c r="AO217">
        <v>0</v>
      </c>
      <c r="AP217">
        <v>1</v>
      </c>
      <c r="AQ217">
        <v>0</v>
      </c>
      <c r="AR217">
        <v>0</v>
      </c>
      <c r="AS217">
        <v>0</v>
      </c>
      <c r="AT217">
        <v>4</v>
      </c>
      <c r="AU217">
        <v>0</v>
      </c>
      <c r="AW217">
        <v>1</v>
      </c>
      <c r="AX217">
        <v>1</v>
      </c>
      <c r="AY217">
        <v>1</v>
      </c>
      <c r="AZ217">
        <v>0</v>
      </c>
      <c r="BA217">
        <v>0</v>
      </c>
      <c r="BB217">
        <v>0</v>
      </c>
      <c r="BC217">
        <v>0</v>
      </c>
      <c r="BD217">
        <v>0</v>
      </c>
      <c r="BE217">
        <v>1</v>
      </c>
      <c r="BF217">
        <v>0</v>
      </c>
      <c r="BG217">
        <v>1</v>
      </c>
      <c r="BH217">
        <v>0</v>
      </c>
      <c r="BI217">
        <v>3</v>
      </c>
      <c r="BJ217">
        <v>0</v>
      </c>
      <c r="BK217">
        <v>0</v>
      </c>
      <c r="BL217">
        <v>1</v>
      </c>
      <c r="BM217">
        <v>0</v>
      </c>
      <c r="BN217">
        <v>0</v>
      </c>
      <c r="BO217">
        <v>0</v>
      </c>
      <c r="BP217">
        <v>4</v>
      </c>
      <c r="BQ217">
        <v>0</v>
      </c>
      <c r="BR217">
        <v>0</v>
      </c>
      <c r="BS217">
        <v>4</v>
      </c>
      <c r="BT217">
        <v>0</v>
      </c>
      <c r="BU217">
        <v>4</v>
      </c>
      <c r="BV217">
        <v>0</v>
      </c>
      <c r="BW217">
        <v>0</v>
      </c>
      <c r="BX217">
        <v>0</v>
      </c>
      <c r="BY217">
        <v>0</v>
      </c>
      <c r="BZ217">
        <v>0</v>
      </c>
      <c r="CA217">
        <v>0</v>
      </c>
      <c r="CB217">
        <v>0</v>
      </c>
      <c r="CC217">
        <v>0</v>
      </c>
      <c r="CD217">
        <v>1</v>
      </c>
      <c r="CE217">
        <v>1</v>
      </c>
      <c r="CF217">
        <v>0</v>
      </c>
      <c r="CG217">
        <v>0</v>
      </c>
      <c r="CH217">
        <v>0</v>
      </c>
      <c r="CI217">
        <v>0</v>
      </c>
      <c r="CJ217">
        <v>0</v>
      </c>
      <c r="CK217">
        <v>0</v>
      </c>
    </row>
    <row r="218" spans="1:89" x14ac:dyDescent="0.25">
      <c r="A218" s="23" t="s">
        <v>446</v>
      </c>
      <c r="B218">
        <v>2</v>
      </c>
      <c r="C218">
        <v>1</v>
      </c>
      <c r="D218">
        <v>2</v>
      </c>
      <c r="E218">
        <v>0</v>
      </c>
      <c r="F218">
        <v>4</v>
      </c>
      <c r="G218">
        <v>3</v>
      </c>
      <c r="H218">
        <v>1</v>
      </c>
      <c r="I218">
        <v>0</v>
      </c>
      <c r="J218">
        <v>1</v>
      </c>
      <c r="K218">
        <v>1</v>
      </c>
      <c r="L218">
        <v>1</v>
      </c>
      <c r="M218">
        <v>2</v>
      </c>
      <c r="N218">
        <v>0</v>
      </c>
      <c r="O218">
        <v>0</v>
      </c>
      <c r="P218">
        <v>3</v>
      </c>
      <c r="Q218">
        <v>0</v>
      </c>
      <c r="R218">
        <v>0</v>
      </c>
      <c r="S218">
        <v>2</v>
      </c>
      <c r="T218">
        <v>2</v>
      </c>
      <c r="U218">
        <v>0</v>
      </c>
      <c r="V218">
        <v>1</v>
      </c>
      <c r="W218">
        <v>0</v>
      </c>
      <c r="X218">
        <v>0</v>
      </c>
      <c r="Y218">
        <v>1</v>
      </c>
      <c r="Z218">
        <v>1</v>
      </c>
      <c r="AA218">
        <v>4</v>
      </c>
      <c r="AB218">
        <v>0</v>
      </c>
      <c r="AC218">
        <v>0</v>
      </c>
      <c r="AD218">
        <v>1</v>
      </c>
      <c r="AE218">
        <v>0</v>
      </c>
      <c r="AF218">
        <v>0</v>
      </c>
      <c r="AG218">
        <v>3</v>
      </c>
      <c r="AH218">
        <v>0</v>
      </c>
      <c r="AI218">
        <v>0</v>
      </c>
      <c r="AJ218">
        <v>0</v>
      </c>
      <c r="AK218">
        <v>1</v>
      </c>
      <c r="AL218">
        <v>1</v>
      </c>
      <c r="AM218">
        <v>1</v>
      </c>
      <c r="AN218">
        <v>0</v>
      </c>
      <c r="AO218">
        <v>1</v>
      </c>
      <c r="AP218">
        <v>1</v>
      </c>
      <c r="AQ218">
        <v>0</v>
      </c>
      <c r="AR218">
        <v>0</v>
      </c>
      <c r="AS218">
        <v>2</v>
      </c>
      <c r="AT218">
        <v>4</v>
      </c>
      <c r="AU218">
        <v>0</v>
      </c>
      <c r="AV218">
        <v>1</v>
      </c>
      <c r="AW218">
        <v>1</v>
      </c>
      <c r="AX218">
        <v>1</v>
      </c>
      <c r="AY218">
        <v>0</v>
      </c>
      <c r="AZ218">
        <v>0</v>
      </c>
      <c r="BA218">
        <v>0</v>
      </c>
      <c r="BB218">
        <v>0</v>
      </c>
      <c r="BC218">
        <v>0</v>
      </c>
      <c r="BD218">
        <v>0</v>
      </c>
      <c r="BE218">
        <v>1</v>
      </c>
      <c r="BF218">
        <v>0</v>
      </c>
      <c r="BG218">
        <v>0</v>
      </c>
      <c r="BH218">
        <v>3</v>
      </c>
      <c r="BI218">
        <v>0</v>
      </c>
      <c r="BJ218">
        <v>0</v>
      </c>
      <c r="BK218">
        <v>0</v>
      </c>
      <c r="BL218">
        <v>2</v>
      </c>
      <c r="BM218">
        <v>0</v>
      </c>
      <c r="BN218">
        <v>1</v>
      </c>
      <c r="BO218">
        <v>0</v>
      </c>
      <c r="BP218">
        <v>4</v>
      </c>
      <c r="BQ218">
        <v>0</v>
      </c>
      <c r="BR218">
        <v>0</v>
      </c>
      <c r="BS218">
        <v>1</v>
      </c>
      <c r="BT218">
        <v>0</v>
      </c>
      <c r="BU218">
        <v>1</v>
      </c>
      <c r="BV218">
        <v>1</v>
      </c>
      <c r="BW218">
        <v>0</v>
      </c>
      <c r="BX218">
        <v>1</v>
      </c>
      <c r="BY218">
        <v>0</v>
      </c>
      <c r="BZ218">
        <v>0</v>
      </c>
      <c r="CA218">
        <v>2</v>
      </c>
      <c r="CB218">
        <v>0</v>
      </c>
      <c r="CC218">
        <v>1</v>
      </c>
      <c r="CD218">
        <v>0</v>
      </c>
      <c r="CE218">
        <v>0</v>
      </c>
      <c r="CF218">
        <v>1</v>
      </c>
      <c r="CG218">
        <v>3</v>
      </c>
      <c r="CH218">
        <v>0</v>
      </c>
      <c r="CI218">
        <v>0</v>
      </c>
      <c r="CJ218">
        <v>0</v>
      </c>
      <c r="CK218">
        <v>0</v>
      </c>
    </row>
    <row r="219" spans="1:89" x14ac:dyDescent="0.25">
      <c r="A219" s="23" t="s">
        <v>447</v>
      </c>
      <c r="B219">
        <v>1</v>
      </c>
      <c r="C219">
        <v>1</v>
      </c>
      <c r="D219">
        <v>1</v>
      </c>
      <c r="E219">
        <v>1</v>
      </c>
      <c r="F219">
        <v>1</v>
      </c>
      <c r="G219">
        <v>2</v>
      </c>
      <c r="H219">
        <v>2</v>
      </c>
      <c r="I219">
        <v>4</v>
      </c>
      <c r="J219">
        <v>2</v>
      </c>
      <c r="K219">
        <v>0</v>
      </c>
      <c r="L219">
        <v>0</v>
      </c>
      <c r="M219">
        <v>3</v>
      </c>
      <c r="N219">
        <v>1</v>
      </c>
      <c r="O219">
        <v>0</v>
      </c>
      <c r="P219">
        <v>1</v>
      </c>
      <c r="Q219">
        <v>0</v>
      </c>
      <c r="R219">
        <v>0</v>
      </c>
      <c r="S219">
        <v>4</v>
      </c>
      <c r="T219">
        <v>1</v>
      </c>
      <c r="U219">
        <v>0</v>
      </c>
      <c r="V219">
        <v>0</v>
      </c>
      <c r="W219">
        <v>0</v>
      </c>
      <c r="X219">
        <v>0</v>
      </c>
      <c r="Y219">
        <v>0</v>
      </c>
      <c r="Z219">
        <v>0</v>
      </c>
      <c r="AA219">
        <v>3</v>
      </c>
      <c r="AB219">
        <v>0</v>
      </c>
      <c r="AC219">
        <v>1</v>
      </c>
      <c r="AD219">
        <v>1</v>
      </c>
      <c r="AE219">
        <v>1</v>
      </c>
      <c r="AF219">
        <v>0</v>
      </c>
      <c r="AG219">
        <v>4</v>
      </c>
      <c r="AH219">
        <v>0</v>
      </c>
      <c r="AI219">
        <v>0</v>
      </c>
      <c r="AJ219">
        <v>0</v>
      </c>
      <c r="AK219">
        <v>0</v>
      </c>
      <c r="AL219">
        <v>3</v>
      </c>
      <c r="AM219">
        <v>1</v>
      </c>
      <c r="AN219">
        <v>0</v>
      </c>
      <c r="AO219">
        <v>1</v>
      </c>
      <c r="AP219">
        <v>1</v>
      </c>
      <c r="AQ219">
        <v>0</v>
      </c>
      <c r="AR219">
        <v>0</v>
      </c>
      <c r="AS219">
        <v>0</v>
      </c>
      <c r="AT219">
        <v>4</v>
      </c>
      <c r="AU219">
        <v>0</v>
      </c>
      <c r="AV219">
        <v>2</v>
      </c>
      <c r="AW219">
        <v>1</v>
      </c>
      <c r="AX219">
        <v>0</v>
      </c>
      <c r="AY219">
        <v>0</v>
      </c>
      <c r="AZ219">
        <v>1</v>
      </c>
      <c r="BA219">
        <v>0</v>
      </c>
      <c r="BB219">
        <v>0</v>
      </c>
      <c r="BC219">
        <v>2</v>
      </c>
      <c r="BD219">
        <v>0</v>
      </c>
      <c r="BE219">
        <v>1</v>
      </c>
      <c r="BF219">
        <v>0</v>
      </c>
      <c r="BG219">
        <v>0</v>
      </c>
      <c r="BH219">
        <v>0</v>
      </c>
      <c r="BI219">
        <v>1</v>
      </c>
      <c r="BJ219">
        <v>1</v>
      </c>
      <c r="BK219">
        <v>3</v>
      </c>
      <c r="BL219">
        <v>1</v>
      </c>
      <c r="BM219">
        <v>0</v>
      </c>
      <c r="BN219">
        <v>0</v>
      </c>
      <c r="BO219">
        <v>1</v>
      </c>
      <c r="BP219">
        <v>4</v>
      </c>
      <c r="BQ219">
        <v>3</v>
      </c>
      <c r="BR219">
        <v>0</v>
      </c>
      <c r="BS219">
        <v>1</v>
      </c>
      <c r="BT219">
        <v>0</v>
      </c>
      <c r="BU219">
        <v>0</v>
      </c>
      <c r="BV219">
        <v>0</v>
      </c>
      <c r="BW219">
        <v>0</v>
      </c>
      <c r="BX219">
        <v>1</v>
      </c>
      <c r="BY219">
        <v>1</v>
      </c>
      <c r="BZ219">
        <v>0</v>
      </c>
      <c r="CA219">
        <v>0</v>
      </c>
      <c r="CB219">
        <v>0</v>
      </c>
      <c r="CC219">
        <v>2</v>
      </c>
      <c r="CD219">
        <v>1</v>
      </c>
      <c r="CE219">
        <v>2</v>
      </c>
      <c r="CF219">
        <v>1</v>
      </c>
      <c r="CG219">
        <v>4</v>
      </c>
      <c r="CH219">
        <v>0</v>
      </c>
      <c r="CI219">
        <v>0</v>
      </c>
      <c r="CJ219">
        <v>0</v>
      </c>
      <c r="CK219">
        <v>4</v>
      </c>
    </row>
    <row r="220" spans="1:89" x14ac:dyDescent="0.25">
      <c r="A220" s="23" t="s">
        <v>448</v>
      </c>
      <c r="B220">
        <v>2</v>
      </c>
      <c r="C220">
        <v>2</v>
      </c>
      <c r="D220">
        <v>1</v>
      </c>
      <c r="E220">
        <v>0</v>
      </c>
      <c r="F220">
        <v>1</v>
      </c>
      <c r="G220">
        <v>2</v>
      </c>
      <c r="H220">
        <v>0</v>
      </c>
      <c r="I220">
        <v>1</v>
      </c>
      <c r="J220">
        <v>2</v>
      </c>
      <c r="K220">
        <v>1</v>
      </c>
      <c r="L220">
        <v>1</v>
      </c>
      <c r="M220">
        <v>0</v>
      </c>
      <c r="N220">
        <v>0</v>
      </c>
      <c r="O220">
        <v>0</v>
      </c>
      <c r="P220">
        <v>1</v>
      </c>
      <c r="Q220">
        <v>0</v>
      </c>
      <c r="R220">
        <v>4</v>
      </c>
      <c r="S220">
        <v>1</v>
      </c>
      <c r="T220">
        <v>3</v>
      </c>
      <c r="U220">
        <v>1</v>
      </c>
      <c r="V220">
        <v>0</v>
      </c>
      <c r="W220">
        <v>0</v>
      </c>
      <c r="X220">
        <v>0</v>
      </c>
      <c r="Y220">
        <v>0</v>
      </c>
      <c r="Z220">
        <v>2</v>
      </c>
      <c r="AA220">
        <v>4</v>
      </c>
      <c r="AB220">
        <v>0</v>
      </c>
      <c r="AC220">
        <v>4</v>
      </c>
      <c r="AD220">
        <v>1</v>
      </c>
      <c r="AE220">
        <v>0</v>
      </c>
      <c r="AF220">
        <v>0</v>
      </c>
      <c r="AG220">
        <v>2</v>
      </c>
      <c r="AH220">
        <v>0</v>
      </c>
      <c r="AI220">
        <v>2</v>
      </c>
      <c r="AJ220">
        <v>0</v>
      </c>
      <c r="AK220">
        <v>0</v>
      </c>
      <c r="AL220">
        <v>0</v>
      </c>
      <c r="AM220">
        <v>0</v>
      </c>
      <c r="AN220">
        <v>0</v>
      </c>
      <c r="AO220">
        <v>1</v>
      </c>
      <c r="AP220">
        <v>0</v>
      </c>
      <c r="AQ220">
        <v>0</v>
      </c>
      <c r="AR220">
        <v>0</v>
      </c>
      <c r="AS220">
        <v>1</v>
      </c>
      <c r="AT220">
        <v>2</v>
      </c>
      <c r="AU220">
        <v>0</v>
      </c>
      <c r="AW220">
        <v>1</v>
      </c>
      <c r="AX220">
        <v>0</v>
      </c>
      <c r="AY220">
        <v>0</v>
      </c>
      <c r="AZ220">
        <v>1</v>
      </c>
      <c r="BA220">
        <v>0</v>
      </c>
      <c r="BB220">
        <v>0</v>
      </c>
      <c r="BC220">
        <v>1</v>
      </c>
      <c r="BD220">
        <v>1</v>
      </c>
      <c r="BE220">
        <v>1</v>
      </c>
      <c r="BF220">
        <v>0</v>
      </c>
      <c r="BG220">
        <v>3</v>
      </c>
      <c r="BH220">
        <v>1</v>
      </c>
      <c r="BI220">
        <v>1</v>
      </c>
      <c r="BJ220">
        <v>0</v>
      </c>
      <c r="BK220">
        <v>0</v>
      </c>
      <c r="BL220">
        <v>0</v>
      </c>
      <c r="BM220">
        <v>2</v>
      </c>
      <c r="BN220">
        <v>0</v>
      </c>
      <c r="BO220">
        <v>0</v>
      </c>
      <c r="BP220">
        <v>2</v>
      </c>
      <c r="BQ220">
        <v>1</v>
      </c>
      <c r="BR220">
        <v>0</v>
      </c>
      <c r="BS220">
        <v>4</v>
      </c>
      <c r="BT220">
        <v>0</v>
      </c>
      <c r="BU220">
        <v>1</v>
      </c>
      <c r="BV220">
        <v>0</v>
      </c>
      <c r="BW220">
        <v>2</v>
      </c>
      <c r="BX220">
        <v>0</v>
      </c>
      <c r="BY220">
        <v>0</v>
      </c>
      <c r="BZ220">
        <v>0</v>
      </c>
      <c r="CA220">
        <v>0</v>
      </c>
      <c r="CB220">
        <v>0</v>
      </c>
      <c r="CC220">
        <v>1</v>
      </c>
      <c r="CD220">
        <v>1</v>
      </c>
      <c r="CE220">
        <v>1</v>
      </c>
      <c r="CF220">
        <v>3</v>
      </c>
      <c r="CG220">
        <v>3</v>
      </c>
      <c r="CH220">
        <v>1</v>
      </c>
      <c r="CI220">
        <v>0</v>
      </c>
      <c r="CJ220">
        <v>0</v>
      </c>
      <c r="CK220">
        <v>0</v>
      </c>
    </row>
    <row r="221" spans="1:89" x14ac:dyDescent="0.25">
      <c r="A221" s="23" t="s">
        <v>449</v>
      </c>
      <c r="B221">
        <v>2</v>
      </c>
      <c r="C221">
        <v>2</v>
      </c>
      <c r="D221">
        <v>4</v>
      </c>
      <c r="E221">
        <v>0</v>
      </c>
      <c r="F221">
        <v>1</v>
      </c>
      <c r="G221">
        <v>2</v>
      </c>
      <c r="H221">
        <v>1</v>
      </c>
      <c r="I221">
        <v>3</v>
      </c>
      <c r="J221">
        <v>2</v>
      </c>
      <c r="K221">
        <v>1</v>
      </c>
      <c r="L221">
        <v>1</v>
      </c>
      <c r="M221">
        <v>1</v>
      </c>
      <c r="N221">
        <v>0</v>
      </c>
      <c r="O221">
        <v>0</v>
      </c>
      <c r="P221">
        <v>1</v>
      </c>
      <c r="Q221">
        <v>0</v>
      </c>
      <c r="R221">
        <v>1</v>
      </c>
      <c r="S221">
        <v>2</v>
      </c>
      <c r="T221">
        <v>4</v>
      </c>
      <c r="U221">
        <v>3</v>
      </c>
      <c r="V221">
        <v>0</v>
      </c>
      <c r="W221">
        <v>0</v>
      </c>
      <c r="X221">
        <v>0</v>
      </c>
      <c r="Y221">
        <v>2</v>
      </c>
      <c r="Z221">
        <v>2</v>
      </c>
      <c r="AA221">
        <v>1</v>
      </c>
      <c r="AB221">
        <v>0</v>
      </c>
      <c r="AC221">
        <v>1</v>
      </c>
      <c r="AD221">
        <v>0</v>
      </c>
      <c r="AE221">
        <v>0</v>
      </c>
      <c r="AF221">
        <v>1</v>
      </c>
      <c r="AG221">
        <v>2</v>
      </c>
      <c r="AH221">
        <v>0</v>
      </c>
      <c r="AI221">
        <v>1</v>
      </c>
      <c r="AJ221">
        <v>2</v>
      </c>
      <c r="AK221">
        <v>1</v>
      </c>
      <c r="AL221">
        <v>0</v>
      </c>
      <c r="AM221">
        <v>0</v>
      </c>
      <c r="AN221">
        <v>2</v>
      </c>
      <c r="AO221">
        <v>0</v>
      </c>
      <c r="AP221">
        <v>0</v>
      </c>
      <c r="AQ221">
        <v>1</v>
      </c>
      <c r="AR221">
        <v>0</v>
      </c>
      <c r="AS221">
        <v>0</v>
      </c>
      <c r="AT221">
        <v>4</v>
      </c>
      <c r="AU221">
        <v>0</v>
      </c>
      <c r="AV221">
        <v>0</v>
      </c>
      <c r="AW221">
        <v>2</v>
      </c>
      <c r="AX221">
        <v>0</v>
      </c>
      <c r="AY221">
        <v>0</v>
      </c>
      <c r="AZ221">
        <v>1</v>
      </c>
      <c r="BA221">
        <v>0</v>
      </c>
      <c r="BB221">
        <v>0</v>
      </c>
      <c r="BC221">
        <v>1</v>
      </c>
      <c r="BD221">
        <v>0</v>
      </c>
      <c r="BE221">
        <v>1</v>
      </c>
      <c r="BF221">
        <v>0</v>
      </c>
      <c r="BG221">
        <v>0</v>
      </c>
      <c r="BH221">
        <v>2</v>
      </c>
      <c r="BI221">
        <v>1</v>
      </c>
      <c r="BJ221">
        <v>0</v>
      </c>
      <c r="BK221">
        <v>0</v>
      </c>
      <c r="BL221">
        <v>1</v>
      </c>
      <c r="BM221">
        <v>0</v>
      </c>
      <c r="BN221">
        <v>0</v>
      </c>
      <c r="BO221">
        <v>0</v>
      </c>
      <c r="BP221">
        <v>1</v>
      </c>
      <c r="BQ221">
        <v>2</v>
      </c>
      <c r="BR221">
        <v>0</v>
      </c>
      <c r="BS221">
        <v>3</v>
      </c>
      <c r="BT221">
        <v>0</v>
      </c>
      <c r="BU221">
        <v>1</v>
      </c>
      <c r="BV221">
        <v>0</v>
      </c>
      <c r="BW221">
        <v>0</v>
      </c>
      <c r="BX221">
        <v>0</v>
      </c>
      <c r="BY221">
        <v>2</v>
      </c>
      <c r="BZ221">
        <v>0</v>
      </c>
      <c r="CA221">
        <v>0</v>
      </c>
      <c r="CB221">
        <v>0</v>
      </c>
      <c r="CC221">
        <v>0</v>
      </c>
      <c r="CD221">
        <v>2</v>
      </c>
      <c r="CE221">
        <v>0</v>
      </c>
      <c r="CF221">
        <v>0</v>
      </c>
      <c r="CG221">
        <v>0</v>
      </c>
      <c r="CH221">
        <v>0</v>
      </c>
      <c r="CI221">
        <v>0</v>
      </c>
      <c r="CJ221">
        <v>3</v>
      </c>
      <c r="CK221">
        <v>0</v>
      </c>
    </row>
    <row r="222" spans="1:89" x14ac:dyDescent="0.25">
      <c r="A222" s="23" t="s">
        <v>450</v>
      </c>
      <c r="B222">
        <v>3</v>
      </c>
      <c r="C222">
        <v>2</v>
      </c>
      <c r="D222">
        <v>4</v>
      </c>
      <c r="E222">
        <v>0</v>
      </c>
      <c r="F222">
        <v>2</v>
      </c>
      <c r="G222">
        <v>3</v>
      </c>
      <c r="H222">
        <v>1</v>
      </c>
      <c r="I222">
        <v>0</v>
      </c>
      <c r="J222">
        <v>1</v>
      </c>
      <c r="K222">
        <v>0</v>
      </c>
      <c r="L222">
        <v>1</v>
      </c>
      <c r="M222">
        <v>1</v>
      </c>
      <c r="N222">
        <v>0</v>
      </c>
      <c r="O222">
        <v>0</v>
      </c>
      <c r="P222">
        <v>2</v>
      </c>
      <c r="Q222">
        <v>2</v>
      </c>
      <c r="R222">
        <v>3</v>
      </c>
      <c r="S222">
        <v>2</v>
      </c>
      <c r="T222">
        <v>4</v>
      </c>
      <c r="U222">
        <v>2</v>
      </c>
      <c r="V222">
        <v>0</v>
      </c>
      <c r="W222">
        <v>0</v>
      </c>
      <c r="X222">
        <v>0</v>
      </c>
      <c r="Y222">
        <v>2</v>
      </c>
      <c r="Z222">
        <v>1</v>
      </c>
      <c r="AA222">
        <v>2</v>
      </c>
      <c r="AB222">
        <v>1</v>
      </c>
      <c r="AC222">
        <v>0</v>
      </c>
      <c r="AD222">
        <v>0</v>
      </c>
      <c r="AE222">
        <v>0</v>
      </c>
      <c r="AF222">
        <v>0</v>
      </c>
      <c r="AG222">
        <v>3</v>
      </c>
      <c r="AH222">
        <v>1</v>
      </c>
      <c r="AI222">
        <v>0</v>
      </c>
      <c r="AJ222">
        <v>1</v>
      </c>
      <c r="AK222">
        <v>0</v>
      </c>
      <c r="AL222">
        <v>2</v>
      </c>
      <c r="AM222">
        <v>0</v>
      </c>
      <c r="AN222">
        <v>0</v>
      </c>
      <c r="AO222">
        <v>0</v>
      </c>
      <c r="AP222">
        <v>0</v>
      </c>
      <c r="AQ222">
        <v>1</v>
      </c>
      <c r="AR222">
        <v>0</v>
      </c>
      <c r="AS222">
        <v>2</v>
      </c>
      <c r="AT222">
        <v>1</v>
      </c>
      <c r="AU222">
        <v>0</v>
      </c>
      <c r="AV222">
        <v>0</v>
      </c>
      <c r="AW222">
        <v>1</v>
      </c>
      <c r="AX222">
        <v>0</v>
      </c>
      <c r="AY222">
        <v>0</v>
      </c>
      <c r="AZ222">
        <v>0</v>
      </c>
      <c r="BA222">
        <v>0</v>
      </c>
      <c r="BB222">
        <v>0</v>
      </c>
      <c r="BC222">
        <v>1</v>
      </c>
      <c r="BD222">
        <v>0</v>
      </c>
      <c r="BE222">
        <v>0</v>
      </c>
      <c r="BF222">
        <v>0</v>
      </c>
      <c r="BG222">
        <v>3</v>
      </c>
      <c r="BH222">
        <v>2</v>
      </c>
      <c r="BI222">
        <v>0</v>
      </c>
      <c r="BJ222">
        <v>0</v>
      </c>
      <c r="BK222">
        <v>0</v>
      </c>
      <c r="BL222">
        <v>0</v>
      </c>
      <c r="BM222">
        <v>0</v>
      </c>
      <c r="BN222">
        <v>0</v>
      </c>
      <c r="BO222">
        <v>0</v>
      </c>
      <c r="BP222">
        <v>0</v>
      </c>
      <c r="BQ222">
        <v>1</v>
      </c>
      <c r="BR222">
        <v>0</v>
      </c>
      <c r="BS222">
        <v>1</v>
      </c>
      <c r="BT222">
        <v>1</v>
      </c>
      <c r="BU222">
        <v>2</v>
      </c>
      <c r="BV222">
        <v>0</v>
      </c>
      <c r="BW222">
        <v>0</v>
      </c>
      <c r="BX222">
        <v>2</v>
      </c>
      <c r="BY222">
        <v>0</v>
      </c>
      <c r="BZ222">
        <v>4</v>
      </c>
      <c r="CA222">
        <v>2</v>
      </c>
      <c r="CB222">
        <v>0</v>
      </c>
      <c r="CC222">
        <v>0</v>
      </c>
      <c r="CD222">
        <v>0</v>
      </c>
      <c r="CE222">
        <v>1</v>
      </c>
      <c r="CF222">
        <v>2</v>
      </c>
      <c r="CG222">
        <v>1</v>
      </c>
      <c r="CH222">
        <v>0</v>
      </c>
      <c r="CI222">
        <v>0</v>
      </c>
      <c r="CJ222">
        <v>0</v>
      </c>
      <c r="CK222">
        <v>0</v>
      </c>
    </row>
    <row r="223" spans="1:89" x14ac:dyDescent="0.25">
      <c r="A223" s="23" t="s">
        <v>451</v>
      </c>
      <c r="B223">
        <v>1</v>
      </c>
      <c r="C223">
        <v>2</v>
      </c>
      <c r="D223">
        <v>1</v>
      </c>
      <c r="E223">
        <v>0</v>
      </c>
      <c r="F223">
        <v>1</v>
      </c>
      <c r="G223">
        <v>2</v>
      </c>
      <c r="H223">
        <v>1</v>
      </c>
      <c r="I223">
        <v>1</v>
      </c>
      <c r="J223">
        <v>2</v>
      </c>
      <c r="K223">
        <v>0</v>
      </c>
      <c r="L223">
        <v>0</v>
      </c>
      <c r="M223">
        <v>0</v>
      </c>
      <c r="N223">
        <v>0</v>
      </c>
      <c r="O223">
        <v>0</v>
      </c>
      <c r="P223">
        <v>1</v>
      </c>
      <c r="Q223">
        <v>2</v>
      </c>
      <c r="R223">
        <v>2</v>
      </c>
      <c r="S223">
        <v>0</v>
      </c>
      <c r="T223">
        <v>1</v>
      </c>
      <c r="U223">
        <v>2</v>
      </c>
      <c r="V223">
        <v>0</v>
      </c>
      <c r="W223">
        <v>0</v>
      </c>
      <c r="X223">
        <v>1</v>
      </c>
      <c r="Y223">
        <v>1</v>
      </c>
      <c r="Z223">
        <v>0</v>
      </c>
      <c r="AA223">
        <v>3</v>
      </c>
      <c r="AB223">
        <v>0</v>
      </c>
      <c r="AC223">
        <v>2</v>
      </c>
      <c r="AD223">
        <v>0</v>
      </c>
      <c r="AE223">
        <v>0</v>
      </c>
      <c r="AF223">
        <v>0</v>
      </c>
      <c r="AG223">
        <v>1</v>
      </c>
      <c r="AH223">
        <v>2</v>
      </c>
      <c r="AI223">
        <v>1</v>
      </c>
      <c r="AJ223">
        <v>0</v>
      </c>
      <c r="AK223">
        <v>0</v>
      </c>
      <c r="AL223">
        <v>0</v>
      </c>
      <c r="AM223">
        <v>1</v>
      </c>
      <c r="AN223">
        <v>0</v>
      </c>
      <c r="AO223">
        <v>0</v>
      </c>
      <c r="AP223">
        <v>4</v>
      </c>
      <c r="AQ223">
        <v>2</v>
      </c>
      <c r="AR223">
        <v>0</v>
      </c>
      <c r="AS223">
        <v>0</v>
      </c>
      <c r="AT223">
        <v>4</v>
      </c>
      <c r="AU223">
        <v>0</v>
      </c>
      <c r="AV223">
        <v>0</v>
      </c>
      <c r="AW223">
        <v>0</v>
      </c>
      <c r="AX223">
        <v>0</v>
      </c>
      <c r="AY223">
        <v>0</v>
      </c>
      <c r="AZ223">
        <v>1</v>
      </c>
      <c r="BA223">
        <v>0</v>
      </c>
      <c r="BB223">
        <v>0</v>
      </c>
      <c r="BC223">
        <v>2</v>
      </c>
      <c r="BD223">
        <v>0</v>
      </c>
      <c r="BE223">
        <v>0</v>
      </c>
      <c r="BF223">
        <v>0</v>
      </c>
      <c r="BG223">
        <v>4</v>
      </c>
      <c r="BH223">
        <v>0</v>
      </c>
      <c r="BI223">
        <v>1</v>
      </c>
      <c r="BJ223">
        <v>0</v>
      </c>
      <c r="BK223">
        <v>0</v>
      </c>
      <c r="BL223">
        <v>0</v>
      </c>
      <c r="BM223">
        <v>0</v>
      </c>
      <c r="BN223">
        <v>0</v>
      </c>
      <c r="BO223">
        <v>0</v>
      </c>
      <c r="BP223">
        <v>1</v>
      </c>
      <c r="BQ223">
        <v>0</v>
      </c>
      <c r="BR223">
        <v>0</v>
      </c>
      <c r="BS223">
        <v>0</v>
      </c>
      <c r="BT223">
        <v>0</v>
      </c>
      <c r="BU223">
        <v>0</v>
      </c>
      <c r="BV223">
        <v>0</v>
      </c>
      <c r="BW223">
        <v>0</v>
      </c>
      <c r="BX223">
        <v>1</v>
      </c>
      <c r="BY223">
        <v>1</v>
      </c>
      <c r="BZ223">
        <v>4</v>
      </c>
      <c r="CA223">
        <v>1</v>
      </c>
      <c r="CB223">
        <v>0</v>
      </c>
      <c r="CC223">
        <v>0</v>
      </c>
      <c r="CD223">
        <v>4</v>
      </c>
      <c r="CE223">
        <v>1</v>
      </c>
      <c r="CF223">
        <v>4</v>
      </c>
      <c r="CG223">
        <v>2</v>
      </c>
      <c r="CH223">
        <v>0</v>
      </c>
      <c r="CI223">
        <v>3</v>
      </c>
      <c r="CJ223">
        <v>1</v>
      </c>
      <c r="CK223">
        <v>0</v>
      </c>
    </row>
    <row r="224" spans="1:89" x14ac:dyDescent="0.25">
      <c r="A224" s="23" t="s">
        <v>452</v>
      </c>
      <c r="B224">
        <v>2</v>
      </c>
      <c r="C224">
        <v>1</v>
      </c>
      <c r="D224">
        <v>0</v>
      </c>
      <c r="E224">
        <v>0</v>
      </c>
      <c r="F224">
        <v>4</v>
      </c>
      <c r="G224">
        <v>0</v>
      </c>
      <c r="H224">
        <v>0</v>
      </c>
      <c r="I224">
        <v>1</v>
      </c>
      <c r="J224">
        <v>1</v>
      </c>
      <c r="K224">
        <v>1</v>
      </c>
      <c r="L224">
        <v>1</v>
      </c>
      <c r="M224">
        <v>2</v>
      </c>
      <c r="N224">
        <v>1</v>
      </c>
      <c r="O224">
        <v>0</v>
      </c>
      <c r="P224">
        <v>0</v>
      </c>
      <c r="Q224">
        <v>0</v>
      </c>
      <c r="R224">
        <v>1</v>
      </c>
      <c r="S224">
        <v>0</v>
      </c>
      <c r="T224">
        <v>2</v>
      </c>
      <c r="U224">
        <v>0</v>
      </c>
      <c r="V224">
        <v>0</v>
      </c>
      <c r="W224">
        <v>0</v>
      </c>
      <c r="X224">
        <v>0</v>
      </c>
      <c r="Y224">
        <v>1</v>
      </c>
      <c r="Z224">
        <v>0</v>
      </c>
      <c r="AA224">
        <v>0</v>
      </c>
      <c r="AB224">
        <v>0</v>
      </c>
      <c r="AC224">
        <v>3</v>
      </c>
      <c r="AD224">
        <v>2</v>
      </c>
      <c r="AE224">
        <v>0</v>
      </c>
      <c r="AF224">
        <v>1</v>
      </c>
      <c r="AG224">
        <v>0</v>
      </c>
      <c r="AH224">
        <v>2</v>
      </c>
      <c r="AI224">
        <v>1</v>
      </c>
      <c r="AJ224">
        <v>0</v>
      </c>
      <c r="AK224">
        <v>0</v>
      </c>
      <c r="AL224">
        <v>0</v>
      </c>
      <c r="AM224">
        <v>2</v>
      </c>
      <c r="AN224">
        <v>0</v>
      </c>
      <c r="AO224">
        <v>0</v>
      </c>
      <c r="AP224">
        <v>0</v>
      </c>
      <c r="AQ224">
        <v>1</v>
      </c>
      <c r="AR224">
        <v>0</v>
      </c>
      <c r="AS224">
        <v>0</v>
      </c>
      <c r="AT224">
        <v>0</v>
      </c>
      <c r="AU224">
        <v>0</v>
      </c>
      <c r="AV224">
        <v>0</v>
      </c>
      <c r="AW224">
        <v>1</v>
      </c>
      <c r="AX224">
        <v>0</v>
      </c>
      <c r="AY224">
        <v>0</v>
      </c>
      <c r="AZ224">
        <v>1</v>
      </c>
      <c r="BA224">
        <v>0</v>
      </c>
      <c r="BB224">
        <v>0</v>
      </c>
      <c r="BC224">
        <v>4</v>
      </c>
      <c r="BD224">
        <v>1</v>
      </c>
      <c r="BE224">
        <v>0</v>
      </c>
      <c r="BF224">
        <v>0</v>
      </c>
      <c r="BG224">
        <v>1</v>
      </c>
      <c r="BH224">
        <v>0</v>
      </c>
      <c r="BI224">
        <v>1</v>
      </c>
      <c r="BJ224">
        <v>1</v>
      </c>
      <c r="BK224">
        <v>0</v>
      </c>
      <c r="BL224">
        <v>0</v>
      </c>
      <c r="BM224">
        <v>0</v>
      </c>
      <c r="BN224">
        <v>0</v>
      </c>
      <c r="BO224">
        <v>0</v>
      </c>
      <c r="BP224">
        <v>3</v>
      </c>
      <c r="BQ224">
        <v>1</v>
      </c>
      <c r="BR224">
        <v>0</v>
      </c>
      <c r="BS224">
        <v>0</v>
      </c>
      <c r="BT224">
        <v>0</v>
      </c>
      <c r="BU224">
        <v>1</v>
      </c>
      <c r="BV224">
        <v>0</v>
      </c>
      <c r="BW224">
        <v>0</v>
      </c>
      <c r="BX224">
        <v>3</v>
      </c>
      <c r="BY224">
        <v>0</v>
      </c>
      <c r="BZ224">
        <v>0</v>
      </c>
      <c r="CA224">
        <v>0</v>
      </c>
      <c r="CB224">
        <v>0</v>
      </c>
      <c r="CC224">
        <v>4</v>
      </c>
      <c r="CD224">
        <v>1</v>
      </c>
      <c r="CE224">
        <v>2</v>
      </c>
      <c r="CF224">
        <v>1</v>
      </c>
      <c r="CG224">
        <v>1</v>
      </c>
      <c r="CH224">
        <v>0</v>
      </c>
      <c r="CI224">
        <v>1</v>
      </c>
      <c r="CJ224">
        <v>1</v>
      </c>
      <c r="CK224">
        <v>1</v>
      </c>
    </row>
    <row r="225" spans="1:89" x14ac:dyDescent="0.25">
      <c r="A225" s="23" t="s">
        <v>453</v>
      </c>
      <c r="B225">
        <v>0</v>
      </c>
      <c r="C225">
        <v>1</v>
      </c>
      <c r="D225">
        <v>3</v>
      </c>
      <c r="E225">
        <v>0</v>
      </c>
      <c r="F225">
        <v>1</v>
      </c>
      <c r="G225">
        <v>4</v>
      </c>
      <c r="H225">
        <v>0</v>
      </c>
      <c r="I225">
        <v>1</v>
      </c>
      <c r="J225">
        <v>1</v>
      </c>
      <c r="K225">
        <v>1</v>
      </c>
      <c r="L225">
        <v>2</v>
      </c>
      <c r="M225">
        <v>1</v>
      </c>
      <c r="N225">
        <v>0</v>
      </c>
      <c r="O225">
        <v>0</v>
      </c>
      <c r="P225">
        <v>0</v>
      </c>
      <c r="Q225">
        <v>0</v>
      </c>
      <c r="R225">
        <v>1</v>
      </c>
      <c r="S225">
        <v>0</v>
      </c>
      <c r="T225">
        <v>1</v>
      </c>
      <c r="U225">
        <v>4</v>
      </c>
      <c r="V225">
        <v>1</v>
      </c>
      <c r="W225">
        <v>0</v>
      </c>
      <c r="X225">
        <v>1</v>
      </c>
      <c r="Y225">
        <v>3</v>
      </c>
      <c r="Z225">
        <v>2</v>
      </c>
      <c r="AA225">
        <v>0</v>
      </c>
      <c r="AC225">
        <v>1</v>
      </c>
      <c r="AD225">
        <v>0</v>
      </c>
      <c r="AE225">
        <v>0</v>
      </c>
      <c r="AF225">
        <v>0</v>
      </c>
      <c r="AG225">
        <v>0</v>
      </c>
      <c r="AH225">
        <v>1</v>
      </c>
      <c r="AI225">
        <v>2</v>
      </c>
      <c r="AJ225">
        <v>0</v>
      </c>
      <c r="AK225">
        <v>1</v>
      </c>
      <c r="AL225">
        <v>0</v>
      </c>
      <c r="AM225">
        <v>0</v>
      </c>
      <c r="AN225">
        <v>0</v>
      </c>
      <c r="AO225">
        <v>0</v>
      </c>
      <c r="AP225">
        <v>0</v>
      </c>
      <c r="AQ225">
        <v>2</v>
      </c>
      <c r="AR225">
        <v>0</v>
      </c>
      <c r="AS225">
        <v>0</v>
      </c>
      <c r="AT225">
        <v>4</v>
      </c>
      <c r="AU225">
        <v>0</v>
      </c>
      <c r="AV225">
        <v>0</v>
      </c>
      <c r="AW225">
        <v>2</v>
      </c>
      <c r="AX225">
        <v>0</v>
      </c>
      <c r="AY225">
        <v>0</v>
      </c>
      <c r="AZ225">
        <v>0</v>
      </c>
      <c r="BA225">
        <v>0</v>
      </c>
      <c r="BB225">
        <v>3</v>
      </c>
      <c r="BC225">
        <v>0</v>
      </c>
      <c r="BD225">
        <v>0</v>
      </c>
      <c r="BE225">
        <v>0</v>
      </c>
      <c r="BF225">
        <v>1</v>
      </c>
      <c r="BG225">
        <v>4</v>
      </c>
      <c r="BH225">
        <v>0</v>
      </c>
      <c r="BI225">
        <v>2</v>
      </c>
      <c r="BJ225">
        <v>1</v>
      </c>
      <c r="BK225">
        <v>0</v>
      </c>
      <c r="BL225">
        <v>1</v>
      </c>
      <c r="BM225">
        <v>3</v>
      </c>
      <c r="BN225">
        <v>1</v>
      </c>
      <c r="BO225">
        <v>1</v>
      </c>
      <c r="BP225">
        <v>0</v>
      </c>
      <c r="BQ225">
        <v>0</v>
      </c>
      <c r="BR225">
        <v>0</v>
      </c>
      <c r="BS225">
        <v>0</v>
      </c>
      <c r="BT225">
        <v>0</v>
      </c>
      <c r="BU225">
        <v>1</v>
      </c>
      <c r="BV225">
        <v>0</v>
      </c>
      <c r="BW225">
        <v>0</v>
      </c>
      <c r="BX225">
        <v>1</v>
      </c>
      <c r="BY225">
        <v>0</v>
      </c>
      <c r="BZ225">
        <v>1</v>
      </c>
      <c r="CA225">
        <v>0</v>
      </c>
      <c r="CB225">
        <v>1</v>
      </c>
      <c r="CC225">
        <v>2</v>
      </c>
      <c r="CD225">
        <v>1</v>
      </c>
      <c r="CE225">
        <v>0</v>
      </c>
      <c r="CF225">
        <v>1</v>
      </c>
      <c r="CG225">
        <v>3</v>
      </c>
      <c r="CH225">
        <v>0</v>
      </c>
      <c r="CI225">
        <v>1</v>
      </c>
      <c r="CJ225">
        <v>0</v>
      </c>
      <c r="CK225">
        <v>4</v>
      </c>
    </row>
    <row r="226" spans="1:89" x14ac:dyDescent="0.25">
      <c r="A226" s="23" t="s">
        <v>454</v>
      </c>
      <c r="B226">
        <v>0</v>
      </c>
      <c r="C226">
        <v>1</v>
      </c>
      <c r="D226">
        <v>3</v>
      </c>
      <c r="E226">
        <v>1</v>
      </c>
      <c r="F226">
        <v>1</v>
      </c>
      <c r="G226">
        <v>4</v>
      </c>
      <c r="H226">
        <v>1</v>
      </c>
      <c r="I226">
        <v>1</v>
      </c>
      <c r="J226">
        <v>1</v>
      </c>
      <c r="K226">
        <v>1</v>
      </c>
      <c r="L226">
        <v>2</v>
      </c>
      <c r="M226">
        <v>1</v>
      </c>
      <c r="N226">
        <v>2</v>
      </c>
      <c r="O226">
        <v>0</v>
      </c>
      <c r="P226">
        <v>1</v>
      </c>
      <c r="Q226">
        <v>0</v>
      </c>
      <c r="R226">
        <v>0</v>
      </c>
      <c r="S226">
        <v>2</v>
      </c>
      <c r="T226">
        <v>1</v>
      </c>
      <c r="U226">
        <v>0</v>
      </c>
      <c r="V226">
        <v>0</v>
      </c>
      <c r="W226">
        <v>1</v>
      </c>
      <c r="X226">
        <v>0</v>
      </c>
      <c r="Y226">
        <v>3</v>
      </c>
      <c r="Z226">
        <v>1</v>
      </c>
      <c r="AA226">
        <v>0</v>
      </c>
      <c r="AB226">
        <v>0</v>
      </c>
      <c r="AC226">
        <v>3</v>
      </c>
      <c r="AD226">
        <v>2</v>
      </c>
      <c r="AE226">
        <v>0</v>
      </c>
      <c r="AF226">
        <v>0</v>
      </c>
      <c r="AG226">
        <v>0</v>
      </c>
      <c r="AH226">
        <v>0</v>
      </c>
      <c r="AI226">
        <v>2</v>
      </c>
      <c r="AJ226">
        <v>0</v>
      </c>
      <c r="AK226">
        <v>0</v>
      </c>
      <c r="AL226">
        <v>0</v>
      </c>
      <c r="AM226">
        <v>0</v>
      </c>
      <c r="AN226">
        <v>0</v>
      </c>
      <c r="AO226">
        <v>0</v>
      </c>
      <c r="AP226">
        <v>0</v>
      </c>
      <c r="AQ226">
        <v>1</v>
      </c>
      <c r="AR226">
        <v>0</v>
      </c>
      <c r="AS226">
        <v>0</v>
      </c>
      <c r="AT226">
        <v>3</v>
      </c>
      <c r="AU226">
        <v>0</v>
      </c>
      <c r="AV226">
        <v>0</v>
      </c>
      <c r="AW226">
        <v>0</v>
      </c>
      <c r="AX226">
        <v>0</v>
      </c>
      <c r="AY226">
        <v>1</v>
      </c>
      <c r="AZ226">
        <v>1</v>
      </c>
      <c r="BA226">
        <v>0</v>
      </c>
      <c r="BB226">
        <v>0</v>
      </c>
      <c r="BC226">
        <v>2</v>
      </c>
      <c r="BD226">
        <v>3</v>
      </c>
      <c r="BE226">
        <v>0</v>
      </c>
      <c r="BF226">
        <v>1</v>
      </c>
      <c r="BG226">
        <v>4</v>
      </c>
      <c r="BH226">
        <v>1</v>
      </c>
      <c r="BI226">
        <v>1</v>
      </c>
      <c r="BJ226">
        <v>1</v>
      </c>
      <c r="BK226">
        <v>1</v>
      </c>
      <c r="BL226">
        <v>1</v>
      </c>
      <c r="BM226">
        <v>0</v>
      </c>
      <c r="BN226">
        <v>0</v>
      </c>
      <c r="BO226">
        <v>0</v>
      </c>
      <c r="BP226">
        <v>0</v>
      </c>
      <c r="BQ226">
        <v>0</v>
      </c>
      <c r="BR226">
        <v>0</v>
      </c>
      <c r="BS226">
        <v>4</v>
      </c>
      <c r="BT226">
        <v>3</v>
      </c>
      <c r="BU226">
        <v>0</v>
      </c>
      <c r="BV226">
        <v>0</v>
      </c>
      <c r="BW226">
        <v>0</v>
      </c>
      <c r="BX226">
        <v>1</v>
      </c>
      <c r="BY226">
        <v>2</v>
      </c>
      <c r="BZ226">
        <v>0</v>
      </c>
      <c r="CA226">
        <v>0</v>
      </c>
      <c r="CB226">
        <v>0</v>
      </c>
      <c r="CC226">
        <v>2</v>
      </c>
      <c r="CD226">
        <v>1</v>
      </c>
      <c r="CE226">
        <v>3</v>
      </c>
      <c r="CF226">
        <v>1</v>
      </c>
      <c r="CG226">
        <v>3</v>
      </c>
      <c r="CH226">
        <v>2</v>
      </c>
      <c r="CI226">
        <v>1</v>
      </c>
      <c r="CJ226">
        <v>0</v>
      </c>
      <c r="CK226">
        <v>0</v>
      </c>
    </row>
    <row r="227" spans="1:89" x14ac:dyDescent="0.25">
      <c r="A227" s="23" t="s">
        <v>455</v>
      </c>
      <c r="B227">
        <v>1</v>
      </c>
      <c r="C227">
        <v>1</v>
      </c>
      <c r="D227">
        <v>1</v>
      </c>
      <c r="E227">
        <v>1</v>
      </c>
      <c r="F227">
        <v>1</v>
      </c>
      <c r="G227">
        <v>3</v>
      </c>
      <c r="H227">
        <v>2</v>
      </c>
      <c r="I227">
        <v>0</v>
      </c>
      <c r="J227">
        <v>2</v>
      </c>
      <c r="K227">
        <v>2</v>
      </c>
      <c r="L227">
        <v>2</v>
      </c>
      <c r="M227">
        <v>3</v>
      </c>
      <c r="N227">
        <v>0</v>
      </c>
      <c r="O227">
        <v>0</v>
      </c>
      <c r="P227">
        <v>0</v>
      </c>
      <c r="Q227">
        <v>0</v>
      </c>
      <c r="R227">
        <v>0</v>
      </c>
      <c r="S227">
        <v>0</v>
      </c>
      <c r="T227">
        <v>4</v>
      </c>
      <c r="U227">
        <v>0</v>
      </c>
      <c r="V227">
        <v>0</v>
      </c>
      <c r="W227">
        <v>0</v>
      </c>
      <c r="X227">
        <v>1</v>
      </c>
      <c r="Y227">
        <v>3</v>
      </c>
      <c r="Z227">
        <v>1</v>
      </c>
      <c r="AA227">
        <v>1</v>
      </c>
      <c r="AB227">
        <v>0</v>
      </c>
      <c r="AC227">
        <v>1</v>
      </c>
      <c r="AD227">
        <v>1</v>
      </c>
      <c r="AE227">
        <v>4</v>
      </c>
      <c r="AF227">
        <v>1</v>
      </c>
      <c r="AG227">
        <v>1</v>
      </c>
      <c r="AH227">
        <v>1</v>
      </c>
      <c r="AI227">
        <v>2</v>
      </c>
      <c r="AJ227">
        <v>0</v>
      </c>
      <c r="AK227">
        <v>2</v>
      </c>
      <c r="AL227">
        <v>1</v>
      </c>
      <c r="AM227">
        <v>0</v>
      </c>
      <c r="AN227">
        <v>0</v>
      </c>
      <c r="AO227">
        <v>0</v>
      </c>
      <c r="AP227">
        <v>0</v>
      </c>
      <c r="AQ227">
        <v>0</v>
      </c>
      <c r="AR227">
        <v>0</v>
      </c>
      <c r="AS227">
        <v>0</v>
      </c>
      <c r="AT227">
        <v>4</v>
      </c>
      <c r="AU227">
        <v>0</v>
      </c>
      <c r="AV227">
        <v>0</v>
      </c>
      <c r="AW227">
        <v>1</v>
      </c>
      <c r="AX227">
        <v>0</v>
      </c>
      <c r="AY227">
        <v>0</v>
      </c>
      <c r="AZ227">
        <v>0</v>
      </c>
      <c r="BA227">
        <v>0</v>
      </c>
      <c r="BB227">
        <v>0</v>
      </c>
      <c r="BC227">
        <v>1</v>
      </c>
      <c r="BD227">
        <v>3</v>
      </c>
      <c r="BE227">
        <v>0</v>
      </c>
      <c r="BF227">
        <v>1</v>
      </c>
      <c r="BG227">
        <v>3</v>
      </c>
      <c r="BH227">
        <v>0</v>
      </c>
      <c r="BI227">
        <v>0</v>
      </c>
      <c r="BJ227">
        <v>0</v>
      </c>
      <c r="BK227">
        <v>0</v>
      </c>
      <c r="BL227">
        <v>0</v>
      </c>
      <c r="BM227">
        <v>0</v>
      </c>
      <c r="BN227">
        <v>4</v>
      </c>
      <c r="BO227">
        <v>0</v>
      </c>
      <c r="BP227">
        <v>1</v>
      </c>
      <c r="BQ227">
        <v>1</v>
      </c>
      <c r="BR227">
        <v>0</v>
      </c>
      <c r="BS227">
        <v>3</v>
      </c>
      <c r="BT227">
        <v>1</v>
      </c>
      <c r="BU227">
        <v>2</v>
      </c>
      <c r="BV227">
        <v>0</v>
      </c>
      <c r="BW227">
        <v>2</v>
      </c>
      <c r="BX227">
        <v>0</v>
      </c>
      <c r="BY227">
        <v>0</v>
      </c>
      <c r="BZ227">
        <v>0</v>
      </c>
      <c r="CA227">
        <v>0</v>
      </c>
      <c r="CB227">
        <v>4</v>
      </c>
      <c r="CC227">
        <v>2</v>
      </c>
      <c r="CD227">
        <v>0</v>
      </c>
      <c r="CE227">
        <v>4</v>
      </c>
      <c r="CF227">
        <v>0</v>
      </c>
      <c r="CG227">
        <v>0</v>
      </c>
      <c r="CH227">
        <v>0</v>
      </c>
      <c r="CI227">
        <v>1</v>
      </c>
      <c r="CJ227">
        <v>0</v>
      </c>
      <c r="CK227">
        <v>0</v>
      </c>
    </row>
    <row r="228" spans="1:89" x14ac:dyDescent="0.25">
      <c r="A228" s="23"/>
    </row>
    <row r="229" spans="1:89" x14ac:dyDescent="0.25">
      <c r="A229" s="23" t="s">
        <v>456</v>
      </c>
      <c r="B229">
        <v>30</v>
      </c>
      <c r="C229">
        <v>37</v>
      </c>
      <c r="D229">
        <v>37</v>
      </c>
      <c r="E229">
        <v>0</v>
      </c>
      <c r="F229">
        <v>33</v>
      </c>
      <c r="G229">
        <v>37</v>
      </c>
      <c r="H229">
        <v>33</v>
      </c>
      <c r="I229">
        <v>0</v>
      </c>
      <c r="J229">
        <v>3</v>
      </c>
      <c r="L229">
        <v>2</v>
      </c>
      <c r="M229">
        <v>25</v>
      </c>
      <c r="P229">
        <v>29</v>
      </c>
      <c r="Q229">
        <v>37</v>
      </c>
      <c r="R229">
        <v>37</v>
      </c>
      <c r="S229">
        <v>30</v>
      </c>
      <c r="U229">
        <v>0</v>
      </c>
      <c r="Y229">
        <v>20</v>
      </c>
      <c r="Z229">
        <v>16</v>
      </c>
      <c r="AA229">
        <v>30</v>
      </c>
      <c r="AC229">
        <v>32</v>
      </c>
      <c r="AD229">
        <v>37</v>
      </c>
      <c r="AE229">
        <v>30</v>
      </c>
      <c r="AF229">
        <v>37</v>
      </c>
      <c r="AG229">
        <v>33</v>
      </c>
      <c r="AH229">
        <v>5</v>
      </c>
      <c r="AI229">
        <v>35</v>
      </c>
      <c r="AJ229">
        <v>1</v>
      </c>
      <c r="AK229">
        <v>37</v>
      </c>
      <c r="AL229">
        <v>18</v>
      </c>
      <c r="AM229">
        <v>37</v>
      </c>
      <c r="AN229">
        <v>0</v>
      </c>
      <c r="AP229">
        <v>26</v>
      </c>
      <c r="AT229">
        <v>0</v>
      </c>
      <c r="AU229">
        <v>37</v>
      </c>
      <c r="AW229">
        <v>0</v>
      </c>
      <c r="AX229">
        <v>30</v>
      </c>
      <c r="AZ229">
        <v>0</v>
      </c>
      <c r="BC229">
        <v>0</v>
      </c>
      <c r="BF229">
        <v>37</v>
      </c>
      <c r="BG229">
        <v>37</v>
      </c>
      <c r="BI229">
        <v>34</v>
      </c>
      <c r="BK229">
        <v>37</v>
      </c>
      <c r="BM229">
        <v>37</v>
      </c>
      <c r="BN229">
        <v>0</v>
      </c>
      <c r="BO229">
        <v>7</v>
      </c>
      <c r="BQ229">
        <v>10</v>
      </c>
      <c r="BR229">
        <v>5</v>
      </c>
      <c r="BT229">
        <v>37</v>
      </c>
      <c r="BU229">
        <v>0</v>
      </c>
      <c r="BW229">
        <v>37</v>
      </c>
      <c r="BX229">
        <v>37</v>
      </c>
      <c r="BZ229">
        <v>0</v>
      </c>
      <c r="CA229">
        <v>37</v>
      </c>
      <c r="CC229">
        <v>3</v>
      </c>
      <c r="CD229">
        <v>37</v>
      </c>
      <c r="CE229">
        <v>2</v>
      </c>
      <c r="CF229">
        <v>16</v>
      </c>
      <c r="CH229">
        <v>18</v>
      </c>
      <c r="CJ229">
        <v>5</v>
      </c>
      <c r="CK229">
        <v>26</v>
      </c>
    </row>
    <row r="230" spans="1:89" x14ac:dyDescent="0.25">
      <c r="A230" s="23" t="s">
        <v>457</v>
      </c>
      <c r="B230">
        <v>21</v>
      </c>
      <c r="C230">
        <v>37</v>
      </c>
      <c r="D230">
        <v>37</v>
      </c>
      <c r="E230">
        <v>1</v>
      </c>
      <c r="F230">
        <v>8</v>
      </c>
      <c r="G230">
        <v>0</v>
      </c>
      <c r="H230">
        <v>34</v>
      </c>
      <c r="J230">
        <v>0</v>
      </c>
      <c r="L230">
        <v>7</v>
      </c>
      <c r="M230">
        <v>0</v>
      </c>
      <c r="P230">
        <v>12</v>
      </c>
      <c r="Q230">
        <v>29</v>
      </c>
      <c r="R230">
        <v>0</v>
      </c>
      <c r="S230">
        <v>37</v>
      </c>
      <c r="U230">
        <v>0</v>
      </c>
      <c r="Z230">
        <v>5</v>
      </c>
      <c r="AA230">
        <v>4</v>
      </c>
      <c r="AC230">
        <v>36</v>
      </c>
      <c r="AD230">
        <v>37</v>
      </c>
      <c r="AE230">
        <v>37</v>
      </c>
      <c r="AF230">
        <v>25</v>
      </c>
      <c r="AG230">
        <v>7</v>
      </c>
      <c r="AH230">
        <v>27</v>
      </c>
      <c r="AI230">
        <v>37</v>
      </c>
      <c r="AJ230">
        <v>0</v>
      </c>
      <c r="AK230">
        <v>37</v>
      </c>
      <c r="AL230">
        <v>28</v>
      </c>
      <c r="AM230">
        <v>37</v>
      </c>
      <c r="AN230">
        <v>0</v>
      </c>
      <c r="AP230">
        <v>29</v>
      </c>
      <c r="AS230">
        <v>37</v>
      </c>
      <c r="AT230">
        <v>31</v>
      </c>
      <c r="AU230">
        <v>35</v>
      </c>
      <c r="AW230">
        <v>0</v>
      </c>
      <c r="AZ230">
        <v>1</v>
      </c>
      <c r="BC230">
        <v>0</v>
      </c>
      <c r="BD230">
        <v>2</v>
      </c>
      <c r="BF230">
        <v>37</v>
      </c>
      <c r="BG230">
        <v>37</v>
      </c>
      <c r="BI230">
        <v>37</v>
      </c>
      <c r="BK230">
        <v>37</v>
      </c>
      <c r="BM230">
        <v>37</v>
      </c>
      <c r="BN230">
        <v>0</v>
      </c>
      <c r="BO230">
        <v>32</v>
      </c>
      <c r="BQ230">
        <v>0</v>
      </c>
      <c r="BR230">
        <v>12</v>
      </c>
      <c r="BT230">
        <v>37</v>
      </c>
      <c r="BU230">
        <v>0</v>
      </c>
      <c r="BX230">
        <v>37</v>
      </c>
      <c r="BY230">
        <v>36</v>
      </c>
      <c r="BZ230">
        <v>4</v>
      </c>
      <c r="CA230">
        <v>37</v>
      </c>
      <c r="CC230">
        <v>0</v>
      </c>
      <c r="CD230">
        <v>27</v>
      </c>
      <c r="CE230">
        <v>0</v>
      </c>
      <c r="CF230">
        <v>7</v>
      </c>
      <c r="CG230">
        <v>4</v>
      </c>
      <c r="CH230">
        <v>0</v>
      </c>
      <c r="CJ230">
        <v>0</v>
      </c>
      <c r="CK230">
        <v>0</v>
      </c>
    </row>
    <row r="231" spans="1:89" x14ac:dyDescent="0.25">
      <c r="A231" s="23" t="s">
        <v>458</v>
      </c>
      <c r="B231">
        <v>23</v>
      </c>
      <c r="C231">
        <v>33</v>
      </c>
      <c r="D231">
        <v>37</v>
      </c>
      <c r="E231">
        <v>1</v>
      </c>
      <c r="F231">
        <v>37</v>
      </c>
      <c r="G231">
        <v>7</v>
      </c>
      <c r="H231">
        <v>37</v>
      </c>
      <c r="J231">
        <v>21</v>
      </c>
      <c r="L231">
        <v>8</v>
      </c>
      <c r="M231">
        <v>0</v>
      </c>
      <c r="P231">
        <v>35</v>
      </c>
      <c r="Q231">
        <v>0</v>
      </c>
      <c r="R231">
        <v>37</v>
      </c>
      <c r="S231">
        <v>34</v>
      </c>
      <c r="U231">
        <v>0</v>
      </c>
      <c r="W231">
        <v>0</v>
      </c>
      <c r="Y231">
        <v>3</v>
      </c>
      <c r="Z231">
        <v>0</v>
      </c>
      <c r="AA231">
        <v>37</v>
      </c>
      <c r="AC231">
        <v>31</v>
      </c>
      <c r="AD231">
        <v>37</v>
      </c>
      <c r="AE231">
        <v>30</v>
      </c>
      <c r="AF231">
        <v>29</v>
      </c>
      <c r="AG231">
        <v>35</v>
      </c>
      <c r="AH231">
        <v>5</v>
      </c>
      <c r="AI231">
        <v>0</v>
      </c>
      <c r="AK231">
        <v>37</v>
      </c>
      <c r="AL231">
        <v>22</v>
      </c>
      <c r="AM231">
        <v>37</v>
      </c>
      <c r="AN231">
        <v>0</v>
      </c>
      <c r="AO231">
        <v>0</v>
      </c>
      <c r="AP231">
        <v>26</v>
      </c>
      <c r="AS231">
        <v>37</v>
      </c>
      <c r="AT231">
        <v>7</v>
      </c>
      <c r="AU231">
        <v>9</v>
      </c>
      <c r="AV231">
        <v>4</v>
      </c>
      <c r="AW231">
        <v>0</v>
      </c>
      <c r="AX231">
        <v>3</v>
      </c>
      <c r="AZ231">
        <v>0</v>
      </c>
      <c r="BC231">
        <v>0</v>
      </c>
      <c r="BD231">
        <v>10</v>
      </c>
      <c r="BF231">
        <v>36</v>
      </c>
      <c r="BG231">
        <v>37</v>
      </c>
      <c r="BI231">
        <v>32</v>
      </c>
      <c r="BK231">
        <v>37</v>
      </c>
      <c r="BM231">
        <v>37</v>
      </c>
      <c r="BN231">
        <v>0</v>
      </c>
      <c r="BO231">
        <v>6</v>
      </c>
      <c r="BQ231">
        <v>0</v>
      </c>
      <c r="BR231">
        <v>15</v>
      </c>
      <c r="BT231">
        <v>37</v>
      </c>
      <c r="BU231">
        <v>4</v>
      </c>
      <c r="BX231">
        <v>37</v>
      </c>
      <c r="BY231">
        <v>28</v>
      </c>
      <c r="BZ231">
        <v>12</v>
      </c>
      <c r="CA231">
        <v>37</v>
      </c>
      <c r="CC231">
        <v>0</v>
      </c>
      <c r="CD231">
        <v>0</v>
      </c>
      <c r="CE231">
        <v>11</v>
      </c>
      <c r="CF231">
        <v>2</v>
      </c>
      <c r="CG231">
        <v>0</v>
      </c>
      <c r="CH231">
        <v>4</v>
      </c>
      <c r="CI231">
        <v>0</v>
      </c>
      <c r="CJ231">
        <v>0</v>
      </c>
      <c r="CK231">
        <v>35</v>
      </c>
    </row>
    <row r="232" spans="1:89" x14ac:dyDescent="0.25">
      <c r="A232" s="23" t="s">
        <v>459</v>
      </c>
      <c r="B232">
        <v>2</v>
      </c>
      <c r="C232">
        <v>30</v>
      </c>
      <c r="D232">
        <v>37</v>
      </c>
      <c r="E232">
        <v>12</v>
      </c>
      <c r="F232">
        <v>33</v>
      </c>
      <c r="G232">
        <v>37</v>
      </c>
      <c r="H232">
        <v>37</v>
      </c>
      <c r="J232">
        <v>23</v>
      </c>
      <c r="L232">
        <v>2</v>
      </c>
      <c r="M232">
        <v>31</v>
      </c>
      <c r="P232">
        <v>3</v>
      </c>
      <c r="Q232">
        <v>37</v>
      </c>
      <c r="R232">
        <v>37</v>
      </c>
      <c r="S232">
        <v>27</v>
      </c>
      <c r="U232">
        <v>4</v>
      </c>
      <c r="W232">
        <v>0</v>
      </c>
      <c r="AA232">
        <v>37</v>
      </c>
      <c r="AC232">
        <v>23</v>
      </c>
      <c r="AD232">
        <v>37</v>
      </c>
      <c r="AE232">
        <v>0</v>
      </c>
      <c r="AF232">
        <v>34</v>
      </c>
      <c r="AG232">
        <v>0</v>
      </c>
      <c r="AH232">
        <v>0</v>
      </c>
      <c r="AK232">
        <v>37</v>
      </c>
      <c r="AL232">
        <v>16</v>
      </c>
      <c r="AM232">
        <v>37</v>
      </c>
      <c r="AN232">
        <v>0</v>
      </c>
      <c r="AO232">
        <v>25</v>
      </c>
      <c r="AP232">
        <v>21</v>
      </c>
      <c r="AS232">
        <v>32</v>
      </c>
      <c r="AT232">
        <v>37</v>
      </c>
      <c r="AU232">
        <v>0</v>
      </c>
      <c r="AV232">
        <v>0</v>
      </c>
      <c r="AW232">
        <v>2</v>
      </c>
      <c r="AX232">
        <v>0</v>
      </c>
      <c r="AZ232">
        <v>0</v>
      </c>
      <c r="BC232">
        <v>28</v>
      </c>
      <c r="BD232">
        <v>4</v>
      </c>
      <c r="BF232">
        <v>27</v>
      </c>
      <c r="BG232">
        <v>37</v>
      </c>
      <c r="BI232">
        <v>31</v>
      </c>
      <c r="BK232">
        <v>37</v>
      </c>
      <c r="BM232">
        <v>24</v>
      </c>
      <c r="BN232">
        <v>0</v>
      </c>
      <c r="BO232">
        <v>0</v>
      </c>
      <c r="BQ232">
        <v>0</v>
      </c>
      <c r="BR232">
        <v>1</v>
      </c>
      <c r="BT232">
        <v>37</v>
      </c>
      <c r="BU232">
        <v>6</v>
      </c>
      <c r="BX232">
        <v>37</v>
      </c>
      <c r="BY232">
        <v>26</v>
      </c>
      <c r="BZ232">
        <v>0</v>
      </c>
      <c r="CA232">
        <v>7</v>
      </c>
      <c r="CC232">
        <v>0</v>
      </c>
      <c r="CD232">
        <v>23</v>
      </c>
      <c r="CE232">
        <v>7</v>
      </c>
      <c r="CF232">
        <v>0</v>
      </c>
      <c r="CG232">
        <v>0</v>
      </c>
      <c r="CH232">
        <v>4</v>
      </c>
      <c r="CJ232">
        <v>0</v>
      </c>
      <c r="CK232">
        <v>37</v>
      </c>
    </row>
    <row r="233" spans="1:89" x14ac:dyDescent="0.25">
      <c r="A233" s="23" t="s">
        <v>460</v>
      </c>
      <c r="B233">
        <v>7</v>
      </c>
      <c r="C233">
        <v>30</v>
      </c>
      <c r="D233">
        <v>37</v>
      </c>
      <c r="E233">
        <v>37</v>
      </c>
      <c r="F233">
        <v>37</v>
      </c>
      <c r="G233">
        <v>15</v>
      </c>
      <c r="H233">
        <v>36</v>
      </c>
      <c r="J233">
        <v>25</v>
      </c>
      <c r="L233">
        <v>9</v>
      </c>
      <c r="M233">
        <v>30</v>
      </c>
      <c r="P233">
        <v>0</v>
      </c>
      <c r="Q233">
        <v>37</v>
      </c>
      <c r="R233">
        <v>37</v>
      </c>
      <c r="S233">
        <v>32</v>
      </c>
      <c r="U233">
        <v>0</v>
      </c>
      <c r="W233">
        <v>0</v>
      </c>
      <c r="Z233">
        <v>0</v>
      </c>
      <c r="AA233">
        <v>37</v>
      </c>
      <c r="AC233">
        <v>27</v>
      </c>
      <c r="AD233">
        <v>37</v>
      </c>
      <c r="AE233">
        <v>14</v>
      </c>
      <c r="AF233">
        <v>32</v>
      </c>
      <c r="AG233">
        <v>4</v>
      </c>
      <c r="AH233">
        <v>0</v>
      </c>
      <c r="AI233">
        <v>7</v>
      </c>
      <c r="AJ233">
        <v>5</v>
      </c>
      <c r="AK233">
        <v>34</v>
      </c>
      <c r="AL233">
        <v>28</v>
      </c>
      <c r="AM233">
        <v>37</v>
      </c>
      <c r="AN233">
        <v>10</v>
      </c>
      <c r="AO233">
        <v>0</v>
      </c>
      <c r="AP233">
        <v>0</v>
      </c>
      <c r="AT233">
        <v>37</v>
      </c>
      <c r="AU233">
        <v>5</v>
      </c>
      <c r="AV233">
        <v>14</v>
      </c>
      <c r="AW233">
        <v>11</v>
      </c>
      <c r="AX233">
        <v>37</v>
      </c>
      <c r="AZ233">
        <v>0</v>
      </c>
      <c r="BC233">
        <v>0</v>
      </c>
      <c r="BF233">
        <v>5</v>
      </c>
      <c r="BG233">
        <v>37</v>
      </c>
      <c r="BI233">
        <v>0</v>
      </c>
      <c r="BK233">
        <v>37</v>
      </c>
      <c r="BM233">
        <v>37</v>
      </c>
      <c r="BN233">
        <v>4</v>
      </c>
      <c r="BO233">
        <v>9</v>
      </c>
      <c r="BQ233">
        <v>0</v>
      </c>
      <c r="BT233">
        <v>35</v>
      </c>
      <c r="BU233">
        <v>36</v>
      </c>
      <c r="BX233">
        <v>37</v>
      </c>
      <c r="BY233">
        <v>6</v>
      </c>
      <c r="BZ233">
        <v>37</v>
      </c>
      <c r="CA233">
        <v>2</v>
      </c>
      <c r="CC233">
        <v>20</v>
      </c>
      <c r="CD233">
        <v>0</v>
      </c>
      <c r="CE233">
        <v>0</v>
      </c>
      <c r="CF233">
        <v>2</v>
      </c>
      <c r="CG233">
        <v>0</v>
      </c>
      <c r="CH233">
        <v>4</v>
      </c>
      <c r="CJ233">
        <v>0</v>
      </c>
      <c r="CK233">
        <v>3</v>
      </c>
    </row>
    <row r="234" spans="1:89" x14ac:dyDescent="0.25">
      <c r="A234" s="23" t="s">
        <v>461</v>
      </c>
      <c r="B234">
        <v>37</v>
      </c>
      <c r="C234">
        <v>0</v>
      </c>
      <c r="D234">
        <v>37</v>
      </c>
      <c r="E234">
        <v>1</v>
      </c>
      <c r="F234">
        <v>37</v>
      </c>
      <c r="G234">
        <v>0</v>
      </c>
      <c r="H234">
        <v>9</v>
      </c>
      <c r="J234">
        <v>32</v>
      </c>
      <c r="L234">
        <v>37</v>
      </c>
      <c r="M234">
        <v>37</v>
      </c>
      <c r="P234">
        <v>9</v>
      </c>
      <c r="Q234">
        <v>37</v>
      </c>
      <c r="R234">
        <v>37</v>
      </c>
      <c r="S234">
        <v>37</v>
      </c>
      <c r="U234">
        <v>0</v>
      </c>
      <c r="W234">
        <v>1</v>
      </c>
      <c r="Z234">
        <v>0</v>
      </c>
      <c r="AA234">
        <v>0</v>
      </c>
      <c r="AC234">
        <v>0</v>
      </c>
      <c r="AD234">
        <v>37</v>
      </c>
      <c r="AE234">
        <v>1</v>
      </c>
      <c r="AF234">
        <v>23</v>
      </c>
      <c r="AG234">
        <v>0</v>
      </c>
      <c r="AI234">
        <v>7</v>
      </c>
      <c r="AK234">
        <v>37</v>
      </c>
      <c r="AL234">
        <v>36</v>
      </c>
      <c r="AM234">
        <v>37</v>
      </c>
      <c r="AN234">
        <v>1</v>
      </c>
      <c r="AO234">
        <v>4</v>
      </c>
      <c r="AP234">
        <v>5</v>
      </c>
      <c r="AT234">
        <v>0</v>
      </c>
      <c r="AU234">
        <v>0</v>
      </c>
      <c r="AV234">
        <v>0</v>
      </c>
      <c r="AW234">
        <v>32</v>
      </c>
      <c r="AZ234">
        <v>3</v>
      </c>
      <c r="BC234">
        <v>0</v>
      </c>
      <c r="BD234">
        <v>27</v>
      </c>
      <c r="BF234">
        <v>0</v>
      </c>
      <c r="BG234">
        <v>37</v>
      </c>
      <c r="BI234">
        <v>0</v>
      </c>
      <c r="BK234">
        <v>37</v>
      </c>
      <c r="BM234">
        <v>37</v>
      </c>
      <c r="BN234">
        <v>0</v>
      </c>
      <c r="BO234">
        <v>2</v>
      </c>
      <c r="BQ234">
        <v>10</v>
      </c>
      <c r="BR234">
        <v>12</v>
      </c>
      <c r="BT234">
        <v>37</v>
      </c>
      <c r="BU234">
        <v>24</v>
      </c>
      <c r="BX234">
        <v>37</v>
      </c>
      <c r="BY234">
        <v>9</v>
      </c>
      <c r="BZ234">
        <v>33</v>
      </c>
      <c r="CA234">
        <v>37</v>
      </c>
      <c r="CC234">
        <v>2</v>
      </c>
      <c r="CD234">
        <v>7</v>
      </c>
      <c r="CE234">
        <v>3</v>
      </c>
      <c r="CF234">
        <v>1</v>
      </c>
      <c r="CG234">
        <v>0</v>
      </c>
      <c r="CH234">
        <v>0</v>
      </c>
      <c r="CI234">
        <v>0</v>
      </c>
      <c r="CJ234">
        <v>0</v>
      </c>
      <c r="CK234">
        <v>0</v>
      </c>
    </row>
    <row r="235" spans="1:89" x14ac:dyDescent="0.25">
      <c r="A235" s="23" t="s">
        <v>462</v>
      </c>
      <c r="B235">
        <v>36</v>
      </c>
      <c r="C235">
        <v>7</v>
      </c>
      <c r="D235">
        <v>37</v>
      </c>
      <c r="E235">
        <v>0</v>
      </c>
      <c r="F235">
        <v>37</v>
      </c>
      <c r="G235">
        <v>6</v>
      </c>
      <c r="H235">
        <v>33</v>
      </c>
      <c r="J235">
        <v>22</v>
      </c>
      <c r="L235">
        <v>28</v>
      </c>
      <c r="M235">
        <v>22</v>
      </c>
      <c r="P235">
        <v>0</v>
      </c>
      <c r="R235">
        <v>37</v>
      </c>
      <c r="S235">
        <v>37</v>
      </c>
      <c r="U235">
        <v>0</v>
      </c>
      <c r="W235">
        <v>23</v>
      </c>
      <c r="Z235">
        <v>2</v>
      </c>
      <c r="AA235">
        <v>32</v>
      </c>
      <c r="AC235">
        <v>0</v>
      </c>
      <c r="AD235">
        <v>37</v>
      </c>
      <c r="AE235">
        <v>21</v>
      </c>
      <c r="AF235">
        <v>26</v>
      </c>
      <c r="AG235">
        <v>0</v>
      </c>
      <c r="AH235">
        <v>0</v>
      </c>
      <c r="AI235">
        <v>29</v>
      </c>
      <c r="AJ235">
        <v>0</v>
      </c>
      <c r="AK235">
        <v>37</v>
      </c>
      <c r="AL235">
        <v>10</v>
      </c>
      <c r="AM235">
        <v>35</v>
      </c>
      <c r="AN235">
        <v>0</v>
      </c>
      <c r="AO235">
        <v>0</v>
      </c>
      <c r="AP235">
        <v>0</v>
      </c>
      <c r="AT235">
        <v>4</v>
      </c>
      <c r="AU235">
        <v>22</v>
      </c>
      <c r="AW235">
        <v>37</v>
      </c>
      <c r="AZ235">
        <v>0</v>
      </c>
      <c r="BC235">
        <v>5</v>
      </c>
      <c r="BD235">
        <v>35</v>
      </c>
      <c r="BF235">
        <v>20</v>
      </c>
      <c r="BG235">
        <v>37</v>
      </c>
      <c r="BI235">
        <v>14</v>
      </c>
      <c r="BK235">
        <v>37</v>
      </c>
      <c r="BM235">
        <v>37</v>
      </c>
      <c r="BN235">
        <v>0</v>
      </c>
      <c r="BO235">
        <v>9</v>
      </c>
      <c r="BQ235">
        <v>0</v>
      </c>
      <c r="BR235">
        <v>3</v>
      </c>
      <c r="BT235">
        <v>37</v>
      </c>
      <c r="BU235">
        <v>30</v>
      </c>
      <c r="BX235">
        <v>37</v>
      </c>
      <c r="BY235">
        <v>7</v>
      </c>
      <c r="BZ235">
        <v>37</v>
      </c>
      <c r="CA235">
        <v>37</v>
      </c>
      <c r="CC235">
        <v>37</v>
      </c>
      <c r="CD235">
        <v>36</v>
      </c>
      <c r="CE235">
        <v>0</v>
      </c>
      <c r="CF235">
        <v>13</v>
      </c>
      <c r="CG235">
        <v>2</v>
      </c>
      <c r="CH235">
        <v>9</v>
      </c>
      <c r="CJ235">
        <v>0</v>
      </c>
      <c r="CK235">
        <v>1</v>
      </c>
    </row>
    <row r="236" spans="1:89" x14ac:dyDescent="0.25">
      <c r="A236" s="23" t="s">
        <v>463</v>
      </c>
      <c r="B236">
        <v>37</v>
      </c>
      <c r="C236">
        <v>33</v>
      </c>
      <c r="D236">
        <v>37</v>
      </c>
      <c r="E236">
        <v>2</v>
      </c>
      <c r="F236">
        <v>37</v>
      </c>
      <c r="G236">
        <v>7</v>
      </c>
      <c r="H236">
        <v>37</v>
      </c>
      <c r="J236">
        <v>5</v>
      </c>
      <c r="L236">
        <v>32</v>
      </c>
      <c r="M236">
        <v>28</v>
      </c>
      <c r="P236">
        <v>0</v>
      </c>
      <c r="Q236">
        <v>0</v>
      </c>
      <c r="R236">
        <v>37</v>
      </c>
      <c r="S236">
        <v>37</v>
      </c>
      <c r="U236">
        <v>0</v>
      </c>
      <c r="W236">
        <v>0</v>
      </c>
      <c r="Z236">
        <v>3</v>
      </c>
      <c r="AA236">
        <v>37</v>
      </c>
      <c r="AC236">
        <v>1</v>
      </c>
      <c r="AD236">
        <v>37</v>
      </c>
      <c r="AE236">
        <v>0</v>
      </c>
      <c r="AF236">
        <v>30</v>
      </c>
      <c r="AG236">
        <v>0</v>
      </c>
      <c r="AH236">
        <v>0</v>
      </c>
      <c r="AI236">
        <v>37</v>
      </c>
      <c r="AK236">
        <v>37</v>
      </c>
      <c r="AL236">
        <v>14</v>
      </c>
      <c r="AM236">
        <v>0</v>
      </c>
      <c r="AN236">
        <v>0</v>
      </c>
      <c r="AO236">
        <v>37</v>
      </c>
      <c r="AP236">
        <v>0</v>
      </c>
      <c r="AT236">
        <v>28</v>
      </c>
      <c r="AU236">
        <v>3</v>
      </c>
      <c r="AV236">
        <v>37</v>
      </c>
      <c r="AW236">
        <v>37</v>
      </c>
      <c r="AZ236">
        <v>5</v>
      </c>
      <c r="BC236">
        <v>0</v>
      </c>
      <c r="BD236">
        <v>37</v>
      </c>
      <c r="BF236">
        <v>37</v>
      </c>
      <c r="BG236">
        <v>37</v>
      </c>
      <c r="BI236">
        <v>29</v>
      </c>
      <c r="BK236">
        <v>37</v>
      </c>
      <c r="BM236">
        <v>37</v>
      </c>
      <c r="BN236">
        <v>0</v>
      </c>
      <c r="BO236">
        <v>26</v>
      </c>
      <c r="BR236">
        <v>0</v>
      </c>
      <c r="BT236">
        <v>37</v>
      </c>
      <c r="BU236">
        <v>37</v>
      </c>
      <c r="BX236">
        <v>17</v>
      </c>
      <c r="BY236">
        <v>6</v>
      </c>
      <c r="BZ236">
        <v>37</v>
      </c>
      <c r="CA236">
        <v>37</v>
      </c>
      <c r="CC236">
        <v>37</v>
      </c>
      <c r="CD236">
        <v>24</v>
      </c>
      <c r="CE236">
        <v>0</v>
      </c>
      <c r="CF236">
        <v>4</v>
      </c>
      <c r="CG236">
        <v>0</v>
      </c>
      <c r="CH236">
        <v>3</v>
      </c>
      <c r="CI236">
        <v>28</v>
      </c>
      <c r="CJ236">
        <v>0</v>
      </c>
      <c r="CK236">
        <v>3</v>
      </c>
    </row>
    <row r="237" spans="1:89" x14ac:dyDescent="0.25">
      <c r="A237" s="23" t="s">
        <v>464</v>
      </c>
      <c r="B237">
        <v>2</v>
      </c>
      <c r="C237">
        <v>37</v>
      </c>
      <c r="D237">
        <v>37</v>
      </c>
      <c r="E237">
        <v>0</v>
      </c>
      <c r="F237">
        <v>17</v>
      </c>
      <c r="G237">
        <v>37</v>
      </c>
      <c r="H237">
        <v>0</v>
      </c>
      <c r="J237">
        <v>36</v>
      </c>
      <c r="L237">
        <v>0</v>
      </c>
      <c r="M237">
        <v>0</v>
      </c>
      <c r="P237">
        <v>0</v>
      </c>
      <c r="Q237">
        <v>37</v>
      </c>
      <c r="R237">
        <v>25</v>
      </c>
      <c r="U237">
        <v>30</v>
      </c>
      <c r="W237">
        <v>0</v>
      </c>
      <c r="Z237">
        <v>11</v>
      </c>
      <c r="AA237">
        <v>36</v>
      </c>
      <c r="AC237">
        <v>0</v>
      </c>
      <c r="AD237">
        <v>37</v>
      </c>
      <c r="AE237">
        <v>21</v>
      </c>
      <c r="AF237">
        <v>3</v>
      </c>
      <c r="AG237">
        <v>7</v>
      </c>
      <c r="AH237">
        <v>1</v>
      </c>
      <c r="AK237">
        <v>34</v>
      </c>
      <c r="AL237">
        <v>14</v>
      </c>
      <c r="AM237">
        <v>37</v>
      </c>
      <c r="AN237">
        <v>0</v>
      </c>
      <c r="AO237">
        <v>37</v>
      </c>
      <c r="AP237">
        <v>0</v>
      </c>
      <c r="AT237">
        <v>37</v>
      </c>
      <c r="AU237">
        <v>0</v>
      </c>
      <c r="AV237">
        <v>0</v>
      </c>
      <c r="AW237">
        <v>0</v>
      </c>
      <c r="AZ237">
        <v>14</v>
      </c>
      <c r="BC237">
        <v>0</v>
      </c>
      <c r="BD237">
        <v>37</v>
      </c>
      <c r="BF237">
        <v>2</v>
      </c>
      <c r="BG237">
        <v>37</v>
      </c>
      <c r="BI237">
        <v>0</v>
      </c>
      <c r="BK237">
        <v>37</v>
      </c>
      <c r="BM237">
        <v>37</v>
      </c>
      <c r="BN237">
        <v>6</v>
      </c>
      <c r="BO237">
        <v>35</v>
      </c>
      <c r="BQ237">
        <v>2</v>
      </c>
      <c r="BR237">
        <v>7</v>
      </c>
      <c r="BT237">
        <v>37</v>
      </c>
      <c r="BU237">
        <v>37</v>
      </c>
      <c r="BX237">
        <v>37</v>
      </c>
      <c r="BY237">
        <v>36</v>
      </c>
      <c r="BZ237">
        <v>1</v>
      </c>
      <c r="CA237">
        <v>37</v>
      </c>
      <c r="CC237">
        <v>37</v>
      </c>
      <c r="CD237">
        <v>5</v>
      </c>
      <c r="CE237">
        <v>0</v>
      </c>
      <c r="CF237">
        <v>15</v>
      </c>
      <c r="CG237">
        <v>0</v>
      </c>
      <c r="CH237">
        <v>1</v>
      </c>
      <c r="CI237">
        <v>15</v>
      </c>
      <c r="CJ237">
        <v>14</v>
      </c>
      <c r="CK237">
        <v>3</v>
      </c>
    </row>
    <row r="238" spans="1:89" x14ac:dyDescent="0.25">
      <c r="A238" s="23" t="s">
        <v>465</v>
      </c>
      <c r="B238">
        <v>37</v>
      </c>
      <c r="C238">
        <v>37</v>
      </c>
      <c r="D238">
        <v>37</v>
      </c>
      <c r="E238">
        <v>0</v>
      </c>
      <c r="F238">
        <v>22</v>
      </c>
      <c r="G238">
        <v>0</v>
      </c>
      <c r="H238">
        <v>37</v>
      </c>
      <c r="J238">
        <v>0</v>
      </c>
      <c r="L238">
        <v>0</v>
      </c>
      <c r="M238">
        <v>0</v>
      </c>
      <c r="P238">
        <v>4</v>
      </c>
      <c r="Q238">
        <v>37</v>
      </c>
      <c r="R238">
        <v>37</v>
      </c>
      <c r="S238">
        <v>37</v>
      </c>
      <c r="T238">
        <v>16</v>
      </c>
      <c r="U238">
        <v>37</v>
      </c>
      <c r="W238">
        <v>1</v>
      </c>
      <c r="Z238">
        <v>7</v>
      </c>
      <c r="AA238">
        <v>31</v>
      </c>
      <c r="AC238">
        <v>33</v>
      </c>
      <c r="AD238">
        <v>37</v>
      </c>
      <c r="AE238">
        <v>23</v>
      </c>
      <c r="AF238">
        <v>35</v>
      </c>
      <c r="AG238">
        <v>6</v>
      </c>
      <c r="AH238">
        <v>2</v>
      </c>
      <c r="AK238">
        <v>34</v>
      </c>
      <c r="AL238">
        <v>5</v>
      </c>
      <c r="AM238">
        <v>37</v>
      </c>
      <c r="AN238">
        <v>4</v>
      </c>
      <c r="AO238">
        <v>37</v>
      </c>
      <c r="AP238">
        <v>0</v>
      </c>
      <c r="AT238">
        <v>20</v>
      </c>
      <c r="AU238">
        <v>0</v>
      </c>
      <c r="AV238">
        <v>8</v>
      </c>
      <c r="AW238">
        <v>0</v>
      </c>
      <c r="AZ238">
        <v>0</v>
      </c>
      <c r="BC238">
        <v>0</v>
      </c>
      <c r="BD238">
        <v>37</v>
      </c>
      <c r="BF238">
        <v>0</v>
      </c>
      <c r="BG238">
        <v>37</v>
      </c>
      <c r="BI238">
        <v>34</v>
      </c>
      <c r="BK238">
        <v>37</v>
      </c>
      <c r="BM238">
        <v>37</v>
      </c>
      <c r="BN238">
        <v>14</v>
      </c>
      <c r="BO238">
        <v>3</v>
      </c>
      <c r="BQ238">
        <v>31</v>
      </c>
      <c r="BR238">
        <v>6</v>
      </c>
      <c r="BT238">
        <v>37</v>
      </c>
      <c r="BU238">
        <v>10</v>
      </c>
      <c r="BX238">
        <v>37</v>
      </c>
      <c r="BY238">
        <v>37</v>
      </c>
      <c r="BZ238">
        <v>36</v>
      </c>
      <c r="CA238">
        <v>37</v>
      </c>
      <c r="CC238">
        <v>37</v>
      </c>
      <c r="CD238">
        <v>0</v>
      </c>
      <c r="CE238">
        <v>24</v>
      </c>
      <c r="CF238">
        <v>0</v>
      </c>
      <c r="CH238">
        <v>8</v>
      </c>
      <c r="CI238">
        <v>14</v>
      </c>
      <c r="CJ238">
        <v>0</v>
      </c>
      <c r="CK238">
        <v>4</v>
      </c>
    </row>
    <row r="239" spans="1:89" x14ac:dyDescent="0.25">
      <c r="A239" s="23" t="s">
        <v>466</v>
      </c>
      <c r="B239">
        <v>37</v>
      </c>
      <c r="C239">
        <v>37</v>
      </c>
      <c r="D239">
        <v>30</v>
      </c>
      <c r="E239">
        <v>0</v>
      </c>
      <c r="F239">
        <v>20</v>
      </c>
      <c r="G239">
        <v>0</v>
      </c>
      <c r="H239">
        <v>24</v>
      </c>
      <c r="J239">
        <v>0</v>
      </c>
      <c r="L239">
        <v>29</v>
      </c>
      <c r="M239">
        <v>5</v>
      </c>
      <c r="P239">
        <v>2</v>
      </c>
      <c r="Q239">
        <v>26</v>
      </c>
      <c r="R239">
        <v>37</v>
      </c>
      <c r="S239">
        <v>37</v>
      </c>
      <c r="T239">
        <v>4</v>
      </c>
      <c r="U239">
        <v>37</v>
      </c>
      <c r="Z239">
        <v>0</v>
      </c>
      <c r="AA239">
        <v>0</v>
      </c>
      <c r="AC239">
        <v>0</v>
      </c>
      <c r="AD239">
        <v>37</v>
      </c>
      <c r="AE239">
        <v>24</v>
      </c>
      <c r="AF239">
        <v>8</v>
      </c>
      <c r="AG239">
        <v>32</v>
      </c>
      <c r="AH239">
        <v>10</v>
      </c>
      <c r="AJ239">
        <v>7</v>
      </c>
      <c r="AK239">
        <v>37</v>
      </c>
      <c r="AL239">
        <v>12</v>
      </c>
      <c r="AM239">
        <v>37</v>
      </c>
      <c r="AN239">
        <v>0</v>
      </c>
      <c r="AO239">
        <v>37</v>
      </c>
      <c r="AP239">
        <v>0</v>
      </c>
      <c r="AT239">
        <v>17</v>
      </c>
      <c r="AU239">
        <v>5</v>
      </c>
      <c r="AV239">
        <v>7</v>
      </c>
      <c r="AW239">
        <v>0</v>
      </c>
      <c r="AZ239">
        <v>0</v>
      </c>
      <c r="BC239">
        <v>0</v>
      </c>
      <c r="BD239">
        <v>1</v>
      </c>
      <c r="BF239">
        <v>0</v>
      </c>
      <c r="BG239">
        <v>37</v>
      </c>
      <c r="BI239">
        <v>32</v>
      </c>
      <c r="BK239">
        <v>37</v>
      </c>
      <c r="BM239">
        <v>37</v>
      </c>
      <c r="BN239">
        <v>24</v>
      </c>
      <c r="BO239">
        <v>18</v>
      </c>
      <c r="BQ239">
        <v>32</v>
      </c>
      <c r="BR239">
        <v>2</v>
      </c>
      <c r="BT239">
        <v>37</v>
      </c>
      <c r="BU239">
        <v>0</v>
      </c>
      <c r="BX239">
        <v>37</v>
      </c>
      <c r="BY239">
        <v>27</v>
      </c>
      <c r="BZ239">
        <v>12</v>
      </c>
      <c r="CA239">
        <v>37</v>
      </c>
      <c r="CC239">
        <v>15</v>
      </c>
      <c r="CD239">
        <v>0</v>
      </c>
      <c r="CE239">
        <v>0</v>
      </c>
      <c r="CF239">
        <v>1</v>
      </c>
      <c r="CH239">
        <v>21</v>
      </c>
      <c r="CI239">
        <v>27</v>
      </c>
      <c r="CJ239">
        <v>0</v>
      </c>
      <c r="CK239">
        <v>1</v>
      </c>
    </row>
    <row r="240" spans="1:89" x14ac:dyDescent="0.25">
      <c r="A240" s="23" t="s">
        <v>467</v>
      </c>
      <c r="B240">
        <v>37</v>
      </c>
      <c r="C240">
        <v>3</v>
      </c>
      <c r="D240">
        <v>37</v>
      </c>
      <c r="E240">
        <v>0</v>
      </c>
      <c r="F240">
        <v>18</v>
      </c>
      <c r="G240">
        <v>10</v>
      </c>
      <c r="H240">
        <v>33</v>
      </c>
      <c r="J240">
        <v>0</v>
      </c>
      <c r="L240">
        <v>33</v>
      </c>
      <c r="M240">
        <v>2</v>
      </c>
      <c r="P240">
        <v>37</v>
      </c>
      <c r="Q240">
        <v>28</v>
      </c>
      <c r="R240">
        <v>37</v>
      </c>
      <c r="S240">
        <v>37</v>
      </c>
      <c r="T240">
        <v>31</v>
      </c>
      <c r="U240">
        <v>37</v>
      </c>
      <c r="W240">
        <v>0</v>
      </c>
      <c r="Z240">
        <v>0</v>
      </c>
      <c r="AA240">
        <v>1</v>
      </c>
      <c r="AC240">
        <v>0</v>
      </c>
      <c r="AD240">
        <v>37</v>
      </c>
      <c r="AE240">
        <v>0</v>
      </c>
      <c r="AF240">
        <v>29</v>
      </c>
      <c r="AG240">
        <v>7</v>
      </c>
      <c r="AH240">
        <v>0</v>
      </c>
      <c r="AJ240">
        <v>0</v>
      </c>
      <c r="AK240">
        <v>37</v>
      </c>
      <c r="AL240">
        <v>1</v>
      </c>
      <c r="AM240">
        <v>37</v>
      </c>
      <c r="AN240">
        <v>0</v>
      </c>
      <c r="AO240">
        <v>37</v>
      </c>
      <c r="AP240">
        <v>0</v>
      </c>
      <c r="AT240">
        <v>4</v>
      </c>
      <c r="AU240">
        <v>6</v>
      </c>
      <c r="AV240">
        <v>3</v>
      </c>
      <c r="AW240">
        <v>0</v>
      </c>
      <c r="AZ240">
        <v>0</v>
      </c>
      <c r="BC240">
        <v>0</v>
      </c>
      <c r="BD240">
        <v>0</v>
      </c>
      <c r="BF240">
        <v>0</v>
      </c>
      <c r="BG240">
        <v>37</v>
      </c>
      <c r="BI240">
        <v>0</v>
      </c>
      <c r="BK240">
        <v>37</v>
      </c>
      <c r="BM240">
        <v>37</v>
      </c>
      <c r="BN240">
        <v>0</v>
      </c>
      <c r="BO240">
        <v>12</v>
      </c>
      <c r="BQ240">
        <v>3</v>
      </c>
      <c r="BR240">
        <v>5</v>
      </c>
      <c r="BT240">
        <v>37</v>
      </c>
      <c r="BU240">
        <v>0</v>
      </c>
      <c r="BX240">
        <v>37</v>
      </c>
      <c r="BY240">
        <v>36</v>
      </c>
      <c r="BZ240">
        <v>35</v>
      </c>
      <c r="CA240">
        <v>37</v>
      </c>
      <c r="CC240">
        <v>4</v>
      </c>
      <c r="CD240">
        <v>8</v>
      </c>
      <c r="CE240">
        <v>0</v>
      </c>
      <c r="CF240">
        <v>1</v>
      </c>
      <c r="CG240">
        <v>0</v>
      </c>
      <c r="CH240">
        <v>13</v>
      </c>
      <c r="CJ240">
        <v>0</v>
      </c>
      <c r="CK240">
        <v>37</v>
      </c>
    </row>
    <row r="241" spans="1:89" x14ac:dyDescent="0.25">
      <c r="A241" s="23"/>
    </row>
    <row r="242" spans="1:89" x14ac:dyDescent="0.25">
      <c r="A242" s="23" t="s">
        <v>469</v>
      </c>
      <c r="B242">
        <v>30</v>
      </c>
      <c r="C242">
        <v>37</v>
      </c>
      <c r="D242">
        <v>37</v>
      </c>
      <c r="E242">
        <v>0</v>
      </c>
      <c r="F242">
        <v>36</v>
      </c>
      <c r="G242">
        <v>37</v>
      </c>
      <c r="H242">
        <v>37</v>
      </c>
      <c r="I242">
        <v>0</v>
      </c>
      <c r="J242">
        <v>0</v>
      </c>
      <c r="K242">
        <v>37</v>
      </c>
      <c r="L242">
        <v>0</v>
      </c>
      <c r="M242">
        <v>31</v>
      </c>
      <c r="N242">
        <v>4</v>
      </c>
      <c r="O242">
        <v>11</v>
      </c>
      <c r="P242">
        <v>27</v>
      </c>
      <c r="Q242">
        <v>32</v>
      </c>
      <c r="R242">
        <v>37</v>
      </c>
      <c r="T242">
        <v>37</v>
      </c>
      <c r="U242">
        <v>0</v>
      </c>
      <c r="V242">
        <v>33</v>
      </c>
      <c r="W242">
        <v>9</v>
      </c>
      <c r="X242">
        <v>37</v>
      </c>
      <c r="Y242">
        <v>15</v>
      </c>
      <c r="Z242">
        <v>15</v>
      </c>
      <c r="AA242">
        <v>33</v>
      </c>
      <c r="AB242">
        <v>7</v>
      </c>
      <c r="AC242">
        <v>37</v>
      </c>
      <c r="AD242">
        <v>37</v>
      </c>
      <c r="AE242">
        <v>27</v>
      </c>
      <c r="AF242">
        <v>30</v>
      </c>
      <c r="AG242">
        <v>37</v>
      </c>
      <c r="AH242">
        <v>2</v>
      </c>
      <c r="AJ242">
        <v>1</v>
      </c>
      <c r="AK242">
        <v>37</v>
      </c>
      <c r="AL242">
        <v>37</v>
      </c>
      <c r="AM242">
        <v>37</v>
      </c>
      <c r="AN242">
        <v>0</v>
      </c>
      <c r="AO242">
        <v>37</v>
      </c>
      <c r="AP242">
        <v>30</v>
      </c>
      <c r="AQ242">
        <v>3</v>
      </c>
      <c r="AR242">
        <v>37</v>
      </c>
      <c r="AS242">
        <v>37</v>
      </c>
      <c r="AT242">
        <v>0</v>
      </c>
      <c r="AU242">
        <v>37</v>
      </c>
      <c r="AV242">
        <v>3</v>
      </c>
      <c r="AW242">
        <v>0</v>
      </c>
      <c r="AX242">
        <v>29</v>
      </c>
      <c r="AY242">
        <v>12</v>
      </c>
      <c r="AZ242">
        <v>6</v>
      </c>
      <c r="BA242">
        <v>31</v>
      </c>
      <c r="BB242">
        <v>24</v>
      </c>
      <c r="BC242">
        <v>0</v>
      </c>
      <c r="BD242">
        <v>4</v>
      </c>
      <c r="BE242">
        <v>33</v>
      </c>
      <c r="BF242">
        <v>37</v>
      </c>
      <c r="BG242">
        <v>37</v>
      </c>
      <c r="BH242">
        <v>14</v>
      </c>
      <c r="BI242">
        <v>37</v>
      </c>
      <c r="BJ242">
        <v>32</v>
      </c>
      <c r="BK242">
        <v>37</v>
      </c>
      <c r="BL242">
        <v>37</v>
      </c>
      <c r="BM242">
        <v>37</v>
      </c>
      <c r="BN242">
        <v>0</v>
      </c>
      <c r="BO242">
        <v>11</v>
      </c>
      <c r="BP242">
        <v>34</v>
      </c>
      <c r="BQ242">
        <v>35</v>
      </c>
      <c r="BR242">
        <v>35</v>
      </c>
      <c r="BS242">
        <v>0</v>
      </c>
      <c r="BT242">
        <v>37</v>
      </c>
      <c r="BU242">
        <v>0</v>
      </c>
      <c r="BV242">
        <v>34</v>
      </c>
      <c r="BW242">
        <v>37</v>
      </c>
      <c r="BX242">
        <v>37</v>
      </c>
      <c r="BY242">
        <v>0</v>
      </c>
      <c r="BZ242">
        <v>0</v>
      </c>
      <c r="CA242">
        <v>37</v>
      </c>
      <c r="CB242">
        <v>0</v>
      </c>
      <c r="CC242">
        <v>12</v>
      </c>
      <c r="CD242">
        <v>34</v>
      </c>
      <c r="CE242">
        <v>0</v>
      </c>
      <c r="CF242">
        <v>18</v>
      </c>
      <c r="CG242">
        <v>0</v>
      </c>
      <c r="CH242">
        <v>22</v>
      </c>
      <c r="CI242">
        <v>32</v>
      </c>
      <c r="CJ242">
        <v>5</v>
      </c>
      <c r="CK242">
        <v>25</v>
      </c>
    </row>
    <row r="243" spans="1:89" x14ac:dyDescent="0.25">
      <c r="A243" s="23" t="s">
        <v>470</v>
      </c>
      <c r="B243">
        <v>24</v>
      </c>
      <c r="C243">
        <v>37</v>
      </c>
      <c r="D243">
        <v>37</v>
      </c>
      <c r="E243">
        <v>0</v>
      </c>
      <c r="F243">
        <v>20</v>
      </c>
      <c r="G243">
        <v>1</v>
      </c>
      <c r="H243">
        <v>37</v>
      </c>
      <c r="I243">
        <v>37</v>
      </c>
      <c r="J243">
        <v>0</v>
      </c>
      <c r="K243">
        <v>37</v>
      </c>
      <c r="L243">
        <v>8</v>
      </c>
      <c r="M243">
        <v>0</v>
      </c>
      <c r="N243">
        <v>37</v>
      </c>
      <c r="O243">
        <v>8</v>
      </c>
      <c r="P243">
        <v>11</v>
      </c>
      <c r="Q243">
        <v>5</v>
      </c>
      <c r="R243">
        <v>2</v>
      </c>
      <c r="S243">
        <v>36</v>
      </c>
      <c r="T243">
        <v>37</v>
      </c>
      <c r="U243">
        <v>0</v>
      </c>
      <c r="V243">
        <v>31</v>
      </c>
      <c r="W243">
        <v>0</v>
      </c>
      <c r="X243">
        <v>28</v>
      </c>
      <c r="Y243">
        <v>15</v>
      </c>
      <c r="Z243">
        <v>4</v>
      </c>
      <c r="AA243">
        <v>7</v>
      </c>
      <c r="AB243">
        <v>31</v>
      </c>
      <c r="AC243">
        <v>28</v>
      </c>
      <c r="AD243">
        <v>37</v>
      </c>
      <c r="AE243">
        <v>37</v>
      </c>
      <c r="AF243">
        <v>32</v>
      </c>
      <c r="AG243">
        <v>26</v>
      </c>
      <c r="AH243">
        <v>29</v>
      </c>
      <c r="AI243">
        <v>37</v>
      </c>
      <c r="AJ243">
        <v>0</v>
      </c>
      <c r="AK243">
        <v>37</v>
      </c>
      <c r="AL243">
        <v>37</v>
      </c>
      <c r="AM243">
        <v>37</v>
      </c>
      <c r="AN243">
        <v>0</v>
      </c>
      <c r="AO243">
        <v>37</v>
      </c>
      <c r="AP243">
        <v>32</v>
      </c>
      <c r="AQ243">
        <v>0</v>
      </c>
      <c r="AR243">
        <v>37</v>
      </c>
      <c r="AS243">
        <v>37</v>
      </c>
      <c r="AT243">
        <v>10</v>
      </c>
      <c r="AU243">
        <v>35</v>
      </c>
      <c r="AW243">
        <v>0</v>
      </c>
      <c r="AX243">
        <v>7</v>
      </c>
      <c r="AY243">
        <v>20</v>
      </c>
      <c r="AZ243">
        <v>0</v>
      </c>
      <c r="BA243">
        <v>37</v>
      </c>
      <c r="BB243">
        <v>29</v>
      </c>
      <c r="BC243">
        <v>0</v>
      </c>
      <c r="BD243">
        <v>30</v>
      </c>
      <c r="BE243">
        <v>32</v>
      </c>
      <c r="BF243">
        <v>37</v>
      </c>
      <c r="BG243">
        <v>37</v>
      </c>
      <c r="BH243">
        <v>13</v>
      </c>
      <c r="BI243">
        <v>37</v>
      </c>
      <c r="BJ243">
        <v>6</v>
      </c>
      <c r="BK243">
        <v>37</v>
      </c>
      <c r="BL243">
        <v>8</v>
      </c>
      <c r="BM243">
        <v>37</v>
      </c>
      <c r="BN243">
        <v>0</v>
      </c>
      <c r="BO243">
        <v>30</v>
      </c>
      <c r="BP243">
        <v>32</v>
      </c>
      <c r="BQ243">
        <v>0</v>
      </c>
      <c r="BS243">
        <v>0</v>
      </c>
      <c r="BT243">
        <v>37</v>
      </c>
      <c r="BU243">
        <v>0</v>
      </c>
      <c r="BV243">
        <v>16</v>
      </c>
      <c r="BW243">
        <v>5</v>
      </c>
      <c r="BX243">
        <v>37</v>
      </c>
      <c r="BY243">
        <v>37</v>
      </c>
      <c r="BZ243">
        <v>3</v>
      </c>
      <c r="CB243">
        <v>37</v>
      </c>
      <c r="CC243">
        <v>1</v>
      </c>
      <c r="CD243">
        <v>28</v>
      </c>
      <c r="CE243">
        <v>0</v>
      </c>
      <c r="CF243">
        <v>8</v>
      </c>
      <c r="CG243">
        <v>7</v>
      </c>
      <c r="CH243">
        <v>2</v>
      </c>
      <c r="CI243">
        <v>23</v>
      </c>
      <c r="CJ243">
        <v>0</v>
      </c>
      <c r="CK243">
        <v>0</v>
      </c>
    </row>
    <row r="244" spans="1:89" x14ac:dyDescent="0.25">
      <c r="A244" s="23" t="s">
        <v>471</v>
      </c>
      <c r="B244">
        <v>20</v>
      </c>
      <c r="C244">
        <v>37</v>
      </c>
      <c r="D244">
        <v>37</v>
      </c>
      <c r="E244">
        <v>0</v>
      </c>
      <c r="F244">
        <v>37</v>
      </c>
      <c r="G244">
        <v>11</v>
      </c>
      <c r="H244">
        <v>37</v>
      </c>
      <c r="I244">
        <v>37</v>
      </c>
      <c r="J244">
        <v>27</v>
      </c>
      <c r="K244">
        <v>37</v>
      </c>
      <c r="L244">
        <v>1</v>
      </c>
      <c r="M244">
        <v>0</v>
      </c>
      <c r="N244">
        <v>0</v>
      </c>
      <c r="O244">
        <v>36</v>
      </c>
      <c r="P244">
        <v>27</v>
      </c>
      <c r="Q244">
        <v>0</v>
      </c>
      <c r="R244">
        <v>37</v>
      </c>
      <c r="T244">
        <v>37</v>
      </c>
      <c r="U244">
        <v>0</v>
      </c>
      <c r="V244">
        <v>37</v>
      </c>
      <c r="W244">
        <v>0</v>
      </c>
      <c r="X244">
        <v>37</v>
      </c>
      <c r="Y244">
        <v>0</v>
      </c>
      <c r="Z244">
        <v>3</v>
      </c>
      <c r="AA244">
        <v>37</v>
      </c>
      <c r="AB244">
        <v>26</v>
      </c>
      <c r="AC244">
        <v>22</v>
      </c>
      <c r="AD244">
        <v>37</v>
      </c>
      <c r="AE244">
        <v>36</v>
      </c>
      <c r="AF244">
        <v>27</v>
      </c>
      <c r="AG244">
        <v>33</v>
      </c>
      <c r="AH244">
        <v>5</v>
      </c>
      <c r="AI244">
        <v>0</v>
      </c>
      <c r="AJ244">
        <v>0</v>
      </c>
      <c r="AK244">
        <v>36</v>
      </c>
      <c r="AL244">
        <v>17</v>
      </c>
      <c r="AM244">
        <v>37</v>
      </c>
      <c r="AN244">
        <v>0</v>
      </c>
      <c r="AO244">
        <v>0</v>
      </c>
      <c r="AQ244">
        <v>0</v>
      </c>
      <c r="AR244">
        <v>37</v>
      </c>
      <c r="AS244">
        <v>34</v>
      </c>
      <c r="AT244">
        <v>36</v>
      </c>
      <c r="AU244">
        <v>11</v>
      </c>
      <c r="AV244">
        <v>2</v>
      </c>
      <c r="AW244">
        <v>0</v>
      </c>
      <c r="AX244">
        <v>0</v>
      </c>
      <c r="AY244">
        <v>32</v>
      </c>
      <c r="AZ244">
        <v>1</v>
      </c>
      <c r="BA244">
        <v>37</v>
      </c>
      <c r="BB244">
        <v>24</v>
      </c>
      <c r="BC244">
        <v>13</v>
      </c>
      <c r="BD244">
        <v>9</v>
      </c>
      <c r="BE244">
        <v>31</v>
      </c>
      <c r="BF244">
        <v>37</v>
      </c>
      <c r="BG244">
        <v>37</v>
      </c>
      <c r="BH244">
        <v>0</v>
      </c>
      <c r="BI244">
        <v>35</v>
      </c>
      <c r="BJ244">
        <v>0</v>
      </c>
      <c r="BK244">
        <v>37</v>
      </c>
      <c r="BL244">
        <v>33</v>
      </c>
      <c r="BM244">
        <v>37</v>
      </c>
      <c r="BN244">
        <v>0</v>
      </c>
      <c r="BO244">
        <v>4</v>
      </c>
      <c r="BP244">
        <v>37</v>
      </c>
      <c r="BQ244">
        <v>0</v>
      </c>
      <c r="BS244">
        <v>0</v>
      </c>
      <c r="BT244">
        <v>37</v>
      </c>
      <c r="BU244">
        <v>0</v>
      </c>
      <c r="BV244">
        <v>0</v>
      </c>
      <c r="BW244">
        <v>3</v>
      </c>
      <c r="BX244">
        <v>37</v>
      </c>
      <c r="BY244">
        <v>29</v>
      </c>
      <c r="BZ244">
        <v>19</v>
      </c>
      <c r="CA244">
        <v>37</v>
      </c>
      <c r="CB244">
        <v>37</v>
      </c>
      <c r="CC244">
        <v>24</v>
      </c>
      <c r="CD244">
        <v>0</v>
      </c>
      <c r="CE244">
        <v>11</v>
      </c>
      <c r="CF244">
        <v>4</v>
      </c>
      <c r="CG244">
        <v>0</v>
      </c>
      <c r="CH244">
        <v>6</v>
      </c>
      <c r="CI244">
        <v>0</v>
      </c>
      <c r="CJ244">
        <v>2</v>
      </c>
      <c r="CK244">
        <v>35</v>
      </c>
    </row>
    <row r="245" spans="1:89" x14ac:dyDescent="0.25">
      <c r="A245" s="23" t="s">
        <v>472</v>
      </c>
      <c r="B245">
        <v>3</v>
      </c>
      <c r="C245">
        <v>37</v>
      </c>
      <c r="D245">
        <v>37</v>
      </c>
      <c r="E245">
        <v>6</v>
      </c>
      <c r="F245">
        <v>20</v>
      </c>
      <c r="G245">
        <v>33</v>
      </c>
      <c r="H245">
        <v>37</v>
      </c>
      <c r="I245">
        <v>37</v>
      </c>
      <c r="J245">
        <v>30</v>
      </c>
      <c r="K245">
        <v>27</v>
      </c>
      <c r="L245">
        <v>0</v>
      </c>
      <c r="M245">
        <v>24</v>
      </c>
      <c r="N245">
        <v>28</v>
      </c>
      <c r="O245">
        <v>14</v>
      </c>
      <c r="P245">
        <v>21</v>
      </c>
      <c r="Q245">
        <v>37</v>
      </c>
      <c r="R245">
        <v>37</v>
      </c>
      <c r="T245">
        <v>37</v>
      </c>
      <c r="U245">
        <v>3</v>
      </c>
      <c r="V245">
        <v>37</v>
      </c>
      <c r="W245">
        <v>0</v>
      </c>
      <c r="X245">
        <v>37</v>
      </c>
      <c r="Y245">
        <v>0</v>
      </c>
      <c r="Z245">
        <v>0</v>
      </c>
      <c r="AA245">
        <v>37</v>
      </c>
      <c r="AB245">
        <v>30</v>
      </c>
      <c r="AC245">
        <v>14</v>
      </c>
      <c r="AD245">
        <v>37</v>
      </c>
      <c r="AE245">
        <v>0</v>
      </c>
      <c r="AF245">
        <v>37</v>
      </c>
      <c r="AG245">
        <v>0</v>
      </c>
      <c r="AH245">
        <v>0</v>
      </c>
      <c r="AI245">
        <v>8</v>
      </c>
      <c r="AJ245">
        <v>5</v>
      </c>
      <c r="AK245">
        <v>37</v>
      </c>
      <c r="AL245">
        <v>17</v>
      </c>
      <c r="AM245">
        <v>37</v>
      </c>
      <c r="AN245">
        <v>0</v>
      </c>
      <c r="AO245">
        <v>0</v>
      </c>
      <c r="AP245">
        <v>31</v>
      </c>
      <c r="AQ245">
        <v>3</v>
      </c>
      <c r="AR245">
        <v>37</v>
      </c>
      <c r="AS245">
        <v>32</v>
      </c>
      <c r="AT245">
        <v>37</v>
      </c>
      <c r="AU245">
        <v>0</v>
      </c>
      <c r="AV245">
        <v>1</v>
      </c>
      <c r="AW245">
        <v>4</v>
      </c>
      <c r="AX245">
        <v>0</v>
      </c>
      <c r="AY245">
        <v>37</v>
      </c>
      <c r="AZ245">
        <v>0</v>
      </c>
      <c r="BA245">
        <v>37</v>
      </c>
      <c r="BB245">
        <v>26</v>
      </c>
      <c r="BC245">
        <v>21</v>
      </c>
      <c r="BD245">
        <v>10</v>
      </c>
      <c r="BE245">
        <v>34</v>
      </c>
      <c r="BF245">
        <v>30</v>
      </c>
      <c r="BG245">
        <v>37</v>
      </c>
      <c r="BH245">
        <v>1</v>
      </c>
      <c r="BI245">
        <v>30</v>
      </c>
      <c r="BJ245">
        <v>15</v>
      </c>
      <c r="BK245">
        <v>37</v>
      </c>
      <c r="BL245">
        <v>37</v>
      </c>
      <c r="BM245">
        <v>8</v>
      </c>
      <c r="BN245">
        <v>0</v>
      </c>
      <c r="BO245">
        <v>0</v>
      </c>
      <c r="BP245">
        <v>37</v>
      </c>
      <c r="BQ245">
        <v>0</v>
      </c>
      <c r="BS245">
        <v>0</v>
      </c>
      <c r="BT245">
        <v>37</v>
      </c>
      <c r="BU245">
        <v>6</v>
      </c>
      <c r="BV245">
        <v>36</v>
      </c>
      <c r="BW245">
        <v>0</v>
      </c>
      <c r="BX245">
        <v>37</v>
      </c>
      <c r="BY245">
        <v>2</v>
      </c>
      <c r="BZ245">
        <v>0</v>
      </c>
      <c r="CB245">
        <v>37</v>
      </c>
      <c r="CC245">
        <v>22</v>
      </c>
      <c r="CD245">
        <v>8</v>
      </c>
      <c r="CE245">
        <v>3</v>
      </c>
      <c r="CF245">
        <v>2</v>
      </c>
      <c r="CG245">
        <v>0</v>
      </c>
      <c r="CH245">
        <v>4</v>
      </c>
      <c r="CI245">
        <v>12</v>
      </c>
      <c r="CJ245">
        <v>0</v>
      </c>
      <c r="CK245">
        <v>37</v>
      </c>
    </row>
    <row r="246" spans="1:89" x14ac:dyDescent="0.25">
      <c r="A246" s="23" t="s">
        <v>473</v>
      </c>
      <c r="B246">
        <v>23</v>
      </c>
      <c r="C246">
        <v>33</v>
      </c>
      <c r="D246">
        <v>37</v>
      </c>
      <c r="E246">
        <v>37</v>
      </c>
      <c r="F246">
        <v>37</v>
      </c>
      <c r="G246">
        <v>37</v>
      </c>
      <c r="H246">
        <v>37</v>
      </c>
      <c r="I246">
        <v>37</v>
      </c>
      <c r="J246">
        <v>27</v>
      </c>
      <c r="K246">
        <v>37</v>
      </c>
      <c r="L246">
        <v>12</v>
      </c>
      <c r="M246">
        <v>29</v>
      </c>
      <c r="N246">
        <v>21</v>
      </c>
      <c r="O246">
        <v>0</v>
      </c>
      <c r="P246">
        <v>0</v>
      </c>
      <c r="Q246">
        <v>37</v>
      </c>
      <c r="R246">
        <v>37</v>
      </c>
      <c r="S246">
        <v>35</v>
      </c>
      <c r="T246">
        <v>3</v>
      </c>
      <c r="U246">
        <v>0</v>
      </c>
      <c r="V246">
        <v>37</v>
      </c>
      <c r="W246">
        <v>0</v>
      </c>
      <c r="X246">
        <v>37</v>
      </c>
      <c r="Y246">
        <v>37</v>
      </c>
      <c r="Z246">
        <v>0</v>
      </c>
      <c r="AA246">
        <v>37</v>
      </c>
      <c r="AB246">
        <v>0</v>
      </c>
      <c r="AC246">
        <v>29</v>
      </c>
      <c r="AD246">
        <v>37</v>
      </c>
      <c r="AE246">
        <v>18</v>
      </c>
      <c r="AF246">
        <v>29</v>
      </c>
      <c r="AG246">
        <v>6</v>
      </c>
      <c r="AH246">
        <v>0</v>
      </c>
      <c r="AI246">
        <v>5</v>
      </c>
      <c r="AJ246">
        <v>6</v>
      </c>
      <c r="AK246">
        <v>35</v>
      </c>
      <c r="AL246">
        <v>25</v>
      </c>
      <c r="AM246">
        <v>37</v>
      </c>
      <c r="AN246">
        <v>5</v>
      </c>
      <c r="AO246">
        <v>1</v>
      </c>
      <c r="AP246">
        <v>1</v>
      </c>
      <c r="AQ246">
        <v>0</v>
      </c>
      <c r="AR246">
        <v>37</v>
      </c>
      <c r="AS246">
        <v>11</v>
      </c>
      <c r="AT246">
        <v>37</v>
      </c>
      <c r="AU246">
        <v>0</v>
      </c>
      <c r="AV246">
        <v>36</v>
      </c>
      <c r="AW246">
        <v>30</v>
      </c>
      <c r="AX246">
        <v>37</v>
      </c>
      <c r="AY246">
        <v>37</v>
      </c>
      <c r="AZ246">
        <v>0</v>
      </c>
      <c r="BA246">
        <v>37</v>
      </c>
      <c r="BB246">
        <v>0</v>
      </c>
      <c r="BC246">
        <v>3</v>
      </c>
      <c r="BD246">
        <v>0</v>
      </c>
      <c r="BE246">
        <v>37</v>
      </c>
      <c r="BF246">
        <v>29</v>
      </c>
      <c r="BG246">
        <v>37</v>
      </c>
      <c r="BH246">
        <v>0</v>
      </c>
      <c r="BI246">
        <v>0</v>
      </c>
      <c r="BJ246">
        <v>37</v>
      </c>
      <c r="BK246">
        <v>37</v>
      </c>
      <c r="BL246">
        <v>37</v>
      </c>
      <c r="BM246">
        <v>37</v>
      </c>
      <c r="BN246">
        <v>0</v>
      </c>
      <c r="BO246">
        <v>4</v>
      </c>
      <c r="BP246">
        <v>37</v>
      </c>
      <c r="BQ246">
        <v>0</v>
      </c>
      <c r="BS246">
        <v>0</v>
      </c>
      <c r="BT246">
        <v>37</v>
      </c>
      <c r="BU246">
        <v>34</v>
      </c>
      <c r="BV246">
        <v>37</v>
      </c>
      <c r="BW246">
        <v>0</v>
      </c>
      <c r="BX246">
        <v>37</v>
      </c>
      <c r="BY246">
        <v>12</v>
      </c>
      <c r="BZ246">
        <v>37</v>
      </c>
      <c r="CA246">
        <v>9</v>
      </c>
      <c r="CB246">
        <v>37</v>
      </c>
      <c r="CC246">
        <v>33</v>
      </c>
      <c r="CD246">
        <v>0</v>
      </c>
      <c r="CE246">
        <v>0</v>
      </c>
      <c r="CF246">
        <v>1</v>
      </c>
      <c r="CG246">
        <v>0</v>
      </c>
      <c r="CH246">
        <v>3</v>
      </c>
      <c r="CI246">
        <v>14</v>
      </c>
      <c r="CJ246">
        <v>0</v>
      </c>
      <c r="CK246">
        <v>5</v>
      </c>
    </row>
    <row r="247" spans="1:89" x14ac:dyDescent="0.25">
      <c r="A247" s="23" t="s">
        <v>474</v>
      </c>
      <c r="B247">
        <v>37</v>
      </c>
      <c r="C247">
        <v>13</v>
      </c>
      <c r="D247">
        <v>37</v>
      </c>
      <c r="E247">
        <v>0</v>
      </c>
      <c r="F247">
        <v>37</v>
      </c>
      <c r="G247">
        <v>0</v>
      </c>
      <c r="H247">
        <v>4</v>
      </c>
      <c r="I247">
        <v>37</v>
      </c>
      <c r="J247">
        <v>32</v>
      </c>
      <c r="K247">
        <v>37</v>
      </c>
      <c r="L247">
        <v>37</v>
      </c>
      <c r="M247">
        <v>37</v>
      </c>
      <c r="N247">
        <v>6</v>
      </c>
      <c r="O247">
        <v>8</v>
      </c>
      <c r="P247">
        <v>13</v>
      </c>
      <c r="Q247">
        <v>37</v>
      </c>
      <c r="R247">
        <v>37</v>
      </c>
      <c r="S247">
        <v>37</v>
      </c>
      <c r="T247">
        <v>4</v>
      </c>
      <c r="U247">
        <v>0</v>
      </c>
      <c r="V247">
        <v>37</v>
      </c>
      <c r="W247">
        <v>4</v>
      </c>
      <c r="X247">
        <v>37</v>
      </c>
      <c r="Y247">
        <v>0</v>
      </c>
      <c r="Z247">
        <v>0</v>
      </c>
      <c r="AA247">
        <v>0</v>
      </c>
      <c r="AB247">
        <v>4</v>
      </c>
      <c r="AC247">
        <v>5</v>
      </c>
      <c r="AD247">
        <v>37</v>
      </c>
      <c r="AE247">
        <v>16</v>
      </c>
      <c r="AF247">
        <v>23</v>
      </c>
      <c r="AG247">
        <v>0</v>
      </c>
      <c r="AH247">
        <v>2</v>
      </c>
      <c r="AI247">
        <v>7</v>
      </c>
      <c r="AJ247">
        <v>0</v>
      </c>
      <c r="AK247">
        <v>37</v>
      </c>
      <c r="AL247">
        <v>32</v>
      </c>
      <c r="AM247">
        <v>37</v>
      </c>
      <c r="AN247">
        <v>1</v>
      </c>
      <c r="AO247">
        <v>20</v>
      </c>
      <c r="AP247">
        <v>6</v>
      </c>
      <c r="AQ247">
        <v>0</v>
      </c>
      <c r="AR247">
        <v>37</v>
      </c>
      <c r="AS247">
        <v>36</v>
      </c>
      <c r="AT247">
        <v>5</v>
      </c>
      <c r="AU247">
        <v>0</v>
      </c>
      <c r="AV247">
        <v>0</v>
      </c>
      <c r="AW247">
        <v>11</v>
      </c>
      <c r="AX247">
        <v>15</v>
      </c>
      <c r="AY247">
        <v>37</v>
      </c>
      <c r="AZ247">
        <v>14</v>
      </c>
      <c r="BA247">
        <v>37</v>
      </c>
      <c r="BB247">
        <v>6</v>
      </c>
      <c r="BC247">
        <v>0</v>
      </c>
      <c r="BD247">
        <v>35</v>
      </c>
      <c r="BE247">
        <v>16</v>
      </c>
      <c r="BF247">
        <v>0</v>
      </c>
      <c r="BG247">
        <v>37</v>
      </c>
      <c r="BH247">
        <v>0</v>
      </c>
      <c r="BI247">
        <v>0</v>
      </c>
      <c r="BJ247">
        <v>35</v>
      </c>
      <c r="BK247">
        <v>37</v>
      </c>
      <c r="BL247">
        <v>37</v>
      </c>
      <c r="BM247">
        <v>37</v>
      </c>
      <c r="BN247">
        <v>0</v>
      </c>
      <c r="BP247">
        <v>37</v>
      </c>
      <c r="BS247">
        <v>0</v>
      </c>
      <c r="BT247">
        <v>37</v>
      </c>
      <c r="BU247">
        <v>4</v>
      </c>
      <c r="BV247">
        <v>37</v>
      </c>
      <c r="BW247">
        <v>37</v>
      </c>
      <c r="BX247">
        <v>37</v>
      </c>
      <c r="BY247">
        <v>11</v>
      </c>
      <c r="BZ247">
        <v>37</v>
      </c>
      <c r="CA247">
        <v>37</v>
      </c>
      <c r="CB247">
        <v>37</v>
      </c>
      <c r="CC247">
        <v>20</v>
      </c>
      <c r="CD247">
        <v>0</v>
      </c>
      <c r="CE247">
        <v>3</v>
      </c>
      <c r="CF247">
        <v>2</v>
      </c>
      <c r="CG247">
        <v>0</v>
      </c>
      <c r="CH247">
        <v>4</v>
      </c>
      <c r="CI247">
        <v>3</v>
      </c>
      <c r="CJ247">
        <v>0</v>
      </c>
      <c r="CK247">
        <v>0</v>
      </c>
    </row>
    <row r="248" spans="1:89" x14ac:dyDescent="0.25">
      <c r="A248" s="23" t="s">
        <v>475</v>
      </c>
      <c r="B248">
        <v>36</v>
      </c>
      <c r="C248">
        <v>16</v>
      </c>
      <c r="D248">
        <v>37</v>
      </c>
      <c r="E248">
        <v>0</v>
      </c>
      <c r="F248">
        <v>37</v>
      </c>
      <c r="G248">
        <v>0</v>
      </c>
      <c r="H248">
        <v>37</v>
      </c>
      <c r="I248">
        <v>37</v>
      </c>
      <c r="J248">
        <v>0</v>
      </c>
      <c r="K248">
        <v>35</v>
      </c>
      <c r="L248">
        <v>30</v>
      </c>
      <c r="M248">
        <v>3</v>
      </c>
      <c r="N248">
        <v>18</v>
      </c>
      <c r="O248">
        <v>0</v>
      </c>
      <c r="P248">
        <v>0</v>
      </c>
      <c r="Q248">
        <v>33</v>
      </c>
      <c r="R248">
        <v>37</v>
      </c>
      <c r="S248">
        <v>37</v>
      </c>
      <c r="T248">
        <v>0</v>
      </c>
      <c r="U248">
        <v>0</v>
      </c>
      <c r="V248">
        <v>37</v>
      </c>
      <c r="W248">
        <v>20</v>
      </c>
      <c r="X248">
        <v>37</v>
      </c>
      <c r="Y248">
        <v>7</v>
      </c>
      <c r="Z248">
        <v>1</v>
      </c>
      <c r="AA248">
        <v>37</v>
      </c>
      <c r="AB248">
        <v>0</v>
      </c>
      <c r="AC248">
        <v>0</v>
      </c>
      <c r="AD248">
        <v>37</v>
      </c>
      <c r="AE248">
        <v>36</v>
      </c>
      <c r="AG248">
        <v>0</v>
      </c>
      <c r="AH248">
        <v>1</v>
      </c>
      <c r="AI248">
        <v>8</v>
      </c>
      <c r="AJ248">
        <v>0</v>
      </c>
      <c r="AK248">
        <v>35</v>
      </c>
      <c r="AL248">
        <v>4</v>
      </c>
      <c r="AN248">
        <v>0</v>
      </c>
      <c r="AO248">
        <v>3</v>
      </c>
      <c r="AP248">
        <v>5</v>
      </c>
      <c r="AQ248">
        <v>1</v>
      </c>
      <c r="AR248">
        <v>37</v>
      </c>
      <c r="AS248">
        <v>37</v>
      </c>
      <c r="AT248">
        <v>33</v>
      </c>
      <c r="AU248">
        <v>27</v>
      </c>
      <c r="AV248">
        <v>37</v>
      </c>
      <c r="AW248">
        <v>29</v>
      </c>
      <c r="AX248">
        <v>0</v>
      </c>
      <c r="AY248">
        <v>37</v>
      </c>
      <c r="AZ248">
        <v>0</v>
      </c>
      <c r="BA248">
        <v>37</v>
      </c>
      <c r="BB248">
        <v>27</v>
      </c>
      <c r="BC248">
        <v>6</v>
      </c>
      <c r="BD248">
        <v>30</v>
      </c>
      <c r="BE248">
        <v>0</v>
      </c>
      <c r="BF248">
        <v>28</v>
      </c>
      <c r="BG248">
        <v>37</v>
      </c>
      <c r="BH248">
        <v>0</v>
      </c>
      <c r="BI248">
        <v>14</v>
      </c>
      <c r="BJ248">
        <v>34</v>
      </c>
      <c r="BK248">
        <v>37</v>
      </c>
      <c r="BL248">
        <v>36</v>
      </c>
      <c r="BM248">
        <v>37</v>
      </c>
      <c r="BN248">
        <v>0</v>
      </c>
      <c r="BO248">
        <v>5</v>
      </c>
      <c r="BP248">
        <v>37</v>
      </c>
      <c r="BS248">
        <v>0</v>
      </c>
      <c r="BT248">
        <v>37</v>
      </c>
      <c r="BU248">
        <v>31</v>
      </c>
      <c r="BV248">
        <v>37</v>
      </c>
      <c r="BW248">
        <v>37</v>
      </c>
      <c r="BX248">
        <v>37</v>
      </c>
      <c r="BZ248">
        <v>37</v>
      </c>
      <c r="CA248">
        <v>37</v>
      </c>
      <c r="CB248">
        <v>37</v>
      </c>
      <c r="CC248">
        <v>37</v>
      </c>
      <c r="CD248">
        <v>34</v>
      </c>
      <c r="CE248">
        <v>0</v>
      </c>
      <c r="CF248">
        <v>7</v>
      </c>
      <c r="CG248">
        <v>1</v>
      </c>
      <c r="CH248">
        <v>10</v>
      </c>
      <c r="CI248">
        <v>35</v>
      </c>
      <c r="CJ248">
        <v>0</v>
      </c>
      <c r="CK248">
        <v>0</v>
      </c>
    </row>
    <row r="249" spans="1:89" x14ac:dyDescent="0.25">
      <c r="A249" s="23" t="s">
        <v>476</v>
      </c>
      <c r="B249">
        <v>37</v>
      </c>
      <c r="C249">
        <v>36</v>
      </c>
      <c r="D249">
        <v>37</v>
      </c>
      <c r="E249">
        <v>7</v>
      </c>
      <c r="F249">
        <v>37</v>
      </c>
      <c r="G249">
        <v>5</v>
      </c>
      <c r="H249">
        <v>37</v>
      </c>
      <c r="I249">
        <v>37</v>
      </c>
      <c r="J249">
        <v>4</v>
      </c>
      <c r="K249">
        <v>37</v>
      </c>
      <c r="L249">
        <v>27</v>
      </c>
      <c r="M249">
        <v>8</v>
      </c>
      <c r="N249">
        <v>23</v>
      </c>
      <c r="O249">
        <v>37</v>
      </c>
      <c r="P249">
        <v>0</v>
      </c>
      <c r="Q249">
        <v>0</v>
      </c>
      <c r="R249">
        <v>37</v>
      </c>
      <c r="S249">
        <v>37</v>
      </c>
      <c r="T249">
        <v>8</v>
      </c>
      <c r="U249">
        <v>0</v>
      </c>
      <c r="V249">
        <v>37</v>
      </c>
      <c r="W249">
        <v>0</v>
      </c>
      <c r="X249">
        <v>37</v>
      </c>
      <c r="Y249">
        <v>2</v>
      </c>
      <c r="Z249">
        <v>1</v>
      </c>
      <c r="AA249">
        <v>37</v>
      </c>
      <c r="AB249">
        <v>0</v>
      </c>
      <c r="AC249">
        <v>6</v>
      </c>
      <c r="AD249">
        <v>37</v>
      </c>
      <c r="AE249">
        <v>34</v>
      </c>
      <c r="AG249">
        <v>3</v>
      </c>
      <c r="AH249">
        <v>0</v>
      </c>
      <c r="AI249">
        <v>37</v>
      </c>
      <c r="AJ249">
        <v>0</v>
      </c>
      <c r="AK249">
        <v>37</v>
      </c>
      <c r="AL249">
        <v>32</v>
      </c>
      <c r="AM249">
        <v>0</v>
      </c>
      <c r="AN249">
        <v>1</v>
      </c>
      <c r="AO249">
        <v>37</v>
      </c>
      <c r="AP249">
        <v>0</v>
      </c>
      <c r="AQ249">
        <v>0</v>
      </c>
      <c r="AR249">
        <v>37</v>
      </c>
      <c r="AS249">
        <v>34</v>
      </c>
      <c r="AT249">
        <v>37</v>
      </c>
      <c r="AU249">
        <v>7</v>
      </c>
      <c r="AV249">
        <v>34</v>
      </c>
      <c r="AW249">
        <v>12</v>
      </c>
      <c r="AX249">
        <v>3</v>
      </c>
      <c r="AY249">
        <v>37</v>
      </c>
      <c r="AZ249">
        <v>0</v>
      </c>
      <c r="BA249">
        <v>37</v>
      </c>
      <c r="BB249">
        <v>31</v>
      </c>
      <c r="BC249">
        <v>0</v>
      </c>
      <c r="BD249">
        <v>37</v>
      </c>
      <c r="BE249">
        <v>25</v>
      </c>
      <c r="BF249">
        <v>37</v>
      </c>
      <c r="BG249">
        <v>37</v>
      </c>
      <c r="BH249">
        <v>0</v>
      </c>
      <c r="BI249">
        <v>28</v>
      </c>
      <c r="BJ249">
        <v>37</v>
      </c>
      <c r="BK249">
        <v>37</v>
      </c>
      <c r="BL249">
        <v>37</v>
      </c>
      <c r="BM249">
        <v>37</v>
      </c>
      <c r="BN249">
        <v>0</v>
      </c>
      <c r="BP249">
        <v>37</v>
      </c>
      <c r="BQ249">
        <v>1</v>
      </c>
      <c r="BS249">
        <v>0</v>
      </c>
      <c r="BT249">
        <v>37</v>
      </c>
      <c r="BU249">
        <v>37</v>
      </c>
      <c r="BV249">
        <v>37</v>
      </c>
      <c r="BW249">
        <v>33</v>
      </c>
      <c r="BX249">
        <v>1</v>
      </c>
      <c r="BY249">
        <v>15</v>
      </c>
      <c r="BZ249">
        <v>37</v>
      </c>
      <c r="CA249">
        <v>37</v>
      </c>
      <c r="CB249">
        <v>37</v>
      </c>
      <c r="CC249">
        <v>37</v>
      </c>
      <c r="CD249">
        <v>0</v>
      </c>
      <c r="CE249">
        <v>0</v>
      </c>
      <c r="CF249">
        <v>2</v>
      </c>
      <c r="CG249">
        <v>0</v>
      </c>
      <c r="CH249">
        <v>3</v>
      </c>
      <c r="CI249">
        <v>18</v>
      </c>
      <c r="CJ249">
        <v>1</v>
      </c>
      <c r="CK249">
        <v>1</v>
      </c>
    </row>
    <row r="250" spans="1:89" x14ac:dyDescent="0.25">
      <c r="A250" s="23" t="s">
        <v>477</v>
      </c>
      <c r="C250">
        <v>28</v>
      </c>
      <c r="D250">
        <v>37</v>
      </c>
      <c r="E250">
        <v>0</v>
      </c>
      <c r="F250">
        <v>10</v>
      </c>
      <c r="G250">
        <v>37</v>
      </c>
      <c r="H250">
        <v>2</v>
      </c>
      <c r="I250">
        <v>37</v>
      </c>
      <c r="J250">
        <v>37</v>
      </c>
      <c r="K250">
        <v>37</v>
      </c>
      <c r="L250">
        <v>0</v>
      </c>
      <c r="M250">
        <v>0</v>
      </c>
      <c r="N250">
        <v>16</v>
      </c>
      <c r="O250">
        <v>37</v>
      </c>
      <c r="P250">
        <v>0</v>
      </c>
      <c r="Q250">
        <v>37</v>
      </c>
      <c r="R250">
        <v>27</v>
      </c>
      <c r="S250">
        <v>32</v>
      </c>
      <c r="T250">
        <v>8</v>
      </c>
      <c r="U250">
        <v>37</v>
      </c>
      <c r="V250">
        <v>8</v>
      </c>
      <c r="W250">
        <v>0</v>
      </c>
      <c r="X250">
        <v>37</v>
      </c>
      <c r="Y250">
        <v>5</v>
      </c>
      <c r="AA250">
        <v>32</v>
      </c>
      <c r="AB250">
        <v>30</v>
      </c>
      <c r="AC250">
        <v>0</v>
      </c>
      <c r="AD250">
        <v>37</v>
      </c>
      <c r="AE250">
        <v>22</v>
      </c>
      <c r="AF250">
        <v>1</v>
      </c>
      <c r="AG250">
        <v>6</v>
      </c>
      <c r="AH250">
        <v>2</v>
      </c>
      <c r="AI250">
        <v>37</v>
      </c>
      <c r="AJ250">
        <v>0</v>
      </c>
      <c r="AK250">
        <v>15</v>
      </c>
      <c r="AL250">
        <v>27</v>
      </c>
      <c r="AN250">
        <v>0</v>
      </c>
      <c r="AO250">
        <v>37</v>
      </c>
      <c r="AP250">
        <v>1</v>
      </c>
      <c r="AQ250">
        <v>0</v>
      </c>
      <c r="AR250">
        <v>37</v>
      </c>
      <c r="AS250">
        <v>35</v>
      </c>
      <c r="AT250">
        <v>37</v>
      </c>
      <c r="AU250">
        <v>1</v>
      </c>
      <c r="AV250">
        <v>0</v>
      </c>
      <c r="AW250">
        <v>8</v>
      </c>
      <c r="AX250">
        <v>15</v>
      </c>
      <c r="AY250">
        <v>37</v>
      </c>
      <c r="BA250">
        <v>37</v>
      </c>
      <c r="BB250">
        <v>7</v>
      </c>
      <c r="BC250">
        <v>0</v>
      </c>
      <c r="BD250">
        <v>37</v>
      </c>
      <c r="BE250">
        <v>37</v>
      </c>
      <c r="BF250">
        <v>29</v>
      </c>
      <c r="BG250">
        <v>37</v>
      </c>
      <c r="BH250">
        <v>3</v>
      </c>
      <c r="BI250">
        <v>0</v>
      </c>
      <c r="BJ250">
        <v>35</v>
      </c>
      <c r="BK250">
        <v>37</v>
      </c>
      <c r="BL250">
        <v>37</v>
      </c>
      <c r="BM250">
        <v>37</v>
      </c>
      <c r="BO250">
        <v>30</v>
      </c>
      <c r="BP250">
        <v>37</v>
      </c>
      <c r="BQ250">
        <v>0</v>
      </c>
      <c r="BS250">
        <v>0</v>
      </c>
      <c r="BT250">
        <v>37</v>
      </c>
      <c r="BU250">
        <v>37</v>
      </c>
      <c r="BV250">
        <v>36</v>
      </c>
      <c r="BW250">
        <v>0</v>
      </c>
      <c r="BX250">
        <v>37</v>
      </c>
      <c r="BY250">
        <v>27</v>
      </c>
      <c r="BZ250">
        <v>33</v>
      </c>
      <c r="CA250">
        <v>37</v>
      </c>
      <c r="CB250">
        <v>37</v>
      </c>
      <c r="CC250">
        <v>37</v>
      </c>
      <c r="CD250">
        <v>14</v>
      </c>
      <c r="CE250">
        <v>0</v>
      </c>
      <c r="CF250">
        <v>21</v>
      </c>
      <c r="CG250">
        <v>0</v>
      </c>
      <c r="CH250">
        <v>3</v>
      </c>
      <c r="CI250">
        <v>17</v>
      </c>
      <c r="CJ250">
        <v>30</v>
      </c>
      <c r="CK250">
        <v>0</v>
      </c>
    </row>
    <row r="251" spans="1:89" x14ac:dyDescent="0.25">
      <c r="A251" s="23" t="s">
        <v>478</v>
      </c>
      <c r="C251">
        <v>37</v>
      </c>
      <c r="D251">
        <v>37</v>
      </c>
      <c r="E251">
        <v>0</v>
      </c>
      <c r="F251">
        <v>10</v>
      </c>
      <c r="G251">
        <v>0</v>
      </c>
      <c r="H251">
        <v>37</v>
      </c>
      <c r="I251">
        <v>37</v>
      </c>
      <c r="J251">
        <v>1</v>
      </c>
      <c r="K251">
        <v>33</v>
      </c>
      <c r="L251">
        <v>0</v>
      </c>
      <c r="M251">
        <v>0</v>
      </c>
      <c r="N251">
        <v>5</v>
      </c>
      <c r="O251">
        <v>37</v>
      </c>
      <c r="P251">
        <v>3</v>
      </c>
      <c r="Q251">
        <v>36</v>
      </c>
      <c r="R251">
        <v>37</v>
      </c>
      <c r="S251">
        <v>36</v>
      </c>
      <c r="T251">
        <v>10</v>
      </c>
      <c r="U251">
        <v>37</v>
      </c>
      <c r="V251">
        <v>12</v>
      </c>
      <c r="W251">
        <v>0</v>
      </c>
      <c r="X251">
        <v>37</v>
      </c>
      <c r="Y251">
        <v>3</v>
      </c>
      <c r="AA251">
        <v>28</v>
      </c>
      <c r="AB251">
        <v>25</v>
      </c>
      <c r="AC251">
        <v>10</v>
      </c>
      <c r="AD251">
        <v>37</v>
      </c>
      <c r="AE251">
        <v>15</v>
      </c>
      <c r="AF251">
        <v>37</v>
      </c>
      <c r="AG251">
        <v>28</v>
      </c>
      <c r="AH251">
        <v>1</v>
      </c>
      <c r="AI251">
        <v>37</v>
      </c>
      <c r="AJ251">
        <v>21</v>
      </c>
      <c r="AK251">
        <v>34</v>
      </c>
      <c r="AL251">
        <v>22</v>
      </c>
      <c r="AM251">
        <v>37</v>
      </c>
      <c r="AN251">
        <v>5</v>
      </c>
      <c r="AO251">
        <v>37</v>
      </c>
      <c r="AP251">
        <v>0</v>
      </c>
      <c r="AQ251">
        <v>0</v>
      </c>
      <c r="AR251">
        <v>37</v>
      </c>
      <c r="AS251">
        <v>37</v>
      </c>
      <c r="AT251">
        <v>37</v>
      </c>
      <c r="AU251">
        <v>1</v>
      </c>
      <c r="AV251">
        <v>34</v>
      </c>
      <c r="AW251">
        <v>0</v>
      </c>
      <c r="AX251">
        <v>36</v>
      </c>
      <c r="AY251">
        <v>37</v>
      </c>
      <c r="AZ251">
        <v>0</v>
      </c>
      <c r="BA251">
        <v>37</v>
      </c>
      <c r="BB251">
        <v>7</v>
      </c>
      <c r="BC251">
        <v>0</v>
      </c>
      <c r="BD251">
        <v>37</v>
      </c>
      <c r="BE251">
        <v>37</v>
      </c>
      <c r="BF251">
        <v>6</v>
      </c>
      <c r="BG251">
        <v>37</v>
      </c>
      <c r="BH251">
        <v>2</v>
      </c>
      <c r="BI251">
        <v>37</v>
      </c>
      <c r="BJ251">
        <v>34</v>
      </c>
      <c r="BK251">
        <v>37</v>
      </c>
      <c r="BL251">
        <v>37</v>
      </c>
      <c r="BM251">
        <v>37</v>
      </c>
      <c r="BN251">
        <v>14</v>
      </c>
      <c r="BO251">
        <v>0</v>
      </c>
      <c r="BP251">
        <v>37</v>
      </c>
      <c r="BQ251">
        <v>32</v>
      </c>
      <c r="BS251">
        <v>8</v>
      </c>
      <c r="BT251">
        <v>37</v>
      </c>
      <c r="BU251">
        <v>5</v>
      </c>
      <c r="BV251">
        <v>37</v>
      </c>
      <c r="BW251">
        <v>37</v>
      </c>
      <c r="BX251">
        <v>37</v>
      </c>
      <c r="BY251">
        <v>36</v>
      </c>
      <c r="BZ251">
        <v>32</v>
      </c>
      <c r="CA251">
        <v>37</v>
      </c>
      <c r="CB251">
        <v>25</v>
      </c>
      <c r="CC251">
        <v>37</v>
      </c>
      <c r="CD251">
        <v>0</v>
      </c>
      <c r="CE251">
        <v>24</v>
      </c>
      <c r="CF251">
        <v>5</v>
      </c>
      <c r="CG251">
        <v>6</v>
      </c>
      <c r="CH251">
        <v>6</v>
      </c>
      <c r="CI251">
        <v>20</v>
      </c>
      <c r="CJ251">
        <v>0</v>
      </c>
      <c r="CK251">
        <v>0</v>
      </c>
    </row>
    <row r="252" spans="1:89" x14ac:dyDescent="0.25">
      <c r="A252" s="23" t="s">
        <v>479</v>
      </c>
      <c r="B252">
        <v>37</v>
      </c>
      <c r="C252">
        <v>37</v>
      </c>
      <c r="D252">
        <v>25</v>
      </c>
      <c r="E252">
        <v>0</v>
      </c>
      <c r="F252">
        <v>10</v>
      </c>
      <c r="G252">
        <v>0</v>
      </c>
      <c r="H252">
        <v>34</v>
      </c>
      <c r="I252">
        <v>37</v>
      </c>
      <c r="J252">
        <v>0</v>
      </c>
      <c r="K252">
        <v>37</v>
      </c>
      <c r="L252">
        <v>30</v>
      </c>
      <c r="M252">
        <v>5</v>
      </c>
      <c r="N252">
        <v>36</v>
      </c>
      <c r="O252">
        <v>35</v>
      </c>
      <c r="P252">
        <v>0</v>
      </c>
      <c r="Q252">
        <v>31</v>
      </c>
      <c r="R252">
        <v>37</v>
      </c>
      <c r="S252">
        <v>37</v>
      </c>
      <c r="T252">
        <v>28</v>
      </c>
      <c r="U252">
        <v>37</v>
      </c>
      <c r="V252">
        <v>37</v>
      </c>
      <c r="W252">
        <v>23</v>
      </c>
      <c r="X252">
        <v>37</v>
      </c>
      <c r="Y252">
        <v>37</v>
      </c>
      <c r="AA252">
        <v>0</v>
      </c>
      <c r="AB252">
        <v>0</v>
      </c>
      <c r="AC252">
        <v>0</v>
      </c>
      <c r="AD252">
        <v>37</v>
      </c>
      <c r="AE252">
        <v>11</v>
      </c>
      <c r="AF252">
        <v>11</v>
      </c>
      <c r="AG252">
        <v>34</v>
      </c>
      <c r="AH252">
        <v>12</v>
      </c>
      <c r="AI252">
        <v>37</v>
      </c>
      <c r="AJ252">
        <v>9</v>
      </c>
      <c r="AK252">
        <v>37</v>
      </c>
      <c r="AL252">
        <v>10</v>
      </c>
      <c r="AM252">
        <v>37</v>
      </c>
      <c r="AN252">
        <v>1</v>
      </c>
      <c r="AO252">
        <v>37</v>
      </c>
      <c r="AP252">
        <v>0</v>
      </c>
      <c r="AQ252">
        <v>1</v>
      </c>
      <c r="AR252">
        <v>37</v>
      </c>
      <c r="AS252">
        <v>37</v>
      </c>
      <c r="AT252">
        <v>11</v>
      </c>
      <c r="AU252">
        <v>19</v>
      </c>
      <c r="AV252">
        <v>10</v>
      </c>
      <c r="AW252">
        <v>2</v>
      </c>
      <c r="AX252">
        <v>37</v>
      </c>
      <c r="AY252">
        <v>37</v>
      </c>
      <c r="AZ252">
        <v>0</v>
      </c>
      <c r="BA252">
        <v>37</v>
      </c>
      <c r="BB252">
        <v>5</v>
      </c>
      <c r="BC252">
        <v>0</v>
      </c>
      <c r="BD252">
        <v>6</v>
      </c>
      <c r="BE252">
        <v>37</v>
      </c>
      <c r="BF252">
        <v>0</v>
      </c>
      <c r="BG252">
        <v>37</v>
      </c>
      <c r="BH252">
        <v>0</v>
      </c>
      <c r="BI252">
        <v>31</v>
      </c>
      <c r="BJ252">
        <v>36</v>
      </c>
      <c r="BK252">
        <v>37</v>
      </c>
      <c r="BL252">
        <v>37</v>
      </c>
      <c r="BM252">
        <v>37</v>
      </c>
      <c r="BO252">
        <v>29</v>
      </c>
      <c r="BP252">
        <v>37</v>
      </c>
      <c r="BQ252">
        <v>32</v>
      </c>
      <c r="BS252">
        <v>0</v>
      </c>
      <c r="BT252">
        <v>37</v>
      </c>
      <c r="BU252">
        <v>0</v>
      </c>
      <c r="BV252">
        <v>37</v>
      </c>
      <c r="BW252">
        <v>34</v>
      </c>
      <c r="BX252">
        <v>37</v>
      </c>
      <c r="BY252">
        <v>29</v>
      </c>
      <c r="BZ252">
        <v>8</v>
      </c>
      <c r="CA252">
        <v>37</v>
      </c>
      <c r="CB252">
        <v>35</v>
      </c>
      <c r="CC252">
        <v>13</v>
      </c>
      <c r="CD252">
        <v>0</v>
      </c>
      <c r="CE252">
        <v>0</v>
      </c>
      <c r="CF252">
        <v>3</v>
      </c>
      <c r="CG252">
        <v>4</v>
      </c>
      <c r="CH252">
        <v>19</v>
      </c>
      <c r="CI252">
        <v>24</v>
      </c>
      <c r="CJ252">
        <v>1</v>
      </c>
      <c r="CK252">
        <v>10</v>
      </c>
    </row>
    <row r="253" spans="1:89" x14ac:dyDescent="0.25">
      <c r="A253" s="23" t="s">
        <v>480</v>
      </c>
      <c r="B253">
        <v>37</v>
      </c>
      <c r="C253">
        <v>12</v>
      </c>
      <c r="D253">
        <v>37</v>
      </c>
      <c r="E253">
        <v>0</v>
      </c>
      <c r="F253">
        <v>0</v>
      </c>
      <c r="G253">
        <v>9</v>
      </c>
      <c r="H253">
        <v>32</v>
      </c>
      <c r="I253">
        <v>37</v>
      </c>
      <c r="J253">
        <v>0</v>
      </c>
      <c r="K253">
        <v>37</v>
      </c>
      <c r="L253">
        <v>30</v>
      </c>
      <c r="M253">
        <v>7</v>
      </c>
      <c r="N253">
        <v>37</v>
      </c>
      <c r="O253">
        <v>36</v>
      </c>
      <c r="P253">
        <v>37</v>
      </c>
      <c r="Q253">
        <v>29</v>
      </c>
      <c r="R253">
        <v>37</v>
      </c>
      <c r="S253">
        <v>37</v>
      </c>
      <c r="T253">
        <v>36</v>
      </c>
      <c r="U253">
        <v>37</v>
      </c>
      <c r="V253">
        <v>37</v>
      </c>
      <c r="W253">
        <v>1</v>
      </c>
      <c r="X253">
        <v>37</v>
      </c>
      <c r="Y253">
        <v>37</v>
      </c>
      <c r="AA253">
        <v>0</v>
      </c>
      <c r="AB253">
        <v>0</v>
      </c>
      <c r="AC253">
        <v>0</v>
      </c>
      <c r="AD253">
        <v>37</v>
      </c>
      <c r="AE253">
        <v>0</v>
      </c>
      <c r="AF253">
        <v>27</v>
      </c>
      <c r="AG253">
        <v>35</v>
      </c>
      <c r="AH253">
        <v>0</v>
      </c>
      <c r="AI253">
        <v>37</v>
      </c>
      <c r="AJ253">
        <v>0</v>
      </c>
      <c r="AK253">
        <v>37</v>
      </c>
      <c r="AL253">
        <v>2</v>
      </c>
      <c r="AM253">
        <v>37</v>
      </c>
      <c r="AN253">
        <v>4</v>
      </c>
      <c r="AO253">
        <v>37</v>
      </c>
      <c r="AP253">
        <v>0</v>
      </c>
      <c r="AQ253">
        <v>12</v>
      </c>
      <c r="AR253">
        <v>37</v>
      </c>
      <c r="AS253">
        <v>35</v>
      </c>
      <c r="AT253">
        <v>2</v>
      </c>
      <c r="AU253">
        <v>7</v>
      </c>
      <c r="AV253">
        <v>7</v>
      </c>
      <c r="AW253">
        <v>0</v>
      </c>
      <c r="AX253">
        <v>37</v>
      </c>
      <c r="AY253">
        <v>2</v>
      </c>
      <c r="AZ253">
        <v>0</v>
      </c>
      <c r="BA253">
        <v>35</v>
      </c>
      <c r="BB253">
        <v>1</v>
      </c>
      <c r="BC253">
        <v>0</v>
      </c>
      <c r="BD253">
        <v>0</v>
      </c>
      <c r="BE253">
        <v>37</v>
      </c>
      <c r="BF253">
        <v>8</v>
      </c>
      <c r="BG253">
        <v>37</v>
      </c>
      <c r="BH253">
        <v>0</v>
      </c>
      <c r="BI253">
        <v>0</v>
      </c>
      <c r="BJ253">
        <v>29</v>
      </c>
      <c r="BK253">
        <v>37</v>
      </c>
      <c r="BL253">
        <v>37</v>
      </c>
      <c r="BM253">
        <v>37</v>
      </c>
      <c r="BN253">
        <v>0</v>
      </c>
      <c r="BO253">
        <v>5</v>
      </c>
      <c r="BP253">
        <v>37</v>
      </c>
      <c r="BQ253">
        <v>4</v>
      </c>
      <c r="BS253">
        <v>0</v>
      </c>
      <c r="BT253">
        <v>37</v>
      </c>
      <c r="BU253">
        <v>0</v>
      </c>
      <c r="BV253">
        <v>29</v>
      </c>
      <c r="BW253">
        <v>29</v>
      </c>
      <c r="BX253">
        <v>37</v>
      </c>
      <c r="BY253">
        <v>31</v>
      </c>
      <c r="BZ253">
        <v>37</v>
      </c>
      <c r="CA253">
        <v>37</v>
      </c>
      <c r="CB253">
        <v>37</v>
      </c>
      <c r="CC253">
        <v>0</v>
      </c>
      <c r="CD253">
        <v>27</v>
      </c>
      <c r="CE253">
        <v>0</v>
      </c>
      <c r="CF253">
        <v>2</v>
      </c>
      <c r="CG253">
        <v>0</v>
      </c>
      <c r="CH253">
        <v>12</v>
      </c>
      <c r="CI253">
        <v>26</v>
      </c>
      <c r="CJ253">
        <v>0</v>
      </c>
      <c r="CK253">
        <v>35</v>
      </c>
    </row>
    <row r="254" spans="1:89" x14ac:dyDescent="0.25">
      <c r="A254" s="23"/>
    </row>
    <row r="255" spans="1:89" x14ac:dyDescent="0.25">
      <c r="A255" s="23" t="s">
        <v>468</v>
      </c>
      <c r="B255">
        <v>32</v>
      </c>
      <c r="C255">
        <v>37</v>
      </c>
      <c r="D255">
        <v>37</v>
      </c>
      <c r="E255">
        <v>0</v>
      </c>
      <c r="F255">
        <v>36</v>
      </c>
      <c r="G255">
        <v>37</v>
      </c>
      <c r="H255">
        <v>37</v>
      </c>
      <c r="I255">
        <v>0</v>
      </c>
      <c r="J255">
        <v>2</v>
      </c>
      <c r="L255">
        <v>0</v>
      </c>
      <c r="M255">
        <v>31</v>
      </c>
      <c r="P255">
        <v>29</v>
      </c>
      <c r="Q255">
        <v>30</v>
      </c>
      <c r="R255">
        <v>37</v>
      </c>
      <c r="S255">
        <v>29</v>
      </c>
      <c r="U255">
        <v>0</v>
      </c>
      <c r="Y255">
        <v>21</v>
      </c>
      <c r="Z255">
        <v>8</v>
      </c>
      <c r="AA255">
        <v>33</v>
      </c>
      <c r="AC255">
        <v>37</v>
      </c>
      <c r="AD255">
        <v>37</v>
      </c>
      <c r="AE255">
        <v>24</v>
      </c>
      <c r="AF255">
        <v>14</v>
      </c>
      <c r="AG255">
        <v>37</v>
      </c>
      <c r="AH255">
        <v>1</v>
      </c>
      <c r="AI255">
        <v>0</v>
      </c>
      <c r="AJ255">
        <v>0</v>
      </c>
      <c r="AK255">
        <v>37</v>
      </c>
      <c r="AL255">
        <v>37</v>
      </c>
      <c r="AM255">
        <v>37</v>
      </c>
      <c r="AN255">
        <v>0</v>
      </c>
      <c r="AP255">
        <v>29</v>
      </c>
      <c r="AT255">
        <v>0</v>
      </c>
      <c r="AU255">
        <v>37</v>
      </c>
      <c r="AW255">
        <v>0</v>
      </c>
      <c r="AX255">
        <v>15</v>
      </c>
      <c r="AZ255">
        <v>9</v>
      </c>
      <c r="BC255">
        <v>0</v>
      </c>
      <c r="BF255">
        <v>37</v>
      </c>
      <c r="BG255">
        <v>37</v>
      </c>
      <c r="BI255">
        <v>37</v>
      </c>
      <c r="BK255">
        <v>37</v>
      </c>
      <c r="BM255">
        <v>37</v>
      </c>
      <c r="BN255">
        <v>0</v>
      </c>
      <c r="BO255">
        <v>8</v>
      </c>
      <c r="BQ255">
        <v>36</v>
      </c>
      <c r="BR255">
        <v>17</v>
      </c>
      <c r="BT255">
        <v>37</v>
      </c>
      <c r="BU255">
        <v>1</v>
      </c>
      <c r="BW255">
        <v>37</v>
      </c>
      <c r="BX255">
        <v>37</v>
      </c>
      <c r="BZ255">
        <v>13</v>
      </c>
      <c r="CA255">
        <v>37</v>
      </c>
      <c r="CC255">
        <v>26</v>
      </c>
      <c r="CD255">
        <v>31</v>
      </c>
      <c r="CE255">
        <v>0</v>
      </c>
      <c r="CF255">
        <v>21</v>
      </c>
      <c r="CH255">
        <v>19</v>
      </c>
      <c r="CJ255">
        <v>3</v>
      </c>
      <c r="CK255">
        <v>11</v>
      </c>
    </row>
    <row r="256" spans="1:89" x14ac:dyDescent="0.25">
      <c r="A256" s="23" t="s">
        <v>481</v>
      </c>
      <c r="B256">
        <v>18</v>
      </c>
      <c r="C256">
        <v>37</v>
      </c>
      <c r="D256">
        <v>37</v>
      </c>
      <c r="E256">
        <v>0</v>
      </c>
      <c r="F256">
        <v>30</v>
      </c>
      <c r="G256">
        <v>10</v>
      </c>
      <c r="H256">
        <v>37</v>
      </c>
      <c r="J256">
        <v>0</v>
      </c>
      <c r="L256">
        <v>0</v>
      </c>
      <c r="M256">
        <v>0</v>
      </c>
      <c r="P256">
        <v>9</v>
      </c>
      <c r="Q256">
        <v>0</v>
      </c>
      <c r="R256">
        <v>0</v>
      </c>
      <c r="S256">
        <v>33</v>
      </c>
      <c r="U256">
        <v>0</v>
      </c>
      <c r="Z256">
        <v>4</v>
      </c>
      <c r="AA256">
        <v>2</v>
      </c>
      <c r="AC256">
        <v>30</v>
      </c>
      <c r="AD256">
        <v>37</v>
      </c>
      <c r="AE256">
        <v>37</v>
      </c>
      <c r="AF256">
        <v>29</v>
      </c>
      <c r="AG256">
        <v>5</v>
      </c>
      <c r="AH256">
        <v>12</v>
      </c>
      <c r="AI256">
        <v>37</v>
      </c>
      <c r="AJ256">
        <v>0</v>
      </c>
      <c r="AK256">
        <v>36</v>
      </c>
      <c r="AL256">
        <v>33</v>
      </c>
      <c r="AM256">
        <v>37</v>
      </c>
      <c r="AN256">
        <v>0</v>
      </c>
      <c r="AP256">
        <v>27</v>
      </c>
      <c r="AS256">
        <v>37</v>
      </c>
      <c r="AT256">
        <v>2</v>
      </c>
      <c r="AU256">
        <v>15</v>
      </c>
      <c r="AW256">
        <v>0</v>
      </c>
      <c r="AZ256">
        <v>0</v>
      </c>
      <c r="BC256">
        <v>0</v>
      </c>
      <c r="BD256">
        <v>36</v>
      </c>
      <c r="BF256">
        <v>37</v>
      </c>
      <c r="BG256">
        <v>37</v>
      </c>
      <c r="BI256">
        <v>37</v>
      </c>
      <c r="BK256">
        <v>37</v>
      </c>
      <c r="BM256">
        <v>37</v>
      </c>
      <c r="BN256">
        <v>0</v>
      </c>
      <c r="BO256">
        <v>31</v>
      </c>
      <c r="BQ256">
        <v>0</v>
      </c>
      <c r="BR256">
        <v>9</v>
      </c>
      <c r="BT256">
        <v>37</v>
      </c>
      <c r="BU256">
        <v>0</v>
      </c>
      <c r="BX256">
        <v>37</v>
      </c>
      <c r="BY256">
        <v>37</v>
      </c>
      <c r="BZ256">
        <v>0</v>
      </c>
      <c r="CA256">
        <v>24</v>
      </c>
      <c r="CC256">
        <v>23</v>
      </c>
      <c r="CD256">
        <v>31</v>
      </c>
      <c r="CE256">
        <v>0</v>
      </c>
      <c r="CF256">
        <v>5</v>
      </c>
      <c r="CG256">
        <v>6</v>
      </c>
      <c r="CH256">
        <v>0</v>
      </c>
      <c r="CJ256">
        <v>0</v>
      </c>
      <c r="CK256">
        <v>0</v>
      </c>
    </row>
    <row r="257" spans="1:89" x14ac:dyDescent="0.25">
      <c r="A257" s="23" t="s">
        <v>482</v>
      </c>
      <c r="B257">
        <v>22</v>
      </c>
      <c r="C257">
        <v>34</v>
      </c>
      <c r="D257">
        <v>37</v>
      </c>
      <c r="E257">
        <v>0</v>
      </c>
      <c r="F257">
        <v>37</v>
      </c>
      <c r="G257">
        <v>0</v>
      </c>
      <c r="H257">
        <v>37</v>
      </c>
      <c r="J257">
        <v>0</v>
      </c>
      <c r="L257">
        <v>0</v>
      </c>
      <c r="M257">
        <v>0</v>
      </c>
      <c r="P257">
        <v>20</v>
      </c>
      <c r="Q257">
        <v>0</v>
      </c>
      <c r="R257">
        <v>37</v>
      </c>
      <c r="S257">
        <v>36</v>
      </c>
      <c r="U257">
        <v>0</v>
      </c>
      <c r="W257">
        <v>0</v>
      </c>
      <c r="Y257">
        <v>8</v>
      </c>
      <c r="Z257">
        <v>6</v>
      </c>
      <c r="AA257">
        <v>37</v>
      </c>
      <c r="AC257">
        <v>32</v>
      </c>
      <c r="AD257">
        <v>37</v>
      </c>
      <c r="AE257">
        <v>33</v>
      </c>
      <c r="AF257">
        <v>28</v>
      </c>
      <c r="AG257">
        <v>7</v>
      </c>
      <c r="AH257">
        <v>4</v>
      </c>
      <c r="AI257">
        <v>0</v>
      </c>
      <c r="AK257">
        <v>35</v>
      </c>
      <c r="AL257">
        <v>11</v>
      </c>
      <c r="AM257">
        <v>37</v>
      </c>
      <c r="AN257">
        <v>0</v>
      </c>
      <c r="AO257">
        <v>26</v>
      </c>
      <c r="AP257">
        <v>33</v>
      </c>
      <c r="AS257">
        <v>37</v>
      </c>
      <c r="AT257">
        <v>37</v>
      </c>
      <c r="AU257">
        <v>15</v>
      </c>
      <c r="AV257">
        <v>1</v>
      </c>
      <c r="AW257">
        <v>0</v>
      </c>
      <c r="AX257">
        <v>0</v>
      </c>
      <c r="AZ257">
        <v>3</v>
      </c>
      <c r="BC257">
        <v>5</v>
      </c>
      <c r="BD257">
        <v>12</v>
      </c>
      <c r="BF257">
        <v>32</v>
      </c>
      <c r="BG257">
        <v>37</v>
      </c>
      <c r="BI257">
        <v>35</v>
      </c>
      <c r="BK257">
        <v>37</v>
      </c>
      <c r="BM257">
        <v>37</v>
      </c>
      <c r="BN257">
        <v>0</v>
      </c>
      <c r="BO257">
        <v>3</v>
      </c>
      <c r="BQ257">
        <v>0</v>
      </c>
      <c r="BR257">
        <v>6</v>
      </c>
      <c r="BT257">
        <v>37</v>
      </c>
      <c r="BU257">
        <v>0</v>
      </c>
      <c r="BX257">
        <v>37</v>
      </c>
      <c r="BY257">
        <v>27</v>
      </c>
      <c r="BZ257">
        <v>36</v>
      </c>
      <c r="CA257">
        <v>37</v>
      </c>
      <c r="CC257">
        <v>28</v>
      </c>
      <c r="CD257">
        <v>6</v>
      </c>
      <c r="CE257">
        <v>10</v>
      </c>
      <c r="CF257">
        <v>4</v>
      </c>
      <c r="CG257">
        <v>0</v>
      </c>
      <c r="CH257">
        <v>6</v>
      </c>
      <c r="CI257">
        <v>4</v>
      </c>
      <c r="CJ257">
        <v>5</v>
      </c>
      <c r="CK257">
        <v>35</v>
      </c>
    </row>
    <row r="258" spans="1:89" x14ac:dyDescent="0.25">
      <c r="A258" s="23" t="s">
        <v>483</v>
      </c>
      <c r="B258">
        <v>0</v>
      </c>
      <c r="C258">
        <v>37</v>
      </c>
      <c r="D258">
        <v>37</v>
      </c>
      <c r="E258">
        <v>7</v>
      </c>
      <c r="F258">
        <v>27</v>
      </c>
      <c r="G258">
        <v>34</v>
      </c>
      <c r="H258">
        <v>37</v>
      </c>
      <c r="J258">
        <v>20</v>
      </c>
      <c r="L258">
        <v>0</v>
      </c>
      <c r="M258">
        <v>21</v>
      </c>
      <c r="P258">
        <v>2</v>
      </c>
      <c r="Q258">
        <v>37</v>
      </c>
      <c r="R258">
        <v>37</v>
      </c>
      <c r="S258">
        <v>31</v>
      </c>
      <c r="U258">
        <v>12</v>
      </c>
      <c r="W258">
        <v>0</v>
      </c>
      <c r="AA258">
        <v>37</v>
      </c>
      <c r="AC258">
        <v>14</v>
      </c>
      <c r="AD258">
        <v>37</v>
      </c>
      <c r="AE258">
        <v>10</v>
      </c>
      <c r="AF258">
        <v>37</v>
      </c>
      <c r="AG258">
        <v>0</v>
      </c>
      <c r="AH258">
        <v>1</v>
      </c>
      <c r="AK258">
        <v>33</v>
      </c>
      <c r="AL258">
        <v>0</v>
      </c>
      <c r="AM258">
        <v>37</v>
      </c>
      <c r="AN258">
        <v>0</v>
      </c>
      <c r="AO258">
        <v>0</v>
      </c>
      <c r="AP258">
        <v>36</v>
      </c>
      <c r="AS258">
        <v>37</v>
      </c>
      <c r="AT258">
        <v>37</v>
      </c>
      <c r="AU258">
        <v>0</v>
      </c>
      <c r="AV258">
        <v>2</v>
      </c>
      <c r="AW258">
        <v>1</v>
      </c>
      <c r="AX258">
        <v>0</v>
      </c>
      <c r="AZ258">
        <v>0</v>
      </c>
      <c r="BC258">
        <v>9</v>
      </c>
      <c r="BD258">
        <v>30</v>
      </c>
      <c r="BF258">
        <v>35</v>
      </c>
      <c r="BG258">
        <v>37</v>
      </c>
      <c r="BI258">
        <v>3</v>
      </c>
      <c r="BK258">
        <v>37</v>
      </c>
      <c r="BM258">
        <v>0</v>
      </c>
      <c r="BN258">
        <v>0</v>
      </c>
      <c r="BO258">
        <v>5</v>
      </c>
      <c r="BQ258">
        <v>0</v>
      </c>
      <c r="BR258">
        <v>4</v>
      </c>
      <c r="BT258">
        <v>37</v>
      </c>
      <c r="BU258">
        <v>33</v>
      </c>
      <c r="BX258">
        <v>37</v>
      </c>
      <c r="BY258">
        <v>0</v>
      </c>
      <c r="BZ258">
        <v>0</v>
      </c>
      <c r="CA258">
        <v>30</v>
      </c>
      <c r="CC258">
        <v>23</v>
      </c>
      <c r="CD258">
        <v>0</v>
      </c>
      <c r="CE258">
        <v>2</v>
      </c>
      <c r="CF258">
        <v>2</v>
      </c>
      <c r="CG258">
        <v>0</v>
      </c>
      <c r="CH258">
        <v>1</v>
      </c>
      <c r="CJ258">
        <v>0</v>
      </c>
      <c r="CK258">
        <v>37</v>
      </c>
    </row>
    <row r="259" spans="1:89" x14ac:dyDescent="0.25">
      <c r="A259" s="23" t="s">
        <v>484</v>
      </c>
      <c r="B259">
        <v>23</v>
      </c>
      <c r="C259">
        <v>32</v>
      </c>
      <c r="D259">
        <v>37</v>
      </c>
      <c r="E259">
        <v>30</v>
      </c>
      <c r="F259">
        <v>37</v>
      </c>
      <c r="G259">
        <v>37</v>
      </c>
      <c r="H259">
        <v>36</v>
      </c>
      <c r="J259">
        <v>30</v>
      </c>
      <c r="L259">
        <v>15</v>
      </c>
      <c r="M259">
        <v>27</v>
      </c>
      <c r="P259">
        <v>0</v>
      </c>
      <c r="Q259">
        <v>37</v>
      </c>
      <c r="R259">
        <v>37</v>
      </c>
      <c r="S259">
        <v>37</v>
      </c>
      <c r="U259">
        <v>0</v>
      </c>
      <c r="W259">
        <v>0</v>
      </c>
      <c r="Z259">
        <v>0</v>
      </c>
      <c r="AA259">
        <v>36</v>
      </c>
      <c r="AC259">
        <v>25</v>
      </c>
      <c r="AD259">
        <v>37</v>
      </c>
      <c r="AE259">
        <v>24</v>
      </c>
      <c r="AF259">
        <v>29</v>
      </c>
      <c r="AG259">
        <v>6</v>
      </c>
      <c r="AH259">
        <v>0</v>
      </c>
      <c r="AI259">
        <v>11</v>
      </c>
      <c r="AJ259">
        <v>10</v>
      </c>
      <c r="AK259">
        <v>37</v>
      </c>
      <c r="AL259">
        <v>30</v>
      </c>
      <c r="AM259">
        <v>37</v>
      </c>
      <c r="AN259">
        <v>4</v>
      </c>
      <c r="AO259">
        <v>29</v>
      </c>
      <c r="AP259">
        <v>3</v>
      </c>
      <c r="AT259">
        <v>37</v>
      </c>
      <c r="AU259">
        <v>0</v>
      </c>
      <c r="AV259">
        <v>37</v>
      </c>
      <c r="AW259">
        <v>9</v>
      </c>
      <c r="AX259">
        <v>37</v>
      </c>
      <c r="AZ259">
        <v>0</v>
      </c>
      <c r="BC259">
        <v>4</v>
      </c>
      <c r="BF259">
        <v>34</v>
      </c>
      <c r="BG259">
        <v>37</v>
      </c>
      <c r="BI259">
        <v>0</v>
      </c>
      <c r="BK259">
        <v>37</v>
      </c>
      <c r="BM259">
        <v>37</v>
      </c>
      <c r="BN259">
        <v>0</v>
      </c>
      <c r="BO259">
        <v>0</v>
      </c>
      <c r="BQ259">
        <v>0</v>
      </c>
      <c r="BT259">
        <v>37</v>
      </c>
      <c r="BU259">
        <v>5</v>
      </c>
      <c r="BX259">
        <v>37</v>
      </c>
      <c r="BY259">
        <v>22</v>
      </c>
      <c r="BZ259">
        <v>37</v>
      </c>
      <c r="CA259">
        <v>16</v>
      </c>
      <c r="CC259">
        <v>34</v>
      </c>
      <c r="CD259">
        <v>0</v>
      </c>
      <c r="CE259">
        <v>1</v>
      </c>
      <c r="CF259">
        <v>0</v>
      </c>
      <c r="CG259">
        <v>0</v>
      </c>
      <c r="CH259">
        <v>0</v>
      </c>
      <c r="CJ259">
        <v>0</v>
      </c>
      <c r="CK259">
        <v>8</v>
      </c>
    </row>
    <row r="260" spans="1:89" x14ac:dyDescent="0.25">
      <c r="A260" s="23" t="s">
        <v>485</v>
      </c>
      <c r="B260">
        <v>37</v>
      </c>
      <c r="C260">
        <v>24</v>
      </c>
      <c r="D260">
        <v>37</v>
      </c>
      <c r="E260">
        <v>0</v>
      </c>
      <c r="F260">
        <v>37</v>
      </c>
      <c r="G260">
        <v>0</v>
      </c>
      <c r="H260">
        <v>0</v>
      </c>
      <c r="J260">
        <v>30</v>
      </c>
      <c r="L260">
        <v>37</v>
      </c>
      <c r="M260">
        <v>37</v>
      </c>
      <c r="P260">
        <v>7</v>
      </c>
      <c r="Q260">
        <v>37</v>
      </c>
      <c r="R260">
        <v>37</v>
      </c>
      <c r="S260">
        <v>37</v>
      </c>
      <c r="U260">
        <v>0</v>
      </c>
      <c r="W260">
        <v>5</v>
      </c>
      <c r="Z260">
        <v>0</v>
      </c>
      <c r="AA260">
        <v>7</v>
      </c>
      <c r="AC260">
        <v>32</v>
      </c>
      <c r="AD260">
        <v>37</v>
      </c>
      <c r="AE260">
        <v>26</v>
      </c>
      <c r="AF260">
        <v>25</v>
      </c>
      <c r="AG260">
        <v>0</v>
      </c>
      <c r="AI260">
        <v>0</v>
      </c>
      <c r="AK260">
        <v>37</v>
      </c>
      <c r="AL260">
        <v>31</v>
      </c>
      <c r="AM260">
        <v>37</v>
      </c>
      <c r="AN260">
        <v>0</v>
      </c>
      <c r="AO260">
        <v>25</v>
      </c>
      <c r="AP260">
        <v>6</v>
      </c>
      <c r="AT260">
        <v>35</v>
      </c>
      <c r="AU260">
        <v>0</v>
      </c>
      <c r="AV260">
        <v>7</v>
      </c>
      <c r="AW260">
        <v>1</v>
      </c>
      <c r="AZ260">
        <v>14</v>
      </c>
      <c r="BC260">
        <v>2</v>
      </c>
      <c r="BD260">
        <v>2</v>
      </c>
      <c r="BF260">
        <v>12</v>
      </c>
      <c r="BG260">
        <v>37</v>
      </c>
      <c r="BI260">
        <v>1</v>
      </c>
      <c r="BK260">
        <v>37</v>
      </c>
      <c r="BM260">
        <v>37</v>
      </c>
      <c r="BN260">
        <v>0</v>
      </c>
      <c r="BO260">
        <v>0</v>
      </c>
      <c r="BQ260">
        <v>6</v>
      </c>
      <c r="BR260">
        <v>7</v>
      </c>
      <c r="BT260">
        <v>37</v>
      </c>
      <c r="BU260">
        <v>0</v>
      </c>
      <c r="BX260">
        <v>37</v>
      </c>
      <c r="BY260">
        <v>6</v>
      </c>
      <c r="BZ260">
        <v>37</v>
      </c>
      <c r="CA260">
        <v>37</v>
      </c>
      <c r="CC260">
        <v>29</v>
      </c>
      <c r="CD260">
        <v>0</v>
      </c>
      <c r="CE260">
        <v>3</v>
      </c>
      <c r="CF260">
        <v>5</v>
      </c>
      <c r="CG260">
        <v>1</v>
      </c>
      <c r="CH260">
        <v>6</v>
      </c>
      <c r="CI260">
        <v>6</v>
      </c>
      <c r="CJ260">
        <v>0</v>
      </c>
      <c r="CK260">
        <v>3</v>
      </c>
    </row>
    <row r="261" spans="1:89" x14ac:dyDescent="0.25">
      <c r="A261" s="23" t="s">
        <v>486</v>
      </c>
      <c r="B261">
        <v>36</v>
      </c>
      <c r="C261">
        <v>31</v>
      </c>
      <c r="D261">
        <v>37</v>
      </c>
      <c r="E261">
        <v>0</v>
      </c>
      <c r="F261">
        <v>37</v>
      </c>
      <c r="G261">
        <v>0</v>
      </c>
      <c r="H261">
        <v>37</v>
      </c>
      <c r="J261">
        <v>0</v>
      </c>
      <c r="L261">
        <v>28</v>
      </c>
      <c r="M261">
        <v>0</v>
      </c>
      <c r="P261">
        <v>0</v>
      </c>
      <c r="R261">
        <v>36</v>
      </c>
      <c r="S261">
        <v>37</v>
      </c>
      <c r="U261">
        <v>0</v>
      </c>
      <c r="W261">
        <v>17</v>
      </c>
      <c r="Z261">
        <v>0</v>
      </c>
      <c r="AA261">
        <v>37</v>
      </c>
      <c r="AC261">
        <v>0</v>
      </c>
      <c r="AD261">
        <v>37</v>
      </c>
      <c r="AE261">
        <v>32</v>
      </c>
      <c r="AF261">
        <v>33</v>
      </c>
      <c r="AG261">
        <v>0</v>
      </c>
      <c r="AH261">
        <v>3</v>
      </c>
      <c r="AI261">
        <v>0</v>
      </c>
      <c r="AJ261">
        <v>7</v>
      </c>
      <c r="AK261">
        <v>36</v>
      </c>
      <c r="AL261">
        <v>0</v>
      </c>
      <c r="AM261">
        <v>28</v>
      </c>
      <c r="AN261">
        <v>0</v>
      </c>
      <c r="AO261">
        <v>12</v>
      </c>
      <c r="AP261">
        <v>3</v>
      </c>
      <c r="AT261">
        <v>37</v>
      </c>
      <c r="AU261">
        <v>30</v>
      </c>
      <c r="AW261">
        <v>27</v>
      </c>
      <c r="AZ261">
        <v>0</v>
      </c>
      <c r="BC261">
        <v>7</v>
      </c>
      <c r="BD261">
        <v>31</v>
      </c>
      <c r="BF261">
        <v>30</v>
      </c>
      <c r="BG261">
        <v>37</v>
      </c>
      <c r="BI261">
        <v>14</v>
      </c>
      <c r="BK261">
        <v>37</v>
      </c>
      <c r="BM261">
        <v>37</v>
      </c>
      <c r="BN261">
        <v>4</v>
      </c>
      <c r="BO261">
        <v>3</v>
      </c>
      <c r="BQ261">
        <v>0</v>
      </c>
      <c r="BR261">
        <v>1</v>
      </c>
      <c r="BT261">
        <v>37</v>
      </c>
      <c r="BU261">
        <v>27</v>
      </c>
      <c r="BX261">
        <v>37</v>
      </c>
      <c r="BY261">
        <v>10</v>
      </c>
      <c r="BZ261">
        <v>37</v>
      </c>
      <c r="CA261">
        <v>36</v>
      </c>
      <c r="CC261">
        <v>37</v>
      </c>
      <c r="CD261">
        <v>37</v>
      </c>
      <c r="CE261">
        <v>0</v>
      </c>
      <c r="CF261">
        <v>4</v>
      </c>
      <c r="CG261">
        <v>0</v>
      </c>
      <c r="CH261">
        <v>11</v>
      </c>
      <c r="CJ261">
        <v>0</v>
      </c>
      <c r="CK261">
        <v>0</v>
      </c>
    </row>
    <row r="262" spans="1:89" x14ac:dyDescent="0.25">
      <c r="A262" s="23" t="s">
        <v>487</v>
      </c>
      <c r="B262">
        <v>37</v>
      </c>
      <c r="C262">
        <v>36</v>
      </c>
      <c r="D262">
        <v>37</v>
      </c>
      <c r="E262">
        <v>4</v>
      </c>
      <c r="F262">
        <v>37</v>
      </c>
      <c r="G262">
        <v>6</v>
      </c>
      <c r="H262">
        <v>12</v>
      </c>
      <c r="J262">
        <v>0</v>
      </c>
      <c r="L262">
        <v>30</v>
      </c>
      <c r="M262">
        <v>5</v>
      </c>
      <c r="P262">
        <v>0</v>
      </c>
      <c r="Q262">
        <v>26</v>
      </c>
      <c r="R262">
        <v>35</v>
      </c>
      <c r="S262">
        <v>37</v>
      </c>
      <c r="U262">
        <v>0</v>
      </c>
      <c r="W262">
        <v>0</v>
      </c>
      <c r="Z262">
        <v>0</v>
      </c>
      <c r="AA262">
        <v>32</v>
      </c>
      <c r="AC262">
        <v>0</v>
      </c>
      <c r="AD262">
        <v>37</v>
      </c>
      <c r="AE262">
        <v>34</v>
      </c>
      <c r="AF262">
        <v>33</v>
      </c>
      <c r="AG262">
        <v>10</v>
      </c>
      <c r="AH262">
        <v>0</v>
      </c>
      <c r="AI262">
        <v>37</v>
      </c>
      <c r="AK262">
        <v>34</v>
      </c>
      <c r="AL262">
        <v>36</v>
      </c>
      <c r="AM262">
        <v>0</v>
      </c>
      <c r="AN262">
        <v>0</v>
      </c>
      <c r="AO262">
        <v>31</v>
      </c>
      <c r="AP262">
        <v>0</v>
      </c>
      <c r="AT262">
        <v>37</v>
      </c>
      <c r="AU262">
        <v>10</v>
      </c>
      <c r="AV262">
        <v>29</v>
      </c>
      <c r="AW262">
        <v>1</v>
      </c>
      <c r="AZ262">
        <v>0</v>
      </c>
      <c r="BC262">
        <v>0</v>
      </c>
      <c r="BD262">
        <v>37</v>
      </c>
      <c r="BF262">
        <v>37</v>
      </c>
      <c r="BG262">
        <v>37</v>
      </c>
      <c r="BI262">
        <v>3</v>
      </c>
      <c r="BK262">
        <v>37</v>
      </c>
      <c r="BM262">
        <v>37</v>
      </c>
      <c r="BN262">
        <v>0</v>
      </c>
      <c r="BO262">
        <v>25</v>
      </c>
      <c r="BR262">
        <v>0</v>
      </c>
      <c r="BT262">
        <v>37</v>
      </c>
      <c r="BU262">
        <v>37</v>
      </c>
      <c r="BX262">
        <v>0</v>
      </c>
      <c r="BY262">
        <v>10</v>
      </c>
      <c r="BZ262">
        <v>37</v>
      </c>
      <c r="CA262">
        <v>37</v>
      </c>
      <c r="CC262">
        <v>37</v>
      </c>
      <c r="CD262">
        <v>0</v>
      </c>
      <c r="CE262">
        <v>5</v>
      </c>
      <c r="CF262">
        <v>2</v>
      </c>
      <c r="CG262">
        <v>0</v>
      </c>
      <c r="CH262">
        <v>5</v>
      </c>
      <c r="CI262">
        <v>10</v>
      </c>
      <c r="CJ262">
        <v>1</v>
      </c>
      <c r="CK262">
        <v>0</v>
      </c>
    </row>
    <row r="263" spans="1:89" x14ac:dyDescent="0.25">
      <c r="A263" s="23" t="s">
        <v>488</v>
      </c>
      <c r="B263">
        <v>2</v>
      </c>
      <c r="C263">
        <v>32</v>
      </c>
      <c r="D263">
        <v>37</v>
      </c>
      <c r="E263">
        <v>0</v>
      </c>
      <c r="F263">
        <v>7</v>
      </c>
      <c r="G263">
        <v>37</v>
      </c>
      <c r="H263">
        <v>32</v>
      </c>
      <c r="J263">
        <v>36</v>
      </c>
      <c r="L263">
        <v>23</v>
      </c>
      <c r="M263">
        <v>0</v>
      </c>
      <c r="P263">
        <v>0</v>
      </c>
      <c r="Q263">
        <v>37</v>
      </c>
      <c r="R263">
        <v>26</v>
      </c>
      <c r="U263">
        <v>33</v>
      </c>
      <c r="W263">
        <v>0</v>
      </c>
      <c r="Z263">
        <v>12</v>
      </c>
      <c r="AA263">
        <v>35</v>
      </c>
      <c r="AC263">
        <v>27</v>
      </c>
      <c r="AD263">
        <v>37</v>
      </c>
      <c r="AE263">
        <v>24</v>
      </c>
      <c r="AF263">
        <v>0</v>
      </c>
      <c r="AG263">
        <v>34</v>
      </c>
      <c r="AH263">
        <v>0</v>
      </c>
      <c r="AK263">
        <v>12</v>
      </c>
      <c r="AL263">
        <v>28</v>
      </c>
      <c r="AM263">
        <v>25</v>
      </c>
      <c r="AN263">
        <v>0</v>
      </c>
      <c r="AO263">
        <v>37</v>
      </c>
      <c r="AP263">
        <v>1</v>
      </c>
      <c r="AT263">
        <v>37</v>
      </c>
      <c r="AU263">
        <v>1</v>
      </c>
      <c r="AV263">
        <v>0</v>
      </c>
      <c r="AW263">
        <v>5</v>
      </c>
      <c r="AZ263">
        <v>15</v>
      </c>
      <c r="BC263">
        <v>0</v>
      </c>
      <c r="BD263">
        <v>37</v>
      </c>
      <c r="BF263">
        <v>36</v>
      </c>
      <c r="BG263">
        <v>37</v>
      </c>
      <c r="BI263">
        <v>24</v>
      </c>
      <c r="BK263">
        <v>37</v>
      </c>
      <c r="BM263">
        <v>37</v>
      </c>
      <c r="BN263">
        <v>0</v>
      </c>
      <c r="BO263">
        <v>32</v>
      </c>
      <c r="BQ263">
        <v>0</v>
      </c>
      <c r="BR263">
        <v>34</v>
      </c>
      <c r="BT263">
        <v>37</v>
      </c>
      <c r="BU263">
        <v>37</v>
      </c>
      <c r="BX263">
        <v>37</v>
      </c>
      <c r="BY263">
        <v>8</v>
      </c>
      <c r="BZ263">
        <v>36</v>
      </c>
      <c r="CA263">
        <v>37</v>
      </c>
      <c r="CC263">
        <v>37</v>
      </c>
      <c r="CD263">
        <v>14</v>
      </c>
      <c r="CE263">
        <v>0</v>
      </c>
      <c r="CF263">
        <v>17</v>
      </c>
      <c r="CG263">
        <v>0</v>
      </c>
      <c r="CH263">
        <v>5</v>
      </c>
      <c r="CI263">
        <v>20</v>
      </c>
      <c r="CJ263">
        <v>37</v>
      </c>
      <c r="CK263">
        <v>10</v>
      </c>
    </row>
    <row r="264" spans="1:89" x14ac:dyDescent="0.25">
      <c r="A264" s="23" t="s">
        <v>489</v>
      </c>
      <c r="B264">
        <v>37</v>
      </c>
      <c r="C264">
        <v>37</v>
      </c>
      <c r="D264">
        <v>37</v>
      </c>
      <c r="E264">
        <v>0</v>
      </c>
      <c r="F264">
        <v>3</v>
      </c>
      <c r="G264">
        <v>0</v>
      </c>
      <c r="H264">
        <v>37</v>
      </c>
      <c r="J264">
        <v>0</v>
      </c>
      <c r="L264">
        <v>0</v>
      </c>
      <c r="M264">
        <v>3</v>
      </c>
      <c r="P264">
        <v>1</v>
      </c>
      <c r="Q264">
        <v>32</v>
      </c>
      <c r="R264">
        <v>37</v>
      </c>
      <c r="S264">
        <v>33</v>
      </c>
      <c r="T264">
        <v>17</v>
      </c>
      <c r="U264">
        <v>37</v>
      </c>
      <c r="W264">
        <v>1</v>
      </c>
      <c r="Z264">
        <v>0</v>
      </c>
      <c r="AA264">
        <v>33</v>
      </c>
      <c r="AC264">
        <v>2</v>
      </c>
      <c r="AD264">
        <v>37</v>
      </c>
      <c r="AE264">
        <v>7</v>
      </c>
      <c r="AF264">
        <v>35</v>
      </c>
      <c r="AG264">
        <v>10</v>
      </c>
      <c r="AH264">
        <v>1</v>
      </c>
      <c r="AK264">
        <v>34</v>
      </c>
      <c r="AL264">
        <v>25</v>
      </c>
      <c r="AM264">
        <v>37</v>
      </c>
      <c r="AN264">
        <v>1</v>
      </c>
      <c r="AO264">
        <v>37</v>
      </c>
      <c r="AP264">
        <v>0</v>
      </c>
      <c r="AT264">
        <v>37</v>
      </c>
      <c r="AU264">
        <v>6</v>
      </c>
      <c r="AV264">
        <v>7</v>
      </c>
      <c r="AW264">
        <v>0</v>
      </c>
      <c r="AZ264">
        <v>0</v>
      </c>
      <c r="BC264">
        <v>0</v>
      </c>
      <c r="BD264">
        <v>37</v>
      </c>
      <c r="BF264">
        <v>25</v>
      </c>
      <c r="BG264">
        <v>37</v>
      </c>
      <c r="BI264">
        <v>37</v>
      </c>
      <c r="BK264">
        <v>37</v>
      </c>
      <c r="BM264">
        <v>37</v>
      </c>
      <c r="BN264">
        <v>30</v>
      </c>
      <c r="BO264">
        <v>0</v>
      </c>
      <c r="BQ264">
        <v>34</v>
      </c>
      <c r="BR264">
        <v>5</v>
      </c>
      <c r="BT264">
        <v>37</v>
      </c>
      <c r="BU264">
        <v>0</v>
      </c>
      <c r="BX264">
        <v>37</v>
      </c>
      <c r="BY264">
        <v>32</v>
      </c>
      <c r="BZ264">
        <v>5</v>
      </c>
      <c r="CA264">
        <v>37</v>
      </c>
      <c r="CC264">
        <v>37</v>
      </c>
      <c r="CD264">
        <v>0</v>
      </c>
      <c r="CE264">
        <v>24</v>
      </c>
      <c r="CF264">
        <v>16</v>
      </c>
      <c r="CH264">
        <v>3</v>
      </c>
      <c r="CI264">
        <v>16</v>
      </c>
      <c r="CJ264">
        <v>0</v>
      </c>
      <c r="CK264">
        <v>0</v>
      </c>
    </row>
    <row r="265" spans="1:89" x14ac:dyDescent="0.25">
      <c r="A265" s="23" t="s">
        <v>490</v>
      </c>
      <c r="B265">
        <v>37</v>
      </c>
      <c r="C265">
        <v>25</v>
      </c>
      <c r="D265">
        <v>20</v>
      </c>
      <c r="E265">
        <v>0</v>
      </c>
      <c r="F265">
        <v>0</v>
      </c>
      <c r="G265">
        <v>12</v>
      </c>
      <c r="H265">
        <v>37</v>
      </c>
      <c r="J265">
        <v>0</v>
      </c>
      <c r="L265">
        <v>33</v>
      </c>
      <c r="M265">
        <v>9</v>
      </c>
      <c r="P265">
        <v>0</v>
      </c>
      <c r="Q265">
        <v>23</v>
      </c>
      <c r="R265">
        <v>37</v>
      </c>
      <c r="S265">
        <v>37</v>
      </c>
      <c r="T265">
        <v>33</v>
      </c>
      <c r="U265">
        <v>37</v>
      </c>
      <c r="Z265">
        <v>0</v>
      </c>
      <c r="AA265">
        <v>0</v>
      </c>
      <c r="AC265">
        <v>0</v>
      </c>
      <c r="AD265">
        <v>37</v>
      </c>
      <c r="AE265">
        <v>7</v>
      </c>
      <c r="AF265">
        <v>11</v>
      </c>
      <c r="AG265">
        <v>33</v>
      </c>
      <c r="AH265">
        <v>15</v>
      </c>
      <c r="AJ265">
        <v>8</v>
      </c>
      <c r="AK265">
        <v>37</v>
      </c>
      <c r="AL265">
        <v>14</v>
      </c>
      <c r="AM265">
        <v>37</v>
      </c>
      <c r="AN265">
        <v>0</v>
      </c>
      <c r="AO265">
        <v>37</v>
      </c>
      <c r="AP265">
        <v>0</v>
      </c>
      <c r="AT265">
        <v>7</v>
      </c>
      <c r="AU265">
        <v>21</v>
      </c>
      <c r="AV265">
        <v>15</v>
      </c>
      <c r="AW265">
        <v>1</v>
      </c>
      <c r="AZ265">
        <v>0</v>
      </c>
      <c r="BC265">
        <v>1</v>
      </c>
      <c r="BD265">
        <v>5</v>
      </c>
      <c r="BF265">
        <v>0</v>
      </c>
      <c r="BG265">
        <v>37</v>
      </c>
      <c r="BI265">
        <v>33</v>
      </c>
      <c r="BK265">
        <v>37</v>
      </c>
      <c r="BM265">
        <v>37</v>
      </c>
      <c r="BN265">
        <v>27</v>
      </c>
      <c r="BO265">
        <v>32</v>
      </c>
      <c r="BQ265">
        <v>23</v>
      </c>
      <c r="BR265">
        <v>9</v>
      </c>
      <c r="BT265">
        <v>37</v>
      </c>
      <c r="BU265">
        <v>0</v>
      </c>
      <c r="BX265">
        <v>37</v>
      </c>
      <c r="BY265">
        <v>14</v>
      </c>
      <c r="BZ265">
        <v>0</v>
      </c>
      <c r="CA265">
        <v>37</v>
      </c>
      <c r="CC265">
        <v>34</v>
      </c>
      <c r="CD265">
        <v>0</v>
      </c>
      <c r="CE265">
        <v>0</v>
      </c>
      <c r="CF265">
        <v>3</v>
      </c>
      <c r="CH265">
        <v>10</v>
      </c>
      <c r="CI265">
        <v>24</v>
      </c>
      <c r="CJ265">
        <v>1</v>
      </c>
      <c r="CK265">
        <v>2</v>
      </c>
    </row>
    <row r="266" spans="1:89" x14ac:dyDescent="0.25">
      <c r="A266" s="23" t="s">
        <v>491</v>
      </c>
      <c r="B266">
        <v>37</v>
      </c>
      <c r="C266">
        <v>3</v>
      </c>
      <c r="D266">
        <v>37</v>
      </c>
      <c r="E266">
        <v>2</v>
      </c>
      <c r="F266">
        <v>0</v>
      </c>
      <c r="G266">
        <v>1</v>
      </c>
      <c r="H266">
        <v>31</v>
      </c>
      <c r="J266">
        <v>0</v>
      </c>
      <c r="L266">
        <v>25</v>
      </c>
      <c r="M266">
        <v>13</v>
      </c>
      <c r="P266">
        <v>37</v>
      </c>
      <c r="Q266">
        <v>27</v>
      </c>
      <c r="R266">
        <v>37</v>
      </c>
      <c r="S266">
        <v>37</v>
      </c>
      <c r="T266">
        <v>37</v>
      </c>
      <c r="U266">
        <v>37</v>
      </c>
      <c r="W266">
        <v>8</v>
      </c>
      <c r="Z266">
        <v>1</v>
      </c>
      <c r="AA266">
        <v>0</v>
      </c>
      <c r="AC266">
        <v>0</v>
      </c>
      <c r="AD266">
        <v>37</v>
      </c>
      <c r="AE266">
        <v>0</v>
      </c>
      <c r="AF266">
        <v>8</v>
      </c>
      <c r="AG266">
        <v>31</v>
      </c>
      <c r="AH266">
        <v>0</v>
      </c>
      <c r="AJ266">
        <v>0</v>
      </c>
      <c r="AK266">
        <v>37</v>
      </c>
      <c r="AL266">
        <v>5</v>
      </c>
      <c r="AM266">
        <v>37</v>
      </c>
      <c r="AN266">
        <v>0</v>
      </c>
      <c r="AO266">
        <v>37</v>
      </c>
      <c r="AP266">
        <v>1</v>
      </c>
      <c r="AT266">
        <v>0</v>
      </c>
      <c r="AU266">
        <v>11</v>
      </c>
      <c r="AV266">
        <v>15</v>
      </c>
      <c r="AW266">
        <v>0</v>
      </c>
      <c r="AZ266">
        <v>0</v>
      </c>
      <c r="BC266">
        <v>0</v>
      </c>
      <c r="BD266">
        <v>0</v>
      </c>
      <c r="BF266">
        <v>27</v>
      </c>
      <c r="BG266">
        <v>37</v>
      </c>
      <c r="BI266">
        <v>0</v>
      </c>
      <c r="BK266">
        <v>37</v>
      </c>
      <c r="BM266">
        <v>37</v>
      </c>
      <c r="BN266">
        <v>0</v>
      </c>
      <c r="BO266">
        <v>4</v>
      </c>
      <c r="BQ266">
        <v>1</v>
      </c>
      <c r="BR266">
        <v>5</v>
      </c>
      <c r="BT266">
        <v>35</v>
      </c>
      <c r="BU266">
        <v>9</v>
      </c>
      <c r="BX266">
        <v>37</v>
      </c>
      <c r="BY266">
        <v>25</v>
      </c>
      <c r="BZ266">
        <v>31</v>
      </c>
      <c r="CA266">
        <v>37</v>
      </c>
      <c r="CC266">
        <v>0</v>
      </c>
      <c r="CD266">
        <v>27</v>
      </c>
      <c r="CE266">
        <v>0</v>
      </c>
      <c r="CF266">
        <v>8</v>
      </c>
      <c r="CG266">
        <v>4</v>
      </c>
      <c r="CH266">
        <v>7</v>
      </c>
      <c r="CJ266">
        <v>0</v>
      </c>
      <c r="CK266">
        <v>37</v>
      </c>
    </row>
    <row r="270" spans="1:89" x14ac:dyDescent="0.25">
      <c r="A270" s="27" t="s">
        <v>73</v>
      </c>
      <c r="B270" s="24">
        <f>AVERAGE(B$2:B$19,B$62:B$65)</f>
        <v>0.22562499999999996</v>
      </c>
      <c r="C270" s="24">
        <f t="shared" ref="C270:BN270" si="0">AVERAGE(C$2:C$19,C$62:C$65)</f>
        <v>0.25090909090909091</v>
      </c>
      <c r="D270" s="24">
        <f t="shared" si="0"/>
        <v>0.24727272727272734</v>
      </c>
      <c r="E270" s="24">
        <f t="shared" si="0"/>
        <v>0.46750000000000003</v>
      </c>
      <c r="F270" s="24">
        <f t="shared" si="0"/>
        <v>0.16200000000000001</v>
      </c>
      <c r="G270" s="24">
        <f t="shared" si="0"/>
        <v>9.285714285714286E-2</v>
      </c>
      <c r="H270" s="24">
        <f t="shared" si="0"/>
        <v>0.32874999999999999</v>
      </c>
      <c r="I270" s="24">
        <f t="shared" si="0"/>
        <v>0.26181818181818178</v>
      </c>
      <c r="J270" s="24">
        <f t="shared" si="0"/>
        <v>4.9375000000000002E-2</v>
      </c>
      <c r="K270" s="24">
        <f t="shared" si="0"/>
        <v>0.36888888888888888</v>
      </c>
      <c r="L270" s="24">
        <f t="shared" si="0"/>
        <v>0.33562500000000001</v>
      </c>
      <c r="M270" s="24">
        <f t="shared" si="0"/>
        <v>0.41666666666666674</v>
      </c>
      <c r="N270" s="24">
        <f t="shared" si="0"/>
        <v>9.5000000000000015E-2</v>
      </c>
      <c r="O270" s="24">
        <f t="shared" si="0"/>
        <v>0.41249999999999998</v>
      </c>
      <c r="P270" s="24">
        <f t="shared" si="0"/>
        <v>0.12000000000000001</v>
      </c>
      <c r="Q270" s="24">
        <f t="shared" si="0"/>
        <v>0.11546666666666668</v>
      </c>
      <c r="R270" s="24">
        <f t="shared" si="0"/>
        <v>0.32300000000000006</v>
      </c>
      <c r="S270" s="24">
        <f t="shared" si="0"/>
        <v>0.22454545454545452</v>
      </c>
      <c r="T270" s="24">
        <f t="shared" si="0"/>
        <v>7.2727272727272738E-2</v>
      </c>
      <c r="U270" s="24">
        <f t="shared" si="0"/>
        <v>0.27666666666666662</v>
      </c>
      <c r="V270" s="24">
        <f t="shared" si="0"/>
        <v>0.11750000000000001</v>
      </c>
      <c r="W270" s="24">
        <f t="shared" si="0"/>
        <v>8.1818181818181832E-2</v>
      </c>
      <c r="X270" s="24">
        <f t="shared" si="0"/>
        <v>0.43875000000000003</v>
      </c>
      <c r="Y270" s="24">
        <f t="shared" si="0"/>
        <v>0.19636363636363632</v>
      </c>
      <c r="Z270" s="24">
        <f t="shared" si="0"/>
        <v>0.23888888888888887</v>
      </c>
      <c r="AA270" s="24">
        <f t="shared" si="0"/>
        <v>0.2558333333333333</v>
      </c>
      <c r="AB270" s="24">
        <f t="shared" si="0"/>
        <v>0.23111111111111107</v>
      </c>
      <c r="AC270" s="24">
        <f t="shared" si="0"/>
        <v>0.26</v>
      </c>
      <c r="AD270" s="24">
        <f t="shared" si="0"/>
        <v>0.31916666666666665</v>
      </c>
      <c r="AE270" s="24">
        <f t="shared" si="0"/>
        <v>0.315</v>
      </c>
      <c r="AF270" s="24">
        <f t="shared" si="0"/>
        <v>0.12461538461538463</v>
      </c>
      <c r="AG270" s="24">
        <f t="shared" si="0"/>
        <v>0.27666666666666667</v>
      </c>
      <c r="AH270" s="24">
        <f t="shared" si="0"/>
        <v>0.18066666666666664</v>
      </c>
      <c r="AI270" s="24">
        <f t="shared" si="0"/>
        <v>3.1425000000000001</v>
      </c>
      <c r="AJ270" s="24">
        <f t="shared" si="0"/>
        <v>3.0833333333333334E-2</v>
      </c>
      <c r="AK270" s="24">
        <f t="shared" si="0"/>
        <v>0.26900000000000002</v>
      </c>
      <c r="AL270" s="24">
        <f t="shared" si="0"/>
        <v>0.35133333333333339</v>
      </c>
      <c r="AM270" s="24">
        <f t="shared" si="0"/>
        <v>0.15583333333333335</v>
      </c>
      <c r="AN270" s="24">
        <f t="shared" si="0"/>
        <v>0.19666666666666663</v>
      </c>
      <c r="AO270" s="24">
        <f t="shared" si="0"/>
        <v>0.24187500000000001</v>
      </c>
      <c r="AP270" s="24">
        <f t="shared" si="0"/>
        <v>9.1538461538461541E-2</v>
      </c>
      <c r="AQ270" s="24">
        <f t="shared" si="0"/>
        <v>9.1249999999999998E-2</v>
      </c>
      <c r="AR270" s="24">
        <f t="shared" si="0"/>
        <v>0.32</v>
      </c>
      <c r="AS270" s="24">
        <f t="shared" si="0"/>
        <v>0.37923076923076926</v>
      </c>
      <c r="AT270" s="24">
        <f t="shared" si="0"/>
        <v>0.13727272727272724</v>
      </c>
      <c r="AU270" s="24">
        <f t="shared" si="0"/>
        <v>0.1875</v>
      </c>
      <c r="AV270" s="24">
        <f t="shared" si="0"/>
        <v>0.30583333333333335</v>
      </c>
      <c r="AW270" s="24">
        <f t="shared" si="0"/>
        <v>0.314</v>
      </c>
      <c r="AX270" s="24">
        <f t="shared" si="0"/>
        <v>0.39583333333333331</v>
      </c>
      <c r="AY270" s="24">
        <f t="shared" si="0"/>
        <v>0.49749999999999994</v>
      </c>
      <c r="AZ270" s="24">
        <f t="shared" si="0"/>
        <v>0.21249999999999999</v>
      </c>
      <c r="BA270" s="24">
        <f t="shared" si="0"/>
        <v>0.30249999999999999</v>
      </c>
      <c r="BB270" s="24">
        <f t="shared" si="0"/>
        <v>0.28000000000000003</v>
      </c>
      <c r="BC270" s="24">
        <f t="shared" si="0"/>
        <v>0.16125</v>
      </c>
      <c r="BD270" s="24">
        <f t="shared" si="0"/>
        <v>0.16250000000000001</v>
      </c>
      <c r="BE270" s="24">
        <f t="shared" si="0"/>
        <v>7.0000000000000007E-2</v>
      </c>
      <c r="BF270" s="24">
        <f t="shared" si="0"/>
        <v>0.31</v>
      </c>
      <c r="BG270" s="24">
        <f t="shared" si="0"/>
        <v>0.14636363636363636</v>
      </c>
      <c r="BH270" s="24">
        <f t="shared" si="0"/>
        <v>0.58624999999999994</v>
      </c>
      <c r="BI270" s="24">
        <f t="shared" si="0"/>
        <v>0.11545454545454546</v>
      </c>
      <c r="BJ270" s="24">
        <f t="shared" si="0"/>
        <v>0.42124999999999996</v>
      </c>
      <c r="BK270" s="24">
        <f t="shared" si="0"/>
        <v>0.3741666666666667</v>
      </c>
      <c r="BL270" s="24">
        <f t="shared" si="0"/>
        <v>0.30777777777777771</v>
      </c>
      <c r="BM270" s="24">
        <f t="shared" si="0"/>
        <v>0.37916666666666665</v>
      </c>
      <c r="BN270" s="24">
        <f t="shared" si="0"/>
        <v>0.14899999999999999</v>
      </c>
      <c r="BO270" s="24">
        <f t="shared" ref="BO270:CK270" si="1">AVERAGE(BO$2:BO$19,BO$62:BO$65)</f>
        <v>0.17799999999999999</v>
      </c>
      <c r="BP270" s="24">
        <f t="shared" si="1"/>
        <v>0.22750000000000004</v>
      </c>
      <c r="BQ270" s="24">
        <f t="shared" si="1"/>
        <v>0.28750000000000003</v>
      </c>
      <c r="BR270" s="24">
        <f t="shared" si="1"/>
        <v>0.36166666666666664</v>
      </c>
      <c r="BS270" s="24">
        <f t="shared" si="1"/>
        <v>0.34875</v>
      </c>
      <c r="BT270" s="24">
        <f t="shared" si="1"/>
        <v>0.16857142857142859</v>
      </c>
      <c r="BU270" s="24">
        <f t="shared" si="1"/>
        <v>0.11769230769230769</v>
      </c>
      <c r="BV270" s="24">
        <f t="shared" si="1"/>
        <v>0.33124999999999999</v>
      </c>
      <c r="BW270" s="24">
        <f t="shared" si="1"/>
        <v>0.18555555555555558</v>
      </c>
      <c r="BX270" s="24">
        <f t="shared" si="1"/>
        <v>0.27181818181818185</v>
      </c>
      <c r="BY270" s="24">
        <f t="shared" si="1"/>
        <v>0.21333333333333329</v>
      </c>
      <c r="BZ270" s="24">
        <f t="shared" si="1"/>
        <v>0.23642857142857143</v>
      </c>
      <c r="CA270" s="24">
        <f t="shared" si="1"/>
        <v>0.1435714285714286</v>
      </c>
      <c r="CB270" s="24">
        <f t="shared" si="1"/>
        <v>4.2500000000000003E-2</v>
      </c>
      <c r="CC270" s="24">
        <f t="shared" si="1"/>
        <v>0.28333333333333333</v>
      </c>
      <c r="CD270" s="24">
        <f t="shared" si="1"/>
        <v>0.21000000000000002</v>
      </c>
      <c r="CE270" s="24">
        <f t="shared" si="1"/>
        <v>0.22090909090909089</v>
      </c>
      <c r="CF270" s="24">
        <f t="shared" si="1"/>
        <v>0.15666666666666665</v>
      </c>
      <c r="CG270" s="24">
        <f t="shared" si="1"/>
        <v>0.17625000000000002</v>
      </c>
      <c r="CH270" s="24">
        <f t="shared" si="1"/>
        <v>0.18999999999999995</v>
      </c>
      <c r="CI270" s="24">
        <f t="shared" si="1"/>
        <v>6.7777777777777784E-2</v>
      </c>
      <c r="CJ270" s="24">
        <f t="shared" si="1"/>
        <v>0.11600000000000002</v>
      </c>
      <c r="CK270" s="24">
        <f t="shared" si="1"/>
        <v>0.15642857142857142</v>
      </c>
    </row>
    <row r="271" spans="1:89" x14ac:dyDescent="0.25">
      <c r="A271" s="27" t="s">
        <v>74</v>
      </c>
      <c r="B271" s="24">
        <f>AVERAGE(B$22:B$39,B$66:B$69)</f>
        <v>0.12625</v>
      </c>
      <c r="C271" s="24">
        <f t="shared" ref="C271:BN271" si="2">AVERAGE(C$22:C$39,C$66:C$69)</f>
        <v>0.3322222222222222</v>
      </c>
      <c r="D271" s="24">
        <f t="shared" si="2"/>
        <v>0.2776190476190476</v>
      </c>
      <c r="E271" s="24">
        <f t="shared" si="2"/>
        <v>0.21333333333333335</v>
      </c>
      <c r="F271" s="24">
        <f t="shared" si="2"/>
        <v>6.1333333333333344E-2</v>
      </c>
      <c r="G271" s="24">
        <f t="shared" si="2"/>
        <v>0.28375</v>
      </c>
      <c r="H271" s="24">
        <f t="shared" si="2"/>
        <v>0.18125000000000002</v>
      </c>
      <c r="I271" s="24">
        <f t="shared" si="2"/>
        <v>0.20454545454545456</v>
      </c>
      <c r="J271" s="24">
        <f t="shared" si="2"/>
        <v>0.138125</v>
      </c>
      <c r="K271" s="24">
        <f t="shared" si="2"/>
        <v>0.28300000000000003</v>
      </c>
      <c r="L271" s="24">
        <f t="shared" si="2"/>
        <v>0.46249999999999997</v>
      </c>
      <c r="M271" s="24">
        <f t="shared" si="2"/>
        <v>0.57399999999999995</v>
      </c>
      <c r="N271" s="24">
        <f t="shared" si="2"/>
        <v>9.8750000000000004E-2</v>
      </c>
      <c r="O271" s="24">
        <f t="shared" si="2"/>
        <v>0.47625000000000001</v>
      </c>
      <c r="P271" s="24">
        <f t="shared" si="2"/>
        <v>0.13818181818181821</v>
      </c>
      <c r="Q271" s="24">
        <f t="shared" si="2"/>
        <v>0.31166666666666665</v>
      </c>
      <c r="R271" s="24">
        <f t="shared" si="2"/>
        <v>0.27090909090909093</v>
      </c>
      <c r="S271" s="24">
        <f t="shared" si="2"/>
        <v>0.16999999999999996</v>
      </c>
      <c r="T271" s="24">
        <f t="shared" si="2"/>
        <v>0.20700000000000002</v>
      </c>
      <c r="U271" s="24">
        <f t="shared" si="2"/>
        <v>0.15375</v>
      </c>
      <c r="V271" s="24">
        <f t="shared" si="2"/>
        <v>0.10999999999999999</v>
      </c>
      <c r="W271" s="24">
        <f t="shared" si="2"/>
        <v>0.28888888888888886</v>
      </c>
      <c r="X271" s="24">
        <f t="shared" si="2"/>
        <v>0.50750000000000006</v>
      </c>
      <c r="Y271" s="24">
        <f t="shared" si="2"/>
        <v>0.16636363636363635</v>
      </c>
      <c r="Z271" s="24">
        <f t="shared" si="2"/>
        <v>0.1676923076923077</v>
      </c>
      <c r="AA271" s="24">
        <f t="shared" si="2"/>
        <v>0.23666666666666666</v>
      </c>
      <c r="AB271" s="24">
        <f t="shared" si="2"/>
        <v>0.13900000000000001</v>
      </c>
      <c r="AC271" s="24">
        <f t="shared" si="2"/>
        <v>0.35599999999999998</v>
      </c>
      <c r="AD271" s="24">
        <f t="shared" si="2"/>
        <v>0.20454545454545456</v>
      </c>
      <c r="AE271" s="24">
        <f t="shared" si="2"/>
        <v>0.19400000000000001</v>
      </c>
      <c r="AF271" s="24">
        <f t="shared" si="2"/>
        <v>0.26500000000000001</v>
      </c>
      <c r="AG271" s="24">
        <f t="shared" si="2"/>
        <v>0.46312500000000001</v>
      </c>
      <c r="AH271" s="24">
        <f t="shared" si="2"/>
        <v>0.35230769230769232</v>
      </c>
      <c r="AI271" s="24">
        <f t="shared" si="2"/>
        <v>0.28466666666666662</v>
      </c>
      <c r="AJ271" s="24">
        <f t="shared" si="2"/>
        <v>0.10615384615384617</v>
      </c>
      <c r="AK271" s="24">
        <f t="shared" si="2"/>
        <v>0.15444444444444444</v>
      </c>
      <c r="AL271" s="24">
        <f t="shared" si="2"/>
        <v>0.31125000000000003</v>
      </c>
      <c r="AM271" s="24">
        <f t="shared" si="2"/>
        <v>0.31181818181818183</v>
      </c>
      <c r="AN271" s="24">
        <f t="shared" si="2"/>
        <v>0.27363636363636368</v>
      </c>
      <c r="AO271" s="24">
        <f t="shared" si="2"/>
        <v>0.19500000000000003</v>
      </c>
      <c r="AP271" s="24">
        <f t="shared" si="2"/>
        <v>0.20133333333333334</v>
      </c>
      <c r="AQ271" s="24">
        <f t="shared" si="2"/>
        <v>7.4999999999999997E-2</v>
      </c>
      <c r="AR271" s="24">
        <f t="shared" si="2"/>
        <v>0.55636363636363628</v>
      </c>
      <c r="AS271" s="24">
        <f t="shared" si="2"/>
        <v>0.25533333333333336</v>
      </c>
      <c r="AT271" s="24">
        <f t="shared" si="2"/>
        <v>0.15454545454545457</v>
      </c>
      <c r="AU271" s="24">
        <f t="shared" si="2"/>
        <v>0.25416666666666665</v>
      </c>
      <c r="AV271" s="24">
        <f t="shared" si="2"/>
        <v>0.54272727272727284</v>
      </c>
      <c r="AW271" s="24">
        <f t="shared" si="2"/>
        <v>0.19733333333333333</v>
      </c>
      <c r="AX271" s="24">
        <f t="shared" si="2"/>
        <v>0.34499999999999997</v>
      </c>
      <c r="AY271" s="24">
        <f t="shared" si="2"/>
        <v>0.58125000000000004</v>
      </c>
      <c r="AZ271" s="24">
        <f t="shared" si="2"/>
        <v>0.16666666666666666</v>
      </c>
      <c r="BA271" s="24">
        <f t="shared" si="2"/>
        <v>0.41375000000000001</v>
      </c>
      <c r="BB271" s="24">
        <f t="shared" si="2"/>
        <v>8.2727272727272733E-2</v>
      </c>
      <c r="BC271" s="24">
        <f t="shared" si="2"/>
        <v>0.12499999999999999</v>
      </c>
      <c r="BD271" s="24">
        <f t="shared" si="2"/>
        <v>0.15</v>
      </c>
      <c r="BE271" s="24">
        <f t="shared" si="2"/>
        <v>0.13250000000000001</v>
      </c>
      <c r="BF271" s="24">
        <f t="shared" si="2"/>
        <v>0.39266666666666666</v>
      </c>
      <c r="BG271" s="24">
        <f t="shared" si="2"/>
        <v>0.31</v>
      </c>
      <c r="BH271" s="24">
        <f t="shared" si="2"/>
        <v>0.52100000000000002</v>
      </c>
      <c r="BI271" s="24">
        <f t="shared" si="2"/>
        <v>0.28999999999999998</v>
      </c>
      <c r="BJ271" s="24">
        <f t="shared" si="2"/>
        <v>0.43374999999999997</v>
      </c>
      <c r="BK271" s="24">
        <f t="shared" si="2"/>
        <v>0.34</v>
      </c>
      <c r="BL271" s="24">
        <f t="shared" si="2"/>
        <v>0.65499999999999992</v>
      </c>
      <c r="BM271" s="24">
        <f t="shared" si="2"/>
        <v>0.28272727272727277</v>
      </c>
      <c r="BN271" s="24">
        <f t="shared" si="2"/>
        <v>8.6999999999999994E-2</v>
      </c>
      <c r="BO271" s="24">
        <f t="shared" ref="BO271:CK271" si="3">AVERAGE(BO$22:BO$39,BO$66:BO$69)</f>
        <v>0.30615384615384617</v>
      </c>
      <c r="BP271" s="24">
        <f t="shared" si="3"/>
        <v>0.10909090909090911</v>
      </c>
      <c r="BQ271" s="24">
        <f t="shared" si="3"/>
        <v>0.23333333333333336</v>
      </c>
      <c r="BR271" s="24">
        <f t="shared" si="3"/>
        <v>0.27181818181818185</v>
      </c>
      <c r="BS271" s="24">
        <f t="shared" si="3"/>
        <v>0.29777777777777781</v>
      </c>
      <c r="BT271" s="24">
        <f t="shared" si="3"/>
        <v>0.21733333333333335</v>
      </c>
      <c r="BU271" s="24">
        <f t="shared" si="3"/>
        <v>0.23500000000000001</v>
      </c>
      <c r="BV271" s="24">
        <f t="shared" si="3"/>
        <v>0.40249999999999997</v>
      </c>
      <c r="BW271" s="24">
        <f t="shared" si="3"/>
        <v>0.20875000000000005</v>
      </c>
      <c r="BX271" s="24">
        <f t="shared" si="3"/>
        <v>0.20499999999999999</v>
      </c>
      <c r="BY271" s="24">
        <f t="shared" si="3"/>
        <v>0.25499999999999995</v>
      </c>
      <c r="BZ271" s="24">
        <f t="shared" si="3"/>
        <v>0.23357142857142854</v>
      </c>
      <c r="CA271" s="24">
        <f t="shared" si="3"/>
        <v>0.23846153846153845</v>
      </c>
      <c r="CB271" s="24">
        <f t="shared" si="3"/>
        <v>5.2500000000000005E-2</v>
      </c>
      <c r="CC271" s="24">
        <f t="shared" si="3"/>
        <v>0.34333333333333338</v>
      </c>
      <c r="CD271" s="24">
        <f t="shared" si="3"/>
        <v>0.20250000000000001</v>
      </c>
      <c r="CE271" s="24">
        <f t="shared" si="3"/>
        <v>0.12636363636363637</v>
      </c>
      <c r="CF271" s="24">
        <f t="shared" si="3"/>
        <v>0.18500000000000003</v>
      </c>
      <c r="CG271" s="24">
        <f t="shared" si="3"/>
        <v>0.17</v>
      </c>
      <c r="CH271" s="24">
        <f t="shared" si="3"/>
        <v>0.13799999999999998</v>
      </c>
      <c r="CI271" s="24">
        <f t="shared" si="3"/>
        <v>0.15333333333333332</v>
      </c>
      <c r="CJ271" s="24">
        <f t="shared" si="3"/>
        <v>0.19916666666666669</v>
      </c>
      <c r="CK271" s="24">
        <f t="shared" si="3"/>
        <v>0.28600000000000009</v>
      </c>
    </row>
    <row r="272" spans="1:89" x14ac:dyDescent="0.25">
      <c r="A272" s="27" t="s">
        <v>75</v>
      </c>
      <c r="B272" s="24">
        <f>AVERAGE(B$42:B$59,B$70:B$73)</f>
        <v>0.17307692307692307</v>
      </c>
      <c r="C272" s="24">
        <f t="shared" ref="C272:BN272" si="4">AVERAGE(C$42:C$59,C$70:C$73)</f>
        <v>0.361875</v>
      </c>
      <c r="D272" s="24">
        <f t="shared" si="4"/>
        <v>0.44681818181818184</v>
      </c>
      <c r="E272" s="24">
        <f t="shared" si="4"/>
        <v>0.36307692307692307</v>
      </c>
      <c r="F272" s="24">
        <f t="shared" si="4"/>
        <v>0.13866666666666663</v>
      </c>
      <c r="G272" s="24">
        <f t="shared" si="4"/>
        <v>0.16375000000000001</v>
      </c>
      <c r="H272" s="24">
        <f t="shared" si="4"/>
        <v>0.21799999999999997</v>
      </c>
      <c r="I272" s="24">
        <f t="shared" si="4"/>
        <v>0.24181818181818182</v>
      </c>
      <c r="J272" s="24">
        <f t="shared" si="4"/>
        <v>1.1875E-2</v>
      </c>
      <c r="K272" s="24">
        <f t="shared" si="4"/>
        <v>0.19222222222222218</v>
      </c>
      <c r="L272" s="24">
        <f t="shared" si="4"/>
        <v>0.330625</v>
      </c>
      <c r="M272" s="24">
        <f t="shared" si="4"/>
        <v>0.216</v>
      </c>
      <c r="N272" s="24">
        <f t="shared" si="4"/>
        <v>0.19666666666666666</v>
      </c>
      <c r="O272" s="24">
        <f t="shared" si="4"/>
        <v>0.39999999999999997</v>
      </c>
      <c r="P272" s="24">
        <f t="shared" si="4"/>
        <v>9.5454545454545459E-2</v>
      </c>
      <c r="Q272" s="24">
        <f t="shared" si="4"/>
        <v>0.19</v>
      </c>
      <c r="R272" s="24">
        <f t="shared" si="4"/>
        <v>0.33199999999999996</v>
      </c>
      <c r="S272" s="24">
        <f t="shared" si="4"/>
        <v>0.29499999999999998</v>
      </c>
      <c r="T272" s="24">
        <f t="shared" si="4"/>
        <v>7.8181818181818186E-2</v>
      </c>
      <c r="U272" s="24">
        <f t="shared" si="4"/>
        <v>0.27857142857142858</v>
      </c>
      <c r="V272" s="24">
        <f t="shared" si="4"/>
        <v>0.18375</v>
      </c>
      <c r="W272" s="24">
        <f t="shared" si="4"/>
        <v>0.18875</v>
      </c>
      <c r="X272" s="24">
        <f t="shared" si="4"/>
        <v>0.26874999999999999</v>
      </c>
      <c r="Y272" s="24">
        <f t="shared" si="4"/>
        <v>0.2818181818181818</v>
      </c>
      <c r="Z272" s="24">
        <f t="shared" si="4"/>
        <v>0.27300000000000002</v>
      </c>
      <c r="AA272" s="24">
        <f t="shared" si="4"/>
        <v>0.20333333333333334</v>
      </c>
      <c r="AB272" s="24">
        <f t="shared" si="4"/>
        <v>0.14699999999999999</v>
      </c>
      <c r="AC272" s="24">
        <f t="shared" si="4"/>
        <v>0.27600000000000002</v>
      </c>
      <c r="AD272" s="24">
        <f t="shared" si="4"/>
        <v>0.27090909090909093</v>
      </c>
      <c r="AE272" s="24">
        <f t="shared" si="4"/>
        <v>0.22000000000000003</v>
      </c>
      <c r="AF272" s="24">
        <f t="shared" si="4"/>
        <v>0.16428571428571434</v>
      </c>
      <c r="AG272" s="24">
        <f t="shared" si="4"/>
        <v>0.33875</v>
      </c>
      <c r="AH272" s="24">
        <f t="shared" si="4"/>
        <v>0.18153846153846154</v>
      </c>
      <c r="AI272" s="24">
        <f t="shared" si="4"/>
        <v>0.34500000000000003</v>
      </c>
      <c r="AJ272" s="24">
        <f t="shared" si="4"/>
        <v>6.7500000000000004E-2</v>
      </c>
      <c r="AK272" s="24">
        <f t="shared" si="4"/>
        <v>0.19000000000000006</v>
      </c>
      <c r="AL272" s="24">
        <f t="shared" si="4"/>
        <v>2.2499999999999999E-2</v>
      </c>
      <c r="AM272" s="24">
        <f t="shared" si="4"/>
        <v>0.24916666666666665</v>
      </c>
      <c r="AN272" s="24">
        <f t="shared" si="4"/>
        <v>0.30363636363636365</v>
      </c>
      <c r="AO272" s="24">
        <f t="shared" si="4"/>
        <v>9.7500000000000017E-2</v>
      </c>
      <c r="AP272" s="24">
        <f t="shared" si="4"/>
        <v>0.11714285714285713</v>
      </c>
      <c r="AQ272" s="24">
        <f t="shared" si="4"/>
        <v>9.6250000000000002E-2</v>
      </c>
      <c r="AR272" s="24">
        <f t="shared" si="4"/>
        <v>0.05</v>
      </c>
      <c r="AS272" s="24">
        <f t="shared" si="4"/>
        <v>0.32375000000000004</v>
      </c>
      <c r="AT272" s="24">
        <f t="shared" si="4"/>
        <v>2.8333333333333335E-2</v>
      </c>
      <c r="AU272" s="24">
        <f t="shared" si="4"/>
        <v>0.32454545454545453</v>
      </c>
      <c r="AV272" s="24">
        <f t="shared" si="4"/>
        <v>0.72799999999999998</v>
      </c>
      <c r="AW272" s="24">
        <f t="shared" si="4"/>
        <v>0.29466666666666669</v>
      </c>
      <c r="AX272" s="24">
        <f t="shared" si="4"/>
        <v>0.26090909090909092</v>
      </c>
      <c r="AY272" s="24">
        <f t="shared" si="4"/>
        <v>0.39124999999999999</v>
      </c>
      <c r="AZ272" s="24">
        <f t="shared" si="4"/>
        <v>0.19466666666666668</v>
      </c>
      <c r="BA272" s="24">
        <f t="shared" si="4"/>
        <v>0.26500000000000001</v>
      </c>
      <c r="BB272" s="24">
        <f t="shared" si="4"/>
        <v>0.25</v>
      </c>
      <c r="BC272" s="24">
        <f t="shared" si="4"/>
        <v>0.13625000000000001</v>
      </c>
      <c r="BD272" s="24">
        <f t="shared" si="4"/>
        <v>0.12727272727272729</v>
      </c>
      <c r="BE272" s="24">
        <f t="shared" si="4"/>
        <v>0.13</v>
      </c>
      <c r="BF272" s="24">
        <f t="shared" si="4"/>
        <v>0.40266666666666673</v>
      </c>
      <c r="BG272" s="24">
        <f t="shared" si="4"/>
        <v>0.26999999999999996</v>
      </c>
      <c r="BH272" s="24">
        <f t="shared" si="4"/>
        <v>0.30375000000000002</v>
      </c>
      <c r="BI272" s="24">
        <f t="shared" si="4"/>
        <v>0.24090909090909091</v>
      </c>
      <c r="BJ272" s="24">
        <f t="shared" si="4"/>
        <v>0.23374999999999999</v>
      </c>
      <c r="BK272" s="24">
        <f t="shared" si="4"/>
        <v>0.29166666666666669</v>
      </c>
      <c r="BL272" s="24">
        <f t="shared" si="4"/>
        <v>0.25700000000000001</v>
      </c>
      <c r="BM272" s="24">
        <f t="shared" si="4"/>
        <v>0.46111111111111103</v>
      </c>
      <c r="BN272" s="24">
        <f t="shared" si="4"/>
        <v>0.13636363636363635</v>
      </c>
      <c r="BO272" s="24">
        <f t="shared" ref="BO272:CK272" si="5">AVERAGE(BO$42:BO$59,BO$70:BO$73)</f>
        <v>0.23538461538461541</v>
      </c>
      <c r="BP272" s="24">
        <f t="shared" si="5"/>
        <v>0.14777777777777776</v>
      </c>
      <c r="BQ272" s="24">
        <f t="shared" si="5"/>
        <v>0.16583333333333333</v>
      </c>
      <c r="BR272" s="24">
        <f t="shared" si="5"/>
        <v>0.27416666666666667</v>
      </c>
      <c r="BS272" s="24">
        <f t="shared" si="5"/>
        <v>0.31</v>
      </c>
      <c r="BT272" s="24">
        <f t="shared" si="5"/>
        <v>0.17466666666666666</v>
      </c>
      <c r="BU272" s="24">
        <f t="shared" si="5"/>
        <v>0.24071428571428574</v>
      </c>
      <c r="BV272" s="24">
        <f t="shared" si="5"/>
        <v>0.40625</v>
      </c>
      <c r="BW272" s="24">
        <f t="shared" si="5"/>
        <v>0.15750000000000003</v>
      </c>
      <c r="BX272" s="24">
        <f t="shared" si="5"/>
        <v>0.21090909090909093</v>
      </c>
      <c r="BY272" s="24">
        <f t="shared" si="5"/>
        <v>0.26666666666666666</v>
      </c>
      <c r="BZ272" s="24">
        <f t="shared" si="5"/>
        <v>0.40066666666666667</v>
      </c>
      <c r="CA272" s="24">
        <f t="shared" si="5"/>
        <v>0.29833333333333328</v>
      </c>
      <c r="CB272" s="24">
        <f t="shared" si="5"/>
        <v>7.4999999999999997E-2</v>
      </c>
      <c r="CC272" s="24">
        <f t="shared" si="5"/>
        <v>0.39799999999999996</v>
      </c>
      <c r="CD272" s="24">
        <f t="shared" si="5"/>
        <v>0.20375000000000001</v>
      </c>
      <c r="CE272" s="24">
        <f t="shared" si="5"/>
        <v>0.10909090909090911</v>
      </c>
      <c r="CF272" s="24">
        <f t="shared" si="5"/>
        <v>0.17666666666666667</v>
      </c>
      <c r="CG272" s="24">
        <f t="shared" si="5"/>
        <v>0.11099999999999999</v>
      </c>
      <c r="CH272" s="24">
        <f t="shared" si="5"/>
        <v>0.19874999999999995</v>
      </c>
      <c r="CI272" s="24">
        <f t="shared" si="5"/>
        <v>4.4615384615384626E-2</v>
      </c>
      <c r="CJ272" s="24">
        <f t="shared" si="5"/>
        <v>0.12153846153846154</v>
      </c>
      <c r="CK272" s="24">
        <f t="shared" si="5"/>
        <v>0.1242857142857143</v>
      </c>
    </row>
    <row r="273" spans="1:89" x14ac:dyDescent="0.25">
      <c r="A273" s="27" t="s">
        <v>257</v>
      </c>
      <c r="B273" s="24">
        <f>AVERAGE(B$2:B$73)</f>
        <v>0.17511111111111111</v>
      </c>
      <c r="C273" s="24">
        <f t="shared" ref="C273:BN273" si="6">AVERAGE(C$2:C$73)</f>
        <v>0.30293103448275854</v>
      </c>
      <c r="D273" s="24">
        <f t="shared" si="6"/>
        <v>0.31915492957746472</v>
      </c>
      <c r="E273" s="24">
        <f t="shared" si="6"/>
        <v>0.33393939393939392</v>
      </c>
      <c r="F273" s="24">
        <f t="shared" si="6"/>
        <v>0.114375</v>
      </c>
      <c r="G273" s="24">
        <f t="shared" si="6"/>
        <v>0.16812499999999997</v>
      </c>
      <c r="H273" s="24">
        <f t="shared" si="6"/>
        <v>0.24319148936170212</v>
      </c>
      <c r="I273" s="24">
        <f t="shared" si="6"/>
        <v>0.22999999999999998</v>
      </c>
      <c r="J273" s="24">
        <f t="shared" si="6"/>
        <v>6.6458333333333314E-2</v>
      </c>
      <c r="K273" s="24">
        <f t="shared" si="6"/>
        <v>0.26838709677419342</v>
      </c>
      <c r="L273" s="24">
        <f t="shared" si="6"/>
        <v>0.37625000000000003</v>
      </c>
      <c r="M273" s="24">
        <f t="shared" si="6"/>
        <v>0.40729166666666677</v>
      </c>
      <c r="N273" s="24">
        <f t="shared" si="6"/>
        <v>0.12884615384615386</v>
      </c>
      <c r="O273" s="24">
        <f t="shared" si="6"/>
        <v>0.42958333333333326</v>
      </c>
      <c r="P273" s="24">
        <f t="shared" si="6"/>
        <v>0.11666666666666667</v>
      </c>
      <c r="Q273" s="24">
        <f t="shared" si="6"/>
        <v>0.19572727272727269</v>
      </c>
      <c r="R273" s="24">
        <f t="shared" si="6"/>
        <v>0.31176470588235289</v>
      </c>
      <c r="S273" s="24">
        <f t="shared" si="6"/>
        <v>0.23810810810810817</v>
      </c>
      <c r="T273" s="24">
        <f t="shared" si="6"/>
        <v>0.10885714285714287</v>
      </c>
      <c r="U273" s="24">
        <f t="shared" si="6"/>
        <v>0.23355555555555552</v>
      </c>
      <c r="V273" s="24">
        <f t="shared" si="6"/>
        <v>0.13708333333333331</v>
      </c>
      <c r="W273" s="24">
        <f t="shared" si="6"/>
        <v>0.17892857142857141</v>
      </c>
      <c r="X273" s="24">
        <f t="shared" si="6"/>
        <v>0.40499999999999997</v>
      </c>
      <c r="Y273" s="24">
        <f t="shared" si="6"/>
        <v>0.20942857142857141</v>
      </c>
      <c r="Z273" s="24">
        <f t="shared" si="6"/>
        <v>0.20399999999999996</v>
      </c>
      <c r="AA273" s="24">
        <f t="shared" si="6"/>
        <v>0.23194444444444443</v>
      </c>
      <c r="AB273" s="24">
        <f t="shared" si="6"/>
        <v>0.17034482758620684</v>
      </c>
      <c r="AC273" s="24">
        <f t="shared" si="6"/>
        <v>0.291875</v>
      </c>
      <c r="AD273" s="24">
        <f t="shared" si="6"/>
        <v>0.25972972972972974</v>
      </c>
      <c r="AE273" s="24">
        <f t="shared" si="6"/>
        <v>0.23724137931034484</v>
      </c>
      <c r="AF273" s="24">
        <f t="shared" si="6"/>
        <v>0.18761904761904763</v>
      </c>
      <c r="AG273" s="24">
        <f t="shared" si="6"/>
        <v>0.3612765957446808</v>
      </c>
      <c r="AH273" s="24">
        <f t="shared" si="6"/>
        <v>0.23454545454545447</v>
      </c>
      <c r="AI273" s="24">
        <f t="shared" si="6"/>
        <v>1.2235135135135136</v>
      </c>
      <c r="AJ273" s="24">
        <f t="shared" si="6"/>
        <v>6.7368421052631577E-2</v>
      </c>
      <c r="AK273" s="24">
        <f t="shared" si="6"/>
        <v>0.19833333333333331</v>
      </c>
      <c r="AL273" s="24">
        <f t="shared" si="6"/>
        <v>0.22574468085106375</v>
      </c>
      <c r="AM273" s="24">
        <f t="shared" si="6"/>
        <v>0.23135135135135132</v>
      </c>
      <c r="AN273" s="24">
        <f t="shared" si="6"/>
        <v>0.26650000000000001</v>
      </c>
      <c r="AO273" s="24">
        <f t="shared" si="6"/>
        <v>0.17812500000000001</v>
      </c>
      <c r="AP273" s="24">
        <f t="shared" si="6"/>
        <v>0.13533333333333328</v>
      </c>
      <c r="AQ273" s="24">
        <f t="shared" si="6"/>
        <v>8.7500000000000022E-2</v>
      </c>
      <c r="AR273" s="24">
        <f t="shared" si="6"/>
        <v>0.30843749999999998</v>
      </c>
      <c r="AS273" s="24">
        <f t="shared" si="6"/>
        <v>0.31026315789473685</v>
      </c>
      <c r="AT273" s="24">
        <f t="shared" si="6"/>
        <v>0.10441176470588232</v>
      </c>
      <c r="AU273" s="24">
        <f t="shared" si="6"/>
        <v>0.25342857142857139</v>
      </c>
      <c r="AV273" s="24">
        <f t="shared" si="6"/>
        <v>0.5127272727272727</v>
      </c>
      <c r="AW273" s="24">
        <f t="shared" si="6"/>
        <v>0.26500000000000001</v>
      </c>
      <c r="AX273" s="24">
        <f t="shared" si="6"/>
        <v>0.33600000000000002</v>
      </c>
      <c r="AY273" s="24">
        <f t="shared" si="6"/>
        <v>0.4924</v>
      </c>
      <c r="AZ273" s="24">
        <f t="shared" si="6"/>
        <v>0.19173913043478258</v>
      </c>
      <c r="BA273" s="24">
        <f t="shared" si="6"/>
        <v>0.32708333333333334</v>
      </c>
      <c r="BB273" s="24">
        <f t="shared" si="6"/>
        <v>0.19161290322580646</v>
      </c>
      <c r="BC273" s="24">
        <f t="shared" si="6"/>
        <v>0.14083333333333334</v>
      </c>
      <c r="BD273" s="24">
        <f t="shared" si="6"/>
        <v>0.16774193548387092</v>
      </c>
      <c r="BE273" s="24">
        <f t="shared" si="6"/>
        <v>0.11083333333333334</v>
      </c>
      <c r="BF273" s="24">
        <f t="shared" si="6"/>
        <v>0.3664583333333335</v>
      </c>
      <c r="BG273" s="24">
        <f t="shared" si="6"/>
        <v>0.24200000000000008</v>
      </c>
      <c r="BH273" s="24">
        <f t="shared" si="6"/>
        <v>0.47423076923076912</v>
      </c>
      <c r="BI273" s="24">
        <f t="shared" si="6"/>
        <v>0.19771428571428576</v>
      </c>
      <c r="BJ273" s="24">
        <f t="shared" si="6"/>
        <v>0.36291666666666661</v>
      </c>
      <c r="BK273" s="24">
        <f t="shared" si="6"/>
        <v>0.33527777777777773</v>
      </c>
      <c r="BL273" s="24">
        <f t="shared" si="6"/>
        <v>0.39185185185185178</v>
      </c>
      <c r="BM273" s="24">
        <f t="shared" si="6"/>
        <v>0.36151515151515157</v>
      </c>
      <c r="BN273" s="24">
        <f t="shared" si="6"/>
        <v>0.12</v>
      </c>
      <c r="BO273" s="24">
        <f t="shared" ref="BO273:CK273" si="7">AVERAGE(BO$2:BO$73)</f>
        <v>0.23227272727272724</v>
      </c>
      <c r="BP273" s="24">
        <f t="shared" si="7"/>
        <v>0.15586206896551721</v>
      </c>
      <c r="BQ273" s="24">
        <f t="shared" si="7"/>
        <v>0.22888888888888895</v>
      </c>
      <c r="BR273" s="24">
        <f t="shared" si="7"/>
        <v>0.30342857142857138</v>
      </c>
      <c r="BS273" s="24">
        <f t="shared" si="7"/>
        <v>0.31799999999999995</v>
      </c>
      <c r="BT273" s="24">
        <f t="shared" si="7"/>
        <v>0.18723404255319145</v>
      </c>
      <c r="BU273" s="24">
        <f t="shared" si="7"/>
        <v>0.20272727272727276</v>
      </c>
      <c r="BV273" s="24">
        <f t="shared" si="7"/>
        <v>0.38160000000000005</v>
      </c>
      <c r="BW273" s="24">
        <f t="shared" si="7"/>
        <v>0.184</v>
      </c>
      <c r="BX273" s="24">
        <f t="shared" si="7"/>
        <v>0.22945945945945947</v>
      </c>
      <c r="BY273" s="24">
        <f t="shared" si="7"/>
        <v>0.245</v>
      </c>
      <c r="BZ273" s="24">
        <f t="shared" si="7"/>
        <v>0.31555555555555559</v>
      </c>
      <c r="CA273" s="24">
        <f t="shared" si="7"/>
        <v>0.22282051282051279</v>
      </c>
      <c r="CB273" s="24">
        <f t="shared" si="7"/>
        <v>5.6666666666666671E-2</v>
      </c>
      <c r="CC273" s="24">
        <f t="shared" si="7"/>
        <v>0.34937499999999999</v>
      </c>
      <c r="CD273" s="24">
        <f t="shared" si="7"/>
        <v>0.20541666666666666</v>
      </c>
      <c r="CE273" s="24">
        <f t="shared" si="7"/>
        <v>0.14999999999999997</v>
      </c>
      <c r="CF273" s="24">
        <f t="shared" si="7"/>
        <v>0.17277777777777775</v>
      </c>
      <c r="CG273" s="24">
        <f t="shared" si="7"/>
        <v>0.19</v>
      </c>
      <c r="CH273" s="24">
        <f t="shared" si="7"/>
        <v>0.17638297872340425</v>
      </c>
      <c r="CI273" s="24">
        <f t="shared" si="7"/>
        <v>8.5882352941176465E-2</v>
      </c>
      <c r="CJ273" s="24">
        <f t="shared" si="7"/>
        <v>0.14619047619047612</v>
      </c>
      <c r="CK273" s="24">
        <f t="shared" si="7"/>
        <v>0.18108695652173909</v>
      </c>
    </row>
    <row r="274" spans="1:89" x14ac:dyDescent="0.25">
      <c r="A274" s="27" t="s">
        <v>256</v>
      </c>
      <c r="B274" s="24">
        <f>_xlfn.STDEV.S(B$2:B$73)</f>
        <v>0.18236604326840494</v>
      </c>
      <c r="C274" s="24">
        <f t="shared" ref="C274:BN274" si="8">_xlfn.STDEV.S(C$2:C$73)</f>
        <v>0.20296926239237334</v>
      </c>
      <c r="D274" s="24">
        <f t="shared" si="8"/>
        <v>0.19181647835420526</v>
      </c>
      <c r="E274" s="24">
        <f t="shared" si="8"/>
        <v>0.18861235699741738</v>
      </c>
      <c r="F274" s="24">
        <f t="shared" si="8"/>
        <v>0.19113219497888581</v>
      </c>
      <c r="G274" s="24">
        <f t="shared" si="8"/>
        <v>0.15432344542049217</v>
      </c>
      <c r="H274" s="24">
        <f t="shared" si="8"/>
        <v>0.1472221979803601</v>
      </c>
      <c r="I274" s="24">
        <f t="shared" si="8"/>
        <v>0.15693492736982245</v>
      </c>
      <c r="J274" s="24">
        <f t="shared" si="8"/>
        <v>0.12298572107627975</v>
      </c>
      <c r="K274" s="24">
        <f t="shared" si="8"/>
        <v>0.15684592809917122</v>
      </c>
      <c r="L274" s="24">
        <f t="shared" si="8"/>
        <v>0.33540464605569292</v>
      </c>
      <c r="M274" s="24">
        <f t="shared" si="8"/>
        <v>0.32523470793909265</v>
      </c>
      <c r="N274" s="24">
        <f t="shared" si="8"/>
        <v>0.1208081759841418</v>
      </c>
      <c r="O274" s="24">
        <f t="shared" si="8"/>
        <v>0.22609115450394685</v>
      </c>
      <c r="P274" s="24">
        <f t="shared" si="8"/>
        <v>0.13294467162803375</v>
      </c>
      <c r="Q274" s="24">
        <f t="shared" si="8"/>
        <v>0.18987760606615064</v>
      </c>
      <c r="R274" s="24">
        <f t="shared" si="8"/>
        <v>0.19618282426032957</v>
      </c>
      <c r="S274" s="24">
        <f t="shared" si="8"/>
        <v>0.12571656475840653</v>
      </c>
      <c r="T274" s="24">
        <f t="shared" si="8"/>
        <v>0.15840698567059375</v>
      </c>
      <c r="U274" s="24">
        <f t="shared" si="8"/>
        <v>0.2047188266374102</v>
      </c>
      <c r="V274" s="24">
        <f t="shared" si="8"/>
        <v>9.5438537775647189E-2</v>
      </c>
      <c r="W274" s="24">
        <f t="shared" si="8"/>
        <v>0.15009476724202997</v>
      </c>
      <c r="X274" s="24">
        <f t="shared" si="8"/>
        <v>0.25901149882146002</v>
      </c>
      <c r="Y274" s="24">
        <f t="shared" si="8"/>
        <v>0.12564990712158872</v>
      </c>
      <c r="Z274" s="24">
        <f t="shared" si="8"/>
        <v>0.18137059882364359</v>
      </c>
      <c r="AA274" s="24">
        <f t="shared" si="8"/>
        <v>0.22565231719166601</v>
      </c>
      <c r="AB274" s="24">
        <f t="shared" si="8"/>
        <v>0.16145505253830794</v>
      </c>
      <c r="AC274" s="24">
        <f t="shared" si="8"/>
        <v>0.23431798952015176</v>
      </c>
      <c r="AD274" s="24">
        <f t="shared" si="8"/>
        <v>0.24537371142454983</v>
      </c>
      <c r="AE274" s="24">
        <f t="shared" si="8"/>
        <v>0.19316714730520188</v>
      </c>
      <c r="AF274" s="24">
        <f t="shared" si="8"/>
        <v>0.16558557619241257</v>
      </c>
      <c r="AG274" s="24">
        <f t="shared" si="8"/>
        <v>0.24158549680479588</v>
      </c>
      <c r="AH274" s="24">
        <f t="shared" si="8"/>
        <v>0.21714269818303172</v>
      </c>
      <c r="AI274" s="24">
        <f t="shared" si="8"/>
        <v>5.8779575138422482</v>
      </c>
      <c r="AJ274" s="24">
        <f t="shared" si="8"/>
        <v>0.10983240821695954</v>
      </c>
      <c r="AK274" s="24">
        <f t="shared" si="8"/>
        <v>0.16712752375178155</v>
      </c>
      <c r="AL274" s="24">
        <f t="shared" si="8"/>
        <v>0.27822218741307758</v>
      </c>
      <c r="AM274" s="24">
        <f t="shared" si="8"/>
        <v>0.26200256744036948</v>
      </c>
      <c r="AN274" s="24">
        <f t="shared" si="8"/>
        <v>0.19515345704053463</v>
      </c>
      <c r="AO274" s="24">
        <f t="shared" si="8"/>
        <v>0.2008985797901571</v>
      </c>
      <c r="AP274" s="24">
        <f t="shared" si="8"/>
        <v>0.13354604245182805</v>
      </c>
      <c r="AQ274" s="24">
        <f t="shared" si="8"/>
        <v>8.7984682461358502E-2</v>
      </c>
      <c r="AR274" s="24">
        <f t="shared" si="8"/>
        <v>0.29630095179100946</v>
      </c>
      <c r="AS274" s="24">
        <f t="shared" si="8"/>
        <v>0.19729915332629205</v>
      </c>
      <c r="AT274" s="24">
        <f t="shared" si="8"/>
        <v>0.16263346363452122</v>
      </c>
      <c r="AU274" s="24">
        <f t="shared" si="8"/>
        <v>0.25463864658793339</v>
      </c>
      <c r="AV274" s="24">
        <f t="shared" si="8"/>
        <v>0.31703975231105413</v>
      </c>
      <c r="AW274" s="24">
        <f t="shared" si="8"/>
        <v>0.17136498314068865</v>
      </c>
      <c r="AX274" s="24">
        <f t="shared" si="8"/>
        <v>0.26944605484324352</v>
      </c>
      <c r="AY274" s="24">
        <f t="shared" si="8"/>
        <v>0.2148503355051295</v>
      </c>
      <c r="AZ274" s="24">
        <f t="shared" si="8"/>
        <v>0.16349385782314188</v>
      </c>
      <c r="BA274" s="24">
        <f t="shared" si="8"/>
        <v>0.19068478808178985</v>
      </c>
      <c r="BB274" s="24">
        <f t="shared" si="8"/>
        <v>0.18615579092422471</v>
      </c>
      <c r="BC274" s="24">
        <f t="shared" si="8"/>
        <v>8.7074014826301727E-2</v>
      </c>
      <c r="BD274" s="24">
        <f t="shared" si="8"/>
        <v>0.18800194462503764</v>
      </c>
      <c r="BE274" s="24">
        <f t="shared" si="8"/>
        <v>6.268740020871448E-2</v>
      </c>
      <c r="BF274" s="24">
        <f t="shared" si="8"/>
        <v>0.24621811454293518</v>
      </c>
      <c r="BG274" s="24">
        <f t="shared" si="8"/>
        <v>0.17176933918005541</v>
      </c>
      <c r="BH274" s="24">
        <f t="shared" si="8"/>
        <v>0.20856026614718517</v>
      </c>
      <c r="BI274" s="24">
        <f t="shared" si="8"/>
        <v>0.20315287947005517</v>
      </c>
      <c r="BJ274" s="24">
        <f t="shared" si="8"/>
        <v>0.15894979154400951</v>
      </c>
      <c r="BK274" s="24">
        <f t="shared" si="8"/>
        <v>0.2227039817606849</v>
      </c>
      <c r="BL274" s="24">
        <f t="shared" si="8"/>
        <v>0.29929451711851995</v>
      </c>
      <c r="BM274" s="24">
        <f t="shared" si="8"/>
        <v>0.278670069393463</v>
      </c>
      <c r="BN274" s="24">
        <f t="shared" si="8"/>
        <v>0.1162807469928368</v>
      </c>
      <c r="BO274" s="24">
        <f t="shared" ref="BO274:CK274" si="9">_xlfn.STDEV.S(BO$2:BO$73)</f>
        <v>0.22567587001863557</v>
      </c>
      <c r="BP274" s="24">
        <f t="shared" si="9"/>
        <v>0.14363936093512886</v>
      </c>
      <c r="BQ274" s="24">
        <f t="shared" si="9"/>
        <v>0.23089611489372411</v>
      </c>
      <c r="BR274" s="24">
        <f t="shared" si="9"/>
        <v>0.19380012227797488</v>
      </c>
      <c r="BS274" s="24">
        <f t="shared" si="9"/>
        <v>0.12760616495034002</v>
      </c>
      <c r="BT274" s="24">
        <f t="shared" si="9"/>
        <v>0.11011263260584346</v>
      </c>
      <c r="BU274" s="24">
        <f t="shared" si="9"/>
        <v>0.19151007789820107</v>
      </c>
      <c r="BV274" s="24">
        <f t="shared" si="9"/>
        <v>0.21318380176114057</v>
      </c>
      <c r="BW274" s="24">
        <f t="shared" si="9"/>
        <v>0.13503086067019396</v>
      </c>
      <c r="BX274" s="24">
        <f t="shared" si="9"/>
        <v>0.16978656447869336</v>
      </c>
      <c r="BY274" s="24">
        <f t="shared" si="9"/>
        <v>0.16739175606940748</v>
      </c>
      <c r="BZ274" s="24">
        <f t="shared" si="9"/>
        <v>0.26554879328696185</v>
      </c>
      <c r="CA274" s="24">
        <f t="shared" si="9"/>
        <v>0.25483687990089821</v>
      </c>
      <c r="CB274" s="24">
        <f t="shared" si="9"/>
        <v>5.4904396487195702E-2</v>
      </c>
      <c r="CC274" s="24">
        <f t="shared" si="9"/>
        <v>0.21239672083456607</v>
      </c>
      <c r="CD274" s="24">
        <f t="shared" si="9"/>
        <v>0.22463456636456711</v>
      </c>
      <c r="CE274" s="24">
        <f t="shared" si="9"/>
        <v>0.17647338933351153</v>
      </c>
      <c r="CF274" s="24">
        <f t="shared" si="9"/>
        <v>0.13863850446623743</v>
      </c>
      <c r="CG274" s="24">
        <f t="shared" si="9"/>
        <v>0.21505813167606569</v>
      </c>
      <c r="CH274" s="24">
        <f t="shared" si="9"/>
        <v>0.15216446382714946</v>
      </c>
      <c r="CI274" s="24">
        <f t="shared" si="9"/>
        <v>0.11297942014417534</v>
      </c>
      <c r="CJ274" s="24">
        <f t="shared" si="9"/>
        <v>0.14573534952854356</v>
      </c>
      <c r="CK274" s="24">
        <f t="shared" si="9"/>
        <v>0.18876473612373879</v>
      </c>
    </row>
    <row r="275" spans="1:89" x14ac:dyDescent="0.25">
      <c r="A275" s="27" t="s">
        <v>76</v>
      </c>
      <c r="B275" s="24">
        <f>MAX(B$2:B$19,B$62:B$65)</f>
        <v>0.57999999999999996</v>
      </c>
      <c r="C275" s="24">
        <f t="shared" ref="C275:BN275" si="10">MAX(C$2:C$19,C$62:C$65)</f>
        <v>0.83</v>
      </c>
      <c r="D275" s="24">
        <f t="shared" si="10"/>
        <v>0.39</v>
      </c>
      <c r="E275" s="24">
        <f t="shared" si="10"/>
        <v>0.69</v>
      </c>
      <c r="F275" s="24">
        <f t="shared" si="10"/>
        <v>0.93</v>
      </c>
      <c r="G275" s="24">
        <f t="shared" si="10"/>
        <v>0.28999999999999998</v>
      </c>
      <c r="H275" s="24">
        <f t="shared" si="10"/>
        <v>0.74</v>
      </c>
      <c r="I275" s="24">
        <f t="shared" si="10"/>
        <v>0.61</v>
      </c>
      <c r="J275" s="24">
        <f t="shared" si="10"/>
        <v>0.25</v>
      </c>
      <c r="K275" s="24">
        <f t="shared" si="10"/>
        <v>0.6</v>
      </c>
      <c r="L275" s="24">
        <f t="shared" si="10"/>
        <v>0.72</v>
      </c>
      <c r="M275" s="24">
        <f t="shared" si="10"/>
        <v>1.1499999999999999</v>
      </c>
      <c r="N275" s="24">
        <f t="shared" si="10"/>
        <v>0.28000000000000003</v>
      </c>
      <c r="O275" s="24">
        <f t="shared" si="10"/>
        <v>0.99</v>
      </c>
      <c r="P275" s="24">
        <f t="shared" si="10"/>
        <v>0.53</v>
      </c>
      <c r="Q275" s="24">
        <f t="shared" si="10"/>
        <v>0.55000000000000004</v>
      </c>
      <c r="R275" s="24">
        <f t="shared" si="10"/>
        <v>0.64</v>
      </c>
      <c r="S275" s="24">
        <f t="shared" si="10"/>
        <v>0.35</v>
      </c>
      <c r="T275" s="24">
        <f t="shared" si="10"/>
        <v>0.3</v>
      </c>
      <c r="U275" s="24">
        <f t="shared" si="10"/>
        <v>0.61</v>
      </c>
      <c r="V275" s="24">
        <f t="shared" si="10"/>
        <v>0.25</v>
      </c>
      <c r="W275" s="24">
        <f t="shared" si="10"/>
        <v>0.36</v>
      </c>
      <c r="X275" s="24">
        <f t="shared" si="10"/>
        <v>0.79</v>
      </c>
      <c r="Y275" s="24">
        <f t="shared" si="10"/>
        <v>0.56000000000000005</v>
      </c>
      <c r="Z275" s="24">
        <f t="shared" si="10"/>
        <v>0.54</v>
      </c>
      <c r="AA275" s="24">
        <f t="shared" si="10"/>
        <v>0.72</v>
      </c>
      <c r="AB275" s="24">
        <f t="shared" si="10"/>
        <v>0.5</v>
      </c>
      <c r="AC275" s="24">
        <f t="shared" si="10"/>
        <v>0.89</v>
      </c>
      <c r="AD275" s="24">
        <f t="shared" si="10"/>
        <v>0.84</v>
      </c>
      <c r="AE275" s="24">
        <f t="shared" si="10"/>
        <v>0.71</v>
      </c>
      <c r="AF275" s="24">
        <f t="shared" si="10"/>
        <v>0.6</v>
      </c>
      <c r="AG275" s="24">
        <f t="shared" si="10"/>
        <v>0.6</v>
      </c>
      <c r="AH275" s="24">
        <f t="shared" si="10"/>
        <v>0.51</v>
      </c>
      <c r="AI275" s="24">
        <f t="shared" si="10"/>
        <v>36</v>
      </c>
      <c r="AJ275" s="24">
        <f t="shared" si="10"/>
        <v>0.15</v>
      </c>
      <c r="AK275" s="24">
        <f t="shared" si="10"/>
        <v>0.9</v>
      </c>
      <c r="AL275" s="24">
        <f t="shared" si="10"/>
        <v>1.02</v>
      </c>
      <c r="AM275" s="24">
        <f t="shared" si="10"/>
        <v>0.97</v>
      </c>
      <c r="AN275" s="24">
        <f t="shared" si="10"/>
        <v>0.42</v>
      </c>
      <c r="AO275" s="24">
        <f t="shared" si="10"/>
        <v>1.1000000000000001</v>
      </c>
      <c r="AP275" s="24">
        <f t="shared" si="10"/>
        <v>0.47</v>
      </c>
      <c r="AQ275" s="24">
        <f t="shared" si="10"/>
        <v>0.28999999999999998</v>
      </c>
      <c r="AR275" s="24">
        <f t="shared" si="10"/>
        <v>1.1000000000000001</v>
      </c>
      <c r="AS275" s="24">
        <f t="shared" si="10"/>
        <v>0.77</v>
      </c>
      <c r="AT275" s="24">
        <f t="shared" si="10"/>
        <v>0.32</v>
      </c>
      <c r="AU275" s="24">
        <f t="shared" si="10"/>
        <v>0.4</v>
      </c>
      <c r="AV275" s="24">
        <f t="shared" si="10"/>
        <v>0.78</v>
      </c>
      <c r="AW275" s="24">
        <f t="shared" si="10"/>
        <v>0.56000000000000005</v>
      </c>
      <c r="AX275" s="24">
        <f t="shared" si="10"/>
        <v>0.93</v>
      </c>
      <c r="AY275" s="24">
        <f t="shared" si="10"/>
        <v>0.79</v>
      </c>
      <c r="AZ275" s="24">
        <f t="shared" si="10"/>
        <v>0.61</v>
      </c>
      <c r="BA275" s="24">
        <f t="shared" si="10"/>
        <v>0.67</v>
      </c>
      <c r="BB275" s="24">
        <f t="shared" si="10"/>
        <v>0.68</v>
      </c>
      <c r="BC275" s="24">
        <f t="shared" si="10"/>
        <v>0.28999999999999998</v>
      </c>
      <c r="BD275" s="24">
        <f t="shared" si="10"/>
        <v>0.36</v>
      </c>
      <c r="BE275" s="24">
        <f t="shared" si="10"/>
        <v>0.14000000000000001</v>
      </c>
      <c r="BF275" s="24">
        <f t="shared" si="10"/>
        <v>1.04</v>
      </c>
      <c r="BG275" s="24">
        <f t="shared" si="10"/>
        <v>0.26</v>
      </c>
      <c r="BH275" s="24">
        <f t="shared" si="10"/>
        <v>0.99</v>
      </c>
      <c r="BI275" s="24">
        <f t="shared" si="10"/>
        <v>0.45</v>
      </c>
      <c r="BJ275" s="24">
        <f t="shared" si="10"/>
        <v>0.67</v>
      </c>
      <c r="BK275" s="24">
        <f t="shared" si="10"/>
        <v>0.75</v>
      </c>
      <c r="BL275" s="24">
        <f t="shared" si="10"/>
        <v>0.71</v>
      </c>
      <c r="BM275" s="24">
        <f t="shared" si="10"/>
        <v>0.86</v>
      </c>
      <c r="BN275" s="24">
        <f t="shared" si="10"/>
        <v>0.47</v>
      </c>
      <c r="BO275" s="24">
        <f t="shared" ref="BO275:CK275" si="11">MAX(BO$2:BO$19,BO$62:BO$65)</f>
        <v>0.89</v>
      </c>
      <c r="BP275" s="24">
        <f t="shared" si="11"/>
        <v>0.44</v>
      </c>
      <c r="BQ275" s="24">
        <f t="shared" si="11"/>
        <v>1.04</v>
      </c>
      <c r="BR275" s="24">
        <f t="shared" si="11"/>
        <v>0.7</v>
      </c>
      <c r="BS275" s="24">
        <f t="shared" si="11"/>
        <v>0.42</v>
      </c>
      <c r="BT275" s="24">
        <f t="shared" si="11"/>
        <v>0.39</v>
      </c>
      <c r="BU275" s="24">
        <f t="shared" si="11"/>
        <v>0.28000000000000003</v>
      </c>
      <c r="BV275" s="24">
        <f t="shared" si="11"/>
        <v>0.86</v>
      </c>
      <c r="BW275" s="24">
        <f t="shared" si="11"/>
        <v>0.34</v>
      </c>
      <c r="BX275" s="24">
        <f t="shared" si="11"/>
        <v>0.54</v>
      </c>
      <c r="BY275" s="24">
        <f t="shared" si="11"/>
        <v>0.48</v>
      </c>
      <c r="BZ275" s="24">
        <f t="shared" si="11"/>
        <v>0.54</v>
      </c>
      <c r="CA275" s="24">
        <f t="shared" si="11"/>
        <v>1.03</v>
      </c>
      <c r="CB275" s="24">
        <f t="shared" si="11"/>
        <v>0.13</v>
      </c>
      <c r="CC275" s="24">
        <f t="shared" si="11"/>
        <v>0.62</v>
      </c>
      <c r="CD275" s="24">
        <f t="shared" si="11"/>
        <v>0.41</v>
      </c>
      <c r="CE275" s="24">
        <f t="shared" si="11"/>
        <v>0.69</v>
      </c>
      <c r="CF275" s="24">
        <f t="shared" si="11"/>
        <v>0.3</v>
      </c>
      <c r="CG275" s="24">
        <f t="shared" si="11"/>
        <v>0.39</v>
      </c>
      <c r="CH275" s="24">
        <f t="shared" si="11"/>
        <v>0.56999999999999995</v>
      </c>
      <c r="CI275" s="24">
        <f t="shared" si="11"/>
        <v>0.18</v>
      </c>
      <c r="CJ275" s="24">
        <f t="shared" si="11"/>
        <v>0.31</v>
      </c>
      <c r="CK275" s="24">
        <f t="shared" si="11"/>
        <v>0.69</v>
      </c>
    </row>
    <row r="276" spans="1:89" x14ac:dyDescent="0.25">
      <c r="A276" s="27" t="s">
        <v>77</v>
      </c>
      <c r="B276" s="24">
        <f>MAX(B$22:B$39,B$66:B$69)</f>
        <v>0.5</v>
      </c>
      <c r="C276" s="24">
        <f t="shared" ref="C276:BN276" si="12">MAX(C$22:C$39,C$66:C$69)</f>
        <v>0.75</v>
      </c>
      <c r="D276" s="24">
        <f t="shared" si="12"/>
        <v>0.46</v>
      </c>
      <c r="E276" s="24">
        <f t="shared" si="12"/>
        <v>0.44</v>
      </c>
      <c r="F276" s="24">
        <f t="shared" si="12"/>
        <v>0.52</v>
      </c>
      <c r="G276" s="24">
        <f t="shared" si="12"/>
        <v>0.43</v>
      </c>
      <c r="H276" s="24">
        <f t="shared" si="12"/>
        <v>0.53</v>
      </c>
      <c r="I276" s="24">
        <f t="shared" si="12"/>
        <v>0.54</v>
      </c>
      <c r="J276" s="24">
        <f t="shared" si="12"/>
        <v>0.61</v>
      </c>
      <c r="K276" s="24">
        <f t="shared" si="12"/>
        <v>0.72</v>
      </c>
      <c r="L276" s="24">
        <f t="shared" si="12"/>
        <v>1.34</v>
      </c>
      <c r="M276" s="24">
        <f t="shared" si="12"/>
        <v>1.46</v>
      </c>
      <c r="N276" s="24">
        <f t="shared" si="12"/>
        <v>0.31</v>
      </c>
      <c r="O276" s="24">
        <f t="shared" si="12"/>
        <v>0.95</v>
      </c>
      <c r="P276" s="24">
        <f t="shared" si="12"/>
        <v>0.56999999999999995</v>
      </c>
      <c r="Q276" s="24">
        <f t="shared" si="12"/>
        <v>0.65</v>
      </c>
      <c r="R276" s="24">
        <f t="shared" si="12"/>
        <v>0.83</v>
      </c>
      <c r="S276" s="24">
        <f t="shared" si="12"/>
        <v>0.28999999999999998</v>
      </c>
      <c r="T276" s="24">
        <f t="shared" si="12"/>
        <v>0.56000000000000005</v>
      </c>
      <c r="U276" s="24">
        <f t="shared" si="12"/>
        <v>0.62</v>
      </c>
      <c r="V276" s="24">
        <f t="shared" si="12"/>
        <v>0.25</v>
      </c>
      <c r="W276" s="24">
        <f t="shared" si="12"/>
        <v>0.53</v>
      </c>
      <c r="X276" s="24">
        <f t="shared" si="12"/>
        <v>0.96</v>
      </c>
      <c r="Y276" s="24">
        <f t="shared" si="12"/>
        <v>0.38</v>
      </c>
      <c r="Z276" s="24">
        <f t="shared" si="12"/>
        <v>0.48</v>
      </c>
      <c r="AA276" s="24">
        <f t="shared" si="12"/>
        <v>0.92</v>
      </c>
      <c r="AB276" s="24">
        <f t="shared" si="12"/>
        <v>0.26</v>
      </c>
      <c r="AC276" s="24">
        <f t="shared" si="12"/>
        <v>0.89</v>
      </c>
      <c r="AD276" s="24">
        <f t="shared" si="12"/>
        <v>0.67</v>
      </c>
      <c r="AE276" s="24">
        <f t="shared" si="12"/>
        <v>0.45</v>
      </c>
      <c r="AF276" s="24">
        <f t="shared" si="12"/>
        <v>0.52</v>
      </c>
      <c r="AG276" s="24">
        <f t="shared" si="12"/>
        <v>1.04</v>
      </c>
      <c r="AH276" s="24">
        <f t="shared" si="12"/>
        <v>1.24</v>
      </c>
      <c r="AI276" s="24">
        <f t="shared" si="12"/>
        <v>0.55000000000000004</v>
      </c>
      <c r="AJ276" s="24">
        <f t="shared" si="12"/>
        <v>0.33</v>
      </c>
      <c r="AK276" s="24">
        <f t="shared" si="12"/>
        <v>0.24</v>
      </c>
      <c r="AL276" s="24">
        <f t="shared" si="12"/>
        <v>0.85</v>
      </c>
      <c r="AM276" s="24">
        <f t="shared" si="12"/>
        <v>0.74</v>
      </c>
      <c r="AN276" s="24">
        <f t="shared" si="12"/>
        <v>0.56000000000000005</v>
      </c>
      <c r="AO276" s="24">
        <f t="shared" si="12"/>
        <v>0.38</v>
      </c>
      <c r="AP276" s="24">
        <f t="shared" si="12"/>
        <v>0.43</v>
      </c>
      <c r="AQ276" s="24">
        <f t="shared" si="12"/>
        <v>0.23</v>
      </c>
      <c r="AR276" s="24">
        <f t="shared" si="12"/>
        <v>0.89</v>
      </c>
      <c r="AS276" s="24">
        <f t="shared" si="12"/>
        <v>0.57999999999999996</v>
      </c>
      <c r="AT276" s="24">
        <f t="shared" si="12"/>
        <v>0.78</v>
      </c>
      <c r="AU276" s="24">
        <f t="shared" si="12"/>
        <v>0.76</v>
      </c>
      <c r="AV276" s="24">
        <f t="shared" si="12"/>
        <v>0.92</v>
      </c>
      <c r="AW276" s="24">
        <f t="shared" si="12"/>
        <v>0.53</v>
      </c>
      <c r="AX276" s="24">
        <f t="shared" si="12"/>
        <v>0.72</v>
      </c>
      <c r="AY276" s="24">
        <f t="shared" si="12"/>
        <v>1.05</v>
      </c>
      <c r="AZ276" s="24">
        <f t="shared" si="12"/>
        <v>0.49</v>
      </c>
      <c r="BA276" s="24">
        <f t="shared" si="12"/>
        <v>0.93</v>
      </c>
      <c r="BB276" s="24">
        <f t="shared" si="12"/>
        <v>0.18</v>
      </c>
      <c r="BC276" s="24">
        <f t="shared" si="12"/>
        <v>0.25</v>
      </c>
      <c r="BD276" s="24">
        <f t="shared" si="12"/>
        <v>0.39</v>
      </c>
      <c r="BE276" s="24">
        <f t="shared" si="12"/>
        <v>0.28999999999999998</v>
      </c>
      <c r="BF276" s="24">
        <f t="shared" si="12"/>
        <v>0.88</v>
      </c>
      <c r="BG276" s="24">
        <f t="shared" si="12"/>
        <v>0.86</v>
      </c>
      <c r="BH276" s="24">
        <f t="shared" si="12"/>
        <v>0.95</v>
      </c>
      <c r="BI276" s="24">
        <f t="shared" si="12"/>
        <v>0.94</v>
      </c>
      <c r="BJ276" s="24">
        <f t="shared" si="12"/>
        <v>0.72</v>
      </c>
      <c r="BK276" s="24">
        <f t="shared" si="12"/>
        <v>0.8</v>
      </c>
      <c r="BL276" s="24">
        <f t="shared" si="12"/>
        <v>1.23</v>
      </c>
      <c r="BM276" s="24">
        <f t="shared" si="12"/>
        <v>1.1200000000000001</v>
      </c>
      <c r="BN276" s="24">
        <f t="shared" si="12"/>
        <v>0.27</v>
      </c>
      <c r="BO276" s="24">
        <f t="shared" ref="BO276:CK276" si="13">MAX(BO$22:BO$39,BO$66:BO$69)</f>
        <v>0.78</v>
      </c>
      <c r="BP276" s="24">
        <f t="shared" si="13"/>
        <v>0.52</v>
      </c>
      <c r="BQ276" s="24">
        <f t="shared" si="13"/>
        <v>0.52</v>
      </c>
      <c r="BR276" s="24">
        <f t="shared" si="13"/>
        <v>0.75</v>
      </c>
      <c r="BS276" s="24">
        <f t="shared" si="13"/>
        <v>0.75</v>
      </c>
      <c r="BT276" s="24">
        <f t="shared" si="13"/>
        <v>0.4</v>
      </c>
      <c r="BU276" s="24">
        <f t="shared" si="13"/>
        <v>0.69</v>
      </c>
      <c r="BV276" s="24">
        <f t="shared" si="13"/>
        <v>0.96</v>
      </c>
      <c r="BW276" s="24">
        <f t="shared" si="13"/>
        <v>0.45</v>
      </c>
      <c r="BX276" s="24">
        <f t="shared" si="13"/>
        <v>0.45</v>
      </c>
      <c r="BY276" s="24">
        <f t="shared" si="13"/>
        <v>0.53</v>
      </c>
      <c r="BZ276" s="24">
        <f t="shared" si="13"/>
        <v>0.81</v>
      </c>
      <c r="CA276" s="24">
        <f t="shared" si="13"/>
        <v>0.97</v>
      </c>
      <c r="CB276" s="24">
        <f t="shared" si="13"/>
        <v>0.12</v>
      </c>
      <c r="CC276" s="24">
        <f t="shared" si="13"/>
        <v>0.71</v>
      </c>
      <c r="CD276" s="24">
        <f t="shared" si="13"/>
        <v>0.61</v>
      </c>
      <c r="CE276" s="24">
        <f t="shared" si="13"/>
        <v>0.51</v>
      </c>
      <c r="CF276" s="24">
        <f t="shared" si="13"/>
        <v>0.62</v>
      </c>
      <c r="CG276" s="24">
        <f t="shared" si="13"/>
        <v>0.39</v>
      </c>
      <c r="CH276" s="24">
        <f t="shared" si="13"/>
        <v>0.4</v>
      </c>
      <c r="CI276" s="24">
        <f t="shared" si="13"/>
        <v>0.57999999999999996</v>
      </c>
      <c r="CJ276" s="24">
        <f t="shared" si="13"/>
        <v>0.44</v>
      </c>
      <c r="CK276" s="24">
        <f t="shared" si="13"/>
        <v>0.78</v>
      </c>
    </row>
    <row r="277" spans="1:89" x14ac:dyDescent="0.25">
      <c r="A277" s="27" t="s">
        <v>78</v>
      </c>
      <c r="B277" s="24">
        <f>MAX(B$42:B$59,B$70:B$73)</f>
        <v>0.68</v>
      </c>
      <c r="C277" s="24">
        <f t="shared" ref="C277:BN277" si="14">MAX(C$42:C$59,C$70:C$73)</f>
        <v>0.75</v>
      </c>
      <c r="D277" s="24">
        <f t="shared" si="14"/>
        <v>1.01</v>
      </c>
      <c r="E277" s="24">
        <f t="shared" si="14"/>
        <v>0.65</v>
      </c>
      <c r="F277" s="24">
        <f t="shared" si="14"/>
        <v>0.6</v>
      </c>
      <c r="G277" s="24">
        <f t="shared" si="14"/>
        <v>0.6</v>
      </c>
      <c r="H277" s="24">
        <f t="shared" si="14"/>
        <v>0.42</v>
      </c>
      <c r="I277" s="24">
        <f t="shared" si="14"/>
        <v>0.46</v>
      </c>
      <c r="J277" s="24">
        <f t="shared" si="14"/>
        <v>0.05</v>
      </c>
      <c r="K277" s="24">
        <f t="shared" si="14"/>
        <v>0.36</v>
      </c>
      <c r="L277" s="24">
        <f t="shared" si="14"/>
        <v>1.2</v>
      </c>
      <c r="M277" s="24">
        <f t="shared" si="14"/>
        <v>0.4</v>
      </c>
      <c r="N277" s="24">
        <f t="shared" si="14"/>
        <v>0.49</v>
      </c>
      <c r="O277" s="24">
        <f t="shared" si="14"/>
        <v>0.83</v>
      </c>
      <c r="P277" s="24">
        <f t="shared" si="14"/>
        <v>0.28000000000000003</v>
      </c>
      <c r="Q277" s="24">
        <f t="shared" si="14"/>
        <v>0.5</v>
      </c>
      <c r="R277" s="24">
        <f t="shared" si="14"/>
        <v>0.64</v>
      </c>
      <c r="S277" s="24">
        <f t="shared" si="14"/>
        <v>0.55000000000000004</v>
      </c>
      <c r="T277" s="24">
        <f t="shared" si="14"/>
        <v>0.56999999999999995</v>
      </c>
      <c r="U277" s="24">
        <f t="shared" si="14"/>
        <v>0.76</v>
      </c>
      <c r="V277" s="24">
        <f t="shared" si="14"/>
        <v>0.37</v>
      </c>
      <c r="W277" s="24">
        <f t="shared" si="14"/>
        <v>0.39</v>
      </c>
      <c r="X277" s="24">
        <f t="shared" si="14"/>
        <v>0.57999999999999996</v>
      </c>
      <c r="Y277" s="24">
        <f t="shared" si="14"/>
        <v>0.46</v>
      </c>
      <c r="Z277" s="24">
        <f t="shared" si="14"/>
        <v>0.67</v>
      </c>
      <c r="AA277" s="24">
        <f t="shared" si="14"/>
        <v>0.46</v>
      </c>
      <c r="AB277" s="24">
        <f t="shared" si="14"/>
        <v>0.56000000000000005</v>
      </c>
      <c r="AC277" s="24">
        <f t="shared" si="14"/>
        <v>0.53</v>
      </c>
      <c r="AD277" s="24">
        <f t="shared" si="14"/>
        <v>1.01</v>
      </c>
      <c r="AE277" s="24">
        <f t="shared" si="14"/>
        <v>0.64</v>
      </c>
      <c r="AF277" s="24">
        <f t="shared" si="14"/>
        <v>0.28999999999999998</v>
      </c>
      <c r="AG277" s="24">
        <f t="shared" si="14"/>
        <v>0.91</v>
      </c>
      <c r="AH277" s="24">
        <f t="shared" si="14"/>
        <v>0.34</v>
      </c>
      <c r="AI277" s="24">
        <f t="shared" si="14"/>
        <v>0.79</v>
      </c>
      <c r="AJ277" s="24">
        <f t="shared" si="14"/>
        <v>0.46</v>
      </c>
      <c r="AK277" s="24">
        <f t="shared" si="14"/>
        <v>0.42</v>
      </c>
      <c r="AL277" s="24">
        <f t="shared" si="14"/>
        <v>7.0000000000000007E-2</v>
      </c>
      <c r="AM277" s="24">
        <f t="shared" si="14"/>
        <v>0.8</v>
      </c>
      <c r="AN277" s="24">
        <f t="shared" si="14"/>
        <v>0.8</v>
      </c>
      <c r="AO277" s="24">
        <f t="shared" si="14"/>
        <v>0.17</v>
      </c>
      <c r="AP277" s="24">
        <f t="shared" si="14"/>
        <v>0.42</v>
      </c>
      <c r="AQ277" s="24">
        <f t="shared" si="14"/>
        <v>0.25</v>
      </c>
      <c r="AR277" s="24">
        <f t="shared" si="14"/>
        <v>0.09</v>
      </c>
      <c r="AS277" s="24">
        <f t="shared" si="14"/>
        <v>0.83</v>
      </c>
      <c r="AT277" s="24">
        <f t="shared" si="14"/>
        <v>0.09</v>
      </c>
      <c r="AU277" s="24">
        <f t="shared" si="14"/>
        <v>1.04</v>
      </c>
      <c r="AV277" s="24">
        <f t="shared" si="14"/>
        <v>1.23</v>
      </c>
      <c r="AW277" s="24">
        <f t="shared" si="14"/>
        <v>0.85</v>
      </c>
      <c r="AX277" s="24">
        <f t="shared" si="14"/>
        <v>0.75</v>
      </c>
      <c r="AY277" s="24">
        <f t="shared" si="14"/>
        <v>0.78</v>
      </c>
      <c r="AZ277" s="24">
        <f t="shared" si="14"/>
        <v>0.46</v>
      </c>
      <c r="BA277" s="24">
        <f t="shared" si="14"/>
        <v>0.36</v>
      </c>
      <c r="BB277" s="24">
        <f t="shared" si="14"/>
        <v>0.67</v>
      </c>
      <c r="BC277" s="24">
        <f t="shared" si="14"/>
        <v>0.28000000000000003</v>
      </c>
      <c r="BD277" s="24">
        <f t="shared" si="14"/>
        <v>0.25</v>
      </c>
      <c r="BE277" s="24">
        <f t="shared" si="14"/>
        <v>0.19</v>
      </c>
      <c r="BF277" s="24">
        <f t="shared" si="14"/>
        <v>0.86</v>
      </c>
      <c r="BG277" s="24">
        <f t="shared" si="14"/>
        <v>0.5</v>
      </c>
      <c r="BH277" s="24">
        <f t="shared" si="14"/>
        <v>0.42</v>
      </c>
      <c r="BI277" s="24">
        <f t="shared" si="14"/>
        <v>0.56999999999999995</v>
      </c>
      <c r="BJ277" s="24">
        <f t="shared" si="14"/>
        <v>0.44</v>
      </c>
      <c r="BK277" s="24">
        <f t="shared" si="14"/>
        <v>0.88</v>
      </c>
      <c r="BL277" s="24">
        <f t="shared" si="14"/>
        <v>0.6</v>
      </c>
      <c r="BM277" s="24">
        <f t="shared" si="14"/>
        <v>0.94</v>
      </c>
      <c r="BN277" s="24">
        <f t="shared" si="14"/>
        <v>0.26</v>
      </c>
      <c r="BO277" s="24">
        <f t="shared" ref="BO277:CK277" si="15">MAX(BO$42:BO$59,BO$70:BO$73)</f>
        <v>0.63</v>
      </c>
      <c r="BP277" s="24">
        <f t="shared" si="15"/>
        <v>0.41</v>
      </c>
      <c r="BQ277" s="24">
        <f t="shared" si="15"/>
        <v>0.53</v>
      </c>
      <c r="BR277" s="24">
        <f t="shared" si="15"/>
        <v>0.52</v>
      </c>
      <c r="BS277" s="24">
        <f t="shared" si="15"/>
        <v>0.42</v>
      </c>
      <c r="BT277" s="24">
        <f t="shared" si="15"/>
        <v>0.43</v>
      </c>
      <c r="BU277" s="24">
        <f t="shared" si="15"/>
        <v>0.66</v>
      </c>
      <c r="BV277" s="24">
        <f t="shared" si="15"/>
        <v>0.72</v>
      </c>
      <c r="BW277" s="24">
        <f t="shared" si="15"/>
        <v>0.44</v>
      </c>
      <c r="BX277" s="24">
        <f t="shared" si="15"/>
        <v>0.6</v>
      </c>
      <c r="BY277" s="24">
        <f t="shared" si="15"/>
        <v>0.56000000000000005</v>
      </c>
      <c r="BZ277" s="24">
        <f t="shared" si="15"/>
        <v>1.1599999999999999</v>
      </c>
      <c r="CA277" s="24">
        <f t="shared" si="15"/>
        <v>0.72</v>
      </c>
      <c r="CB277" s="24">
        <f t="shared" si="15"/>
        <v>0.2</v>
      </c>
      <c r="CC277" s="24">
        <f t="shared" si="15"/>
        <v>0.87</v>
      </c>
      <c r="CD277" s="24">
        <f t="shared" si="15"/>
        <v>0.89</v>
      </c>
      <c r="CE277" s="24">
        <f t="shared" si="15"/>
        <v>0.41</v>
      </c>
      <c r="CF277" s="24">
        <f t="shared" si="15"/>
        <v>0.3</v>
      </c>
      <c r="CG277" s="24">
        <f t="shared" si="15"/>
        <v>0.38</v>
      </c>
      <c r="CH277" s="24">
        <f t="shared" si="15"/>
        <v>0.53</v>
      </c>
      <c r="CI277" s="24">
        <f t="shared" si="15"/>
        <v>0.17</v>
      </c>
      <c r="CJ277" s="24">
        <f t="shared" si="15"/>
        <v>0.69</v>
      </c>
      <c r="CK277" s="24">
        <f t="shared" si="15"/>
        <v>0.41</v>
      </c>
    </row>
    <row r="278" spans="1:89" x14ac:dyDescent="0.25">
      <c r="A278" s="27" t="s">
        <v>258</v>
      </c>
      <c r="B278" s="24">
        <f>MAX(B$275:B$277)</f>
        <v>0.68</v>
      </c>
      <c r="C278" s="24">
        <f t="shared" ref="C278:BN278" si="16">MAX(C$275:C$277)</f>
        <v>0.83</v>
      </c>
      <c r="D278" s="24">
        <f t="shared" si="16"/>
        <v>1.01</v>
      </c>
      <c r="E278" s="24">
        <f t="shared" si="16"/>
        <v>0.69</v>
      </c>
      <c r="F278" s="24">
        <f t="shared" si="16"/>
        <v>0.93</v>
      </c>
      <c r="G278" s="24">
        <f t="shared" si="16"/>
        <v>0.6</v>
      </c>
      <c r="H278" s="24">
        <f t="shared" si="16"/>
        <v>0.74</v>
      </c>
      <c r="I278" s="24">
        <f t="shared" si="16"/>
        <v>0.61</v>
      </c>
      <c r="J278" s="24">
        <f t="shared" si="16"/>
        <v>0.61</v>
      </c>
      <c r="K278" s="24">
        <f t="shared" si="16"/>
        <v>0.72</v>
      </c>
      <c r="L278" s="24">
        <f t="shared" si="16"/>
        <v>1.34</v>
      </c>
      <c r="M278" s="24">
        <f t="shared" si="16"/>
        <v>1.46</v>
      </c>
      <c r="N278" s="24">
        <f t="shared" si="16"/>
        <v>0.49</v>
      </c>
      <c r="O278" s="24">
        <f t="shared" si="16"/>
        <v>0.99</v>
      </c>
      <c r="P278" s="24">
        <f t="shared" si="16"/>
        <v>0.56999999999999995</v>
      </c>
      <c r="Q278" s="24">
        <f t="shared" si="16"/>
        <v>0.65</v>
      </c>
      <c r="R278" s="24">
        <f t="shared" si="16"/>
        <v>0.83</v>
      </c>
      <c r="S278" s="24">
        <f t="shared" si="16"/>
        <v>0.55000000000000004</v>
      </c>
      <c r="T278" s="24">
        <f t="shared" si="16"/>
        <v>0.56999999999999995</v>
      </c>
      <c r="U278" s="24">
        <f t="shared" si="16"/>
        <v>0.76</v>
      </c>
      <c r="V278" s="24">
        <f t="shared" si="16"/>
        <v>0.37</v>
      </c>
      <c r="W278" s="24">
        <f t="shared" si="16"/>
        <v>0.53</v>
      </c>
      <c r="X278" s="24">
        <f t="shared" si="16"/>
        <v>0.96</v>
      </c>
      <c r="Y278" s="24">
        <f t="shared" si="16"/>
        <v>0.56000000000000005</v>
      </c>
      <c r="Z278" s="24">
        <f t="shared" si="16"/>
        <v>0.67</v>
      </c>
      <c r="AA278" s="24">
        <f t="shared" si="16"/>
        <v>0.92</v>
      </c>
      <c r="AB278" s="24">
        <f t="shared" si="16"/>
        <v>0.56000000000000005</v>
      </c>
      <c r="AC278" s="24">
        <f t="shared" si="16"/>
        <v>0.89</v>
      </c>
      <c r="AD278" s="24">
        <f t="shared" si="16"/>
        <v>1.01</v>
      </c>
      <c r="AE278" s="24">
        <f t="shared" si="16"/>
        <v>0.71</v>
      </c>
      <c r="AF278" s="24">
        <f t="shared" si="16"/>
        <v>0.6</v>
      </c>
      <c r="AG278" s="24">
        <f t="shared" si="16"/>
        <v>1.04</v>
      </c>
      <c r="AH278" s="24">
        <f t="shared" si="16"/>
        <v>1.24</v>
      </c>
      <c r="AI278" s="24">
        <f t="shared" si="16"/>
        <v>36</v>
      </c>
      <c r="AJ278" s="24">
        <f t="shared" si="16"/>
        <v>0.46</v>
      </c>
      <c r="AK278" s="24">
        <f t="shared" si="16"/>
        <v>0.9</v>
      </c>
      <c r="AL278" s="24">
        <f t="shared" si="16"/>
        <v>1.02</v>
      </c>
      <c r="AM278" s="24">
        <f t="shared" si="16"/>
        <v>0.97</v>
      </c>
      <c r="AN278" s="24">
        <f t="shared" si="16"/>
        <v>0.8</v>
      </c>
      <c r="AO278" s="24">
        <f t="shared" si="16"/>
        <v>1.1000000000000001</v>
      </c>
      <c r="AP278" s="24">
        <f t="shared" si="16"/>
        <v>0.47</v>
      </c>
      <c r="AQ278" s="24">
        <f t="shared" si="16"/>
        <v>0.28999999999999998</v>
      </c>
      <c r="AR278" s="24">
        <f t="shared" si="16"/>
        <v>1.1000000000000001</v>
      </c>
      <c r="AS278" s="24">
        <f t="shared" si="16"/>
        <v>0.83</v>
      </c>
      <c r="AT278" s="24">
        <f t="shared" si="16"/>
        <v>0.78</v>
      </c>
      <c r="AU278" s="24">
        <f t="shared" si="16"/>
        <v>1.04</v>
      </c>
      <c r="AV278" s="24">
        <f t="shared" si="16"/>
        <v>1.23</v>
      </c>
      <c r="AW278" s="24">
        <f t="shared" si="16"/>
        <v>0.85</v>
      </c>
      <c r="AX278" s="24">
        <f t="shared" si="16"/>
        <v>0.93</v>
      </c>
      <c r="AY278" s="24">
        <f t="shared" si="16"/>
        <v>1.05</v>
      </c>
      <c r="AZ278" s="24">
        <f t="shared" si="16"/>
        <v>0.61</v>
      </c>
      <c r="BA278" s="24">
        <f t="shared" si="16"/>
        <v>0.93</v>
      </c>
      <c r="BB278" s="24">
        <f t="shared" si="16"/>
        <v>0.68</v>
      </c>
      <c r="BC278" s="24">
        <f t="shared" si="16"/>
        <v>0.28999999999999998</v>
      </c>
      <c r="BD278" s="24">
        <f t="shared" si="16"/>
        <v>0.39</v>
      </c>
      <c r="BE278" s="24">
        <f t="shared" si="16"/>
        <v>0.28999999999999998</v>
      </c>
      <c r="BF278" s="24">
        <f t="shared" si="16"/>
        <v>1.04</v>
      </c>
      <c r="BG278" s="24">
        <f t="shared" si="16"/>
        <v>0.86</v>
      </c>
      <c r="BH278" s="24">
        <f t="shared" si="16"/>
        <v>0.99</v>
      </c>
      <c r="BI278" s="24">
        <f t="shared" si="16"/>
        <v>0.94</v>
      </c>
      <c r="BJ278" s="24">
        <f t="shared" si="16"/>
        <v>0.72</v>
      </c>
      <c r="BK278" s="24">
        <f t="shared" si="16"/>
        <v>0.88</v>
      </c>
      <c r="BL278" s="24">
        <f t="shared" si="16"/>
        <v>1.23</v>
      </c>
      <c r="BM278" s="24">
        <f t="shared" si="16"/>
        <v>1.1200000000000001</v>
      </c>
      <c r="BN278" s="24">
        <f t="shared" si="16"/>
        <v>0.47</v>
      </c>
      <c r="BO278" s="24">
        <f t="shared" ref="BO278:CK278" si="17">MAX(BO$275:BO$277)</f>
        <v>0.89</v>
      </c>
      <c r="BP278" s="24">
        <f t="shared" si="17"/>
        <v>0.52</v>
      </c>
      <c r="BQ278" s="24">
        <f t="shared" si="17"/>
        <v>1.04</v>
      </c>
      <c r="BR278" s="24">
        <f t="shared" si="17"/>
        <v>0.75</v>
      </c>
      <c r="BS278" s="24">
        <f t="shared" si="17"/>
        <v>0.75</v>
      </c>
      <c r="BT278" s="24">
        <f t="shared" si="17"/>
        <v>0.43</v>
      </c>
      <c r="BU278" s="24">
        <f t="shared" si="17"/>
        <v>0.69</v>
      </c>
      <c r="BV278" s="24">
        <f t="shared" si="17"/>
        <v>0.96</v>
      </c>
      <c r="BW278" s="24">
        <f t="shared" si="17"/>
        <v>0.45</v>
      </c>
      <c r="BX278" s="24">
        <f t="shared" si="17"/>
        <v>0.6</v>
      </c>
      <c r="BY278" s="24">
        <f t="shared" si="17"/>
        <v>0.56000000000000005</v>
      </c>
      <c r="BZ278" s="24">
        <f t="shared" si="17"/>
        <v>1.1599999999999999</v>
      </c>
      <c r="CA278" s="24">
        <f t="shared" si="17"/>
        <v>1.03</v>
      </c>
      <c r="CB278" s="24">
        <f t="shared" si="17"/>
        <v>0.2</v>
      </c>
      <c r="CC278" s="24">
        <f t="shared" si="17"/>
        <v>0.87</v>
      </c>
      <c r="CD278" s="24">
        <f t="shared" si="17"/>
        <v>0.89</v>
      </c>
      <c r="CE278" s="24">
        <f t="shared" si="17"/>
        <v>0.69</v>
      </c>
      <c r="CF278" s="24">
        <f t="shared" si="17"/>
        <v>0.62</v>
      </c>
      <c r="CG278" s="24">
        <f t="shared" si="17"/>
        <v>0.39</v>
      </c>
      <c r="CH278" s="24">
        <f t="shared" si="17"/>
        <v>0.56999999999999995</v>
      </c>
      <c r="CI278" s="24">
        <f t="shared" si="17"/>
        <v>0.57999999999999996</v>
      </c>
      <c r="CJ278" s="24">
        <f t="shared" si="17"/>
        <v>0.69</v>
      </c>
      <c r="CK278" s="24">
        <f t="shared" si="17"/>
        <v>0.78</v>
      </c>
    </row>
    <row r="279" spans="1:89" x14ac:dyDescent="0.25">
      <c r="A279" s="27" t="s">
        <v>492</v>
      </c>
      <c r="B279" s="24">
        <f>AVERAGE(B$75:B$86)</f>
        <v>0.83333333333333337</v>
      </c>
      <c r="C279" s="24">
        <f t="shared" ref="C279:BN279" si="18">AVERAGE(C$75:C$86)</f>
        <v>0.66666666666666663</v>
      </c>
      <c r="D279" s="24">
        <f t="shared" si="18"/>
        <v>0</v>
      </c>
      <c r="E279" s="24">
        <f t="shared" si="18"/>
        <v>0.58333333333333337</v>
      </c>
      <c r="F279" s="24">
        <f t="shared" si="18"/>
        <v>1.5</v>
      </c>
      <c r="G279" s="24">
        <f t="shared" si="18"/>
        <v>0.75</v>
      </c>
      <c r="H279" s="24">
        <f t="shared" si="18"/>
        <v>0.75</v>
      </c>
      <c r="I279" s="24">
        <f t="shared" si="18"/>
        <v>1.3333333333333333</v>
      </c>
      <c r="J279" s="24">
        <f t="shared" si="18"/>
        <v>0.66666666666666663</v>
      </c>
      <c r="K279" s="24">
        <f t="shared" si="18"/>
        <v>0.83333333333333337</v>
      </c>
      <c r="L279" s="24">
        <f t="shared" si="18"/>
        <v>0.83333333333333337</v>
      </c>
      <c r="M279" s="24">
        <f t="shared" si="18"/>
        <v>1.1666666666666667</v>
      </c>
      <c r="N279" s="24">
        <f t="shared" si="18"/>
        <v>1.75</v>
      </c>
      <c r="O279" s="24">
        <f t="shared" si="18"/>
        <v>1.4166666666666667</v>
      </c>
      <c r="P279" s="24">
        <f t="shared" si="18"/>
        <v>1.0833333333333333</v>
      </c>
      <c r="Q279" s="24">
        <f t="shared" si="18"/>
        <v>1.1666666666666667</v>
      </c>
      <c r="R279" s="24">
        <f t="shared" si="18"/>
        <v>0.5</v>
      </c>
      <c r="S279" s="24">
        <f t="shared" si="18"/>
        <v>0.33333333333333331</v>
      </c>
      <c r="T279" s="24">
        <f t="shared" si="18"/>
        <v>0.75</v>
      </c>
      <c r="U279" s="24">
        <f t="shared" si="18"/>
        <v>1.6666666666666667</v>
      </c>
      <c r="V279" s="24">
        <f t="shared" si="18"/>
        <v>0.41666666666666669</v>
      </c>
      <c r="W279" s="24">
        <f t="shared" si="18"/>
        <v>0.5</v>
      </c>
      <c r="X279" s="24">
        <f t="shared" si="18"/>
        <v>1.3333333333333333</v>
      </c>
      <c r="Y279" s="24">
        <f t="shared" si="18"/>
        <v>0.25</v>
      </c>
      <c r="Z279" s="24">
        <f t="shared" si="18"/>
        <v>1</v>
      </c>
      <c r="AA279" s="24">
        <f t="shared" si="18"/>
        <v>1.75</v>
      </c>
      <c r="AB279" s="24">
        <f t="shared" si="18"/>
        <v>1.3333333333333333</v>
      </c>
      <c r="AC279" s="24">
        <f t="shared" si="18"/>
        <v>1</v>
      </c>
      <c r="AD279" s="24">
        <f t="shared" si="18"/>
        <v>1.4166666666666667</v>
      </c>
      <c r="AE279" s="24">
        <f t="shared" si="18"/>
        <v>1.0833333333333333</v>
      </c>
      <c r="AF279" s="24">
        <f t="shared" si="18"/>
        <v>1.25</v>
      </c>
      <c r="AG279" s="24">
        <f t="shared" si="18"/>
        <v>1.1000000000000001</v>
      </c>
      <c r="AH279" s="24">
        <f t="shared" si="18"/>
        <v>1.75</v>
      </c>
      <c r="AI279" s="24">
        <f t="shared" si="18"/>
        <v>0.33333333333333331</v>
      </c>
      <c r="AJ279" s="24">
        <f t="shared" si="18"/>
        <v>1.3333333333333333</v>
      </c>
      <c r="AK279" s="24">
        <f t="shared" si="18"/>
        <v>0.58333333333333337</v>
      </c>
      <c r="AL279" s="24">
        <f t="shared" si="18"/>
        <v>0.41666666666666669</v>
      </c>
      <c r="AM279" s="24">
        <f t="shared" si="18"/>
        <v>0.75</v>
      </c>
      <c r="AN279" s="24">
        <f t="shared" si="18"/>
        <v>0.83333333333333337</v>
      </c>
      <c r="AO279" s="24">
        <f t="shared" si="18"/>
        <v>0.66666666666666663</v>
      </c>
      <c r="AP279" s="24">
        <f t="shared" si="18"/>
        <v>1.9166666666666667</v>
      </c>
      <c r="AQ279" s="24">
        <f t="shared" si="18"/>
        <v>0.83333333333333337</v>
      </c>
      <c r="AR279" s="24">
        <f t="shared" si="18"/>
        <v>0.41666666666666669</v>
      </c>
      <c r="AS279" s="24">
        <f t="shared" si="18"/>
        <v>1.1666666666666667</v>
      </c>
      <c r="AT279" s="24">
        <f t="shared" si="18"/>
        <v>0.16666666666666666</v>
      </c>
      <c r="AU279" s="24">
        <f t="shared" si="18"/>
        <v>0.83333333333333337</v>
      </c>
      <c r="AV279" s="24">
        <f t="shared" si="18"/>
        <v>1.75</v>
      </c>
      <c r="AW279" s="24">
        <f t="shared" si="18"/>
        <v>0.5</v>
      </c>
      <c r="AX279" s="24">
        <f t="shared" si="18"/>
        <v>1.8333333333333333</v>
      </c>
      <c r="AY279" s="24">
        <f t="shared" si="18"/>
        <v>0.91666666666666663</v>
      </c>
      <c r="AZ279" s="24">
        <f t="shared" si="18"/>
        <v>0.83333333333333337</v>
      </c>
      <c r="BA279" s="24">
        <f t="shared" si="18"/>
        <v>0.58333333333333337</v>
      </c>
      <c r="BB279" s="24">
        <f t="shared" si="18"/>
        <v>1.25</v>
      </c>
      <c r="BC279" s="24">
        <f t="shared" si="18"/>
        <v>1.75</v>
      </c>
      <c r="BD279" s="24">
        <f t="shared" si="18"/>
        <v>1.8333333333333333</v>
      </c>
      <c r="BE279" s="24">
        <f t="shared" si="18"/>
        <v>0</v>
      </c>
      <c r="BF279" s="24">
        <f t="shared" si="18"/>
        <v>1.1666666666666667</v>
      </c>
      <c r="BG279" s="24">
        <f t="shared" si="18"/>
        <v>2</v>
      </c>
      <c r="BH279" s="24">
        <f t="shared" si="18"/>
        <v>2.5454545454545454</v>
      </c>
      <c r="BI279" s="24">
        <f t="shared" si="18"/>
        <v>1.5</v>
      </c>
      <c r="BJ279" s="24">
        <f t="shared" si="18"/>
        <v>1</v>
      </c>
      <c r="BK279" s="24">
        <f t="shared" si="18"/>
        <v>1.6</v>
      </c>
      <c r="BL279" s="24">
        <f t="shared" si="18"/>
        <v>1.3333333333333333</v>
      </c>
      <c r="BM279" s="24">
        <f t="shared" si="18"/>
        <v>0.91666666666666663</v>
      </c>
      <c r="BN279" s="24">
        <f t="shared" si="18"/>
        <v>0.58333333333333337</v>
      </c>
      <c r="BO279" s="24">
        <f t="shared" ref="BO279:CK279" si="19">AVERAGE(BO$75:BO$86)</f>
        <v>1</v>
      </c>
      <c r="BP279" s="24">
        <f t="shared" si="19"/>
        <v>1.5833333333333333</v>
      </c>
      <c r="BQ279" s="24">
        <f t="shared" si="19"/>
        <v>1</v>
      </c>
      <c r="BR279" s="24">
        <f t="shared" si="19"/>
        <v>1.1666666666666667</v>
      </c>
      <c r="BS279" s="24">
        <f t="shared" si="19"/>
        <v>0.83333333333333337</v>
      </c>
      <c r="BT279" s="24">
        <f t="shared" si="19"/>
        <v>0.33333333333333331</v>
      </c>
      <c r="BU279" s="24">
        <f t="shared" si="19"/>
        <v>1.25</v>
      </c>
      <c r="BV279" s="24">
        <f t="shared" si="19"/>
        <v>0.75</v>
      </c>
      <c r="BW279" s="24">
        <f t="shared" si="19"/>
        <v>1.5833333333333333</v>
      </c>
      <c r="BX279" s="24">
        <f t="shared" si="19"/>
        <v>0.75</v>
      </c>
      <c r="BY279" s="24">
        <f t="shared" si="19"/>
        <v>1</v>
      </c>
      <c r="BZ279" s="24">
        <f t="shared" si="19"/>
        <v>0.5</v>
      </c>
      <c r="CA279" s="24">
        <f t="shared" si="19"/>
        <v>0.91666666666666663</v>
      </c>
      <c r="CB279" s="24">
        <f t="shared" si="19"/>
        <v>0.41666666666666669</v>
      </c>
      <c r="CC279" s="24">
        <f t="shared" si="19"/>
        <v>1.5</v>
      </c>
      <c r="CD279" s="24">
        <f t="shared" si="19"/>
        <v>0.58333333333333337</v>
      </c>
      <c r="CE279" s="24">
        <f t="shared" si="19"/>
        <v>1</v>
      </c>
      <c r="CF279" s="24">
        <f t="shared" si="19"/>
        <v>0.83333333333333337</v>
      </c>
      <c r="CG279" s="24">
        <f t="shared" si="19"/>
        <v>1</v>
      </c>
      <c r="CH279" s="24">
        <f t="shared" si="19"/>
        <v>1</v>
      </c>
      <c r="CI279" s="24">
        <f t="shared" si="19"/>
        <v>0.16666666666666666</v>
      </c>
      <c r="CJ279" s="24">
        <f t="shared" si="19"/>
        <v>1.25</v>
      </c>
      <c r="CK279" s="24">
        <f t="shared" si="19"/>
        <v>2.3333333333333335</v>
      </c>
    </row>
    <row r="280" spans="1:89" x14ac:dyDescent="0.25">
      <c r="A280" s="27" t="s">
        <v>505</v>
      </c>
      <c r="B280" s="24">
        <f>(B$312/12)*100</f>
        <v>25</v>
      </c>
      <c r="C280" s="24">
        <f t="shared" ref="C280:BN280" si="20">(C$312/12)*100</f>
        <v>16.666666666666664</v>
      </c>
      <c r="D280" s="24">
        <f t="shared" si="20"/>
        <v>0</v>
      </c>
      <c r="E280" s="24">
        <f t="shared" si="20"/>
        <v>8.3333333333333321</v>
      </c>
      <c r="F280" s="24">
        <f t="shared" si="20"/>
        <v>41.666666666666671</v>
      </c>
      <c r="G280" s="24">
        <f t="shared" si="20"/>
        <v>16.666666666666664</v>
      </c>
      <c r="H280" s="24">
        <f t="shared" si="20"/>
        <v>25</v>
      </c>
      <c r="I280" s="24">
        <f t="shared" si="20"/>
        <v>33.333333333333329</v>
      </c>
      <c r="J280" s="24">
        <f t="shared" si="20"/>
        <v>25</v>
      </c>
      <c r="K280" s="24">
        <f t="shared" si="20"/>
        <v>25</v>
      </c>
      <c r="L280" s="24">
        <f t="shared" si="20"/>
        <v>16.666666666666664</v>
      </c>
      <c r="M280" s="24">
        <f t="shared" si="20"/>
        <v>33.333333333333329</v>
      </c>
      <c r="N280" s="24">
        <f t="shared" si="20"/>
        <v>58.333333333333336</v>
      </c>
      <c r="O280" s="24">
        <f t="shared" si="20"/>
        <v>41.666666666666671</v>
      </c>
      <c r="P280" s="24">
        <f t="shared" si="20"/>
        <v>25</v>
      </c>
      <c r="Q280" s="24">
        <f t="shared" si="20"/>
        <v>25</v>
      </c>
      <c r="R280" s="24">
        <f t="shared" si="20"/>
        <v>25</v>
      </c>
      <c r="S280" s="24">
        <f t="shared" si="20"/>
        <v>16.666666666666664</v>
      </c>
      <c r="T280" s="24">
        <f t="shared" si="20"/>
        <v>25</v>
      </c>
      <c r="U280" s="24">
        <f t="shared" si="20"/>
        <v>50</v>
      </c>
      <c r="V280" s="24">
        <f t="shared" si="20"/>
        <v>8.3333333333333321</v>
      </c>
      <c r="W280" s="24">
        <f t="shared" si="20"/>
        <v>25</v>
      </c>
      <c r="X280" s="24">
        <f t="shared" si="20"/>
        <v>33.333333333333329</v>
      </c>
      <c r="Y280" s="24">
        <f t="shared" si="20"/>
        <v>8.3333333333333321</v>
      </c>
      <c r="Z280" s="24">
        <f t="shared" si="20"/>
        <v>33.333333333333329</v>
      </c>
      <c r="AA280" s="24">
        <f t="shared" si="20"/>
        <v>58.333333333333336</v>
      </c>
      <c r="AB280" s="24">
        <f t="shared" si="20"/>
        <v>50</v>
      </c>
      <c r="AC280" s="24">
        <f t="shared" si="20"/>
        <v>41.666666666666671</v>
      </c>
      <c r="AD280" s="24">
        <f t="shared" si="20"/>
        <v>41.666666666666671</v>
      </c>
      <c r="AE280" s="24">
        <f t="shared" si="20"/>
        <v>25</v>
      </c>
      <c r="AF280" s="24">
        <f t="shared" si="20"/>
        <v>33.333333333333329</v>
      </c>
      <c r="AG280" s="24">
        <f t="shared" si="20"/>
        <v>8.3333333333333321</v>
      </c>
      <c r="AH280" s="24">
        <f t="shared" si="20"/>
        <v>66.666666666666657</v>
      </c>
      <c r="AI280" s="24">
        <f t="shared" si="20"/>
        <v>8.3333333333333321</v>
      </c>
      <c r="AJ280" s="24">
        <f t="shared" si="20"/>
        <v>41.666666666666671</v>
      </c>
      <c r="AK280" s="24">
        <f t="shared" si="20"/>
        <v>25</v>
      </c>
      <c r="AL280" s="24">
        <f t="shared" si="20"/>
        <v>8.3333333333333321</v>
      </c>
      <c r="AM280" s="24">
        <f t="shared" si="20"/>
        <v>8.3333333333333321</v>
      </c>
      <c r="AN280" s="24">
        <f t="shared" si="20"/>
        <v>16.666666666666664</v>
      </c>
      <c r="AO280" s="24">
        <f t="shared" si="20"/>
        <v>25</v>
      </c>
      <c r="AP280" s="24">
        <f t="shared" si="20"/>
        <v>58.333333333333336</v>
      </c>
      <c r="AQ280" s="24">
        <f t="shared" si="20"/>
        <v>33.333333333333329</v>
      </c>
      <c r="AR280" s="24">
        <f t="shared" si="20"/>
        <v>8.3333333333333321</v>
      </c>
      <c r="AS280" s="24">
        <f t="shared" si="20"/>
        <v>25</v>
      </c>
      <c r="AT280" s="24">
        <f t="shared" si="20"/>
        <v>8.3333333333333321</v>
      </c>
      <c r="AU280" s="24">
        <f t="shared" si="20"/>
        <v>0</v>
      </c>
      <c r="AV280" s="24">
        <f t="shared" si="20"/>
        <v>50</v>
      </c>
      <c r="AW280" s="24">
        <f t="shared" si="20"/>
        <v>8.3333333333333321</v>
      </c>
      <c r="AX280" s="24">
        <f t="shared" si="20"/>
        <v>58.333333333333336</v>
      </c>
      <c r="AY280" s="24">
        <f t="shared" si="20"/>
        <v>16.666666666666664</v>
      </c>
      <c r="AZ280" s="24">
        <f t="shared" si="20"/>
        <v>25</v>
      </c>
      <c r="BA280" s="24">
        <f t="shared" si="20"/>
        <v>16.666666666666664</v>
      </c>
      <c r="BB280" s="24">
        <f t="shared" si="20"/>
        <v>41.666666666666671</v>
      </c>
      <c r="BC280" s="24">
        <f t="shared" si="20"/>
        <v>58.333333333333336</v>
      </c>
      <c r="BD280" s="24">
        <f t="shared" si="20"/>
        <v>75</v>
      </c>
      <c r="BE280" s="24">
        <f t="shared" si="20"/>
        <v>0</v>
      </c>
      <c r="BF280" s="24">
        <f t="shared" si="20"/>
        <v>41.666666666666671</v>
      </c>
      <c r="BG280" s="24">
        <f t="shared" si="20"/>
        <v>75</v>
      </c>
      <c r="BH280" s="24">
        <f t="shared" si="20"/>
        <v>75</v>
      </c>
      <c r="BI280" s="24">
        <f t="shared" si="20"/>
        <v>50</v>
      </c>
      <c r="BJ280" s="24">
        <f t="shared" si="20"/>
        <v>33.333333333333329</v>
      </c>
      <c r="BK280" s="24">
        <f t="shared" si="20"/>
        <v>33.333333333333329</v>
      </c>
      <c r="BL280" s="24">
        <f t="shared" si="20"/>
        <v>41.666666666666671</v>
      </c>
      <c r="BM280" s="24">
        <f t="shared" si="20"/>
        <v>25</v>
      </c>
      <c r="BN280" s="24">
        <f t="shared" si="20"/>
        <v>16.666666666666664</v>
      </c>
      <c r="BO280" s="24">
        <f t="shared" ref="BO280:CK280" si="21">(BO$312/12)*100</f>
        <v>25</v>
      </c>
      <c r="BP280" s="24">
        <f t="shared" si="21"/>
        <v>58.333333333333336</v>
      </c>
      <c r="BQ280" s="24">
        <f t="shared" si="21"/>
        <v>25</v>
      </c>
      <c r="BR280" s="24">
        <f t="shared" si="21"/>
        <v>16.666666666666664</v>
      </c>
      <c r="BS280" s="24">
        <f t="shared" si="21"/>
        <v>16.666666666666664</v>
      </c>
      <c r="BT280" s="24">
        <f t="shared" si="21"/>
        <v>8.3333333333333321</v>
      </c>
      <c r="BU280" s="24">
        <f t="shared" si="21"/>
        <v>41.666666666666671</v>
      </c>
      <c r="BV280" s="24">
        <f t="shared" si="21"/>
        <v>16.666666666666664</v>
      </c>
      <c r="BW280" s="24">
        <f t="shared" si="21"/>
        <v>58.333333333333336</v>
      </c>
      <c r="BX280" s="24">
        <f t="shared" si="21"/>
        <v>16.666666666666664</v>
      </c>
      <c r="BY280" s="24">
        <f t="shared" si="21"/>
        <v>41.666666666666671</v>
      </c>
      <c r="BZ280" s="24">
        <f t="shared" si="21"/>
        <v>16.666666666666664</v>
      </c>
      <c r="CA280" s="24">
        <f t="shared" si="21"/>
        <v>33.333333333333329</v>
      </c>
      <c r="CB280" s="24">
        <f t="shared" si="21"/>
        <v>16.666666666666664</v>
      </c>
      <c r="CC280" s="24">
        <f t="shared" si="21"/>
        <v>50</v>
      </c>
      <c r="CD280" s="24">
        <f t="shared" si="21"/>
        <v>25</v>
      </c>
      <c r="CE280" s="24">
        <f t="shared" si="21"/>
        <v>16.666666666666664</v>
      </c>
      <c r="CF280" s="24">
        <f t="shared" si="21"/>
        <v>16.666666666666664</v>
      </c>
      <c r="CG280" s="24">
        <f t="shared" si="21"/>
        <v>8.3333333333333321</v>
      </c>
      <c r="CH280" s="24">
        <f t="shared" si="21"/>
        <v>25</v>
      </c>
      <c r="CI280" s="24">
        <f t="shared" si="21"/>
        <v>8.3333333333333321</v>
      </c>
      <c r="CJ280" s="24">
        <f t="shared" si="21"/>
        <v>41.666666666666671</v>
      </c>
      <c r="CK280" s="24">
        <f t="shared" si="21"/>
        <v>66.666666666666657</v>
      </c>
    </row>
    <row r="281" spans="1:89" x14ac:dyDescent="0.25">
      <c r="A281" s="27" t="s">
        <v>493</v>
      </c>
      <c r="B281" s="24">
        <f>AVERAGE(B$88:B$91,B$100:B$103)</f>
        <v>0</v>
      </c>
      <c r="C281" s="24">
        <f t="shared" ref="C281:BN281" si="22">AVERAGE(C$88:C$91,C$100:C$103)</f>
        <v>0.75</v>
      </c>
      <c r="D281" s="24">
        <f t="shared" si="22"/>
        <v>0</v>
      </c>
      <c r="E281" s="24">
        <f t="shared" si="22"/>
        <v>0.375</v>
      </c>
      <c r="F281" s="24">
        <f t="shared" si="22"/>
        <v>0</v>
      </c>
      <c r="G281" s="24">
        <f t="shared" si="22"/>
        <v>0.75</v>
      </c>
      <c r="H281" s="24">
        <f t="shared" si="22"/>
        <v>0</v>
      </c>
      <c r="I281" s="24">
        <f t="shared" si="22"/>
        <v>0.125</v>
      </c>
      <c r="J281" s="24">
        <f t="shared" si="22"/>
        <v>0.5</v>
      </c>
      <c r="K281" s="24">
        <f t="shared" si="22"/>
        <v>0.375</v>
      </c>
      <c r="L281" s="24">
        <f t="shared" si="22"/>
        <v>0.125</v>
      </c>
      <c r="M281" s="24">
        <f t="shared" si="22"/>
        <v>0.125</v>
      </c>
      <c r="N281" s="24">
        <f t="shared" si="22"/>
        <v>0.375</v>
      </c>
      <c r="O281" s="24">
        <f t="shared" si="22"/>
        <v>0.625</v>
      </c>
      <c r="P281" s="24">
        <f t="shared" si="22"/>
        <v>0.25</v>
      </c>
      <c r="Q281" s="24">
        <f t="shared" si="22"/>
        <v>0</v>
      </c>
      <c r="R281" s="24">
        <f t="shared" si="22"/>
        <v>0</v>
      </c>
      <c r="S281" s="24">
        <f t="shared" si="22"/>
        <v>0.125</v>
      </c>
      <c r="T281" s="24">
        <f t="shared" si="22"/>
        <v>0</v>
      </c>
      <c r="U281" s="24">
        <f t="shared" si="22"/>
        <v>0.625</v>
      </c>
      <c r="V281" s="24">
        <f t="shared" si="22"/>
        <v>0</v>
      </c>
      <c r="W281" s="24">
        <f t="shared" si="22"/>
        <v>0.375</v>
      </c>
      <c r="X281" s="24">
        <f t="shared" si="22"/>
        <v>0</v>
      </c>
      <c r="Y281" s="24">
        <f t="shared" si="22"/>
        <v>1</v>
      </c>
      <c r="Z281" s="24">
        <f t="shared" si="22"/>
        <v>0.25</v>
      </c>
      <c r="AA281" s="24">
        <f t="shared" si="22"/>
        <v>0</v>
      </c>
      <c r="AB281" s="24">
        <f t="shared" si="22"/>
        <v>0</v>
      </c>
      <c r="AC281" s="24">
        <f t="shared" si="22"/>
        <v>0</v>
      </c>
      <c r="AD281" s="24">
        <f t="shared" si="22"/>
        <v>0</v>
      </c>
      <c r="AE281" s="24">
        <f t="shared" si="22"/>
        <v>0</v>
      </c>
      <c r="AF281" s="24">
        <f t="shared" si="22"/>
        <v>0</v>
      </c>
      <c r="AG281" s="24">
        <f t="shared" si="22"/>
        <v>0</v>
      </c>
      <c r="AH281" s="24">
        <f t="shared" si="22"/>
        <v>0</v>
      </c>
      <c r="AI281" s="24">
        <f t="shared" si="22"/>
        <v>0.625</v>
      </c>
      <c r="AJ281" s="24">
        <f t="shared" si="22"/>
        <v>0.25</v>
      </c>
      <c r="AK281" s="24">
        <f t="shared" si="22"/>
        <v>0.375</v>
      </c>
      <c r="AL281" s="24">
        <f t="shared" si="22"/>
        <v>0.5</v>
      </c>
      <c r="AM281" s="24">
        <f t="shared" si="22"/>
        <v>0</v>
      </c>
      <c r="AN281" s="24">
        <f t="shared" si="22"/>
        <v>1.25</v>
      </c>
      <c r="AO281" s="24">
        <f t="shared" si="22"/>
        <v>0</v>
      </c>
      <c r="AP281" s="24">
        <f t="shared" si="22"/>
        <v>0</v>
      </c>
      <c r="AQ281" s="24">
        <f t="shared" si="22"/>
        <v>0.5</v>
      </c>
      <c r="AR281" s="24">
        <f t="shared" si="22"/>
        <v>0</v>
      </c>
      <c r="AS281" s="24">
        <f t="shared" si="22"/>
        <v>0</v>
      </c>
      <c r="AT281" s="24">
        <f t="shared" si="22"/>
        <v>0.375</v>
      </c>
      <c r="AU281" s="24">
        <f t="shared" si="22"/>
        <v>0</v>
      </c>
      <c r="AV281" s="24">
        <f t="shared" si="22"/>
        <v>0</v>
      </c>
      <c r="AW281" s="24">
        <f t="shared" si="22"/>
        <v>0.625</v>
      </c>
      <c r="AX281" s="24">
        <f t="shared" si="22"/>
        <v>0.375</v>
      </c>
      <c r="AY281" s="24">
        <f t="shared" si="22"/>
        <v>0.125</v>
      </c>
      <c r="AZ281" s="24">
        <f t="shared" si="22"/>
        <v>0.125</v>
      </c>
      <c r="BA281" s="24">
        <f t="shared" si="22"/>
        <v>0</v>
      </c>
      <c r="BB281" s="24">
        <f t="shared" si="22"/>
        <v>0</v>
      </c>
      <c r="BC281" s="24">
        <f t="shared" si="22"/>
        <v>0.375</v>
      </c>
      <c r="BD281" s="24">
        <f t="shared" si="22"/>
        <v>0.125</v>
      </c>
      <c r="BE281" s="24">
        <f t="shared" si="22"/>
        <v>0</v>
      </c>
      <c r="BF281" s="24">
        <f t="shared" si="22"/>
        <v>0</v>
      </c>
      <c r="BG281" s="24">
        <f t="shared" si="22"/>
        <v>0.125</v>
      </c>
      <c r="BH281" s="24">
        <f t="shared" si="22"/>
        <v>0.5</v>
      </c>
      <c r="BI281" s="24">
        <f t="shared" si="22"/>
        <v>0.125</v>
      </c>
      <c r="BJ281" s="24">
        <f t="shared" si="22"/>
        <v>0</v>
      </c>
      <c r="BK281" s="24">
        <f t="shared" si="22"/>
        <v>0</v>
      </c>
      <c r="BL281" s="24">
        <f t="shared" si="22"/>
        <v>0</v>
      </c>
      <c r="BM281" s="24">
        <f t="shared" si="22"/>
        <v>0.125</v>
      </c>
      <c r="BN281" s="24">
        <f t="shared" si="22"/>
        <v>0.625</v>
      </c>
      <c r="BO281" s="24">
        <f t="shared" ref="BO281:CK281" si="23">AVERAGE(BO$88:BO$91,BO$100:BO$103)</f>
        <v>0.25</v>
      </c>
      <c r="BP281" s="24">
        <f t="shared" si="23"/>
        <v>0</v>
      </c>
      <c r="BQ281" s="24">
        <f t="shared" si="23"/>
        <v>0.375</v>
      </c>
      <c r="BR281" s="24">
        <f t="shared" si="23"/>
        <v>0.125</v>
      </c>
      <c r="BS281" s="24">
        <f t="shared" si="23"/>
        <v>0.125</v>
      </c>
      <c r="BT281" s="24">
        <f t="shared" si="23"/>
        <v>0</v>
      </c>
      <c r="BU281" s="24">
        <f t="shared" si="23"/>
        <v>1.25</v>
      </c>
      <c r="BV281" s="24">
        <f t="shared" si="23"/>
        <v>0</v>
      </c>
      <c r="BW281" s="24">
        <f t="shared" si="23"/>
        <v>0</v>
      </c>
      <c r="BX281" s="24">
        <f t="shared" si="23"/>
        <v>0</v>
      </c>
      <c r="BY281" s="24">
        <f t="shared" si="23"/>
        <v>0.125</v>
      </c>
      <c r="BZ281" s="24">
        <f t="shared" si="23"/>
        <v>0</v>
      </c>
      <c r="CA281" s="24">
        <f t="shared" si="23"/>
        <v>0.125</v>
      </c>
      <c r="CB281" s="24">
        <f t="shared" si="23"/>
        <v>0</v>
      </c>
      <c r="CC281" s="24">
        <f t="shared" si="23"/>
        <v>1.25</v>
      </c>
      <c r="CD281" s="24">
        <f t="shared" si="23"/>
        <v>0.125</v>
      </c>
      <c r="CE281" s="24">
        <f t="shared" si="23"/>
        <v>0.5</v>
      </c>
      <c r="CF281" s="24">
        <f t="shared" si="23"/>
        <v>0.25</v>
      </c>
      <c r="CG281" s="24">
        <f t="shared" si="23"/>
        <v>0.125</v>
      </c>
      <c r="CH281" s="24">
        <f t="shared" si="23"/>
        <v>0.625</v>
      </c>
      <c r="CI281" s="24">
        <f t="shared" si="23"/>
        <v>0.125</v>
      </c>
      <c r="CJ281" s="24">
        <f t="shared" si="23"/>
        <v>0.125</v>
      </c>
      <c r="CK281" s="24">
        <f t="shared" si="23"/>
        <v>0.125</v>
      </c>
    </row>
    <row r="282" spans="1:89" x14ac:dyDescent="0.25">
      <c r="A282" s="27" t="s">
        <v>494</v>
      </c>
      <c r="B282" s="24">
        <f>AVERAGE(B$92:B$95,B$104:B$107)</f>
        <v>0.375</v>
      </c>
      <c r="C282" s="24">
        <f t="shared" ref="C282:BN282" si="24">AVERAGE(C$92:C$95,C$104:C$107)</f>
        <v>0</v>
      </c>
      <c r="D282" s="24">
        <f t="shared" si="24"/>
        <v>0</v>
      </c>
      <c r="E282" s="24">
        <f t="shared" si="24"/>
        <v>1</v>
      </c>
      <c r="F282" s="24">
        <f t="shared" si="24"/>
        <v>0</v>
      </c>
      <c r="G282" s="24">
        <f t="shared" si="24"/>
        <v>0</v>
      </c>
      <c r="H282" s="24">
        <f t="shared" si="24"/>
        <v>0</v>
      </c>
      <c r="I282" s="24">
        <f t="shared" si="24"/>
        <v>0</v>
      </c>
      <c r="J282" s="24">
        <f t="shared" si="24"/>
        <v>0.125</v>
      </c>
      <c r="K282" s="24">
        <f t="shared" si="24"/>
        <v>0.125</v>
      </c>
      <c r="L282" s="24">
        <f t="shared" si="24"/>
        <v>0.25</v>
      </c>
      <c r="M282" s="24">
        <f t="shared" si="24"/>
        <v>0.125</v>
      </c>
      <c r="N282" s="24">
        <f t="shared" si="24"/>
        <v>0.125</v>
      </c>
      <c r="O282" s="24">
        <f t="shared" si="24"/>
        <v>0.125</v>
      </c>
      <c r="P282" s="24">
        <f t="shared" si="24"/>
        <v>0.375</v>
      </c>
      <c r="Q282" s="24">
        <f t="shared" si="24"/>
        <v>0.25</v>
      </c>
      <c r="R282" s="24">
        <f t="shared" si="24"/>
        <v>0</v>
      </c>
      <c r="S282" s="24">
        <f t="shared" si="24"/>
        <v>0.125</v>
      </c>
      <c r="T282" s="24">
        <f t="shared" si="24"/>
        <v>0</v>
      </c>
      <c r="U282" s="24">
        <f t="shared" si="24"/>
        <v>0.75</v>
      </c>
      <c r="V282" s="24">
        <f t="shared" si="24"/>
        <v>0</v>
      </c>
      <c r="W282" s="24">
        <f t="shared" si="24"/>
        <v>0.375</v>
      </c>
      <c r="X282" s="24">
        <f t="shared" si="24"/>
        <v>0</v>
      </c>
      <c r="Y282" s="24">
        <f t="shared" si="24"/>
        <v>0.5</v>
      </c>
      <c r="Z282" s="24">
        <f t="shared" si="24"/>
        <v>0.25</v>
      </c>
      <c r="AA282" s="24">
        <f t="shared" si="24"/>
        <v>0</v>
      </c>
      <c r="AB282" s="24">
        <f t="shared" si="24"/>
        <v>0.125</v>
      </c>
      <c r="AC282" s="24">
        <f t="shared" si="24"/>
        <v>0</v>
      </c>
      <c r="AD282" s="24">
        <f t="shared" si="24"/>
        <v>0.25</v>
      </c>
      <c r="AE282" s="24">
        <f t="shared" si="24"/>
        <v>0</v>
      </c>
      <c r="AF282" s="24">
        <f t="shared" si="24"/>
        <v>0.125</v>
      </c>
      <c r="AG282" s="24">
        <f t="shared" si="24"/>
        <v>0.625</v>
      </c>
      <c r="AH282" s="24">
        <f t="shared" si="24"/>
        <v>0.375</v>
      </c>
      <c r="AI282" s="24">
        <f t="shared" si="24"/>
        <v>0</v>
      </c>
      <c r="AJ282" s="24">
        <f t="shared" si="24"/>
        <v>0.5</v>
      </c>
      <c r="AK282" s="24">
        <f t="shared" si="24"/>
        <v>0</v>
      </c>
      <c r="AL282" s="24">
        <f t="shared" si="24"/>
        <v>0.25</v>
      </c>
      <c r="AM282" s="24">
        <f t="shared" si="24"/>
        <v>0</v>
      </c>
      <c r="AN282" s="24">
        <f t="shared" si="24"/>
        <v>0</v>
      </c>
      <c r="AO282" s="24">
        <f t="shared" si="24"/>
        <v>0.25</v>
      </c>
      <c r="AP282" s="24">
        <f t="shared" si="24"/>
        <v>0.375</v>
      </c>
      <c r="AQ282" s="24">
        <f t="shared" si="24"/>
        <v>0.625</v>
      </c>
      <c r="AR282" s="24">
        <f t="shared" si="24"/>
        <v>0</v>
      </c>
      <c r="AS282" s="24">
        <f t="shared" si="24"/>
        <v>0</v>
      </c>
      <c r="AT282" s="24">
        <f t="shared" si="24"/>
        <v>0.625</v>
      </c>
      <c r="AU282" s="24">
        <f t="shared" si="24"/>
        <v>0</v>
      </c>
      <c r="AV282" s="24">
        <f t="shared" si="24"/>
        <v>0.25</v>
      </c>
      <c r="AW282" s="24">
        <f t="shared" si="24"/>
        <v>0.25</v>
      </c>
      <c r="AX282" s="24">
        <f t="shared" si="24"/>
        <v>0.125</v>
      </c>
      <c r="AY282" s="24">
        <f t="shared" si="24"/>
        <v>0</v>
      </c>
      <c r="AZ282" s="24">
        <f t="shared" si="24"/>
        <v>0.25</v>
      </c>
      <c r="BA282" s="24">
        <f t="shared" si="24"/>
        <v>0</v>
      </c>
      <c r="BB282" s="24">
        <f t="shared" si="24"/>
        <v>0</v>
      </c>
      <c r="BC282" s="24">
        <f t="shared" si="24"/>
        <v>0.625</v>
      </c>
      <c r="BD282" s="24">
        <f t="shared" si="24"/>
        <v>0.25</v>
      </c>
      <c r="BE282" s="24">
        <f t="shared" si="24"/>
        <v>0</v>
      </c>
      <c r="BF282" s="24">
        <f t="shared" si="24"/>
        <v>0</v>
      </c>
      <c r="BG282" s="24">
        <f t="shared" si="24"/>
        <v>0</v>
      </c>
      <c r="BH282" s="24">
        <f t="shared" si="24"/>
        <v>0.75</v>
      </c>
      <c r="BI282" s="24">
        <f t="shared" si="24"/>
        <v>0.25</v>
      </c>
      <c r="BJ282" s="24">
        <f t="shared" si="24"/>
        <v>0</v>
      </c>
      <c r="BK282" s="24">
        <f t="shared" si="24"/>
        <v>0</v>
      </c>
      <c r="BL282" s="24">
        <f t="shared" si="24"/>
        <v>0.125</v>
      </c>
      <c r="BM282" s="24">
        <f t="shared" si="24"/>
        <v>0</v>
      </c>
      <c r="BN282" s="24">
        <f t="shared" si="24"/>
        <v>0.75</v>
      </c>
      <c r="BO282" s="24">
        <f t="shared" ref="BO282:CK282" si="25">AVERAGE(BO$92:BO$95,BO$104:BO$107)</f>
        <v>0</v>
      </c>
      <c r="BP282" s="24">
        <f t="shared" si="25"/>
        <v>0</v>
      </c>
      <c r="BQ282" s="24">
        <f t="shared" si="25"/>
        <v>0.75</v>
      </c>
      <c r="BR282" s="24">
        <f t="shared" si="25"/>
        <v>0</v>
      </c>
      <c r="BS282" s="24">
        <f t="shared" si="25"/>
        <v>1.125</v>
      </c>
      <c r="BT282" s="24">
        <f t="shared" si="25"/>
        <v>0</v>
      </c>
      <c r="BU282" s="24">
        <f t="shared" si="25"/>
        <v>0.75</v>
      </c>
      <c r="BV282" s="24">
        <f t="shared" si="25"/>
        <v>0</v>
      </c>
      <c r="BW282" s="24">
        <f t="shared" si="25"/>
        <v>0</v>
      </c>
      <c r="BX282" s="24">
        <f t="shared" si="25"/>
        <v>0</v>
      </c>
      <c r="BY282" s="24">
        <f t="shared" si="25"/>
        <v>0.75</v>
      </c>
      <c r="BZ282" s="24">
        <f t="shared" si="25"/>
        <v>0.25</v>
      </c>
      <c r="CA282" s="24">
        <f t="shared" si="25"/>
        <v>0</v>
      </c>
      <c r="CB282" s="24">
        <f t="shared" si="25"/>
        <v>0</v>
      </c>
      <c r="CC282" s="24">
        <f t="shared" si="25"/>
        <v>0.375</v>
      </c>
      <c r="CD282" s="24">
        <f t="shared" si="25"/>
        <v>0.125</v>
      </c>
      <c r="CE282" s="24">
        <f t="shared" si="25"/>
        <v>0.625</v>
      </c>
      <c r="CF282" s="24">
        <f t="shared" si="25"/>
        <v>0.25</v>
      </c>
      <c r="CG282" s="24">
        <f t="shared" si="25"/>
        <v>0</v>
      </c>
      <c r="CH282" s="24">
        <f t="shared" si="25"/>
        <v>0.625</v>
      </c>
      <c r="CI282" s="24">
        <f t="shared" si="25"/>
        <v>0.125</v>
      </c>
      <c r="CJ282" s="24">
        <f t="shared" si="25"/>
        <v>0</v>
      </c>
      <c r="CK282" s="24">
        <f t="shared" si="25"/>
        <v>0.25</v>
      </c>
    </row>
    <row r="283" spans="1:89" x14ac:dyDescent="0.25">
      <c r="A283" s="27" t="s">
        <v>495</v>
      </c>
      <c r="B283" s="24">
        <f>AVERAGE(B$96:B$99,B$108:B$111)</f>
        <v>0</v>
      </c>
      <c r="C283" s="24">
        <f t="shared" ref="C283:BN283" si="26">AVERAGE(C$96:C$99,C$108:C$111)</f>
        <v>0.25</v>
      </c>
      <c r="D283" s="24">
        <f t="shared" si="26"/>
        <v>0</v>
      </c>
      <c r="E283" s="24">
        <f t="shared" si="26"/>
        <v>0.5</v>
      </c>
      <c r="F283" s="24">
        <f t="shared" si="26"/>
        <v>0</v>
      </c>
      <c r="G283" s="24">
        <f t="shared" si="26"/>
        <v>0</v>
      </c>
      <c r="H283" s="24">
        <f t="shared" si="26"/>
        <v>0</v>
      </c>
      <c r="I283" s="24">
        <f t="shared" si="26"/>
        <v>0</v>
      </c>
      <c r="J283" s="24">
        <f t="shared" si="26"/>
        <v>0</v>
      </c>
      <c r="K283" s="24">
        <f t="shared" si="26"/>
        <v>0</v>
      </c>
      <c r="L283" s="24">
        <f t="shared" si="26"/>
        <v>0.125</v>
      </c>
      <c r="M283" s="24">
        <f t="shared" si="26"/>
        <v>1</v>
      </c>
      <c r="N283" s="24">
        <f t="shared" si="26"/>
        <v>0</v>
      </c>
      <c r="O283" s="24">
        <f t="shared" si="26"/>
        <v>0.375</v>
      </c>
      <c r="P283" s="24">
        <f t="shared" si="26"/>
        <v>0.125</v>
      </c>
      <c r="Q283" s="24">
        <f t="shared" si="26"/>
        <v>0</v>
      </c>
      <c r="R283" s="24">
        <f t="shared" si="26"/>
        <v>0</v>
      </c>
      <c r="S283" s="24">
        <f t="shared" si="26"/>
        <v>0</v>
      </c>
      <c r="T283" s="24">
        <f t="shared" si="26"/>
        <v>0</v>
      </c>
      <c r="U283" s="24">
        <f t="shared" si="26"/>
        <v>0.125</v>
      </c>
      <c r="V283" s="24">
        <f t="shared" si="26"/>
        <v>0.375</v>
      </c>
      <c r="W283" s="24">
        <f t="shared" si="26"/>
        <v>0.125</v>
      </c>
      <c r="X283" s="24">
        <f t="shared" si="26"/>
        <v>0.75</v>
      </c>
      <c r="Y283" s="24">
        <f t="shared" si="26"/>
        <v>0.875</v>
      </c>
      <c r="Z283" s="24">
        <f t="shared" si="26"/>
        <v>0.14285714285714285</v>
      </c>
      <c r="AA283" s="24">
        <f t="shared" si="26"/>
        <v>0</v>
      </c>
      <c r="AB283" s="24">
        <f t="shared" si="26"/>
        <v>0</v>
      </c>
      <c r="AC283" s="24">
        <f t="shared" si="26"/>
        <v>0.875</v>
      </c>
      <c r="AD283" s="24">
        <f t="shared" si="26"/>
        <v>0</v>
      </c>
      <c r="AE283" s="24">
        <f t="shared" si="26"/>
        <v>0</v>
      </c>
      <c r="AF283" s="24">
        <f t="shared" si="26"/>
        <v>0.125</v>
      </c>
      <c r="AG283" s="24">
        <f t="shared" si="26"/>
        <v>0.2857142857142857</v>
      </c>
      <c r="AH283" s="24">
        <f t="shared" si="26"/>
        <v>0.25</v>
      </c>
      <c r="AI283" s="24">
        <f t="shared" si="26"/>
        <v>0</v>
      </c>
      <c r="AJ283" s="24">
        <f t="shared" si="26"/>
        <v>1</v>
      </c>
      <c r="AK283" s="24">
        <f t="shared" si="26"/>
        <v>0.25</v>
      </c>
      <c r="AL283" s="24">
        <f t="shared" si="26"/>
        <v>0</v>
      </c>
      <c r="AM283" s="24">
        <f t="shared" si="26"/>
        <v>0</v>
      </c>
      <c r="AN283" s="24">
        <f t="shared" si="26"/>
        <v>0.75</v>
      </c>
      <c r="AO283" s="24">
        <f t="shared" si="26"/>
        <v>0</v>
      </c>
      <c r="AP283" s="24">
        <f t="shared" si="26"/>
        <v>0</v>
      </c>
      <c r="AQ283" s="24">
        <f t="shared" si="26"/>
        <v>0.5</v>
      </c>
      <c r="AR283" s="24">
        <f t="shared" si="26"/>
        <v>0.25</v>
      </c>
      <c r="AS283" s="24">
        <f t="shared" si="26"/>
        <v>0</v>
      </c>
      <c r="AT283" s="24">
        <f t="shared" si="26"/>
        <v>0.25</v>
      </c>
      <c r="AU283" s="24">
        <f t="shared" si="26"/>
        <v>0</v>
      </c>
      <c r="AV283" s="24">
        <f t="shared" si="26"/>
        <v>0.5</v>
      </c>
      <c r="AW283" s="24">
        <f t="shared" si="26"/>
        <v>1</v>
      </c>
      <c r="AX283" s="24">
        <f t="shared" si="26"/>
        <v>0</v>
      </c>
      <c r="AY283" s="24">
        <f t="shared" si="26"/>
        <v>0</v>
      </c>
      <c r="AZ283" s="24">
        <f t="shared" si="26"/>
        <v>0.25</v>
      </c>
      <c r="BA283" s="24">
        <f t="shared" si="26"/>
        <v>0</v>
      </c>
      <c r="BB283" s="24">
        <f t="shared" si="26"/>
        <v>0.125</v>
      </c>
      <c r="BC283" s="24">
        <f t="shared" si="26"/>
        <v>0.5</v>
      </c>
      <c r="BD283" s="24">
        <f t="shared" si="26"/>
        <v>0</v>
      </c>
      <c r="BE283" s="24">
        <f t="shared" si="26"/>
        <v>0</v>
      </c>
      <c r="BF283" s="24">
        <f t="shared" si="26"/>
        <v>0.25</v>
      </c>
      <c r="BG283" s="24">
        <f t="shared" si="26"/>
        <v>0</v>
      </c>
      <c r="BH283" s="24">
        <f t="shared" si="26"/>
        <v>0.875</v>
      </c>
      <c r="BI283" s="24">
        <f t="shared" si="26"/>
        <v>0.375</v>
      </c>
      <c r="BJ283" s="24">
        <f t="shared" si="26"/>
        <v>0</v>
      </c>
      <c r="BK283" s="24">
        <f t="shared" si="26"/>
        <v>0</v>
      </c>
      <c r="BL283" s="24">
        <f t="shared" si="26"/>
        <v>0</v>
      </c>
      <c r="BM283" s="24">
        <f t="shared" si="26"/>
        <v>0</v>
      </c>
      <c r="BN283" s="24">
        <f t="shared" si="26"/>
        <v>0.125</v>
      </c>
      <c r="BO283" s="24">
        <f t="shared" ref="BO283:CK283" si="27">AVERAGE(BO$96:BO$99,BO$108:BO$111)</f>
        <v>0</v>
      </c>
      <c r="BP283" s="24">
        <f t="shared" si="27"/>
        <v>0</v>
      </c>
      <c r="BQ283" s="24">
        <f t="shared" si="27"/>
        <v>0</v>
      </c>
      <c r="BR283" s="24">
        <f t="shared" si="27"/>
        <v>0</v>
      </c>
      <c r="BS283" s="24">
        <f t="shared" si="27"/>
        <v>0.75</v>
      </c>
      <c r="BT283" s="24">
        <f t="shared" si="27"/>
        <v>0.25</v>
      </c>
      <c r="BU283" s="24">
        <f t="shared" si="27"/>
        <v>0.25</v>
      </c>
      <c r="BV283" s="24">
        <f t="shared" si="27"/>
        <v>0.125</v>
      </c>
      <c r="BW283" s="24">
        <f t="shared" si="27"/>
        <v>0</v>
      </c>
      <c r="BX283" s="24">
        <f t="shared" si="27"/>
        <v>0</v>
      </c>
      <c r="BY283" s="24">
        <f t="shared" si="27"/>
        <v>0.5</v>
      </c>
      <c r="BZ283" s="24">
        <f t="shared" si="27"/>
        <v>0</v>
      </c>
      <c r="CA283" s="24">
        <f t="shared" si="27"/>
        <v>0.25</v>
      </c>
      <c r="CB283" s="24">
        <f t="shared" si="27"/>
        <v>0</v>
      </c>
      <c r="CC283" s="24">
        <f t="shared" si="27"/>
        <v>0.25</v>
      </c>
      <c r="CD283" s="24">
        <f t="shared" si="27"/>
        <v>0.125</v>
      </c>
      <c r="CE283" s="24">
        <f t="shared" si="27"/>
        <v>0.75</v>
      </c>
      <c r="CF283" s="24">
        <f t="shared" si="27"/>
        <v>0.25</v>
      </c>
      <c r="CG283" s="24">
        <f t="shared" si="27"/>
        <v>0.25</v>
      </c>
      <c r="CH283" s="24">
        <f t="shared" si="27"/>
        <v>0.75</v>
      </c>
      <c r="CI283" s="24">
        <f t="shared" si="27"/>
        <v>0</v>
      </c>
      <c r="CJ283" s="24">
        <f t="shared" si="27"/>
        <v>0.375</v>
      </c>
      <c r="CK283" s="24">
        <f t="shared" si="27"/>
        <v>0</v>
      </c>
    </row>
    <row r="284" spans="1:89" x14ac:dyDescent="0.25">
      <c r="A284" s="27" t="s">
        <v>496</v>
      </c>
      <c r="B284" s="24">
        <f>AVERAGE(B$88:B$111)</f>
        <v>0.13043478260869565</v>
      </c>
      <c r="C284" s="24">
        <f t="shared" ref="C284:BN284" si="28">AVERAGE(C$88:C$111)</f>
        <v>0.33333333333333331</v>
      </c>
      <c r="D284" s="24">
        <f t="shared" si="28"/>
        <v>0</v>
      </c>
      <c r="E284" s="24">
        <f t="shared" si="28"/>
        <v>0.625</v>
      </c>
      <c r="F284" s="24">
        <f t="shared" si="28"/>
        <v>0</v>
      </c>
      <c r="G284" s="24">
        <f t="shared" si="28"/>
        <v>0.25</v>
      </c>
      <c r="H284" s="24">
        <f t="shared" si="28"/>
        <v>0</v>
      </c>
      <c r="I284" s="24">
        <f t="shared" si="28"/>
        <v>4.1666666666666664E-2</v>
      </c>
      <c r="J284" s="24">
        <f t="shared" si="28"/>
        <v>0.20833333333333334</v>
      </c>
      <c r="K284" s="24">
        <f t="shared" si="28"/>
        <v>0.16666666666666666</v>
      </c>
      <c r="L284" s="24">
        <f t="shared" si="28"/>
        <v>0.16666666666666666</v>
      </c>
      <c r="M284" s="24">
        <f t="shared" si="28"/>
        <v>0.41666666666666669</v>
      </c>
      <c r="N284" s="24">
        <f t="shared" si="28"/>
        <v>0.16666666666666666</v>
      </c>
      <c r="O284" s="24">
        <f t="shared" si="28"/>
        <v>0.375</v>
      </c>
      <c r="P284" s="24">
        <f t="shared" si="28"/>
        <v>0.25</v>
      </c>
      <c r="Q284" s="24">
        <f t="shared" si="28"/>
        <v>8.3333333333333329E-2</v>
      </c>
      <c r="R284" s="24">
        <f t="shared" si="28"/>
        <v>0</v>
      </c>
      <c r="S284" s="24">
        <f t="shared" si="28"/>
        <v>8.3333333333333329E-2</v>
      </c>
      <c r="T284" s="24">
        <f t="shared" si="28"/>
        <v>0</v>
      </c>
      <c r="U284" s="24">
        <f t="shared" si="28"/>
        <v>0.5</v>
      </c>
      <c r="V284" s="24">
        <f t="shared" si="28"/>
        <v>0.125</v>
      </c>
      <c r="W284" s="24">
        <f t="shared" si="28"/>
        <v>0.29166666666666669</v>
      </c>
      <c r="X284" s="24">
        <f t="shared" si="28"/>
        <v>0.25</v>
      </c>
      <c r="Y284" s="24">
        <f t="shared" si="28"/>
        <v>0.79166666666666663</v>
      </c>
      <c r="Z284" s="24">
        <f t="shared" si="28"/>
        <v>0.21739130434782608</v>
      </c>
      <c r="AA284" s="24">
        <f t="shared" si="28"/>
        <v>0</v>
      </c>
      <c r="AB284" s="24">
        <f t="shared" si="28"/>
        <v>4.1666666666666664E-2</v>
      </c>
      <c r="AC284" s="24">
        <f t="shared" si="28"/>
        <v>0.29166666666666669</v>
      </c>
      <c r="AD284" s="24">
        <f t="shared" si="28"/>
        <v>8.3333333333333329E-2</v>
      </c>
      <c r="AE284" s="24">
        <f t="shared" si="28"/>
        <v>0</v>
      </c>
      <c r="AF284" s="24">
        <f t="shared" si="28"/>
        <v>8.3333333333333329E-2</v>
      </c>
      <c r="AG284" s="24">
        <f t="shared" si="28"/>
        <v>0.31818181818181818</v>
      </c>
      <c r="AH284" s="24">
        <f t="shared" si="28"/>
        <v>0.20833333333333334</v>
      </c>
      <c r="AI284" s="24">
        <f t="shared" si="28"/>
        <v>0.20833333333333334</v>
      </c>
      <c r="AJ284" s="24">
        <f t="shared" si="28"/>
        <v>0.58333333333333337</v>
      </c>
      <c r="AK284" s="24">
        <f t="shared" si="28"/>
        <v>0.20833333333333334</v>
      </c>
      <c r="AL284" s="24">
        <f t="shared" si="28"/>
        <v>0.25</v>
      </c>
      <c r="AM284" s="24">
        <f t="shared" si="28"/>
        <v>0</v>
      </c>
      <c r="AN284" s="24">
        <f t="shared" si="28"/>
        <v>0.66666666666666663</v>
      </c>
      <c r="AO284" s="24">
        <f t="shared" si="28"/>
        <v>8.3333333333333329E-2</v>
      </c>
      <c r="AP284" s="24">
        <f t="shared" si="28"/>
        <v>0.125</v>
      </c>
      <c r="AQ284" s="24">
        <f t="shared" si="28"/>
        <v>0.54166666666666663</v>
      </c>
      <c r="AR284" s="24">
        <f t="shared" si="28"/>
        <v>8.3333333333333329E-2</v>
      </c>
      <c r="AS284" s="24">
        <f t="shared" si="28"/>
        <v>0</v>
      </c>
      <c r="AT284" s="24">
        <f t="shared" si="28"/>
        <v>0.41666666666666669</v>
      </c>
      <c r="AU284" s="24">
        <f t="shared" si="28"/>
        <v>0</v>
      </c>
      <c r="AV284" s="24">
        <f t="shared" si="28"/>
        <v>0.25</v>
      </c>
      <c r="AW284" s="24">
        <f t="shared" si="28"/>
        <v>0.625</v>
      </c>
      <c r="AX284" s="24">
        <f t="shared" si="28"/>
        <v>0.16666666666666666</v>
      </c>
      <c r="AY284" s="24">
        <f t="shared" si="28"/>
        <v>4.1666666666666664E-2</v>
      </c>
      <c r="AZ284" s="24">
        <f t="shared" si="28"/>
        <v>0.20833333333333334</v>
      </c>
      <c r="BA284" s="24">
        <f t="shared" si="28"/>
        <v>0</v>
      </c>
      <c r="BB284" s="24">
        <f t="shared" si="28"/>
        <v>4.1666666666666664E-2</v>
      </c>
      <c r="BC284" s="24">
        <f t="shared" si="28"/>
        <v>0.5</v>
      </c>
      <c r="BD284" s="24">
        <f t="shared" si="28"/>
        <v>0.125</v>
      </c>
      <c r="BE284" s="24">
        <f t="shared" si="28"/>
        <v>0</v>
      </c>
      <c r="BF284" s="24">
        <f t="shared" si="28"/>
        <v>8.3333333333333329E-2</v>
      </c>
      <c r="BG284" s="24">
        <f t="shared" si="28"/>
        <v>4.1666666666666664E-2</v>
      </c>
      <c r="BH284" s="24">
        <f t="shared" si="28"/>
        <v>0.70833333333333337</v>
      </c>
      <c r="BI284" s="24">
        <f t="shared" si="28"/>
        <v>0.25</v>
      </c>
      <c r="BJ284" s="24">
        <f t="shared" si="28"/>
        <v>0</v>
      </c>
      <c r="BK284" s="24">
        <f t="shared" si="28"/>
        <v>0</v>
      </c>
      <c r="BL284" s="24">
        <f t="shared" si="28"/>
        <v>4.1666666666666664E-2</v>
      </c>
      <c r="BM284" s="24">
        <f t="shared" si="28"/>
        <v>4.1666666666666664E-2</v>
      </c>
      <c r="BN284" s="24">
        <f t="shared" si="28"/>
        <v>0.5</v>
      </c>
      <c r="BO284" s="24">
        <f t="shared" ref="BO284:CK284" si="29">AVERAGE(BO$88:BO$111)</f>
        <v>8.3333333333333329E-2</v>
      </c>
      <c r="BP284" s="24">
        <f t="shared" si="29"/>
        <v>0</v>
      </c>
      <c r="BQ284" s="24">
        <f t="shared" si="29"/>
        <v>0.375</v>
      </c>
      <c r="BR284" s="24">
        <f t="shared" si="29"/>
        <v>4.1666666666666664E-2</v>
      </c>
      <c r="BS284" s="24">
        <f t="shared" si="29"/>
        <v>0.66666666666666663</v>
      </c>
      <c r="BT284" s="24">
        <f t="shared" si="29"/>
        <v>8.3333333333333329E-2</v>
      </c>
      <c r="BU284" s="24">
        <f t="shared" si="29"/>
        <v>0.75</v>
      </c>
      <c r="BV284" s="24">
        <f t="shared" si="29"/>
        <v>4.1666666666666664E-2</v>
      </c>
      <c r="BW284" s="24">
        <f t="shared" si="29"/>
        <v>0</v>
      </c>
      <c r="BX284" s="24">
        <f t="shared" si="29"/>
        <v>0</v>
      </c>
      <c r="BY284" s="24">
        <f t="shared" si="29"/>
        <v>0.45833333333333331</v>
      </c>
      <c r="BZ284" s="24">
        <f t="shared" si="29"/>
        <v>8.3333333333333329E-2</v>
      </c>
      <c r="CA284" s="24">
        <f t="shared" si="29"/>
        <v>0.125</v>
      </c>
      <c r="CB284" s="24">
        <f t="shared" si="29"/>
        <v>0</v>
      </c>
      <c r="CC284" s="24">
        <f t="shared" si="29"/>
        <v>0.625</v>
      </c>
      <c r="CD284" s="24">
        <f t="shared" si="29"/>
        <v>0.125</v>
      </c>
      <c r="CE284" s="24">
        <f t="shared" si="29"/>
        <v>0.625</v>
      </c>
      <c r="CF284" s="24">
        <f t="shared" si="29"/>
        <v>0.25</v>
      </c>
      <c r="CG284" s="24">
        <f t="shared" si="29"/>
        <v>0.125</v>
      </c>
      <c r="CH284" s="24">
        <f t="shared" si="29"/>
        <v>0.66666666666666663</v>
      </c>
      <c r="CI284" s="24">
        <f t="shared" si="29"/>
        <v>8.3333333333333329E-2</v>
      </c>
      <c r="CJ284" s="24">
        <f t="shared" si="29"/>
        <v>0.16666666666666666</v>
      </c>
      <c r="CK284" s="24">
        <f t="shared" si="29"/>
        <v>0.125</v>
      </c>
    </row>
    <row r="285" spans="1:89" x14ac:dyDescent="0.25">
      <c r="A285" s="27" t="s">
        <v>497</v>
      </c>
      <c r="B285" s="24">
        <f>AVERAGE(B$113:B$136)</f>
        <v>0.30434782608695654</v>
      </c>
      <c r="C285" s="24">
        <f t="shared" ref="C285:BN285" si="30">AVERAGE(C$113:C$136)</f>
        <v>0.875</v>
      </c>
      <c r="D285" s="24">
        <f t="shared" si="30"/>
        <v>8.3333333333333329E-2</v>
      </c>
      <c r="E285" s="24">
        <f t="shared" si="30"/>
        <v>1.1666666666666667</v>
      </c>
      <c r="F285" s="24">
        <f t="shared" si="30"/>
        <v>8.3333333333333329E-2</v>
      </c>
      <c r="G285" s="24">
        <f t="shared" si="30"/>
        <v>0.95833333333333337</v>
      </c>
      <c r="H285" s="24">
        <f t="shared" si="30"/>
        <v>0.58333333333333337</v>
      </c>
      <c r="I285" s="24">
        <f t="shared" si="30"/>
        <v>4.1666666666666664E-2</v>
      </c>
      <c r="J285" s="24">
        <f t="shared" si="30"/>
        <v>0.45833333333333331</v>
      </c>
      <c r="K285" s="24">
        <f t="shared" si="30"/>
        <v>0.25</v>
      </c>
      <c r="L285" s="24">
        <f t="shared" si="30"/>
        <v>0.54166666666666663</v>
      </c>
      <c r="M285" s="24">
        <f t="shared" si="30"/>
        <v>0.70833333333333337</v>
      </c>
      <c r="N285" s="24">
        <f t="shared" si="30"/>
        <v>0.20833333333333334</v>
      </c>
      <c r="O285" s="24">
        <f t="shared" si="30"/>
        <v>0.29166666666666669</v>
      </c>
      <c r="P285" s="24">
        <f t="shared" si="30"/>
        <v>0.54166666666666663</v>
      </c>
      <c r="Q285" s="24">
        <f t="shared" si="30"/>
        <v>0.5</v>
      </c>
      <c r="R285" s="24">
        <f t="shared" si="30"/>
        <v>0.66666666666666663</v>
      </c>
      <c r="S285" s="24">
        <f t="shared" si="30"/>
        <v>0.41666666666666669</v>
      </c>
      <c r="T285" s="24">
        <f t="shared" si="30"/>
        <v>0.125</v>
      </c>
      <c r="U285" s="24">
        <f t="shared" si="30"/>
        <v>0.16666666666666666</v>
      </c>
      <c r="V285" s="24">
        <f t="shared" si="30"/>
        <v>0.45833333333333331</v>
      </c>
      <c r="W285" s="24">
        <f t="shared" si="30"/>
        <v>0.41666666666666669</v>
      </c>
      <c r="X285" s="24">
        <f t="shared" si="30"/>
        <v>0.625</v>
      </c>
      <c r="Y285" s="24">
        <f t="shared" si="30"/>
        <v>1.8333333333333333</v>
      </c>
      <c r="Z285" s="24">
        <f t="shared" si="30"/>
        <v>0.65217391304347827</v>
      </c>
      <c r="AA285" s="24">
        <f t="shared" si="30"/>
        <v>0.375</v>
      </c>
      <c r="AB285" s="24">
        <f t="shared" si="30"/>
        <v>0.54166666666666663</v>
      </c>
      <c r="AC285" s="24">
        <f t="shared" si="30"/>
        <v>0.625</v>
      </c>
      <c r="AD285" s="24">
        <f t="shared" si="30"/>
        <v>4.1666666666666664E-2</v>
      </c>
      <c r="AE285" s="24">
        <f t="shared" si="30"/>
        <v>0.25</v>
      </c>
      <c r="AF285" s="24">
        <f t="shared" si="30"/>
        <v>0.58333333333333337</v>
      </c>
      <c r="AG285" s="24">
        <f t="shared" si="30"/>
        <v>0.43478260869565216</v>
      </c>
      <c r="AH285" s="24">
        <f t="shared" si="30"/>
        <v>0.625</v>
      </c>
      <c r="AI285" s="24">
        <f t="shared" si="30"/>
        <v>0.70833333333333337</v>
      </c>
      <c r="AJ285" s="24">
        <f t="shared" si="30"/>
        <v>0.79166666666666663</v>
      </c>
      <c r="AK285" s="24">
        <f t="shared" si="30"/>
        <v>0.45833333333333331</v>
      </c>
      <c r="AL285" s="24">
        <f t="shared" si="30"/>
        <v>1.0833333333333333</v>
      </c>
      <c r="AM285" s="24">
        <f t="shared" si="30"/>
        <v>0.20833333333333334</v>
      </c>
      <c r="AN285" s="24">
        <f t="shared" si="30"/>
        <v>1.0833333333333333</v>
      </c>
      <c r="AO285" s="24">
        <f t="shared" si="30"/>
        <v>0.29166666666666669</v>
      </c>
      <c r="AP285" s="24">
        <f t="shared" si="30"/>
        <v>0.5</v>
      </c>
      <c r="AQ285" s="24">
        <f t="shared" si="30"/>
        <v>0.5</v>
      </c>
      <c r="AR285" s="24">
        <f t="shared" si="30"/>
        <v>0.125</v>
      </c>
      <c r="AS285" s="24">
        <f t="shared" si="30"/>
        <v>0.16666666666666666</v>
      </c>
      <c r="AT285" s="24">
        <f t="shared" si="30"/>
        <v>0.95833333333333337</v>
      </c>
      <c r="AU285" s="24">
        <f t="shared" si="30"/>
        <v>0.29166666666666669</v>
      </c>
      <c r="AV285" s="24">
        <f t="shared" si="30"/>
        <v>0.29166666666666669</v>
      </c>
      <c r="AW285" s="24">
        <f t="shared" si="30"/>
        <v>0.875</v>
      </c>
      <c r="AX285" s="24">
        <f t="shared" si="30"/>
        <v>0.25</v>
      </c>
      <c r="AY285" s="24">
        <f t="shared" si="30"/>
        <v>0.625</v>
      </c>
      <c r="AZ285" s="24">
        <f t="shared" si="30"/>
        <v>0.75</v>
      </c>
      <c r="BA285" s="24">
        <f t="shared" si="30"/>
        <v>0.20833333333333334</v>
      </c>
      <c r="BB285" s="24">
        <f t="shared" si="30"/>
        <v>0.625</v>
      </c>
      <c r="BC285" s="24">
        <f t="shared" si="30"/>
        <v>1.1666666666666667</v>
      </c>
      <c r="BD285" s="24">
        <f t="shared" si="30"/>
        <v>0.29166666666666669</v>
      </c>
      <c r="BE285" s="24">
        <f t="shared" si="30"/>
        <v>0.125</v>
      </c>
      <c r="BF285" s="24">
        <f t="shared" si="30"/>
        <v>0.33333333333333331</v>
      </c>
      <c r="BG285" s="24">
        <f t="shared" si="30"/>
        <v>0</v>
      </c>
      <c r="BH285" s="24">
        <f t="shared" si="30"/>
        <v>0.41666666666666669</v>
      </c>
      <c r="BI285" s="24">
        <f t="shared" si="30"/>
        <v>0.58333333333333337</v>
      </c>
      <c r="BJ285" s="24">
        <f t="shared" si="30"/>
        <v>8.3333333333333329E-2</v>
      </c>
      <c r="BK285" s="24">
        <f t="shared" si="30"/>
        <v>4.3478260869565216E-2</v>
      </c>
      <c r="BL285" s="24">
        <f t="shared" si="30"/>
        <v>0.45833333333333331</v>
      </c>
      <c r="BM285" s="24">
        <f t="shared" si="30"/>
        <v>0.20833333333333334</v>
      </c>
      <c r="BN285" s="24">
        <f t="shared" si="30"/>
        <v>0.95833333333333337</v>
      </c>
      <c r="BO285" s="24">
        <f t="shared" ref="BO285:CK285" si="31">AVERAGE(BO$113:BO$136)</f>
        <v>0.54166666666666663</v>
      </c>
      <c r="BP285" s="24">
        <f t="shared" si="31"/>
        <v>0.16666666666666666</v>
      </c>
      <c r="BQ285" s="24">
        <f t="shared" si="31"/>
        <v>1</v>
      </c>
      <c r="BR285" s="24">
        <f t="shared" si="31"/>
        <v>4.1666666666666664E-2</v>
      </c>
      <c r="BS285" s="24">
        <f t="shared" si="31"/>
        <v>1.3333333333333333</v>
      </c>
      <c r="BT285" s="24">
        <f t="shared" si="31"/>
        <v>8.3333333333333329E-2</v>
      </c>
      <c r="BU285" s="24">
        <f t="shared" si="31"/>
        <v>1.25</v>
      </c>
      <c r="BV285" s="24">
        <f t="shared" si="31"/>
        <v>0.20833333333333334</v>
      </c>
      <c r="BW285" s="24">
        <f t="shared" si="31"/>
        <v>4.1666666666666664E-2</v>
      </c>
      <c r="BX285" s="24">
        <f t="shared" si="31"/>
        <v>0.45833333333333331</v>
      </c>
      <c r="BY285" s="24">
        <f t="shared" si="31"/>
        <v>0.95833333333333337</v>
      </c>
      <c r="BZ285" s="24">
        <f t="shared" si="31"/>
        <v>0.33333333333333331</v>
      </c>
      <c r="CA285" s="24">
        <f t="shared" si="31"/>
        <v>0.33333333333333331</v>
      </c>
      <c r="CB285" s="24">
        <f t="shared" si="31"/>
        <v>4.1666666666666664E-2</v>
      </c>
      <c r="CC285" s="24">
        <f t="shared" si="31"/>
        <v>1</v>
      </c>
      <c r="CD285" s="24">
        <f t="shared" si="31"/>
        <v>1</v>
      </c>
      <c r="CE285" s="24">
        <f t="shared" si="31"/>
        <v>1.0833333333333333</v>
      </c>
      <c r="CF285" s="24">
        <f t="shared" si="31"/>
        <v>0.625</v>
      </c>
      <c r="CG285" s="24">
        <f t="shared" si="31"/>
        <v>0.91666666666666663</v>
      </c>
      <c r="CH285" s="24">
        <f t="shared" si="31"/>
        <v>1.0416666666666667</v>
      </c>
      <c r="CI285" s="24">
        <f t="shared" si="31"/>
        <v>8.3333333333333329E-2</v>
      </c>
      <c r="CJ285" s="24">
        <f t="shared" si="31"/>
        <v>0.95833333333333337</v>
      </c>
      <c r="CK285" s="24">
        <f t="shared" si="31"/>
        <v>0.625</v>
      </c>
    </row>
    <row r="286" spans="1:89" x14ac:dyDescent="0.25">
      <c r="A286" s="27" t="s">
        <v>85</v>
      </c>
      <c r="B286" s="24">
        <f>AVERAGE(B$138:B$141)</f>
        <v>0.5</v>
      </c>
      <c r="C286" s="24">
        <f t="shared" ref="C286:BN286" si="32">AVERAGE(C$138:C$141)</f>
        <v>1.75</v>
      </c>
      <c r="D286" s="24">
        <f t="shared" si="32"/>
        <v>3.5</v>
      </c>
      <c r="E286" s="24">
        <f t="shared" si="32"/>
        <v>0.5</v>
      </c>
      <c r="F286" s="24">
        <f t="shared" si="32"/>
        <v>1</v>
      </c>
      <c r="G286" s="24">
        <f t="shared" si="32"/>
        <v>0.25</v>
      </c>
      <c r="H286" s="24">
        <f t="shared" si="32"/>
        <v>0</v>
      </c>
      <c r="I286" s="24">
        <f t="shared" si="32"/>
        <v>0.5</v>
      </c>
      <c r="J286" s="24">
        <f t="shared" si="32"/>
        <v>0.25</v>
      </c>
      <c r="K286" s="24">
        <f t="shared" si="32"/>
        <v>1.5</v>
      </c>
      <c r="L286" s="24">
        <f t="shared" si="32"/>
        <v>0</v>
      </c>
      <c r="M286" s="24">
        <f t="shared" si="32"/>
        <v>1</v>
      </c>
      <c r="N286" s="24">
        <f t="shared" si="32"/>
        <v>0</v>
      </c>
      <c r="O286" s="24">
        <f t="shared" si="32"/>
        <v>1.25</v>
      </c>
      <c r="P286" s="24">
        <f t="shared" si="32"/>
        <v>0</v>
      </c>
      <c r="Q286" s="24">
        <f t="shared" si="32"/>
        <v>0.75</v>
      </c>
      <c r="R286" s="24">
        <f t="shared" si="32"/>
        <v>0.25</v>
      </c>
      <c r="S286" s="24">
        <f t="shared" si="32"/>
        <v>2.5</v>
      </c>
      <c r="T286" s="24">
        <f t="shared" si="32"/>
        <v>0</v>
      </c>
      <c r="U286" s="24">
        <f t="shared" si="32"/>
        <v>0</v>
      </c>
      <c r="V286" s="24">
        <f t="shared" si="32"/>
        <v>2</v>
      </c>
      <c r="W286" s="24">
        <f t="shared" si="32"/>
        <v>0</v>
      </c>
      <c r="X286" s="24">
        <f t="shared" si="32"/>
        <v>0.5</v>
      </c>
      <c r="Y286" s="24">
        <f t="shared" si="32"/>
        <v>1</v>
      </c>
      <c r="Z286" s="24">
        <f t="shared" si="32"/>
        <v>1</v>
      </c>
      <c r="AA286" s="24">
        <f t="shared" si="32"/>
        <v>0</v>
      </c>
      <c r="AB286" s="24">
        <f t="shared" si="32"/>
        <v>0</v>
      </c>
      <c r="AC286" s="24">
        <f t="shared" si="32"/>
        <v>0</v>
      </c>
      <c r="AD286" s="24">
        <f t="shared" si="32"/>
        <v>1.25</v>
      </c>
      <c r="AE286" s="24">
        <f t="shared" si="32"/>
        <v>0.25</v>
      </c>
      <c r="AF286" s="24">
        <f t="shared" si="32"/>
        <v>0.25</v>
      </c>
      <c r="AG286" s="24">
        <f t="shared" si="32"/>
        <v>0</v>
      </c>
      <c r="AH286" s="24">
        <f t="shared" si="32"/>
        <v>0</v>
      </c>
      <c r="AI286" s="24">
        <f t="shared" si="32"/>
        <v>0.25</v>
      </c>
      <c r="AJ286" s="24">
        <f t="shared" si="32"/>
        <v>0</v>
      </c>
      <c r="AK286" s="24">
        <f t="shared" si="32"/>
        <v>1.25</v>
      </c>
      <c r="AL286" s="24">
        <f t="shared" si="32"/>
        <v>0.75</v>
      </c>
      <c r="AM286" s="24">
        <f t="shared" si="32"/>
        <v>0</v>
      </c>
      <c r="AN286" s="24">
        <f t="shared" si="32"/>
        <v>0</v>
      </c>
      <c r="AO286" s="24">
        <f t="shared" si="32"/>
        <v>0.25</v>
      </c>
      <c r="AP286" s="24">
        <f t="shared" si="32"/>
        <v>0</v>
      </c>
      <c r="AQ286" s="24">
        <f t="shared" si="32"/>
        <v>0.25</v>
      </c>
      <c r="AR286" s="24">
        <f t="shared" si="32"/>
        <v>0.25</v>
      </c>
      <c r="AS286" s="24">
        <f t="shared" si="32"/>
        <v>1</v>
      </c>
      <c r="AT286" s="24">
        <f t="shared" si="32"/>
        <v>0</v>
      </c>
      <c r="AU286" s="24">
        <f t="shared" si="32"/>
        <v>0</v>
      </c>
      <c r="AV286" s="24">
        <f t="shared" si="32"/>
        <v>0.25</v>
      </c>
      <c r="AW286" s="24">
        <f t="shared" si="32"/>
        <v>0</v>
      </c>
      <c r="AX286" s="24">
        <f t="shared" si="32"/>
        <v>0</v>
      </c>
      <c r="AY286" s="24">
        <f t="shared" si="32"/>
        <v>1.5</v>
      </c>
      <c r="AZ286" s="24">
        <f t="shared" si="32"/>
        <v>0</v>
      </c>
      <c r="BA286" s="24">
        <f t="shared" si="32"/>
        <v>1</v>
      </c>
      <c r="BB286" s="24">
        <f t="shared" si="32"/>
        <v>1</v>
      </c>
      <c r="BC286" s="24">
        <f t="shared" si="32"/>
        <v>0.5</v>
      </c>
      <c r="BD286" s="24">
        <f t="shared" si="32"/>
        <v>0.25</v>
      </c>
      <c r="BE286" s="24">
        <f t="shared" si="32"/>
        <v>0</v>
      </c>
      <c r="BF286" s="24">
        <f t="shared" si="32"/>
        <v>0.5</v>
      </c>
      <c r="BG286" s="24">
        <f t="shared" si="32"/>
        <v>1</v>
      </c>
      <c r="BH286" s="24">
        <f t="shared" si="32"/>
        <v>0.5</v>
      </c>
      <c r="BI286" s="24">
        <f t="shared" si="32"/>
        <v>0.25</v>
      </c>
      <c r="BJ286" s="24">
        <f t="shared" si="32"/>
        <v>1</v>
      </c>
      <c r="BK286" s="24">
        <f t="shared" si="32"/>
        <v>0.25</v>
      </c>
      <c r="BL286" s="24">
        <f t="shared" si="32"/>
        <v>0.5</v>
      </c>
      <c r="BM286" s="24">
        <f t="shared" si="32"/>
        <v>0</v>
      </c>
      <c r="BN286" s="24">
        <f t="shared" si="32"/>
        <v>0.5</v>
      </c>
      <c r="BO286" s="24">
        <f t="shared" ref="BO286:CK286" si="33">AVERAGE(BO$138:BO$141)</f>
        <v>0.75</v>
      </c>
      <c r="BP286" s="24">
        <f t="shared" si="33"/>
        <v>0</v>
      </c>
      <c r="BQ286" s="24">
        <f t="shared" si="33"/>
        <v>0.25</v>
      </c>
      <c r="BR286" s="24">
        <f t="shared" si="33"/>
        <v>0</v>
      </c>
      <c r="BS286" s="24">
        <f t="shared" si="33"/>
        <v>0</v>
      </c>
      <c r="BT286" s="24">
        <f t="shared" si="33"/>
        <v>1.75</v>
      </c>
      <c r="BU286" s="24">
        <f t="shared" si="33"/>
        <v>0.5</v>
      </c>
      <c r="BV286" s="24">
        <f t="shared" si="33"/>
        <v>1.75</v>
      </c>
      <c r="BW286" s="24">
        <f t="shared" si="33"/>
        <v>0</v>
      </c>
      <c r="BX286" s="24">
        <f t="shared" si="33"/>
        <v>0.5</v>
      </c>
      <c r="BY286" s="24">
        <f t="shared" si="33"/>
        <v>1</v>
      </c>
      <c r="BZ286" s="24">
        <f t="shared" si="33"/>
        <v>0.5</v>
      </c>
      <c r="CA286" s="24">
        <f t="shared" si="33"/>
        <v>0</v>
      </c>
      <c r="CB286" s="24">
        <f t="shared" si="33"/>
        <v>1.25</v>
      </c>
      <c r="CC286" s="24">
        <f t="shared" si="33"/>
        <v>0.5</v>
      </c>
      <c r="CD286" s="24">
        <f t="shared" si="33"/>
        <v>0.75</v>
      </c>
      <c r="CE286" s="24">
        <f t="shared" si="33"/>
        <v>0.25</v>
      </c>
      <c r="CF286" s="24">
        <f t="shared" si="33"/>
        <v>0.25</v>
      </c>
      <c r="CG286" s="24">
        <f t="shared" si="33"/>
        <v>0.25</v>
      </c>
      <c r="CH286" s="24">
        <f t="shared" si="33"/>
        <v>0.5</v>
      </c>
      <c r="CI286" s="24">
        <f t="shared" si="33"/>
        <v>1.25</v>
      </c>
      <c r="CJ286" s="24">
        <f t="shared" si="33"/>
        <v>1.25</v>
      </c>
      <c r="CK286" s="24">
        <f t="shared" si="33"/>
        <v>0.75</v>
      </c>
    </row>
    <row r="287" spans="1:89" x14ac:dyDescent="0.25">
      <c r="A287" s="27" t="s">
        <v>86</v>
      </c>
      <c r="B287" s="24">
        <f>AVERAGE(B$142:B$145)</f>
        <v>0.5</v>
      </c>
      <c r="C287" s="24">
        <f t="shared" ref="C287:BN287" si="34">AVERAGE(C$142:C$145)</f>
        <v>0</v>
      </c>
      <c r="D287" s="24">
        <f t="shared" si="34"/>
        <v>2</v>
      </c>
      <c r="E287" s="24">
        <f t="shared" si="34"/>
        <v>0.25</v>
      </c>
      <c r="F287" s="24">
        <f t="shared" si="34"/>
        <v>2</v>
      </c>
      <c r="G287" s="24">
        <f t="shared" si="34"/>
        <v>0.5</v>
      </c>
      <c r="H287" s="24">
        <f t="shared" si="34"/>
        <v>0.5</v>
      </c>
      <c r="I287" s="24">
        <f t="shared" si="34"/>
        <v>0.25</v>
      </c>
      <c r="J287" s="24">
        <f t="shared" si="34"/>
        <v>0</v>
      </c>
      <c r="K287" s="24">
        <f t="shared" si="34"/>
        <v>1.25</v>
      </c>
      <c r="L287" s="24">
        <f t="shared" si="34"/>
        <v>0</v>
      </c>
      <c r="M287" s="24">
        <f t="shared" si="34"/>
        <v>0.75</v>
      </c>
      <c r="N287" s="24">
        <f t="shared" si="34"/>
        <v>0</v>
      </c>
      <c r="O287" s="24">
        <f t="shared" si="34"/>
        <v>1</v>
      </c>
      <c r="P287" s="24">
        <f t="shared" si="34"/>
        <v>0.25</v>
      </c>
      <c r="Q287" s="24">
        <f t="shared" si="34"/>
        <v>0</v>
      </c>
      <c r="R287" s="24">
        <f t="shared" si="34"/>
        <v>0.5</v>
      </c>
      <c r="S287" s="24">
        <f t="shared" si="34"/>
        <v>2.75</v>
      </c>
      <c r="T287" s="24">
        <f t="shared" si="34"/>
        <v>0</v>
      </c>
      <c r="U287" s="24">
        <f t="shared" si="34"/>
        <v>0.5</v>
      </c>
      <c r="V287" s="24">
        <f t="shared" si="34"/>
        <v>1.75</v>
      </c>
      <c r="W287" s="24">
        <f t="shared" si="34"/>
        <v>0</v>
      </c>
      <c r="X287" s="24">
        <f t="shared" si="34"/>
        <v>0.25</v>
      </c>
      <c r="Y287" s="24">
        <f t="shared" si="34"/>
        <v>0.5</v>
      </c>
      <c r="Z287" s="24">
        <f t="shared" si="34"/>
        <v>0.5</v>
      </c>
      <c r="AA287" s="24">
        <f t="shared" si="34"/>
        <v>0</v>
      </c>
      <c r="AB287" s="24">
        <f t="shared" si="34"/>
        <v>0</v>
      </c>
      <c r="AC287" s="24">
        <f t="shared" si="34"/>
        <v>0</v>
      </c>
      <c r="AD287" s="24">
        <f t="shared" si="34"/>
        <v>1.75</v>
      </c>
      <c r="AE287" s="24">
        <f t="shared" si="34"/>
        <v>0</v>
      </c>
      <c r="AF287" s="24">
        <f t="shared" si="34"/>
        <v>0.25</v>
      </c>
      <c r="AG287" s="24">
        <f t="shared" si="34"/>
        <v>0</v>
      </c>
      <c r="AH287" s="24">
        <f t="shared" si="34"/>
        <v>0</v>
      </c>
      <c r="AI287" s="24">
        <f t="shared" si="34"/>
        <v>0.25</v>
      </c>
      <c r="AJ287" s="24">
        <f t="shared" si="34"/>
        <v>0</v>
      </c>
      <c r="AK287" s="24">
        <f t="shared" si="34"/>
        <v>1.25</v>
      </c>
      <c r="AL287" s="24">
        <f t="shared" si="34"/>
        <v>0</v>
      </c>
      <c r="AM287" s="24">
        <f t="shared" si="34"/>
        <v>1.25</v>
      </c>
      <c r="AN287" s="24">
        <f t="shared" si="34"/>
        <v>0.25</v>
      </c>
      <c r="AO287" s="24">
        <f t="shared" si="34"/>
        <v>0.5</v>
      </c>
      <c r="AP287" s="24">
        <f t="shared" si="34"/>
        <v>0</v>
      </c>
      <c r="AQ287" s="24">
        <f t="shared" si="34"/>
        <v>0</v>
      </c>
      <c r="AR287" s="24">
        <f t="shared" si="34"/>
        <v>1.25</v>
      </c>
      <c r="AS287" s="24">
        <f t="shared" si="34"/>
        <v>1</v>
      </c>
      <c r="AT287" s="24">
        <f t="shared" si="34"/>
        <v>0.25</v>
      </c>
      <c r="AU287" s="24">
        <f t="shared" si="34"/>
        <v>0</v>
      </c>
      <c r="AV287" s="24">
        <f t="shared" si="34"/>
        <v>0</v>
      </c>
      <c r="AW287" s="24">
        <f t="shared" si="34"/>
        <v>0</v>
      </c>
      <c r="AX287" s="24">
        <f t="shared" si="34"/>
        <v>0.75</v>
      </c>
      <c r="AY287" s="24">
        <f t="shared" si="34"/>
        <v>1.25</v>
      </c>
      <c r="AZ287" s="24">
        <f t="shared" si="34"/>
        <v>0</v>
      </c>
      <c r="BA287" s="24">
        <f t="shared" si="34"/>
        <v>1.5</v>
      </c>
      <c r="BB287" s="24">
        <f t="shared" si="34"/>
        <v>0.5</v>
      </c>
      <c r="BC287" s="24">
        <f t="shared" si="34"/>
        <v>0</v>
      </c>
      <c r="BD287" s="24">
        <f t="shared" si="34"/>
        <v>0.25</v>
      </c>
      <c r="BE287" s="24">
        <f t="shared" si="34"/>
        <v>0</v>
      </c>
      <c r="BF287" s="24">
        <f t="shared" si="34"/>
        <v>1</v>
      </c>
      <c r="BG287" s="24">
        <f t="shared" si="34"/>
        <v>1</v>
      </c>
      <c r="BH287" s="24">
        <f t="shared" si="34"/>
        <v>0</v>
      </c>
      <c r="BI287" s="24">
        <f t="shared" si="34"/>
        <v>1</v>
      </c>
      <c r="BJ287" s="24">
        <f t="shared" si="34"/>
        <v>2</v>
      </c>
      <c r="BK287" s="24">
        <f t="shared" si="34"/>
        <v>0.25</v>
      </c>
      <c r="BL287" s="24">
        <f t="shared" si="34"/>
        <v>0.25</v>
      </c>
      <c r="BM287" s="24">
        <f t="shared" si="34"/>
        <v>0</v>
      </c>
      <c r="BN287" s="24">
        <f t="shared" si="34"/>
        <v>0.25</v>
      </c>
      <c r="BO287" s="24">
        <f t="shared" ref="BO287:CK287" si="35">AVERAGE(BO$142:BO$145)</f>
        <v>0.25</v>
      </c>
      <c r="BP287" s="24">
        <f t="shared" si="35"/>
        <v>0</v>
      </c>
      <c r="BQ287" s="24">
        <f t="shared" si="35"/>
        <v>0.75</v>
      </c>
      <c r="BR287" s="24">
        <f t="shared" si="35"/>
        <v>0.25</v>
      </c>
      <c r="BS287" s="24">
        <f t="shared" si="35"/>
        <v>0</v>
      </c>
      <c r="BT287" s="24">
        <f t="shared" si="35"/>
        <v>1.75</v>
      </c>
      <c r="BU287" s="24">
        <f t="shared" si="35"/>
        <v>1.25</v>
      </c>
      <c r="BV287" s="24">
        <f t="shared" si="35"/>
        <v>1.75</v>
      </c>
      <c r="BW287" s="24">
        <f t="shared" si="35"/>
        <v>0</v>
      </c>
      <c r="BX287" s="24">
        <f t="shared" si="35"/>
        <v>0.25</v>
      </c>
      <c r="BY287" s="24">
        <f t="shared" si="35"/>
        <v>0.66666666666666663</v>
      </c>
      <c r="BZ287" s="24">
        <f t="shared" si="35"/>
        <v>0</v>
      </c>
      <c r="CA287" s="24">
        <f t="shared" si="35"/>
        <v>0.75</v>
      </c>
      <c r="CB287" s="24">
        <f t="shared" si="35"/>
        <v>1.5</v>
      </c>
      <c r="CC287" s="24">
        <f t="shared" si="35"/>
        <v>1.5</v>
      </c>
      <c r="CD287" s="24">
        <f t="shared" si="35"/>
        <v>1</v>
      </c>
      <c r="CE287" s="24">
        <f t="shared" si="35"/>
        <v>0</v>
      </c>
      <c r="CF287" s="24">
        <f t="shared" si="35"/>
        <v>0.5</v>
      </c>
      <c r="CG287" s="24">
        <f t="shared" si="35"/>
        <v>0.25</v>
      </c>
      <c r="CH287" s="24">
        <f t="shared" si="35"/>
        <v>0.25</v>
      </c>
      <c r="CI287" s="24">
        <f t="shared" si="35"/>
        <v>2.5</v>
      </c>
      <c r="CJ287" s="24">
        <f t="shared" si="35"/>
        <v>0.5</v>
      </c>
      <c r="CK287" s="24">
        <f t="shared" si="35"/>
        <v>0.25</v>
      </c>
    </row>
    <row r="288" spans="1:89" x14ac:dyDescent="0.25">
      <c r="A288" s="27" t="s">
        <v>87</v>
      </c>
      <c r="B288" s="24">
        <f>AVERAGE(B$146:B$149)</f>
        <v>0.33333333333333331</v>
      </c>
      <c r="C288" s="24">
        <f t="shared" ref="C288:BN288" si="36">AVERAGE(C$146:C$149)</f>
        <v>0.25</v>
      </c>
      <c r="D288" s="24">
        <f t="shared" si="36"/>
        <v>1.75</v>
      </c>
      <c r="E288" s="24">
        <f t="shared" si="36"/>
        <v>0</v>
      </c>
      <c r="F288" s="24">
        <f t="shared" si="36"/>
        <v>0.5</v>
      </c>
      <c r="G288" s="24">
        <f t="shared" si="36"/>
        <v>0</v>
      </c>
      <c r="H288" s="24">
        <f t="shared" si="36"/>
        <v>0.5</v>
      </c>
      <c r="I288" s="24">
        <f t="shared" si="36"/>
        <v>0.5</v>
      </c>
      <c r="J288" s="24">
        <f t="shared" si="36"/>
        <v>0</v>
      </c>
      <c r="K288" s="24">
        <f t="shared" si="36"/>
        <v>1.5</v>
      </c>
      <c r="L288" s="24">
        <f t="shared" si="36"/>
        <v>0.5</v>
      </c>
      <c r="M288" s="24">
        <f t="shared" si="36"/>
        <v>0.5</v>
      </c>
      <c r="N288" s="24">
        <f t="shared" si="36"/>
        <v>0</v>
      </c>
      <c r="O288" s="24">
        <f t="shared" si="36"/>
        <v>2</v>
      </c>
      <c r="P288" s="24">
        <f t="shared" si="36"/>
        <v>1</v>
      </c>
      <c r="Q288" s="24">
        <f t="shared" si="36"/>
        <v>0.25</v>
      </c>
      <c r="R288" s="24">
        <f t="shared" si="36"/>
        <v>1</v>
      </c>
      <c r="S288" s="24">
        <f t="shared" si="36"/>
        <v>1</v>
      </c>
      <c r="T288" s="24">
        <f t="shared" si="36"/>
        <v>0</v>
      </c>
      <c r="U288" s="24">
        <f t="shared" si="36"/>
        <v>0.25</v>
      </c>
      <c r="V288" s="24">
        <f t="shared" si="36"/>
        <v>1.5</v>
      </c>
      <c r="W288" s="24">
        <f t="shared" si="36"/>
        <v>0</v>
      </c>
      <c r="X288" s="24">
        <f t="shared" si="36"/>
        <v>0.25</v>
      </c>
      <c r="Y288" s="24">
        <f t="shared" si="36"/>
        <v>0.25</v>
      </c>
      <c r="Z288" s="24">
        <f t="shared" si="36"/>
        <v>0.75</v>
      </c>
      <c r="AA288" s="24">
        <f t="shared" si="36"/>
        <v>0</v>
      </c>
      <c r="AB288" s="24">
        <f t="shared" si="36"/>
        <v>0.5</v>
      </c>
      <c r="AC288" s="24">
        <f t="shared" si="36"/>
        <v>0</v>
      </c>
      <c r="AD288" s="24">
        <f t="shared" si="36"/>
        <v>0.25</v>
      </c>
      <c r="AE288" s="24">
        <f t="shared" si="36"/>
        <v>0</v>
      </c>
      <c r="AF288" s="24">
        <f t="shared" si="36"/>
        <v>0.5</v>
      </c>
      <c r="AG288" s="24">
        <f t="shared" si="36"/>
        <v>0</v>
      </c>
      <c r="AH288" s="24">
        <f t="shared" si="36"/>
        <v>0.75</v>
      </c>
      <c r="AI288" s="24">
        <f t="shared" si="36"/>
        <v>0</v>
      </c>
      <c r="AJ288" s="24">
        <f t="shared" si="36"/>
        <v>0</v>
      </c>
      <c r="AK288" s="24">
        <f t="shared" si="36"/>
        <v>0.75</v>
      </c>
      <c r="AL288" s="24">
        <f t="shared" si="36"/>
        <v>1.25</v>
      </c>
      <c r="AM288" s="24">
        <f t="shared" si="36"/>
        <v>1.75</v>
      </c>
      <c r="AN288" s="24">
        <f t="shared" si="36"/>
        <v>0</v>
      </c>
      <c r="AO288" s="24">
        <f t="shared" si="36"/>
        <v>1</v>
      </c>
      <c r="AP288" s="24">
        <f t="shared" si="36"/>
        <v>0</v>
      </c>
      <c r="AQ288" s="24">
        <f t="shared" si="36"/>
        <v>0</v>
      </c>
      <c r="AR288" s="24">
        <f t="shared" si="36"/>
        <v>0.25</v>
      </c>
      <c r="AS288" s="24">
        <f t="shared" si="36"/>
        <v>1</v>
      </c>
      <c r="AT288" s="24">
        <f t="shared" si="36"/>
        <v>0</v>
      </c>
      <c r="AU288" s="24">
        <f t="shared" si="36"/>
        <v>0</v>
      </c>
      <c r="AV288" s="24">
        <f t="shared" si="36"/>
        <v>0</v>
      </c>
      <c r="AW288" s="24">
        <f t="shared" si="36"/>
        <v>0.5</v>
      </c>
      <c r="AX288" s="24">
        <f t="shared" si="36"/>
        <v>0.5</v>
      </c>
      <c r="AY288" s="24">
        <f t="shared" si="36"/>
        <v>1.25</v>
      </c>
      <c r="AZ288" s="24">
        <f t="shared" si="36"/>
        <v>0</v>
      </c>
      <c r="BA288" s="24">
        <f t="shared" si="36"/>
        <v>1.25</v>
      </c>
      <c r="BB288" s="24">
        <f t="shared" si="36"/>
        <v>1</v>
      </c>
      <c r="BC288" s="24">
        <f t="shared" si="36"/>
        <v>0.75</v>
      </c>
      <c r="BD288" s="24">
        <f t="shared" si="36"/>
        <v>0</v>
      </c>
      <c r="BE288" s="24">
        <f t="shared" si="36"/>
        <v>0</v>
      </c>
      <c r="BF288" s="24">
        <f t="shared" si="36"/>
        <v>0</v>
      </c>
      <c r="BG288" s="24">
        <f t="shared" si="36"/>
        <v>0</v>
      </c>
      <c r="BH288" s="24">
        <f t="shared" si="36"/>
        <v>0</v>
      </c>
      <c r="BI288" s="24">
        <f t="shared" si="36"/>
        <v>0.5</v>
      </c>
      <c r="BJ288" s="24">
        <f t="shared" si="36"/>
        <v>1</v>
      </c>
      <c r="BK288" s="24">
        <f t="shared" si="36"/>
        <v>0</v>
      </c>
      <c r="BL288" s="24">
        <f t="shared" si="36"/>
        <v>1</v>
      </c>
      <c r="BM288" s="24">
        <f t="shared" si="36"/>
        <v>0</v>
      </c>
      <c r="BN288" s="24">
        <f t="shared" si="36"/>
        <v>0.25</v>
      </c>
      <c r="BO288" s="24">
        <f t="shared" ref="BO288:CK288" si="37">AVERAGE(BO$146:BO$149)</f>
        <v>0</v>
      </c>
      <c r="BP288" s="24">
        <f t="shared" si="37"/>
        <v>0.25</v>
      </c>
      <c r="BQ288" s="24">
        <f t="shared" si="37"/>
        <v>0</v>
      </c>
      <c r="BR288" s="24">
        <f t="shared" si="37"/>
        <v>0</v>
      </c>
      <c r="BS288" s="24">
        <f t="shared" si="37"/>
        <v>0</v>
      </c>
      <c r="BT288" s="24">
        <f t="shared" si="37"/>
        <v>1.5</v>
      </c>
      <c r="BU288" s="24">
        <f t="shared" si="37"/>
        <v>0.25</v>
      </c>
      <c r="BV288" s="24">
        <f t="shared" si="37"/>
        <v>1.75</v>
      </c>
      <c r="BW288" s="24">
        <f t="shared" si="37"/>
        <v>0.25</v>
      </c>
      <c r="BX288" s="24">
        <f t="shared" si="37"/>
        <v>0.25</v>
      </c>
      <c r="BY288" s="24">
        <f t="shared" si="37"/>
        <v>0</v>
      </c>
      <c r="BZ288" s="24">
        <f t="shared" si="37"/>
        <v>0</v>
      </c>
      <c r="CA288" s="24">
        <f t="shared" si="37"/>
        <v>1</v>
      </c>
      <c r="CB288" s="24">
        <f t="shared" si="37"/>
        <v>0.75</v>
      </c>
      <c r="CC288" s="24">
        <f t="shared" si="37"/>
        <v>0.75</v>
      </c>
      <c r="CD288" s="24">
        <f t="shared" si="37"/>
        <v>1.25</v>
      </c>
      <c r="CE288" s="24">
        <f t="shared" si="37"/>
        <v>0</v>
      </c>
      <c r="CF288" s="24">
        <f t="shared" si="37"/>
        <v>0</v>
      </c>
      <c r="CG288" s="24">
        <f t="shared" si="37"/>
        <v>0.75</v>
      </c>
      <c r="CH288" s="24">
        <f t="shared" si="37"/>
        <v>0.75</v>
      </c>
      <c r="CI288" s="24">
        <f t="shared" si="37"/>
        <v>1.75</v>
      </c>
      <c r="CJ288" s="24">
        <f t="shared" si="37"/>
        <v>1.5</v>
      </c>
      <c r="CK288" s="24">
        <f t="shared" si="37"/>
        <v>0</v>
      </c>
    </row>
    <row r="289" spans="1:89" x14ac:dyDescent="0.25">
      <c r="A289" s="27" t="s">
        <v>88</v>
      </c>
      <c r="B289" s="24">
        <f>AVERAGE(B$138:B$149)</f>
        <v>0.45454545454545453</v>
      </c>
      <c r="C289" s="24">
        <f t="shared" ref="C289:BN289" si="38">AVERAGE(C$138:C$149)</f>
        <v>0.66666666666666663</v>
      </c>
      <c r="D289" s="24">
        <f t="shared" si="38"/>
        <v>2.4166666666666665</v>
      </c>
      <c r="E289" s="24">
        <f t="shared" si="38"/>
        <v>0.25</v>
      </c>
      <c r="F289" s="24">
        <f t="shared" si="38"/>
        <v>1.1666666666666667</v>
      </c>
      <c r="G289" s="24">
        <f t="shared" si="38"/>
        <v>0.25</v>
      </c>
      <c r="H289" s="24">
        <f t="shared" si="38"/>
        <v>0.33333333333333331</v>
      </c>
      <c r="I289" s="24">
        <f t="shared" si="38"/>
        <v>0.41666666666666669</v>
      </c>
      <c r="J289" s="24">
        <f t="shared" si="38"/>
        <v>8.3333333333333329E-2</v>
      </c>
      <c r="K289" s="24">
        <f t="shared" si="38"/>
        <v>1.4166666666666667</v>
      </c>
      <c r="L289" s="24">
        <f t="shared" si="38"/>
        <v>0.16666666666666666</v>
      </c>
      <c r="M289" s="24">
        <f t="shared" si="38"/>
        <v>0.75</v>
      </c>
      <c r="N289" s="24">
        <f t="shared" si="38"/>
        <v>0</v>
      </c>
      <c r="O289" s="24">
        <f t="shared" si="38"/>
        <v>1.4166666666666667</v>
      </c>
      <c r="P289" s="24">
        <f t="shared" si="38"/>
        <v>0.41666666666666669</v>
      </c>
      <c r="Q289" s="24">
        <f t="shared" si="38"/>
        <v>0.33333333333333331</v>
      </c>
      <c r="R289" s="24">
        <f t="shared" si="38"/>
        <v>0.58333333333333337</v>
      </c>
      <c r="S289" s="24">
        <f t="shared" si="38"/>
        <v>2.0833333333333335</v>
      </c>
      <c r="T289" s="24">
        <f t="shared" si="38"/>
        <v>0</v>
      </c>
      <c r="U289" s="24">
        <f t="shared" si="38"/>
        <v>0.25</v>
      </c>
      <c r="V289" s="24">
        <f t="shared" si="38"/>
        <v>1.75</v>
      </c>
      <c r="W289" s="24">
        <f t="shared" si="38"/>
        <v>0</v>
      </c>
      <c r="X289" s="24">
        <f t="shared" si="38"/>
        <v>0.33333333333333331</v>
      </c>
      <c r="Y289" s="24">
        <f t="shared" si="38"/>
        <v>0.58333333333333337</v>
      </c>
      <c r="Z289" s="24">
        <f t="shared" si="38"/>
        <v>0.75</v>
      </c>
      <c r="AA289" s="24">
        <f t="shared" si="38"/>
        <v>0</v>
      </c>
      <c r="AB289" s="24">
        <f t="shared" si="38"/>
        <v>0.16666666666666666</v>
      </c>
      <c r="AC289" s="24">
        <f t="shared" si="38"/>
        <v>0</v>
      </c>
      <c r="AD289" s="24">
        <f t="shared" si="38"/>
        <v>1.0833333333333333</v>
      </c>
      <c r="AE289" s="24">
        <f t="shared" si="38"/>
        <v>8.3333333333333329E-2</v>
      </c>
      <c r="AF289" s="24">
        <f t="shared" si="38"/>
        <v>0.33333333333333331</v>
      </c>
      <c r="AG289" s="24">
        <f t="shared" si="38"/>
        <v>0</v>
      </c>
      <c r="AH289" s="24">
        <f t="shared" si="38"/>
        <v>0.25</v>
      </c>
      <c r="AI289" s="24">
        <f t="shared" si="38"/>
        <v>0.16666666666666666</v>
      </c>
      <c r="AJ289" s="24">
        <f t="shared" si="38"/>
        <v>0</v>
      </c>
      <c r="AK289" s="24">
        <f t="shared" si="38"/>
        <v>1.0833333333333333</v>
      </c>
      <c r="AL289" s="24">
        <f t="shared" si="38"/>
        <v>0.66666666666666663</v>
      </c>
      <c r="AM289" s="24">
        <f t="shared" si="38"/>
        <v>1</v>
      </c>
      <c r="AN289" s="24">
        <f t="shared" si="38"/>
        <v>8.3333333333333329E-2</v>
      </c>
      <c r="AO289" s="24">
        <f t="shared" si="38"/>
        <v>0.58333333333333337</v>
      </c>
      <c r="AP289" s="24">
        <f t="shared" si="38"/>
        <v>0</v>
      </c>
      <c r="AQ289" s="24">
        <f t="shared" si="38"/>
        <v>8.3333333333333329E-2</v>
      </c>
      <c r="AR289" s="24">
        <f t="shared" si="38"/>
        <v>0.58333333333333337</v>
      </c>
      <c r="AS289" s="24">
        <f t="shared" si="38"/>
        <v>1</v>
      </c>
      <c r="AT289" s="24">
        <f t="shared" si="38"/>
        <v>8.3333333333333329E-2</v>
      </c>
      <c r="AU289" s="24">
        <f t="shared" si="38"/>
        <v>0</v>
      </c>
      <c r="AV289" s="24">
        <f t="shared" si="38"/>
        <v>8.3333333333333329E-2</v>
      </c>
      <c r="AW289" s="24">
        <f t="shared" si="38"/>
        <v>0.16666666666666666</v>
      </c>
      <c r="AX289" s="24">
        <f t="shared" si="38"/>
        <v>0.41666666666666669</v>
      </c>
      <c r="AY289" s="24">
        <f t="shared" si="38"/>
        <v>1.3333333333333333</v>
      </c>
      <c r="AZ289" s="24">
        <f t="shared" si="38"/>
        <v>0</v>
      </c>
      <c r="BA289" s="24">
        <f t="shared" si="38"/>
        <v>1.25</v>
      </c>
      <c r="BB289" s="24">
        <f t="shared" si="38"/>
        <v>0.83333333333333337</v>
      </c>
      <c r="BC289" s="24">
        <f t="shared" si="38"/>
        <v>0.41666666666666669</v>
      </c>
      <c r="BD289" s="24">
        <f t="shared" si="38"/>
        <v>0.16666666666666666</v>
      </c>
      <c r="BE289" s="24">
        <f t="shared" si="38"/>
        <v>0</v>
      </c>
      <c r="BF289" s="24">
        <f t="shared" si="38"/>
        <v>0.5</v>
      </c>
      <c r="BG289" s="24">
        <f t="shared" si="38"/>
        <v>0.66666666666666663</v>
      </c>
      <c r="BH289" s="24">
        <f t="shared" si="38"/>
        <v>0.16666666666666666</v>
      </c>
      <c r="BI289" s="24">
        <f t="shared" si="38"/>
        <v>0.58333333333333337</v>
      </c>
      <c r="BJ289" s="24">
        <f t="shared" si="38"/>
        <v>1.3333333333333333</v>
      </c>
      <c r="BK289" s="24">
        <f t="shared" si="38"/>
        <v>0.18181818181818182</v>
      </c>
      <c r="BL289" s="24">
        <f t="shared" si="38"/>
        <v>0.58333333333333337</v>
      </c>
      <c r="BM289" s="24">
        <f t="shared" si="38"/>
        <v>0</v>
      </c>
      <c r="BN289" s="24">
        <f t="shared" si="38"/>
        <v>0.33333333333333331</v>
      </c>
      <c r="BO289" s="24">
        <f t="shared" ref="BO289:CK289" si="39">AVERAGE(BO$138:BO$149)</f>
        <v>0.33333333333333331</v>
      </c>
      <c r="BP289" s="24">
        <f t="shared" si="39"/>
        <v>8.3333333333333329E-2</v>
      </c>
      <c r="BQ289" s="24">
        <f t="shared" si="39"/>
        <v>0.33333333333333331</v>
      </c>
      <c r="BR289" s="24">
        <f t="shared" si="39"/>
        <v>8.3333333333333329E-2</v>
      </c>
      <c r="BS289" s="24">
        <f t="shared" si="39"/>
        <v>0</v>
      </c>
      <c r="BT289" s="24">
        <f t="shared" si="39"/>
        <v>1.6666666666666667</v>
      </c>
      <c r="BU289" s="24">
        <f t="shared" si="39"/>
        <v>0.66666666666666663</v>
      </c>
      <c r="BV289" s="24">
        <f t="shared" si="39"/>
        <v>1.75</v>
      </c>
      <c r="BW289" s="24">
        <f t="shared" si="39"/>
        <v>8.3333333333333329E-2</v>
      </c>
      <c r="BX289" s="24">
        <f t="shared" si="39"/>
        <v>0.33333333333333331</v>
      </c>
      <c r="BY289" s="24">
        <f t="shared" si="39"/>
        <v>0.54545454545454541</v>
      </c>
      <c r="BZ289" s="24">
        <f t="shared" si="39"/>
        <v>0.16666666666666666</v>
      </c>
      <c r="CA289" s="24">
        <f t="shared" si="39"/>
        <v>0.58333333333333337</v>
      </c>
      <c r="CB289" s="24">
        <f t="shared" si="39"/>
        <v>1.1666666666666667</v>
      </c>
      <c r="CC289" s="24">
        <f t="shared" si="39"/>
        <v>0.91666666666666663</v>
      </c>
      <c r="CD289" s="24">
        <f t="shared" si="39"/>
        <v>1</v>
      </c>
      <c r="CE289" s="24">
        <f t="shared" si="39"/>
        <v>8.3333333333333329E-2</v>
      </c>
      <c r="CF289" s="24">
        <f t="shared" si="39"/>
        <v>0.25</v>
      </c>
      <c r="CG289" s="24">
        <f t="shared" si="39"/>
        <v>0.41666666666666669</v>
      </c>
      <c r="CH289" s="24">
        <f t="shared" si="39"/>
        <v>0.5</v>
      </c>
      <c r="CI289" s="24">
        <f t="shared" si="39"/>
        <v>1.8333333333333333</v>
      </c>
      <c r="CJ289" s="24">
        <f t="shared" si="39"/>
        <v>1.0833333333333333</v>
      </c>
      <c r="CK289" s="24">
        <f t="shared" si="39"/>
        <v>0.33333333333333331</v>
      </c>
    </row>
    <row r="290" spans="1:89" x14ac:dyDescent="0.25">
      <c r="A290" s="27" t="s">
        <v>89</v>
      </c>
      <c r="B290" s="24">
        <f>AVERAGE(B$151:B$154)</f>
        <v>0.25</v>
      </c>
      <c r="C290" s="24">
        <f t="shared" ref="C290:BN290" si="40">AVERAGE(C$151:C$154)</f>
        <v>0</v>
      </c>
      <c r="D290" s="24">
        <f t="shared" si="40"/>
        <v>1.25</v>
      </c>
      <c r="E290" s="24">
        <f t="shared" si="40"/>
        <v>0.25</v>
      </c>
      <c r="F290" s="24">
        <f t="shared" si="40"/>
        <v>0.25</v>
      </c>
      <c r="G290" s="24">
        <f t="shared" si="40"/>
        <v>0</v>
      </c>
      <c r="H290" s="24">
        <f t="shared" si="40"/>
        <v>0.25</v>
      </c>
      <c r="I290" s="24">
        <f t="shared" si="40"/>
        <v>0</v>
      </c>
      <c r="J290" s="24">
        <f t="shared" si="40"/>
        <v>1.25</v>
      </c>
      <c r="K290" s="24">
        <f t="shared" si="40"/>
        <v>0</v>
      </c>
      <c r="L290" s="24">
        <f t="shared" si="40"/>
        <v>1</v>
      </c>
      <c r="M290" s="24">
        <f t="shared" si="40"/>
        <v>0.5</v>
      </c>
      <c r="N290" s="24">
        <f t="shared" si="40"/>
        <v>0.5</v>
      </c>
      <c r="O290" s="24">
        <f t="shared" si="40"/>
        <v>0.25</v>
      </c>
      <c r="P290" s="24">
        <f t="shared" si="40"/>
        <v>1.25</v>
      </c>
      <c r="Q290" s="24">
        <f t="shared" si="40"/>
        <v>0.5</v>
      </c>
      <c r="R290" s="24">
        <f t="shared" si="40"/>
        <v>0.25</v>
      </c>
      <c r="S290" s="24">
        <f t="shared" si="40"/>
        <v>0</v>
      </c>
      <c r="T290" s="24">
        <f t="shared" si="40"/>
        <v>0</v>
      </c>
      <c r="U290" s="24">
        <f t="shared" si="40"/>
        <v>0</v>
      </c>
      <c r="V290" s="24">
        <f t="shared" si="40"/>
        <v>0.25</v>
      </c>
      <c r="W290" s="24">
        <f t="shared" si="40"/>
        <v>0.5</v>
      </c>
      <c r="X290" s="24">
        <f t="shared" si="40"/>
        <v>0</v>
      </c>
      <c r="Y290" s="24">
        <f t="shared" si="40"/>
        <v>0.5</v>
      </c>
      <c r="Z290" s="24">
        <f t="shared" si="40"/>
        <v>1</v>
      </c>
      <c r="AA290" s="24">
        <f t="shared" si="40"/>
        <v>0.25</v>
      </c>
      <c r="AB290" s="24">
        <f t="shared" si="40"/>
        <v>0</v>
      </c>
      <c r="AC290" s="24">
        <f t="shared" si="40"/>
        <v>0.25</v>
      </c>
      <c r="AD290" s="24">
        <f t="shared" si="40"/>
        <v>0.25</v>
      </c>
      <c r="AE290" s="24">
        <f t="shared" si="40"/>
        <v>0.75</v>
      </c>
      <c r="AF290" s="24">
        <f t="shared" si="40"/>
        <v>0.25</v>
      </c>
      <c r="AG290" s="24">
        <f t="shared" si="40"/>
        <v>0</v>
      </c>
      <c r="AH290" s="24">
        <f t="shared" si="40"/>
        <v>0.5</v>
      </c>
      <c r="AI290" s="24">
        <f t="shared" si="40"/>
        <v>0</v>
      </c>
      <c r="AJ290" s="24">
        <f t="shared" si="40"/>
        <v>3.5</v>
      </c>
      <c r="AK290" s="24">
        <f t="shared" si="40"/>
        <v>0</v>
      </c>
      <c r="AL290" s="24">
        <f t="shared" si="40"/>
        <v>0.5</v>
      </c>
      <c r="AM290" s="24">
        <f t="shared" si="40"/>
        <v>0.25</v>
      </c>
      <c r="AN290" s="24">
        <f t="shared" si="40"/>
        <v>0.25</v>
      </c>
      <c r="AO290" s="24">
        <f t="shared" si="40"/>
        <v>1</v>
      </c>
      <c r="AP290" s="24">
        <f t="shared" si="40"/>
        <v>0.75</v>
      </c>
      <c r="AQ290" s="24">
        <f t="shared" si="40"/>
        <v>0.5</v>
      </c>
      <c r="AR290" s="24">
        <f t="shared" si="40"/>
        <v>0</v>
      </c>
      <c r="AS290" s="24">
        <f t="shared" si="40"/>
        <v>0.25</v>
      </c>
      <c r="AT290" s="24">
        <f t="shared" si="40"/>
        <v>0</v>
      </c>
      <c r="AU290" s="24">
        <f t="shared" si="40"/>
        <v>1.25</v>
      </c>
      <c r="AV290" s="24">
        <f t="shared" si="40"/>
        <v>0</v>
      </c>
      <c r="AW290" s="24">
        <f t="shared" si="40"/>
        <v>1.5</v>
      </c>
      <c r="AX290" s="24">
        <f t="shared" si="40"/>
        <v>1</v>
      </c>
      <c r="AY290" s="24">
        <f t="shared" si="40"/>
        <v>0</v>
      </c>
      <c r="AZ290" s="24">
        <f t="shared" si="40"/>
        <v>1</v>
      </c>
      <c r="BA290" s="24">
        <f t="shared" si="40"/>
        <v>0</v>
      </c>
      <c r="BB290" s="24">
        <f t="shared" si="40"/>
        <v>0</v>
      </c>
      <c r="BC290" s="24">
        <f t="shared" si="40"/>
        <v>0.75</v>
      </c>
      <c r="BD290" s="24">
        <f t="shared" si="40"/>
        <v>0.5</v>
      </c>
      <c r="BE290" s="24">
        <f t="shared" si="40"/>
        <v>0</v>
      </c>
      <c r="BF290" s="24">
        <f t="shared" si="40"/>
        <v>0.75</v>
      </c>
      <c r="BG290" s="24">
        <f t="shared" si="40"/>
        <v>0</v>
      </c>
      <c r="BH290" s="24">
        <f t="shared" si="40"/>
        <v>0.25</v>
      </c>
      <c r="BI290" s="24">
        <f t="shared" si="40"/>
        <v>0.25</v>
      </c>
      <c r="BJ290" s="24">
        <f t="shared" si="40"/>
        <v>0</v>
      </c>
      <c r="BK290" s="24">
        <f t="shared" si="40"/>
        <v>0</v>
      </c>
      <c r="BL290" s="24">
        <f t="shared" si="40"/>
        <v>0.25</v>
      </c>
      <c r="BM290" s="24">
        <f t="shared" si="40"/>
        <v>0</v>
      </c>
      <c r="BN290" s="24">
        <f t="shared" si="40"/>
        <v>1.5</v>
      </c>
      <c r="BO290" s="24">
        <f t="shared" ref="BO290:CK290" si="41">AVERAGE(BO$151:BO$154)</f>
        <v>0</v>
      </c>
      <c r="BP290" s="24">
        <f t="shared" si="41"/>
        <v>0</v>
      </c>
      <c r="BQ290" s="24">
        <f t="shared" si="41"/>
        <v>0.5</v>
      </c>
      <c r="BR290" s="24">
        <f t="shared" si="41"/>
        <v>0</v>
      </c>
      <c r="BS290" s="24">
        <f t="shared" si="41"/>
        <v>0</v>
      </c>
      <c r="BT290" s="24">
        <f t="shared" si="41"/>
        <v>0.25</v>
      </c>
      <c r="BU290" s="24">
        <f t="shared" si="41"/>
        <v>0</v>
      </c>
      <c r="BV290" s="24">
        <f t="shared" si="41"/>
        <v>0</v>
      </c>
      <c r="BW290" s="24">
        <f t="shared" si="41"/>
        <v>1</v>
      </c>
      <c r="BX290" s="24">
        <f t="shared" si="41"/>
        <v>0.25</v>
      </c>
      <c r="BY290" s="24">
        <f t="shared" si="41"/>
        <v>0</v>
      </c>
      <c r="BZ290" s="24">
        <f t="shared" si="41"/>
        <v>0.25</v>
      </c>
      <c r="CA290" s="24">
        <f t="shared" si="41"/>
        <v>0</v>
      </c>
      <c r="CB290" s="24">
        <f t="shared" si="41"/>
        <v>0</v>
      </c>
      <c r="CC290" s="24">
        <f t="shared" si="41"/>
        <v>0</v>
      </c>
      <c r="CD290" s="24">
        <f t="shared" si="41"/>
        <v>0.25</v>
      </c>
      <c r="CE290" s="24">
        <f t="shared" si="41"/>
        <v>1.25</v>
      </c>
      <c r="CF290" s="24">
        <f t="shared" si="41"/>
        <v>0.75</v>
      </c>
      <c r="CG290" s="24">
        <f t="shared" si="41"/>
        <v>1</v>
      </c>
      <c r="CH290" s="24">
        <f t="shared" si="41"/>
        <v>0.75</v>
      </c>
      <c r="CI290" s="24">
        <f t="shared" si="41"/>
        <v>0</v>
      </c>
      <c r="CJ290" s="24">
        <f t="shared" si="41"/>
        <v>0.5</v>
      </c>
      <c r="CK290" s="24">
        <f t="shared" si="41"/>
        <v>1</v>
      </c>
    </row>
    <row r="291" spans="1:89" x14ac:dyDescent="0.25">
      <c r="A291" s="27" t="s">
        <v>90</v>
      </c>
      <c r="B291" s="24">
        <f>AVERAGE(B$155:B$158)</f>
        <v>0.25</v>
      </c>
      <c r="C291" s="24">
        <f t="shared" ref="C291:BN291" si="42">AVERAGE(C$155:C$158)</f>
        <v>0</v>
      </c>
      <c r="D291" s="24">
        <f t="shared" si="42"/>
        <v>0</v>
      </c>
      <c r="E291" s="24">
        <f t="shared" si="42"/>
        <v>0</v>
      </c>
      <c r="F291" s="24">
        <f t="shared" si="42"/>
        <v>0.25</v>
      </c>
      <c r="G291" s="24">
        <f t="shared" si="42"/>
        <v>0</v>
      </c>
      <c r="H291" s="24">
        <f t="shared" si="42"/>
        <v>0</v>
      </c>
      <c r="I291" s="24">
        <f t="shared" si="42"/>
        <v>0</v>
      </c>
      <c r="J291" s="24">
        <f t="shared" si="42"/>
        <v>1.5</v>
      </c>
      <c r="K291" s="24">
        <f t="shared" si="42"/>
        <v>0</v>
      </c>
      <c r="L291" s="24">
        <f t="shared" si="42"/>
        <v>0</v>
      </c>
      <c r="M291" s="24">
        <f t="shared" si="42"/>
        <v>1.25</v>
      </c>
      <c r="N291" s="24">
        <f t="shared" si="42"/>
        <v>0</v>
      </c>
      <c r="O291" s="24">
        <f t="shared" si="42"/>
        <v>0</v>
      </c>
      <c r="P291" s="24">
        <f t="shared" si="42"/>
        <v>0.75</v>
      </c>
      <c r="Q291" s="24">
        <f t="shared" si="42"/>
        <v>0.75</v>
      </c>
      <c r="R291" s="24">
        <f t="shared" si="42"/>
        <v>0</v>
      </c>
      <c r="S291" s="24">
        <f t="shared" si="42"/>
        <v>0</v>
      </c>
      <c r="T291" s="24">
        <f t="shared" si="42"/>
        <v>0</v>
      </c>
      <c r="U291" s="24">
        <f t="shared" si="42"/>
        <v>0.25</v>
      </c>
      <c r="V291" s="24">
        <f t="shared" si="42"/>
        <v>0</v>
      </c>
      <c r="W291" s="24">
        <f t="shared" si="42"/>
        <v>0.25</v>
      </c>
      <c r="X291" s="24">
        <f t="shared" si="42"/>
        <v>0</v>
      </c>
      <c r="Y291" s="24">
        <f t="shared" si="42"/>
        <v>0</v>
      </c>
      <c r="Z291" s="24">
        <f t="shared" si="42"/>
        <v>0.25</v>
      </c>
      <c r="AA291" s="24">
        <f t="shared" si="42"/>
        <v>0</v>
      </c>
      <c r="AB291" s="24">
        <f t="shared" si="42"/>
        <v>0</v>
      </c>
      <c r="AC291" s="24">
        <f t="shared" si="42"/>
        <v>0.5</v>
      </c>
      <c r="AD291" s="24">
        <f t="shared" si="42"/>
        <v>0</v>
      </c>
      <c r="AE291" s="24">
        <f t="shared" si="42"/>
        <v>0.25</v>
      </c>
      <c r="AF291" s="24">
        <f t="shared" si="42"/>
        <v>0.25</v>
      </c>
      <c r="AG291" s="24">
        <f t="shared" si="42"/>
        <v>0</v>
      </c>
      <c r="AH291" s="24">
        <f t="shared" si="42"/>
        <v>0</v>
      </c>
      <c r="AI291" s="24">
        <f t="shared" si="42"/>
        <v>0</v>
      </c>
      <c r="AJ291" s="24">
        <f t="shared" si="42"/>
        <v>0.5</v>
      </c>
      <c r="AK291" s="24">
        <f t="shared" si="42"/>
        <v>0</v>
      </c>
      <c r="AL291" s="24">
        <f t="shared" si="42"/>
        <v>0</v>
      </c>
      <c r="AM291" s="24">
        <f t="shared" si="42"/>
        <v>0.25</v>
      </c>
      <c r="AN291" s="24">
        <f t="shared" si="42"/>
        <v>1</v>
      </c>
      <c r="AO291" s="24">
        <f t="shared" si="42"/>
        <v>1.25</v>
      </c>
      <c r="AP291" s="24">
        <f t="shared" si="42"/>
        <v>1</v>
      </c>
      <c r="AQ291" s="24">
        <f t="shared" si="42"/>
        <v>1.25</v>
      </c>
      <c r="AR291" s="24">
        <f t="shared" si="42"/>
        <v>0</v>
      </c>
      <c r="AS291" s="24">
        <f t="shared" si="42"/>
        <v>0</v>
      </c>
      <c r="AT291" s="24">
        <f t="shared" si="42"/>
        <v>0</v>
      </c>
      <c r="AU291" s="24">
        <f t="shared" si="42"/>
        <v>2.6666666666666665</v>
      </c>
      <c r="AV291" s="24">
        <f t="shared" si="42"/>
        <v>0</v>
      </c>
      <c r="AW291" s="24">
        <f t="shared" si="42"/>
        <v>0</v>
      </c>
      <c r="AX291" s="24">
        <f t="shared" si="42"/>
        <v>0.25</v>
      </c>
      <c r="AY291" s="24">
        <f t="shared" si="42"/>
        <v>0</v>
      </c>
      <c r="AZ291" s="24">
        <f t="shared" si="42"/>
        <v>1.75</v>
      </c>
      <c r="BA291" s="24">
        <f t="shared" si="42"/>
        <v>0</v>
      </c>
      <c r="BB291" s="24">
        <f t="shared" si="42"/>
        <v>0</v>
      </c>
      <c r="BC291" s="24">
        <f t="shared" si="42"/>
        <v>0.25</v>
      </c>
      <c r="BD291" s="24">
        <f t="shared" si="42"/>
        <v>1</v>
      </c>
      <c r="BE291" s="24">
        <f t="shared" si="42"/>
        <v>0</v>
      </c>
      <c r="BF291" s="24">
        <f t="shared" si="42"/>
        <v>1.75</v>
      </c>
      <c r="BG291" s="24">
        <f t="shared" si="42"/>
        <v>0</v>
      </c>
      <c r="BH291" s="24">
        <f t="shared" si="42"/>
        <v>1.25</v>
      </c>
      <c r="BI291" s="24">
        <f t="shared" si="42"/>
        <v>0</v>
      </c>
      <c r="BJ291" s="24">
        <f t="shared" si="42"/>
        <v>0</v>
      </c>
      <c r="BK291" s="24">
        <f t="shared" si="42"/>
        <v>0</v>
      </c>
      <c r="BL291" s="24">
        <f t="shared" si="42"/>
        <v>0.75</v>
      </c>
      <c r="BM291" s="24">
        <f t="shared" si="42"/>
        <v>0</v>
      </c>
      <c r="BN291" s="24">
        <f t="shared" si="42"/>
        <v>1</v>
      </c>
      <c r="BO291" s="24">
        <f t="shared" ref="BO291:CK291" si="43">AVERAGE(BO$155:BO$158)</f>
        <v>0.25</v>
      </c>
      <c r="BP291" s="24">
        <f t="shared" si="43"/>
        <v>0</v>
      </c>
      <c r="BQ291" s="24">
        <f t="shared" si="43"/>
        <v>0.75</v>
      </c>
      <c r="BR291" s="24">
        <f t="shared" si="43"/>
        <v>0</v>
      </c>
      <c r="BS291" s="24">
        <f t="shared" si="43"/>
        <v>0</v>
      </c>
      <c r="BT291" s="24">
        <f t="shared" si="43"/>
        <v>0</v>
      </c>
      <c r="BU291" s="24">
        <f t="shared" si="43"/>
        <v>0.25</v>
      </c>
      <c r="BV291" s="24">
        <f t="shared" si="43"/>
        <v>0</v>
      </c>
      <c r="BW291" s="24">
        <f t="shared" si="43"/>
        <v>1.5</v>
      </c>
      <c r="BX291" s="24">
        <f t="shared" si="43"/>
        <v>0.75</v>
      </c>
      <c r="BY291" s="24">
        <f t="shared" si="43"/>
        <v>0</v>
      </c>
      <c r="BZ291" s="24">
        <f t="shared" si="43"/>
        <v>0.25</v>
      </c>
      <c r="CA291" s="24">
        <f t="shared" si="43"/>
        <v>1</v>
      </c>
      <c r="CB291" s="24">
        <f t="shared" si="43"/>
        <v>0</v>
      </c>
      <c r="CC291" s="24">
        <f t="shared" si="43"/>
        <v>0.5</v>
      </c>
      <c r="CD291" s="24">
        <f t="shared" si="43"/>
        <v>0</v>
      </c>
      <c r="CE291" s="24">
        <f t="shared" si="43"/>
        <v>0.75</v>
      </c>
      <c r="CF291" s="24">
        <f t="shared" si="43"/>
        <v>0.75</v>
      </c>
      <c r="CG291" s="24">
        <f t="shared" si="43"/>
        <v>2.5</v>
      </c>
      <c r="CH291" s="24">
        <f t="shared" si="43"/>
        <v>2</v>
      </c>
      <c r="CI291" s="24">
        <f t="shared" si="43"/>
        <v>0</v>
      </c>
      <c r="CJ291" s="24">
        <f t="shared" si="43"/>
        <v>1</v>
      </c>
      <c r="CK291" s="24">
        <f t="shared" si="43"/>
        <v>3</v>
      </c>
    </row>
    <row r="292" spans="1:89" x14ac:dyDescent="0.25">
      <c r="A292" s="27" t="s">
        <v>91</v>
      </c>
      <c r="B292" s="24">
        <f>AVERAGE(B$159:B$162)</f>
        <v>0</v>
      </c>
      <c r="C292" s="24">
        <f t="shared" ref="C292:BN292" si="44">AVERAGE(C$159:C$162)</f>
        <v>0.25</v>
      </c>
      <c r="D292" s="24">
        <f t="shared" si="44"/>
        <v>0</v>
      </c>
      <c r="E292" s="24">
        <f t="shared" si="44"/>
        <v>0.75</v>
      </c>
      <c r="F292" s="24">
        <f t="shared" si="44"/>
        <v>0</v>
      </c>
      <c r="G292" s="24">
        <f t="shared" si="44"/>
        <v>0</v>
      </c>
      <c r="H292" s="24">
        <f t="shared" si="44"/>
        <v>0</v>
      </c>
      <c r="I292" s="24">
        <f t="shared" si="44"/>
        <v>0</v>
      </c>
      <c r="J292" s="24">
        <f t="shared" si="44"/>
        <v>0</v>
      </c>
      <c r="K292" s="24">
        <f t="shared" si="44"/>
        <v>0.5</v>
      </c>
      <c r="L292" s="24">
        <f t="shared" si="44"/>
        <v>0</v>
      </c>
      <c r="M292" s="24">
        <f t="shared" si="44"/>
        <v>0</v>
      </c>
      <c r="N292" s="24">
        <f t="shared" si="44"/>
        <v>0.25</v>
      </c>
      <c r="O292" s="24">
        <f t="shared" si="44"/>
        <v>0</v>
      </c>
      <c r="P292" s="24">
        <f t="shared" si="44"/>
        <v>0.5</v>
      </c>
      <c r="Q292" s="24">
        <f t="shared" si="44"/>
        <v>1.5</v>
      </c>
      <c r="R292" s="24">
        <f t="shared" si="44"/>
        <v>0</v>
      </c>
      <c r="S292" s="24">
        <f t="shared" si="44"/>
        <v>0</v>
      </c>
      <c r="T292" s="24">
        <f t="shared" si="44"/>
        <v>0</v>
      </c>
      <c r="U292" s="24">
        <f t="shared" si="44"/>
        <v>0</v>
      </c>
      <c r="V292" s="24">
        <f t="shared" si="44"/>
        <v>0</v>
      </c>
      <c r="W292" s="24">
        <f t="shared" si="44"/>
        <v>0.75</v>
      </c>
      <c r="X292" s="24">
        <f t="shared" si="44"/>
        <v>0</v>
      </c>
      <c r="Y292" s="24">
        <f t="shared" si="44"/>
        <v>0</v>
      </c>
      <c r="Z292" s="24">
        <f t="shared" si="44"/>
        <v>1</v>
      </c>
      <c r="AA292" s="24">
        <f t="shared" si="44"/>
        <v>1</v>
      </c>
      <c r="AB292" s="24">
        <f t="shared" si="44"/>
        <v>0</v>
      </c>
      <c r="AC292" s="24">
        <f t="shared" si="44"/>
        <v>0.25</v>
      </c>
      <c r="AD292" s="24">
        <f t="shared" si="44"/>
        <v>0</v>
      </c>
      <c r="AE292" s="24">
        <f t="shared" si="44"/>
        <v>0</v>
      </c>
      <c r="AF292" s="24">
        <f t="shared" si="44"/>
        <v>0.75</v>
      </c>
      <c r="AG292" s="24">
        <f t="shared" si="44"/>
        <v>0</v>
      </c>
      <c r="AH292" s="24">
        <f t="shared" si="44"/>
        <v>0</v>
      </c>
      <c r="AI292" s="24">
        <f t="shared" si="44"/>
        <v>0</v>
      </c>
      <c r="AJ292" s="24">
        <f t="shared" si="44"/>
        <v>1.25</v>
      </c>
      <c r="AK292" s="24">
        <f t="shared" si="44"/>
        <v>0</v>
      </c>
      <c r="AL292" s="24">
        <f t="shared" si="44"/>
        <v>0.5</v>
      </c>
      <c r="AM292" s="24">
        <f t="shared" si="44"/>
        <v>0.75</v>
      </c>
      <c r="AN292" s="24">
        <f t="shared" si="44"/>
        <v>1</v>
      </c>
      <c r="AO292" s="24">
        <f t="shared" si="44"/>
        <v>0</v>
      </c>
      <c r="AP292" s="24">
        <f t="shared" si="44"/>
        <v>0.25</v>
      </c>
      <c r="AQ292" s="24">
        <f t="shared" si="44"/>
        <v>0.75</v>
      </c>
      <c r="AR292" s="24">
        <f t="shared" si="44"/>
        <v>0</v>
      </c>
      <c r="AS292" s="24">
        <f t="shared" si="44"/>
        <v>0.5</v>
      </c>
      <c r="AT292" s="24">
        <f t="shared" si="44"/>
        <v>0</v>
      </c>
      <c r="AU292" s="24">
        <f t="shared" si="44"/>
        <v>2.5</v>
      </c>
      <c r="AV292" s="24">
        <f t="shared" si="44"/>
        <v>0.25</v>
      </c>
      <c r="AW292" s="24">
        <f t="shared" si="44"/>
        <v>0.25</v>
      </c>
      <c r="AX292" s="24">
        <f t="shared" si="44"/>
        <v>0.25</v>
      </c>
      <c r="AY292" s="24">
        <f t="shared" si="44"/>
        <v>0</v>
      </c>
      <c r="AZ292" s="24">
        <f t="shared" si="44"/>
        <v>0.5</v>
      </c>
      <c r="BA292" s="24">
        <f t="shared" si="44"/>
        <v>0</v>
      </c>
      <c r="BB292" s="24">
        <f t="shared" si="44"/>
        <v>0.5</v>
      </c>
      <c r="BC292" s="24">
        <f t="shared" si="44"/>
        <v>1.25</v>
      </c>
      <c r="BD292" s="24">
        <f t="shared" si="44"/>
        <v>0.25</v>
      </c>
      <c r="BE292" s="24">
        <f t="shared" si="44"/>
        <v>0</v>
      </c>
      <c r="BF292" s="24">
        <f t="shared" si="44"/>
        <v>0.25</v>
      </c>
      <c r="BG292" s="24">
        <f t="shared" si="44"/>
        <v>0</v>
      </c>
      <c r="BH292" s="24">
        <f t="shared" si="44"/>
        <v>0.25</v>
      </c>
      <c r="BI292" s="24">
        <f t="shared" si="44"/>
        <v>0.25</v>
      </c>
      <c r="BJ292" s="24">
        <f t="shared" si="44"/>
        <v>0</v>
      </c>
      <c r="BK292" s="24">
        <f t="shared" si="44"/>
        <v>0.33333333333333331</v>
      </c>
      <c r="BL292" s="24">
        <f t="shared" si="44"/>
        <v>0</v>
      </c>
      <c r="BM292" s="24">
        <f t="shared" si="44"/>
        <v>0.75</v>
      </c>
      <c r="BN292" s="24">
        <f t="shared" si="44"/>
        <v>1</v>
      </c>
      <c r="BO292" s="24">
        <f t="shared" ref="BO292:CK292" si="45">AVERAGE(BO$159:BO$162)</f>
        <v>1</v>
      </c>
      <c r="BP292" s="24">
        <f t="shared" si="45"/>
        <v>0.25</v>
      </c>
      <c r="BQ292" s="24">
        <f t="shared" si="45"/>
        <v>0.25</v>
      </c>
      <c r="BR292" s="24">
        <f t="shared" si="45"/>
        <v>1</v>
      </c>
      <c r="BS292" s="24">
        <f t="shared" si="45"/>
        <v>0</v>
      </c>
      <c r="BT292" s="24">
        <f t="shared" si="45"/>
        <v>0</v>
      </c>
      <c r="BU292" s="24">
        <f t="shared" si="45"/>
        <v>0.25</v>
      </c>
      <c r="BV292" s="24">
        <f t="shared" si="45"/>
        <v>0</v>
      </c>
      <c r="BW292" s="24">
        <f t="shared" si="45"/>
        <v>0.75</v>
      </c>
      <c r="BX292" s="24">
        <f t="shared" si="45"/>
        <v>0</v>
      </c>
      <c r="BY292" s="24">
        <f t="shared" si="45"/>
        <v>0.25</v>
      </c>
      <c r="BZ292" s="24">
        <f t="shared" si="45"/>
        <v>0.25</v>
      </c>
      <c r="CA292" s="24">
        <f t="shared" si="45"/>
        <v>0.25</v>
      </c>
      <c r="CB292" s="24">
        <f t="shared" si="45"/>
        <v>0</v>
      </c>
      <c r="CC292" s="24">
        <f t="shared" si="45"/>
        <v>0.25</v>
      </c>
      <c r="CD292" s="24">
        <f t="shared" si="45"/>
        <v>0</v>
      </c>
      <c r="CE292" s="24">
        <f t="shared" si="45"/>
        <v>1.5</v>
      </c>
      <c r="CF292" s="24">
        <f t="shared" si="45"/>
        <v>2.5</v>
      </c>
      <c r="CG292" s="24">
        <f t="shared" si="45"/>
        <v>2.25</v>
      </c>
      <c r="CH292" s="24">
        <f t="shared" si="45"/>
        <v>1</v>
      </c>
      <c r="CI292" s="24">
        <f t="shared" si="45"/>
        <v>0</v>
      </c>
      <c r="CJ292" s="24">
        <f t="shared" si="45"/>
        <v>0</v>
      </c>
      <c r="CK292" s="24">
        <f t="shared" si="45"/>
        <v>1.5</v>
      </c>
    </row>
    <row r="293" spans="1:89" x14ac:dyDescent="0.25">
      <c r="A293" s="27" t="s">
        <v>92</v>
      </c>
      <c r="B293" s="24">
        <f>AVERAGE(B$151:B$162)</f>
        <v>0.18181818181818182</v>
      </c>
      <c r="C293" s="24">
        <f t="shared" ref="C293:BN293" si="46">AVERAGE(C$151:C$162)</f>
        <v>8.3333333333333329E-2</v>
      </c>
      <c r="D293" s="24">
        <f t="shared" si="46"/>
        <v>0.41666666666666669</v>
      </c>
      <c r="E293" s="24">
        <f t="shared" si="46"/>
        <v>0.33333333333333331</v>
      </c>
      <c r="F293" s="24">
        <f t="shared" si="46"/>
        <v>0.16666666666666666</v>
      </c>
      <c r="G293" s="24">
        <f t="shared" si="46"/>
        <v>0</v>
      </c>
      <c r="H293" s="24">
        <f t="shared" si="46"/>
        <v>8.3333333333333329E-2</v>
      </c>
      <c r="I293" s="24">
        <f t="shared" si="46"/>
        <v>0</v>
      </c>
      <c r="J293" s="24">
        <f t="shared" si="46"/>
        <v>0.91666666666666663</v>
      </c>
      <c r="K293" s="24">
        <f t="shared" si="46"/>
        <v>0.16666666666666666</v>
      </c>
      <c r="L293" s="24">
        <f t="shared" si="46"/>
        <v>0.33333333333333331</v>
      </c>
      <c r="M293" s="24">
        <f t="shared" si="46"/>
        <v>0.58333333333333337</v>
      </c>
      <c r="N293" s="24">
        <f t="shared" si="46"/>
        <v>0.25</v>
      </c>
      <c r="O293" s="24">
        <f t="shared" si="46"/>
        <v>8.3333333333333329E-2</v>
      </c>
      <c r="P293" s="24">
        <f t="shared" si="46"/>
        <v>0.83333333333333337</v>
      </c>
      <c r="Q293" s="24">
        <f t="shared" si="46"/>
        <v>0.91666666666666663</v>
      </c>
      <c r="R293" s="24">
        <f t="shared" si="46"/>
        <v>8.3333333333333329E-2</v>
      </c>
      <c r="S293" s="24">
        <f t="shared" si="46"/>
        <v>0</v>
      </c>
      <c r="T293" s="24">
        <f t="shared" si="46"/>
        <v>0</v>
      </c>
      <c r="U293" s="24">
        <f t="shared" si="46"/>
        <v>8.3333333333333329E-2</v>
      </c>
      <c r="V293" s="24">
        <f t="shared" si="46"/>
        <v>8.3333333333333329E-2</v>
      </c>
      <c r="W293" s="24">
        <f t="shared" si="46"/>
        <v>0.5</v>
      </c>
      <c r="X293" s="24">
        <f t="shared" si="46"/>
        <v>0</v>
      </c>
      <c r="Y293" s="24">
        <f t="shared" si="46"/>
        <v>0.16666666666666666</v>
      </c>
      <c r="Z293" s="24">
        <f t="shared" si="46"/>
        <v>0.75</v>
      </c>
      <c r="AA293" s="24">
        <f t="shared" si="46"/>
        <v>0.41666666666666669</v>
      </c>
      <c r="AB293" s="24">
        <f t="shared" si="46"/>
        <v>0</v>
      </c>
      <c r="AC293" s="24">
        <f t="shared" si="46"/>
        <v>0.33333333333333331</v>
      </c>
      <c r="AD293" s="24">
        <f t="shared" si="46"/>
        <v>8.3333333333333329E-2</v>
      </c>
      <c r="AE293" s="24">
        <f t="shared" si="46"/>
        <v>0.33333333333333331</v>
      </c>
      <c r="AF293" s="24">
        <f t="shared" si="46"/>
        <v>0.41666666666666669</v>
      </c>
      <c r="AG293" s="24">
        <f t="shared" si="46"/>
        <v>0</v>
      </c>
      <c r="AH293" s="24">
        <f t="shared" si="46"/>
        <v>0.16666666666666666</v>
      </c>
      <c r="AI293" s="24">
        <f t="shared" si="46"/>
        <v>0</v>
      </c>
      <c r="AJ293" s="24">
        <f t="shared" si="46"/>
        <v>1.75</v>
      </c>
      <c r="AK293" s="24">
        <f t="shared" si="46"/>
        <v>0</v>
      </c>
      <c r="AL293" s="24">
        <f t="shared" si="46"/>
        <v>0.33333333333333331</v>
      </c>
      <c r="AM293" s="24">
        <f t="shared" si="46"/>
        <v>0.41666666666666669</v>
      </c>
      <c r="AN293" s="24">
        <f t="shared" si="46"/>
        <v>0.75</v>
      </c>
      <c r="AO293" s="24">
        <f t="shared" si="46"/>
        <v>0.75</v>
      </c>
      <c r="AP293" s="24">
        <f t="shared" si="46"/>
        <v>0.66666666666666663</v>
      </c>
      <c r="AQ293" s="24">
        <f t="shared" si="46"/>
        <v>0.83333333333333337</v>
      </c>
      <c r="AR293" s="24">
        <f t="shared" si="46"/>
        <v>0</v>
      </c>
      <c r="AS293" s="24">
        <f t="shared" si="46"/>
        <v>0.25</v>
      </c>
      <c r="AT293" s="24">
        <f t="shared" si="46"/>
        <v>0</v>
      </c>
      <c r="AU293" s="24">
        <f t="shared" si="46"/>
        <v>2.0909090909090908</v>
      </c>
      <c r="AV293" s="24">
        <f t="shared" si="46"/>
        <v>8.3333333333333329E-2</v>
      </c>
      <c r="AW293" s="24">
        <f t="shared" si="46"/>
        <v>0.58333333333333337</v>
      </c>
      <c r="AX293" s="24">
        <f t="shared" si="46"/>
        <v>0.5</v>
      </c>
      <c r="AY293" s="24">
        <f t="shared" si="46"/>
        <v>0</v>
      </c>
      <c r="AZ293" s="24">
        <f t="shared" si="46"/>
        <v>1.0833333333333333</v>
      </c>
      <c r="BA293" s="24">
        <f t="shared" si="46"/>
        <v>0</v>
      </c>
      <c r="BB293" s="24">
        <f t="shared" si="46"/>
        <v>0.16666666666666666</v>
      </c>
      <c r="BC293" s="24">
        <f t="shared" si="46"/>
        <v>0.75</v>
      </c>
      <c r="BD293" s="24">
        <f t="shared" si="46"/>
        <v>0.58333333333333337</v>
      </c>
      <c r="BE293" s="24">
        <f t="shared" si="46"/>
        <v>0</v>
      </c>
      <c r="BF293" s="24">
        <f t="shared" si="46"/>
        <v>0.91666666666666663</v>
      </c>
      <c r="BG293" s="24">
        <f t="shared" si="46"/>
        <v>0</v>
      </c>
      <c r="BH293" s="24">
        <f t="shared" si="46"/>
        <v>0.58333333333333337</v>
      </c>
      <c r="BI293" s="24">
        <f t="shared" si="46"/>
        <v>0.16666666666666666</v>
      </c>
      <c r="BJ293" s="24">
        <f t="shared" si="46"/>
        <v>0</v>
      </c>
      <c r="BK293" s="24">
        <f t="shared" si="46"/>
        <v>9.0909090909090912E-2</v>
      </c>
      <c r="BL293" s="24">
        <f t="shared" si="46"/>
        <v>0.33333333333333331</v>
      </c>
      <c r="BM293" s="24">
        <f t="shared" si="46"/>
        <v>0.25</v>
      </c>
      <c r="BN293" s="24">
        <f t="shared" si="46"/>
        <v>1.1666666666666667</v>
      </c>
      <c r="BO293" s="24">
        <f t="shared" ref="BO293:CK293" si="47">AVERAGE(BO$151:BO$162)</f>
        <v>0.41666666666666669</v>
      </c>
      <c r="BP293" s="24">
        <f t="shared" si="47"/>
        <v>8.3333333333333329E-2</v>
      </c>
      <c r="BQ293" s="24">
        <f t="shared" si="47"/>
        <v>0.5</v>
      </c>
      <c r="BR293" s="24">
        <f t="shared" si="47"/>
        <v>0.33333333333333331</v>
      </c>
      <c r="BS293" s="24">
        <f t="shared" si="47"/>
        <v>0</v>
      </c>
      <c r="BT293" s="24">
        <f t="shared" si="47"/>
        <v>8.3333333333333329E-2</v>
      </c>
      <c r="BU293" s="24">
        <f t="shared" si="47"/>
        <v>0.16666666666666666</v>
      </c>
      <c r="BV293" s="24">
        <f t="shared" si="47"/>
        <v>0</v>
      </c>
      <c r="BW293" s="24">
        <f t="shared" si="47"/>
        <v>1.0833333333333333</v>
      </c>
      <c r="BX293" s="24">
        <f t="shared" si="47"/>
        <v>0.33333333333333331</v>
      </c>
      <c r="BY293" s="24">
        <f t="shared" si="47"/>
        <v>8.3333333333333329E-2</v>
      </c>
      <c r="BZ293" s="24">
        <f t="shared" si="47"/>
        <v>0.25</v>
      </c>
      <c r="CA293" s="24">
        <f t="shared" si="47"/>
        <v>0.41666666666666669</v>
      </c>
      <c r="CB293" s="24">
        <f t="shared" si="47"/>
        <v>0</v>
      </c>
      <c r="CC293" s="24">
        <f t="shared" si="47"/>
        <v>0.25</v>
      </c>
      <c r="CD293" s="24">
        <f t="shared" si="47"/>
        <v>8.3333333333333329E-2</v>
      </c>
      <c r="CE293" s="24">
        <f t="shared" si="47"/>
        <v>1.1666666666666667</v>
      </c>
      <c r="CF293" s="24">
        <f t="shared" si="47"/>
        <v>1.3333333333333333</v>
      </c>
      <c r="CG293" s="24">
        <f t="shared" si="47"/>
        <v>1.9166666666666667</v>
      </c>
      <c r="CH293" s="24">
        <f t="shared" si="47"/>
        <v>1.25</v>
      </c>
      <c r="CI293" s="24">
        <f t="shared" si="47"/>
        <v>0</v>
      </c>
      <c r="CJ293" s="24">
        <f t="shared" si="47"/>
        <v>0.5</v>
      </c>
      <c r="CK293" s="24">
        <f t="shared" si="47"/>
        <v>1.8333333333333333</v>
      </c>
    </row>
    <row r="294" spans="1:89" x14ac:dyDescent="0.25">
      <c r="A294" s="27" t="s">
        <v>93</v>
      </c>
      <c r="B294" s="24">
        <f>AVERAGE(B$164:B$167)</f>
        <v>0.75</v>
      </c>
      <c r="C294" s="24">
        <f t="shared" ref="C294:BN294" si="48">AVERAGE(C$164:C$167)</f>
        <v>2.25</v>
      </c>
      <c r="D294" s="24">
        <f t="shared" si="48"/>
        <v>3.25</v>
      </c>
      <c r="E294" s="24">
        <f t="shared" si="48"/>
        <v>0.25</v>
      </c>
      <c r="F294" s="24">
        <f t="shared" si="48"/>
        <v>0.75</v>
      </c>
      <c r="G294" s="24">
        <f t="shared" si="48"/>
        <v>2.5</v>
      </c>
      <c r="H294" s="24">
        <f t="shared" si="48"/>
        <v>0.25</v>
      </c>
      <c r="I294" s="24">
        <f t="shared" si="48"/>
        <v>0.75</v>
      </c>
      <c r="J294" s="24">
        <f t="shared" si="48"/>
        <v>2.5</v>
      </c>
      <c r="K294" s="24">
        <f t="shared" si="48"/>
        <v>0</v>
      </c>
      <c r="L294" s="24">
        <f t="shared" si="48"/>
        <v>0.75</v>
      </c>
      <c r="M294" s="24">
        <f t="shared" si="48"/>
        <v>0.75</v>
      </c>
      <c r="N294" s="24">
        <f t="shared" si="48"/>
        <v>2</v>
      </c>
      <c r="O294" s="24">
        <f t="shared" si="48"/>
        <v>0</v>
      </c>
      <c r="P294" s="24">
        <f t="shared" si="48"/>
        <v>0.5</v>
      </c>
      <c r="Q294" s="24">
        <f t="shared" si="48"/>
        <v>1</v>
      </c>
      <c r="R294" s="24">
        <f t="shared" si="48"/>
        <v>0</v>
      </c>
      <c r="S294" s="24">
        <f t="shared" si="48"/>
        <v>0.75</v>
      </c>
      <c r="T294" s="24">
        <f t="shared" si="48"/>
        <v>0.75</v>
      </c>
      <c r="U294" s="24">
        <f t="shared" si="48"/>
        <v>1</v>
      </c>
      <c r="V294" s="24">
        <f t="shared" si="48"/>
        <v>0</v>
      </c>
      <c r="W294" s="24">
        <f t="shared" si="48"/>
        <v>2</v>
      </c>
      <c r="X294" s="24">
        <f t="shared" si="48"/>
        <v>0.25</v>
      </c>
      <c r="Y294" s="24">
        <f t="shared" si="48"/>
        <v>1</v>
      </c>
      <c r="Z294" s="24">
        <f t="shared" si="48"/>
        <v>1.5</v>
      </c>
      <c r="AA294" s="24">
        <f t="shared" si="48"/>
        <v>0.75</v>
      </c>
      <c r="AB294" s="24">
        <f t="shared" si="48"/>
        <v>0</v>
      </c>
      <c r="AC294" s="24">
        <f t="shared" si="48"/>
        <v>0.5</v>
      </c>
      <c r="AD294" s="24">
        <f t="shared" si="48"/>
        <v>0.5</v>
      </c>
      <c r="AE294" s="24">
        <f t="shared" si="48"/>
        <v>1</v>
      </c>
      <c r="AF294" s="24">
        <f t="shared" si="48"/>
        <v>0.75</v>
      </c>
      <c r="AG294" s="24">
        <f t="shared" si="48"/>
        <v>1.5</v>
      </c>
      <c r="AH294" s="24">
        <f t="shared" si="48"/>
        <v>0.25</v>
      </c>
      <c r="AI294" s="24">
        <f t="shared" si="48"/>
        <v>4</v>
      </c>
      <c r="AJ294" s="24">
        <f t="shared" si="48"/>
        <v>0.66666666666666663</v>
      </c>
      <c r="AK294" s="24">
        <f t="shared" si="48"/>
        <v>1.25</v>
      </c>
      <c r="AL294" s="24">
        <f t="shared" si="48"/>
        <v>2</v>
      </c>
      <c r="AM294" s="24">
        <f t="shared" si="48"/>
        <v>2.25</v>
      </c>
      <c r="AN294" s="24">
        <f t="shared" si="48"/>
        <v>0.75</v>
      </c>
      <c r="AO294" s="24">
        <f t="shared" si="48"/>
        <v>1.25</v>
      </c>
      <c r="AP294" s="24">
        <f t="shared" si="48"/>
        <v>1.5</v>
      </c>
      <c r="AQ294" s="24">
        <f t="shared" si="48"/>
        <v>0.75</v>
      </c>
      <c r="AR294" s="24">
        <f t="shared" si="48"/>
        <v>0.75</v>
      </c>
      <c r="AS294" s="24">
        <f t="shared" si="48"/>
        <v>0.5</v>
      </c>
      <c r="AT294" s="24">
        <f t="shared" si="48"/>
        <v>1.5</v>
      </c>
      <c r="AU294" s="24">
        <f t="shared" si="48"/>
        <v>1</v>
      </c>
      <c r="AV294" s="24">
        <f t="shared" si="48"/>
        <v>1.25</v>
      </c>
      <c r="AW294" s="24">
        <f t="shared" si="48"/>
        <v>0.75</v>
      </c>
      <c r="AX294" s="24">
        <f t="shared" si="48"/>
        <v>0.25</v>
      </c>
      <c r="AY294" s="24">
        <f t="shared" si="48"/>
        <v>0</v>
      </c>
      <c r="AZ294" s="24">
        <f t="shared" si="48"/>
        <v>0.75</v>
      </c>
      <c r="BA294" s="24">
        <f t="shared" si="48"/>
        <v>0</v>
      </c>
      <c r="BB294" s="24">
        <f t="shared" si="48"/>
        <v>0.5</v>
      </c>
      <c r="BC294" s="24">
        <f t="shared" si="48"/>
        <v>0.75</v>
      </c>
      <c r="BD294" s="24">
        <f t="shared" si="48"/>
        <v>0.25</v>
      </c>
      <c r="BE294" s="24">
        <f t="shared" si="48"/>
        <v>0.75</v>
      </c>
      <c r="BF294" s="24">
        <f t="shared" si="48"/>
        <v>0.75</v>
      </c>
      <c r="BG294" s="24">
        <f t="shared" si="48"/>
        <v>0.75</v>
      </c>
      <c r="BH294" s="24">
        <f t="shared" si="48"/>
        <v>0</v>
      </c>
      <c r="BI294" s="24">
        <f t="shared" si="48"/>
        <v>1.5</v>
      </c>
      <c r="BJ294" s="24">
        <f t="shared" si="48"/>
        <v>0.25</v>
      </c>
      <c r="BK294" s="24">
        <f t="shared" si="48"/>
        <v>1.25</v>
      </c>
      <c r="BL294" s="24">
        <f t="shared" si="48"/>
        <v>1</v>
      </c>
      <c r="BM294" s="24">
        <f t="shared" si="48"/>
        <v>0.75</v>
      </c>
      <c r="BN294" s="24">
        <f t="shared" si="48"/>
        <v>1.5</v>
      </c>
      <c r="BO294" s="24">
        <f t="shared" ref="BO294:CK294" si="49">AVERAGE(BO$164:BO$167)</f>
        <v>2</v>
      </c>
      <c r="BP294" s="24">
        <f t="shared" si="49"/>
        <v>0</v>
      </c>
      <c r="BQ294" s="24">
        <f t="shared" si="49"/>
        <v>0.5</v>
      </c>
      <c r="BR294" s="24">
        <f t="shared" si="49"/>
        <v>0</v>
      </c>
      <c r="BS294" s="24">
        <f t="shared" si="49"/>
        <v>0</v>
      </c>
      <c r="BT294" s="24">
        <f t="shared" si="49"/>
        <v>0.75</v>
      </c>
      <c r="BU294" s="24">
        <f t="shared" si="49"/>
        <v>1.75</v>
      </c>
      <c r="BV294" s="24">
        <f t="shared" si="49"/>
        <v>1</v>
      </c>
      <c r="BW294" s="24">
        <f t="shared" si="49"/>
        <v>0.25</v>
      </c>
      <c r="BX294" s="24">
        <f t="shared" si="49"/>
        <v>0</v>
      </c>
      <c r="BY294" s="24">
        <f t="shared" si="49"/>
        <v>2</v>
      </c>
      <c r="BZ294" s="24">
        <f t="shared" si="49"/>
        <v>1.75</v>
      </c>
      <c r="CA294" s="24">
        <f t="shared" si="49"/>
        <v>2.5</v>
      </c>
      <c r="CB294" s="24">
        <f t="shared" si="49"/>
        <v>2.25</v>
      </c>
      <c r="CC294" s="24">
        <f t="shared" si="49"/>
        <v>0.75</v>
      </c>
      <c r="CD294" s="24">
        <f t="shared" si="49"/>
        <v>3</v>
      </c>
      <c r="CE294" s="24">
        <f t="shared" si="49"/>
        <v>0.25</v>
      </c>
      <c r="CF294" s="24">
        <f t="shared" si="49"/>
        <v>0.5</v>
      </c>
      <c r="CG294" s="24">
        <f t="shared" si="49"/>
        <v>0</v>
      </c>
      <c r="CH294" s="24">
        <f t="shared" si="49"/>
        <v>1</v>
      </c>
      <c r="CI294" s="24">
        <f t="shared" si="49"/>
        <v>1.75</v>
      </c>
      <c r="CJ294" s="24">
        <f t="shared" si="49"/>
        <v>1.75</v>
      </c>
      <c r="CK294" s="24">
        <f t="shared" si="49"/>
        <v>1.25</v>
      </c>
    </row>
    <row r="295" spans="1:89" x14ac:dyDescent="0.25">
      <c r="A295" s="27" t="s">
        <v>94</v>
      </c>
      <c r="B295" s="24">
        <f>AVERAGE(B$168:B$171)</f>
        <v>2.25</v>
      </c>
      <c r="C295" s="24">
        <f t="shared" ref="C295:BN295" si="50">AVERAGE(C$168:C$171)</f>
        <v>0.25</v>
      </c>
      <c r="D295" s="24">
        <f t="shared" si="50"/>
        <v>3.25</v>
      </c>
      <c r="E295" s="24">
        <f t="shared" si="50"/>
        <v>0.25</v>
      </c>
      <c r="F295" s="24">
        <f t="shared" si="50"/>
        <v>2.75</v>
      </c>
      <c r="G295" s="24">
        <f t="shared" si="50"/>
        <v>0</v>
      </c>
      <c r="H295" s="24">
        <f t="shared" si="50"/>
        <v>2.25</v>
      </c>
      <c r="I295" s="24">
        <f t="shared" si="50"/>
        <v>0.5</v>
      </c>
      <c r="J295" s="24">
        <f t="shared" si="50"/>
        <v>1.5</v>
      </c>
      <c r="K295" s="24">
        <f t="shared" si="50"/>
        <v>0</v>
      </c>
      <c r="L295" s="24">
        <f t="shared" si="50"/>
        <v>1.25</v>
      </c>
      <c r="M295" s="24">
        <f t="shared" si="50"/>
        <v>0.25</v>
      </c>
      <c r="N295" s="24">
        <f t="shared" si="50"/>
        <v>0</v>
      </c>
      <c r="O295" s="24">
        <f t="shared" si="50"/>
        <v>0</v>
      </c>
      <c r="P295" s="24">
        <f t="shared" si="50"/>
        <v>0.5</v>
      </c>
      <c r="Q295" s="24">
        <f t="shared" si="50"/>
        <v>1</v>
      </c>
      <c r="R295" s="24">
        <f t="shared" si="50"/>
        <v>0.5</v>
      </c>
      <c r="S295" s="24">
        <f t="shared" si="50"/>
        <v>2</v>
      </c>
      <c r="T295" s="24">
        <f t="shared" si="50"/>
        <v>0.5</v>
      </c>
      <c r="U295" s="24">
        <f t="shared" si="50"/>
        <v>1</v>
      </c>
      <c r="V295" s="24">
        <f t="shared" si="50"/>
        <v>0.25</v>
      </c>
      <c r="W295" s="24">
        <f t="shared" si="50"/>
        <v>0</v>
      </c>
      <c r="X295" s="24">
        <f t="shared" si="50"/>
        <v>0.5</v>
      </c>
      <c r="Y295" s="24">
        <f t="shared" si="50"/>
        <v>0.25</v>
      </c>
      <c r="Z295" s="24">
        <f t="shared" si="50"/>
        <v>0.5</v>
      </c>
      <c r="AA295" s="24">
        <f t="shared" si="50"/>
        <v>0.5</v>
      </c>
      <c r="AB295" s="24">
        <f t="shared" si="50"/>
        <v>0</v>
      </c>
      <c r="AC295" s="24">
        <f t="shared" si="50"/>
        <v>0</v>
      </c>
      <c r="AD295" s="24">
        <f t="shared" si="50"/>
        <v>1.75</v>
      </c>
      <c r="AE295" s="24">
        <f t="shared" si="50"/>
        <v>0</v>
      </c>
      <c r="AF295" s="24">
        <f t="shared" si="50"/>
        <v>0.75</v>
      </c>
      <c r="AG295" s="24">
        <f t="shared" si="50"/>
        <v>0.5</v>
      </c>
      <c r="AH295" s="24">
        <f t="shared" si="50"/>
        <v>0</v>
      </c>
      <c r="AI295" s="24">
        <f t="shared" si="50"/>
        <v>0.25</v>
      </c>
      <c r="AJ295" s="24">
        <f t="shared" si="50"/>
        <v>0.5</v>
      </c>
      <c r="AK295" s="24">
        <f t="shared" si="50"/>
        <v>0.5</v>
      </c>
      <c r="AL295" s="24">
        <f t="shared" si="50"/>
        <v>0</v>
      </c>
      <c r="AM295" s="24">
        <f t="shared" si="50"/>
        <v>0.75</v>
      </c>
      <c r="AN295" s="24">
        <f t="shared" si="50"/>
        <v>0.25</v>
      </c>
      <c r="AO295" s="24">
        <f t="shared" si="50"/>
        <v>1</v>
      </c>
      <c r="AP295" s="24">
        <f t="shared" si="50"/>
        <v>0.5</v>
      </c>
      <c r="AQ295" s="24">
        <f t="shared" si="50"/>
        <v>0.5</v>
      </c>
      <c r="AR295" s="24">
        <f t="shared" si="50"/>
        <v>0.25</v>
      </c>
      <c r="AS295" s="24">
        <f t="shared" si="50"/>
        <v>0.5</v>
      </c>
      <c r="AT295" s="24">
        <f t="shared" si="50"/>
        <v>2.25</v>
      </c>
      <c r="AU295" s="24">
        <f t="shared" si="50"/>
        <v>0.5</v>
      </c>
      <c r="AV295" s="24">
        <f t="shared" si="50"/>
        <v>0</v>
      </c>
      <c r="AW295" s="24">
        <f t="shared" si="50"/>
        <v>1.5</v>
      </c>
      <c r="AX295" s="24">
        <f t="shared" si="50"/>
        <v>1</v>
      </c>
      <c r="AY295" s="24">
        <f t="shared" si="50"/>
        <v>0</v>
      </c>
      <c r="AZ295" s="24">
        <f t="shared" si="50"/>
        <v>0.75</v>
      </c>
      <c r="BA295" s="24">
        <f t="shared" si="50"/>
        <v>0.25</v>
      </c>
      <c r="BB295" s="24">
        <f t="shared" si="50"/>
        <v>1.25</v>
      </c>
      <c r="BC295" s="24">
        <f t="shared" si="50"/>
        <v>0.25</v>
      </c>
      <c r="BD295" s="24">
        <f t="shared" si="50"/>
        <v>1</v>
      </c>
      <c r="BE295" s="24">
        <f t="shared" si="50"/>
        <v>0</v>
      </c>
      <c r="BF295" s="24">
        <f t="shared" si="50"/>
        <v>0.25</v>
      </c>
      <c r="BG295" s="24">
        <f t="shared" si="50"/>
        <v>1</v>
      </c>
      <c r="BH295" s="24">
        <f t="shared" si="50"/>
        <v>0</v>
      </c>
      <c r="BI295" s="24">
        <f t="shared" si="50"/>
        <v>0</v>
      </c>
      <c r="BJ295" s="24">
        <f t="shared" si="50"/>
        <v>0.25</v>
      </c>
      <c r="BK295" s="24">
        <f t="shared" si="50"/>
        <v>1.25</v>
      </c>
      <c r="BL295" s="24">
        <f t="shared" si="50"/>
        <v>0.75</v>
      </c>
      <c r="BM295" s="24">
        <f t="shared" si="50"/>
        <v>1.75</v>
      </c>
      <c r="BN295" s="24">
        <f t="shared" si="50"/>
        <v>2</v>
      </c>
      <c r="BO295" s="24">
        <f t="shared" ref="BO295:CK295" si="51">AVERAGE(BO$168:BO$171)</f>
        <v>1</v>
      </c>
      <c r="BP295" s="24">
        <f t="shared" si="51"/>
        <v>1</v>
      </c>
      <c r="BQ295" s="24">
        <f t="shared" si="51"/>
        <v>1.25</v>
      </c>
      <c r="BR295" s="24">
        <f t="shared" si="51"/>
        <v>1</v>
      </c>
      <c r="BS295" s="24">
        <f t="shared" si="51"/>
        <v>0</v>
      </c>
      <c r="BT295" s="24">
        <f t="shared" si="51"/>
        <v>1.75</v>
      </c>
      <c r="BU295" s="24">
        <f t="shared" si="51"/>
        <v>1.25</v>
      </c>
      <c r="BV295" s="24">
        <f t="shared" si="51"/>
        <v>0</v>
      </c>
      <c r="BW295" s="24">
        <f t="shared" si="51"/>
        <v>0</v>
      </c>
      <c r="BX295" s="24">
        <f t="shared" si="51"/>
        <v>1.25</v>
      </c>
      <c r="BY295" s="24">
        <f t="shared" si="51"/>
        <v>1.75</v>
      </c>
      <c r="BZ295" s="24">
        <f t="shared" si="51"/>
        <v>1.5</v>
      </c>
      <c r="CA295" s="24">
        <f t="shared" si="51"/>
        <v>0.5</v>
      </c>
      <c r="CB295" s="24">
        <f t="shared" si="51"/>
        <v>3.25</v>
      </c>
      <c r="CC295" s="24">
        <f t="shared" si="51"/>
        <v>0</v>
      </c>
      <c r="CD295" s="24">
        <f t="shared" si="51"/>
        <v>2.25</v>
      </c>
      <c r="CE295" s="24">
        <f t="shared" si="51"/>
        <v>0.5</v>
      </c>
      <c r="CF295" s="24">
        <f t="shared" si="51"/>
        <v>0.75</v>
      </c>
      <c r="CG295" s="24">
        <f t="shared" si="51"/>
        <v>0.5</v>
      </c>
      <c r="CH295" s="24">
        <f t="shared" si="51"/>
        <v>1.25</v>
      </c>
      <c r="CI295" s="24">
        <f t="shared" si="51"/>
        <v>2.25</v>
      </c>
      <c r="CJ295" s="24">
        <f t="shared" si="51"/>
        <v>0.25</v>
      </c>
      <c r="CK295" s="24">
        <f t="shared" si="51"/>
        <v>0.5</v>
      </c>
    </row>
    <row r="296" spans="1:89" x14ac:dyDescent="0.25">
      <c r="A296" s="27" t="s">
        <v>95</v>
      </c>
      <c r="B296" s="24">
        <f>AVERAGE(B$172:B$175)</f>
        <v>1</v>
      </c>
      <c r="C296" s="24">
        <f t="shared" ref="C296:BN296" si="52">AVERAGE(C$172:C$175)</f>
        <v>1.25</v>
      </c>
      <c r="D296" s="24">
        <f t="shared" si="52"/>
        <v>1.75</v>
      </c>
      <c r="E296" s="24">
        <f t="shared" si="52"/>
        <v>0</v>
      </c>
      <c r="F296" s="24">
        <f t="shared" si="52"/>
        <v>1.75</v>
      </c>
      <c r="G296" s="24">
        <f t="shared" si="52"/>
        <v>2.5</v>
      </c>
      <c r="H296" s="24">
        <f t="shared" si="52"/>
        <v>0</v>
      </c>
      <c r="I296" s="24">
        <f t="shared" si="52"/>
        <v>0</v>
      </c>
      <c r="J296" s="24">
        <f t="shared" si="52"/>
        <v>4</v>
      </c>
      <c r="K296" s="24">
        <f t="shared" si="52"/>
        <v>0.5</v>
      </c>
      <c r="L296" s="24">
        <f t="shared" si="52"/>
        <v>1</v>
      </c>
      <c r="M296" s="24">
        <f t="shared" si="52"/>
        <v>2.5</v>
      </c>
      <c r="N296" s="24">
        <f t="shared" si="52"/>
        <v>0</v>
      </c>
      <c r="O296" s="24">
        <f t="shared" si="52"/>
        <v>0.25</v>
      </c>
      <c r="P296" s="24">
        <f t="shared" si="52"/>
        <v>2.25</v>
      </c>
      <c r="Q296" s="24">
        <f t="shared" si="52"/>
        <v>0.25</v>
      </c>
      <c r="R296" s="24">
        <f t="shared" si="52"/>
        <v>0</v>
      </c>
      <c r="S296" s="24">
        <f t="shared" si="52"/>
        <v>0.75</v>
      </c>
      <c r="T296" s="24">
        <f t="shared" si="52"/>
        <v>2</v>
      </c>
      <c r="U296" s="24">
        <f t="shared" si="52"/>
        <v>0.25</v>
      </c>
      <c r="V296" s="24">
        <f t="shared" si="52"/>
        <v>0.5</v>
      </c>
      <c r="W296" s="24">
        <f t="shared" si="52"/>
        <v>0.25</v>
      </c>
      <c r="X296" s="24">
        <f t="shared" si="52"/>
        <v>0.25</v>
      </c>
      <c r="Y296" s="24">
        <f t="shared" si="52"/>
        <v>0.25</v>
      </c>
      <c r="Z296" s="24">
        <f t="shared" si="52"/>
        <v>0</v>
      </c>
      <c r="AA296" s="24">
        <f t="shared" si="52"/>
        <v>0.75</v>
      </c>
      <c r="AB296" s="24">
        <f t="shared" si="52"/>
        <v>1.5</v>
      </c>
      <c r="AC296" s="24">
        <f t="shared" si="52"/>
        <v>0.5</v>
      </c>
      <c r="AD296" s="24">
        <f t="shared" si="52"/>
        <v>0.5</v>
      </c>
      <c r="AE296" s="24">
        <f t="shared" si="52"/>
        <v>0.75</v>
      </c>
      <c r="AF296" s="24">
        <f t="shared" si="52"/>
        <v>0.75</v>
      </c>
      <c r="AG296" s="24">
        <f t="shared" si="52"/>
        <v>0</v>
      </c>
      <c r="AH296" s="24">
        <f t="shared" si="52"/>
        <v>0.75</v>
      </c>
      <c r="AI296" s="24">
        <f t="shared" si="52"/>
        <v>0.25</v>
      </c>
      <c r="AJ296" s="24">
        <f t="shared" si="52"/>
        <v>2</v>
      </c>
      <c r="AK296" s="24">
        <f t="shared" si="52"/>
        <v>0</v>
      </c>
      <c r="AL296" s="24">
        <f t="shared" si="52"/>
        <v>3.25</v>
      </c>
      <c r="AM296" s="24">
        <f t="shared" si="52"/>
        <v>1.5</v>
      </c>
      <c r="AN296" s="24">
        <f t="shared" si="52"/>
        <v>1</v>
      </c>
      <c r="AO296" s="24">
        <f t="shared" si="52"/>
        <v>1.75</v>
      </c>
      <c r="AP296" s="24">
        <f t="shared" si="52"/>
        <v>2.75</v>
      </c>
      <c r="AQ296" s="24">
        <f t="shared" si="52"/>
        <v>0.5</v>
      </c>
      <c r="AR296" s="24">
        <f t="shared" si="52"/>
        <v>3.75</v>
      </c>
      <c r="AS296" s="24">
        <f t="shared" si="52"/>
        <v>0.25</v>
      </c>
      <c r="AT296" s="24">
        <f t="shared" si="52"/>
        <v>4</v>
      </c>
      <c r="AU296" s="24">
        <f t="shared" si="52"/>
        <v>0</v>
      </c>
      <c r="AV296" s="24">
        <f t="shared" si="52"/>
        <v>0</v>
      </c>
      <c r="AW296" s="24">
        <f t="shared" si="52"/>
        <v>0.5</v>
      </c>
      <c r="AX296" s="24">
        <f t="shared" si="52"/>
        <v>0</v>
      </c>
      <c r="AY296" s="24">
        <f t="shared" si="52"/>
        <v>0.25</v>
      </c>
      <c r="AZ296" s="24">
        <f t="shared" si="52"/>
        <v>0.75</v>
      </c>
      <c r="BA296" s="24">
        <f t="shared" si="52"/>
        <v>0</v>
      </c>
      <c r="BB296" s="24">
        <f t="shared" si="52"/>
        <v>0.5</v>
      </c>
      <c r="BC296" s="24">
        <f t="shared" si="52"/>
        <v>0.75</v>
      </c>
      <c r="BD296" s="24">
        <f t="shared" si="52"/>
        <v>0.5</v>
      </c>
      <c r="BE296" s="24">
        <f t="shared" si="52"/>
        <v>1</v>
      </c>
      <c r="BF296" s="24">
        <f t="shared" si="52"/>
        <v>0</v>
      </c>
      <c r="BG296" s="24">
        <f t="shared" si="52"/>
        <v>1</v>
      </c>
      <c r="BH296" s="24">
        <f t="shared" si="52"/>
        <v>0.25</v>
      </c>
      <c r="BI296" s="24">
        <f t="shared" si="52"/>
        <v>0.75</v>
      </c>
      <c r="BJ296" s="24">
        <f t="shared" si="52"/>
        <v>0.5</v>
      </c>
      <c r="BK296" s="24">
        <f t="shared" si="52"/>
        <v>0</v>
      </c>
      <c r="BL296" s="24">
        <f t="shared" si="52"/>
        <v>1.75</v>
      </c>
      <c r="BM296" s="24">
        <f t="shared" si="52"/>
        <v>0</v>
      </c>
      <c r="BN296" s="24">
        <f t="shared" si="52"/>
        <v>0.5</v>
      </c>
      <c r="BO296" s="24">
        <f t="shared" ref="BO296:CK296" si="53">AVERAGE(BO$172:BO$175)</f>
        <v>0.75</v>
      </c>
      <c r="BP296" s="24">
        <f t="shared" si="53"/>
        <v>1.25</v>
      </c>
      <c r="BQ296" s="24">
        <f t="shared" si="53"/>
        <v>0.25</v>
      </c>
      <c r="BR296" s="24">
        <f t="shared" si="53"/>
        <v>0</v>
      </c>
      <c r="BS296" s="24">
        <f t="shared" si="53"/>
        <v>0.25</v>
      </c>
      <c r="BT296" s="24">
        <f t="shared" si="53"/>
        <v>1.5</v>
      </c>
      <c r="BU296" s="24">
        <f t="shared" si="53"/>
        <v>1</v>
      </c>
      <c r="BV296" s="24">
        <f t="shared" si="53"/>
        <v>0.25</v>
      </c>
      <c r="BW296" s="24">
        <f t="shared" si="53"/>
        <v>1.25</v>
      </c>
      <c r="BX296" s="24">
        <f t="shared" si="53"/>
        <v>0.5</v>
      </c>
      <c r="BY296" s="24">
        <f t="shared" si="53"/>
        <v>0.5</v>
      </c>
      <c r="BZ296" s="24">
        <f t="shared" si="53"/>
        <v>0.75</v>
      </c>
      <c r="CA296" s="24">
        <f t="shared" si="53"/>
        <v>0.75</v>
      </c>
      <c r="CB296" s="24">
        <f t="shared" si="53"/>
        <v>2.5</v>
      </c>
      <c r="CC296" s="24">
        <f t="shared" si="53"/>
        <v>1.25</v>
      </c>
      <c r="CD296" s="24">
        <f t="shared" si="53"/>
        <v>3.25</v>
      </c>
      <c r="CE296" s="24">
        <f t="shared" si="53"/>
        <v>1</v>
      </c>
      <c r="CF296" s="24">
        <f t="shared" si="53"/>
        <v>0.5</v>
      </c>
      <c r="CG296" s="24">
        <f t="shared" si="53"/>
        <v>0.75</v>
      </c>
      <c r="CH296" s="24">
        <f t="shared" si="53"/>
        <v>2</v>
      </c>
      <c r="CI296" s="24">
        <f t="shared" si="53"/>
        <v>2.5</v>
      </c>
      <c r="CJ296" s="24">
        <f t="shared" si="53"/>
        <v>2.75</v>
      </c>
      <c r="CK296" s="24">
        <f t="shared" si="53"/>
        <v>0.75</v>
      </c>
    </row>
    <row r="297" spans="1:89" x14ac:dyDescent="0.25">
      <c r="A297" s="27" t="s">
        <v>96</v>
      </c>
      <c r="B297" s="24">
        <f>AVERAGE(B$164:B$175)</f>
        <v>1.3636363636363635</v>
      </c>
      <c r="C297" s="24">
        <f t="shared" ref="C297:BN297" si="54">AVERAGE(C$164:C$175)</f>
        <v>1.25</v>
      </c>
      <c r="D297" s="24">
        <f t="shared" si="54"/>
        <v>2.75</v>
      </c>
      <c r="E297" s="24">
        <f t="shared" si="54"/>
        <v>0.16666666666666666</v>
      </c>
      <c r="F297" s="24">
        <f t="shared" si="54"/>
        <v>1.75</v>
      </c>
      <c r="G297" s="24">
        <f t="shared" si="54"/>
        <v>1.6666666666666667</v>
      </c>
      <c r="H297" s="24">
        <f t="shared" si="54"/>
        <v>0.83333333333333337</v>
      </c>
      <c r="I297" s="24">
        <f t="shared" si="54"/>
        <v>0.41666666666666669</v>
      </c>
      <c r="J297" s="24">
        <f t="shared" si="54"/>
        <v>2.6666666666666665</v>
      </c>
      <c r="K297" s="24">
        <f t="shared" si="54"/>
        <v>0.16666666666666666</v>
      </c>
      <c r="L297" s="24">
        <f t="shared" si="54"/>
        <v>1</v>
      </c>
      <c r="M297" s="24">
        <f t="shared" si="54"/>
        <v>1.1666666666666667</v>
      </c>
      <c r="N297" s="24">
        <f t="shared" si="54"/>
        <v>0.66666666666666663</v>
      </c>
      <c r="O297" s="24">
        <f t="shared" si="54"/>
        <v>8.3333333333333329E-2</v>
      </c>
      <c r="P297" s="24">
        <f t="shared" si="54"/>
        <v>1.0833333333333333</v>
      </c>
      <c r="Q297" s="24">
        <f t="shared" si="54"/>
        <v>0.75</v>
      </c>
      <c r="R297" s="24">
        <f t="shared" si="54"/>
        <v>0.16666666666666666</v>
      </c>
      <c r="S297" s="24">
        <f t="shared" si="54"/>
        <v>1.1666666666666667</v>
      </c>
      <c r="T297" s="24">
        <f t="shared" si="54"/>
        <v>1.0833333333333333</v>
      </c>
      <c r="U297" s="24">
        <f t="shared" si="54"/>
        <v>0.75</v>
      </c>
      <c r="V297" s="24">
        <f t="shared" si="54"/>
        <v>0.25</v>
      </c>
      <c r="W297" s="24">
        <f t="shared" si="54"/>
        <v>0.75</v>
      </c>
      <c r="X297" s="24">
        <f t="shared" si="54"/>
        <v>0.33333333333333331</v>
      </c>
      <c r="Y297" s="24">
        <f t="shared" si="54"/>
        <v>0.5</v>
      </c>
      <c r="Z297" s="24">
        <f t="shared" si="54"/>
        <v>0.66666666666666663</v>
      </c>
      <c r="AA297" s="24">
        <f t="shared" si="54"/>
        <v>0.66666666666666663</v>
      </c>
      <c r="AB297" s="24">
        <f t="shared" si="54"/>
        <v>0.5</v>
      </c>
      <c r="AC297" s="24">
        <f t="shared" si="54"/>
        <v>0.33333333333333331</v>
      </c>
      <c r="AD297" s="24">
        <f t="shared" si="54"/>
        <v>0.91666666666666663</v>
      </c>
      <c r="AE297" s="24">
        <f t="shared" si="54"/>
        <v>0.58333333333333337</v>
      </c>
      <c r="AF297" s="24">
        <f t="shared" si="54"/>
        <v>0.75</v>
      </c>
      <c r="AG297" s="24">
        <f t="shared" si="54"/>
        <v>0.66666666666666663</v>
      </c>
      <c r="AH297" s="24">
        <f t="shared" si="54"/>
        <v>0.33333333333333331</v>
      </c>
      <c r="AI297" s="24">
        <f t="shared" si="54"/>
        <v>1.5</v>
      </c>
      <c r="AJ297" s="24">
        <f t="shared" si="54"/>
        <v>1.0909090909090908</v>
      </c>
      <c r="AK297" s="24">
        <f t="shared" si="54"/>
        <v>0.58333333333333337</v>
      </c>
      <c r="AL297" s="24">
        <f t="shared" si="54"/>
        <v>1.75</v>
      </c>
      <c r="AM297" s="24">
        <f t="shared" si="54"/>
        <v>1.5</v>
      </c>
      <c r="AN297" s="24">
        <f t="shared" si="54"/>
        <v>0.66666666666666663</v>
      </c>
      <c r="AO297" s="24">
        <f t="shared" si="54"/>
        <v>1.3333333333333333</v>
      </c>
      <c r="AP297" s="24">
        <f t="shared" si="54"/>
        <v>1.5833333333333333</v>
      </c>
      <c r="AQ297" s="24">
        <f t="shared" si="54"/>
        <v>0.58333333333333337</v>
      </c>
      <c r="AR297" s="24">
        <f t="shared" si="54"/>
        <v>1.5833333333333333</v>
      </c>
      <c r="AS297" s="24">
        <f t="shared" si="54"/>
        <v>0.41666666666666669</v>
      </c>
      <c r="AT297" s="24">
        <f t="shared" si="54"/>
        <v>2.5833333333333335</v>
      </c>
      <c r="AU297" s="24">
        <f t="shared" si="54"/>
        <v>0.54545454545454541</v>
      </c>
      <c r="AV297" s="24">
        <f t="shared" si="54"/>
        <v>0.41666666666666669</v>
      </c>
      <c r="AW297" s="24">
        <f t="shared" si="54"/>
        <v>0.91666666666666663</v>
      </c>
      <c r="AX297" s="24">
        <f t="shared" si="54"/>
        <v>0.41666666666666669</v>
      </c>
      <c r="AY297" s="24">
        <f t="shared" si="54"/>
        <v>8.3333333333333329E-2</v>
      </c>
      <c r="AZ297" s="24">
        <f t="shared" si="54"/>
        <v>0.75</v>
      </c>
      <c r="BA297" s="24">
        <f t="shared" si="54"/>
        <v>8.3333333333333329E-2</v>
      </c>
      <c r="BB297" s="24">
        <f t="shared" si="54"/>
        <v>0.75</v>
      </c>
      <c r="BC297" s="24">
        <f t="shared" si="54"/>
        <v>0.58333333333333337</v>
      </c>
      <c r="BD297" s="24">
        <f t="shared" si="54"/>
        <v>0.58333333333333337</v>
      </c>
      <c r="BE297" s="24">
        <f t="shared" si="54"/>
        <v>0.58333333333333337</v>
      </c>
      <c r="BF297" s="24">
        <f t="shared" si="54"/>
        <v>0.33333333333333331</v>
      </c>
      <c r="BG297" s="24">
        <f t="shared" si="54"/>
        <v>0.91666666666666663</v>
      </c>
      <c r="BH297" s="24">
        <f t="shared" si="54"/>
        <v>8.3333333333333329E-2</v>
      </c>
      <c r="BI297" s="24">
        <f t="shared" si="54"/>
        <v>0.75</v>
      </c>
      <c r="BJ297" s="24">
        <f t="shared" si="54"/>
        <v>0.33333333333333331</v>
      </c>
      <c r="BK297" s="24">
        <f t="shared" si="54"/>
        <v>0.90909090909090906</v>
      </c>
      <c r="BL297" s="24">
        <f t="shared" si="54"/>
        <v>1.1666666666666667</v>
      </c>
      <c r="BM297" s="24">
        <f t="shared" si="54"/>
        <v>0.83333333333333337</v>
      </c>
      <c r="BN297" s="24">
        <f t="shared" si="54"/>
        <v>1.3333333333333333</v>
      </c>
      <c r="BO297" s="24">
        <f t="shared" ref="BO297:CK297" si="55">AVERAGE(BO$164:BO$175)</f>
        <v>1.25</v>
      </c>
      <c r="BP297" s="24">
        <f t="shared" si="55"/>
        <v>0.75</v>
      </c>
      <c r="BQ297" s="24">
        <f t="shared" si="55"/>
        <v>0.66666666666666663</v>
      </c>
      <c r="BR297" s="24">
        <f t="shared" si="55"/>
        <v>0.33333333333333331</v>
      </c>
      <c r="BS297" s="24">
        <f t="shared" si="55"/>
        <v>8.3333333333333329E-2</v>
      </c>
      <c r="BT297" s="24">
        <f t="shared" si="55"/>
        <v>1.3333333333333333</v>
      </c>
      <c r="BU297" s="24">
        <f t="shared" si="55"/>
        <v>1.3333333333333333</v>
      </c>
      <c r="BV297" s="24">
        <f t="shared" si="55"/>
        <v>0.41666666666666669</v>
      </c>
      <c r="BW297" s="24">
        <f t="shared" si="55"/>
        <v>0.5</v>
      </c>
      <c r="BX297" s="24">
        <f t="shared" si="55"/>
        <v>0.58333333333333337</v>
      </c>
      <c r="BY297" s="24">
        <f t="shared" si="55"/>
        <v>1.4166666666666667</v>
      </c>
      <c r="BZ297" s="24">
        <f t="shared" si="55"/>
        <v>1.3333333333333333</v>
      </c>
      <c r="CA297" s="24">
        <f t="shared" si="55"/>
        <v>1.25</v>
      </c>
      <c r="CB297" s="24">
        <f t="shared" si="55"/>
        <v>2.6666666666666665</v>
      </c>
      <c r="CC297" s="24">
        <f t="shared" si="55"/>
        <v>0.66666666666666663</v>
      </c>
      <c r="CD297" s="24">
        <f t="shared" si="55"/>
        <v>2.8333333333333335</v>
      </c>
      <c r="CE297" s="24">
        <f t="shared" si="55"/>
        <v>0.58333333333333337</v>
      </c>
      <c r="CF297" s="24">
        <f t="shared" si="55"/>
        <v>0.58333333333333337</v>
      </c>
      <c r="CG297" s="24">
        <f t="shared" si="55"/>
        <v>0.41666666666666669</v>
      </c>
      <c r="CH297" s="24">
        <f t="shared" si="55"/>
        <v>1.4166666666666667</v>
      </c>
      <c r="CI297" s="24">
        <f t="shared" si="55"/>
        <v>2.1666666666666665</v>
      </c>
      <c r="CJ297" s="24">
        <f t="shared" si="55"/>
        <v>1.5833333333333333</v>
      </c>
      <c r="CK297" s="24">
        <f t="shared" si="55"/>
        <v>0.83333333333333337</v>
      </c>
    </row>
    <row r="298" spans="1:89" x14ac:dyDescent="0.25">
      <c r="A298" s="22" t="s">
        <v>22</v>
      </c>
      <c r="B298" s="24">
        <f>(B$308/24)*100</f>
        <v>4.1666666666666661</v>
      </c>
      <c r="C298" s="24">
        <f t="shared" ref="C298:BN298" si="56">(C$308/24)*100</f>
        <v>4.1666666666666661</v>
      </c>
      <c r="D298" s="24">
        <f t="shared" si="56"/>
        <v>4.1666666666666661</v>
      </c>
      <c r="E298" s="24">
        <f t="shared" si="56"/>
        <v>41.666666666666671</v>
      </c>
      <c r="F298" s="24">
        <f t="shared" si="56"/>
        <v>20.833333333333336</v>
      </c>
      <c r="G298" s="24">
        <f t="shared" si="56"/>
        <v>0</v>
      </c>
      <c r="H298" s="24">
        <f t="shared" si="56"/>
        <v>12.5</v>
      </c>
      <c r="I298" s="24">
        <f t="shared" si="56"/>
        <v>20.833333333333336</v>
      </c>
      <c r="J298" s="24">
        <f t="shared" si="56"/>
        <v>20.833333333333336</v>
      </c>
      <c r="K298" s="24">
        <f t="shared" si="56"/>
        <v>0</v>
      </c>
      <c r="L298" s="24">
        <f t="shared" si="56"/>
        <v>50</v>
      </c>
      <c r="M298" s="24">
        <f t="shared" si="56"/>
        <v>12.5</v>
      </c>
      <c r="N298" s="24">
        <f t="shared" si="56"/>
        <v>8.3333333333333321</v>
      </c>
      <c r="O298" s="24">
        <f t="shared" si="56"/>
        <v>4.1666666666666661</v>
      </c>
      <c r="P298" s="24">
        <f t="shared" si="56"/>
        <v>8.3333333333333321</v>
      </c>
      <c r="Q298" s="24">
        <f t="shared" si="56"/>
        <v>25</v>
      </c>
      <c r="R298" s="24">
        <f t="shared" si="56"/>
        <v>4.1666666666666661</v>
      </c>
      <c r="S298" s="24">
        <f t="shared" si="56"/>
        <v>0</v>
      </c>
      <c r="T298" s="24">
        <f t="shared" si="56"/>
        <v>8.3333333333333321</v>
      </c>
      <c r="U298" s="24">
        <f t="shared" si="56"/>
        <v>16.666666666666664</v>
      </c>
      <c r="V298" s="24">
        <f t="shared" si="56"/>
        <v>4.1666666666666661</v>
      </c>
      <c r="W298" s="24">
        <f t="shared" si="56"/>
        <v>33.333333333333329</v>
      </c>
      <c r="X298" s="24">
        <f t="shared" si="56"/>
        <v>0</v>
      </c>
      <c r="Y298" s="24">
        <f t="shared" si="56"/>
        <v>20.833333333333336</v>
      </c>
      <c r="Z298" s="24">
        <f t="shared" si="56"/>
        <v>33.333333333333329</v>
      </c>
      <c r="AA298" s="24">
        <f t="shared" si="56"/>
        <v>33.333333333333329</v>
      </c>
      <c r="AB298" s="24">
        <f t="shared" si="56"/>
        <v>37.5</v>
      </c>
      <c r="AC298" s="24">
        <f t="shared" si="56"/>
        <v>8.3333333333333321</v>
      </c>
      <c r="AD298" s="24">
        <f t="shared" si="56"/>
        <v>16.666666666666664</v>
      </c>
      <c r="AE298" s="24">
        <f t="shared" si="56"/>
        <v>37.5</v>
      </c>
      <c r="AF298" s="24">
        <f t="shared" si="56"/>
        <v>37.5</v>
      </c>
      <c r="AG298" s="24">
        <f t="shared" si="56"/>
        <v>0</v>
      </c>
      <c r="AH298" s="24">
        <f t="shared" si="56"/>
        <v>29.166666666666668</v>
      </c>
      <c r="AI298" s="24">
        <f t="shared" si="56"/>
        <v>33.333333333333329</v>
      </c>
      <c r="AJ298" s="24">
        <f t="shared" si="56"/>
        <v>16.666666666666664</v>
      </c>
      <c r="AK298" s="24">
        <f t="shared" si="56"/>
        <v>0</v>
      </c>
      <c r="AL298" s="24">
        <f t="shared" si="56"/>
        <v>16.666666666666664</v>
      </c>
      <c r="AM298" s="24">
        <f t="shared" si="56"/>
        <v>16.666666666666664</v>
      </c>
      <c r="AN298" s="24">
        <f t="shared" si="56"/>
        <v>29.166666666666668</v>
      </c>
      <c r="AO298" s="24">
        <f t="shared" si="56"/>
        <v>20.833333333333336</v>
      </c>
      <c r="AP298" s="24">
        <f t="shared" si="56"/>
        <v>25</v>
      </c>
      <c r="AQ298" s="24">
        <f t="shared" si="56"/>
        <v>33.333333333333329</v>
      </c>
      <c r="AR298" s="24">
        <f t="shared" si="56"/>
        <v>8.3333333333333321</v>
      </c>
      <c r="AS298" s="24">
        <f t="shared" si="56"/>
        <v>0</v>
      </c>
      <c r="AT298" s="24">
        <f t="shared" si="56"/>
        <v>8.3333333333333321</v>
      </c>
      <c r="AU298" s="24">
        <f t="shared" si="56"/>
        <v>45.833333333333329</v>
      </c>
      <c r="AV298" s="24">
        <f t="shared" si="56"/>
        <v>50</v>
      </c>
      <c r="AW298" s="24">
        <f t="shared" si="56"/>
        <v>8.3333333333333321</v>
      </c>
      <c r="AX298" s="24">
        <f t="shared" si="56"/>
        <v>12.5</v>
      </c>
      <c r="AY298" s="24">
        <f t="shared" si="56"/>
        <v>0</v>
      </c>
      <c r="AZ298" s="24">
        <f t="shared" si="56"/>
        <v>12.5</v>
      </c>
      <c r="BA298" s="24">
        <f t="shared" si="56"/>
        <v>0</v>
      </c>
      <c r="BB298" s="24">
        <f t="shared" si="56"/>
        <v>16.666666666666664</v>
      </c>
      <c r="BC298" s="24">
        <f t="shared" si="56"/>
        <v>37.5</v>
      </c>
      <c r="BD298" s="24">
        <f t="shared" si="56"/>
        <v>37.5</v>
      </c>
      <c r="BE298" s="24">
        <f t="shared" si="56"/>
        <v>8.3333333333333321</v>
      </c>
      <c r="BF298" s="24">
        <f t="shared" si="56"/>
        <v>12.5</v>
      </c>
      <c r="BG298" s="24">
        <f t="shared" si="56"/>
        <v>20.833333333333336</v>
      </c>
      <c r="BH298" s="24">
        <f t="shared" si="56"/>
        <v>4.1666666666666661</v>
      </c>
      <c r="BI298" s="24">
        <f t="shared" si="56"/>
        <v>29.166666666666668</v>
      </c>
      <c r="BJ298" s="24">
        <f t="shared" si="56"/>
        <v>16.666666666666664</v>
      </c>
      <c r="BK298" s="24">
        <f t="shared" si="56"/>
        <v>0</v>
      </c>
      <c r="BL298" s="24">
        <f t="shared" si="56"/>
        <v>12.5</v>
      </c>
      <c r="BM298" s="24">
        <f t="shared" si="56"/>
        <v>8.3333333333333321</v>
      </c>
      <c r="BN298" s="24">
        <f t="shared" si="56"/>
        <v>37.5</v>
      </c>
      <c r="BO298" s="24">
        <f t="shared" ref="BO298:CK298" si="57">(BO$308/24)*100</f>
        <v>54.166666666666664</v>
      </c>
      <c r="BP298" s="24">
        <f t="shared" si="57"/>
        <v>12.5</v>
      </c>
      <c r="BQ298" s="24">
        <f t="shared" si="57"/>
        <v>41.666666666666671</v>
      </c>
      <c r="BR298" s="24">
        <f t="shared" si="57"/>
        <v>33.333333333333329</v>
      </c>
      <c r="BS298" s="24">
        <f t="shared" si="57"/>
        <v>4.1666666666666661</v>
      </c>
      <c r="BT298" s="24">
        <f t="shared" si="57"/>
        <v>0</v>
      </c>
      <c r="BU298" s="24">
        <f t="shared" si="57"/>
        <v>25</v>
      </c>
      <c r="BV298" s="24">
        <f t="shared" si="57"/>
        <v>0</v>
      </c>
      <c r="BW298" s="24">
        <f t="shared" si="57"/>
        <v>58.333333333333336</v>
      </c>
      <c r="BX298" s="24">
        <f t="shared" si="57"/>
        <v>16.666666666666664</v>
      </c>
      <c r="BY298" s="24">
        <f t="shared" si="57"/>
        <v>29.166666666666668</v>
      </c>
      <c r="BZ298" s="24">
        <f t="shared" si="57"/>
        <v>45.833333333333329</v>
      </c>
      <c r="CA298" s="24">
        <f t="shared" si="57"/>
        <v>0</v>
      </c>
      <c r="CB298" s="24">
        <f t="shared" si="57"/>
        <v>0</v>
      </c>
      <c r="CC298" s="24">
        <f t="shared" si="57"/>
        <v>8.3333333333333321</v>
      </c>
      <c r="CD298" s="24">
        <f t="shared" si="57"/>
        <v>4.1666666666666661</v>
      </c>
      <c r="CE298" s="24">
        <f t="shared" si="57"/>
        <v>4.1666666666666661</v>
      </c>
      <c r="CF298" s="24">
        <f t="shared" si="57"/>
        <v>16.666666666666664</v>
      </c>
      <c r="CG298" s="24">
        <f t="shared" si="57"/>
        <v>54.166666666666664</v>
      </c>
      <c r="CH298" s="24">
        <f t="shared" si="57"/>
        <v>25</v>
      </c>
      <c r="CI298" s="24">
        <f t="shared" si="57"/>
        <v>0</v>
      </c>
      <c r="CJ298" s="24">
        <f t="shared" si="57"/>
        <v>8.3333333333333321</v>
      </c>
      <c r="CK298" s="24">
        <f t="shared" si="57"/>
        <v>33.333333333333329</v>
      </c>
    </row>
    <row r="299" spans="1:89" x14ac:dyDescent="0.25">
      <c r="A299" s="22" t="s">
        <v>23</v>
      </c>
      <c r="B299" s="24">
        <f>(B$309/24)*100</f>
        <v>95.833333333333343</v>
      </c>
      <c r="C299" s="24">
        <f t="shared" ref="C299:BN299" si="58">(C$309/24)*100</f>
        <v>58.333333333333336</v>
      </c>
      <c r="D299" s="24">
        <f t="shared" si="58"/>
        <v>75</v>
      </c>
      <c r="E299" s="24">
        <f t="shared" si="58"/>
        <v>58.333333333333336</v>
      </c>
      <c r="F299" s="24">
        <f t="shared" si="58"/>
        <v>45.833333333333329</v>
      </c>
      <c r="G299" s="24">
        <f t="shared" si="58"/>
        <v>83.333333333333343</v>
      </c>
      <c r="H299" s="24">
        <f t="shared" si="58"/>
        <v>75</v>
      </c>
      <c r="I299" s="24">
        <f t="shared" si="58"/>
        <v>29.166666666666668</v>
      </c>
      <c r="J299" s="24">
        <f t="shared" si="58"/>
        <v>70.833333333333343</v>
      </c>
      <c r="K299" s="24">
        <f t="shared" si="58"/>
        <v>95.833333333333343</v>
      </c>
      <c r="L299" s="24">
        <f t="shared" si="58"/>
        <v>41.666666666666671</v>
      </c>
      <c r="M299" s="24">
        <f t="shared" si="58"/>
        <v>54.166666666666664</v>
      </c>
      <c r="N299" s="24">
        <f t="shared" si="58"/>
        <v>75</v>
      </c>
      <c r="O299" s="24">
        <f t="shared" si="58"/>
        <v>45.833333333333329</v>
      </c>
      <c r="P299" s="24">
        <f t="shared" si="58"/>
        <v>62.5</v>
      </c>
      <c r="Q299" s="24">
        <f t="shared" si="58"/>
        <v>66.666666666666657</v>
      </c>
      <c r="R299" s="24">
        <f t="shared" si="58"/>
        <v>58.333333333333336</v>
      </c>
      <c r="S299" s="24">
        <f t="shared" si="58"/>
        <v>75</v>
      </c>
      <c r="T299" s="24">
        <f t="shared" si="58"/>
        <v>75</v>
      </c>
      <c r="U299" s="24">
        <f t="shared" si="58"/>
        <v>33.333333333333329</v>
      </c>
      <c r="V299" s="24">
        <f t="shared" si="58"/>
        <v>45.833333333333329</v>
      </c>
      <c r="W299" s="24">
        <f t="shared" si="58"/>
        <v>62.5</v>
      </c>
      <c r="X299" s="24">
        <f t="shared" si="58"/>
        <v>95.833333333333343</v>
      </c>
      <c r="Y299" s="24">
        <f t="shared" si="58"/>
        <v>50</v>
      </c>
      <c r="Z299" s="24">
        <f t="shared" si="58"/>
        <v>50</v>
      </c>
      <c r="AA299" s="24">
        <f t="shared" si="58"/>
        <v>54.166666666666664</v>
      </c>
      <c r="AB299" s="24">
        <f t="shared" si="58"/>
        <v>62.5</v>
      </c>
      <c r="AC299" s="24">
        <f t="shared" si="58"/>
        <v>66.666666666666657</v>
      </c>
      <c r="AD299" s="24">
        <f t="shared" si="58"/>
        <v>79.166666666666657</v>
      </c>
      <c r="AE299" s="24">
        <f t="shared" si="58"/>
        <v>41.666666666666671</v>
      </c>
      <c r="AF299" s="24">
        <f t="shared" si="58"/>
        <v>50</v>
      </c>
      <c r="AG299" s="24">
        <f t="shared" si="58"/>
        <v>45.833333333333329</v>
      </c>
      <c r="AH299" s="24">
        <f t="shared" si="58"/>
        <v>50</v>
      </c>
      <c r="AI299" s="24">
        <f t="shared" si="58"/>
        <v>50</v>
      </c>
      <c r="AJ299" s="24">
        <f t="shared" si="58"/>
        <v>70.833333333333343</v>
      </c>
      <c r="AK299" s="24">
        <f t="shared" si="58"/>
        <v>66.666666666666657</v>
      </c>
      <c r="AL299" s="24">
        <f t="shared" si="58"/>
        <v>66.666666666666657</v>
      </c>
      <c r="AM299" s="24">
        <f t="shared" si="58"/>
        <v>62.5</v>
      </c>
      <c r="AN299" s="24">
        <f t="shared" si="58"/>
        <v>50</v>
      </c>
      <c r="AO299" s="24">
        <f t="shared" si="58"/>
        <v>58.333333333333336</v>
      </c>
      <c r="AP299" s="24">
        <f t="shared" si="58"/>
        <v>54.166666666666664</v>
      </c>
      <c r="AQ299" s="24">
        <f t="shared" si="58"/>
        <v>62.5</v>
      </c>
      <c r="AR299" s="24">
        <f t="shared" si="58"/>
        <v>66.666666666666657</v>
      </c>
      <c r="AS299" s="24">
        <f t="shared" si="58"/>
        <v>91.666666666666657</v>
      </c>
      <c r="AT299" s="24">
        <f t="shared" si="58"/>
        <v>87.5</v>
      </c>
      <c r="AU299" s="24">
        <f t="shared" si="58"/>
        <v>45.833333333333329</v>
      </c>
      <c r="AV299" s="24">
        <f t="shared" si="58"/>
        <v>45.833333333333329</v>
      </c>
      <c r="AW299" s="24">
        <f t="shared" si="58"/>
        <v>70.833333333333343</v>
      </c>
      <c r="AX299" s="24">
        <f t="shared" si="58"/>
        <v>70.833333333333343</v>
      </c>
      <c r="AY299" s="24">
        <f t="shared" si="58"/>
        <v>54.166666666666664</v>
      </c>
      <c r="AZ299" s="24">
        <f t="shared" si="58"/>
        <v>79.166666666666657</v>
      </c>
      <c r="BA299" s="24">
        <f t="shared" si="58"/>
        <v>70.833333333333343</v>
      </c>
      <c r="BB299" s="24">
        <f t="shared" si="58"/>
        <v>54.166666666666664</v>
      </c>
      <c r="BC299" s="24">
        <f t="shared" si="58"/>
        <v>54.166666666666664</v>
      </c>
      <c r="BD299" s="24">
        <f t="shared" si="58"/>
        <v>41.666666666666671</v>
      </c>
      <c r="BE299" s="24">
        <f t="shared" si="58"/>
        <v>91.666666666666657</v>
      </c>
      <c r="BF299" s="24">
        <f t="shared" si="58"/>
        <v>87.5</v>
      </c>
      <c r="BG299" s="24">
        <f t="shared" si="58"/>
        <v>58.333333333333336</v>
      </c>
      <c r="BH299" s="24">
        <f t="shared" si="58"/>
        <v>75</v>
      </c>
      <c r="BI299" s="24">
        <f t="shared" si="58"/>
        <v>45.833333333333329</v>
      </c>
      <c r="BJ299" s="24">
        <f t="shared" si="58"/>
        <v>83.333333333333343</v>
      </c>
      <c r="BK299" s="24">
        <f t="shared" si="58"/>
        <v>83.333333333333343</v>
      </c>
      <c r="BL299" s="24">
        <f t="shared" si="58"/>
        <v>75</v>
      </c>
      <c r="BM299" s="24">
        <f t="shared" si="58"/>
        <v>62.5</v>
      </c>
      <c r="BN299" s="24">
        <f t="shared" si="58"/>
        <v>41.666666666666671</v>
      </c>
      <c r="BO299" s="24">
        <f t="shared" ref="BO299:CK299" si="59">(BO$309/24)*100</f>
        <v>29.166666666666668</v>
      </c>
      <c r="BP299" s="24">
        <f t="shared" si="59"/>
        <v>62.5</v>
      </c>
      <c r="BQ299" s="24">
        <f t="shared" si="59"/>
        <v>45.833333333333329</v>
      </c>
      <c r="BR299" s="24">
        <f t="shared" si="59"/>
        <v>58.333333333333336</v>
      </c>
      <c r="BS299" s="24">
        <f t="shared" si="59"/>
        <v>58.333333333333336</v>
      </c>
      <c r="BT299" s="24">
        <f t="shared" si="59"/>
        <v>100</v>
      </c>
      <c r="BU299" s="24">
        <f t="shared" si="59"/>
        <v>75</v>
      </c>
      <c r="BV299" s="24">
        <f t="shared" si="59"/>
        <v>37.5</v>
      </c>
      <c r="BW299" s="24">
        <f t="shared" si="59"/>
        <v>33.333333333333329</v>
      </c>
      <c r="BX299" s="24">
        <f t="shared" si="59"/>
        <v>79.166666666666657</v>
      </c>
      <c r="BY299" s="24">
        <f t="shared" si="59"/>
        <v>54.166666666666664</v>
      </c>
      <c r="BZ299" s="24">
        <f t="shared" si="59"/>
        <v>16.666666666666664</v>
      </c>
      <c r="CA299" s="24">
        <f t="shared" si="59"/>
        <v>70.833333333333343</v>
      </c>
      <c r="CB299" s="24">
        <f t="shared" si="59"/>
        <v>54.166666666666664</v>
      </c>
      <c r="CC299" s="24">
        <f t="shared" si="59"/>
        <v>75</v>
      </c>
      <c r="CD299" s="24">
        <f t="shared" si="59"/>
        <v>54.166666666666664</v>
      </c>
      <c r="CE299" s="24">
        <f t="shared" si="59"/>
        <v>91.666666666666657</v>
      </c>
      <c r="CF299" s="24">
        <f t="shared" si="59"/>
        <v>66.666666666666657</v>
      </c>
      <c r="CG299" s="24">
        <f t="shared" si="59"/>
        <v>41.666666666666671</v>
      </c>
      <c r="CH299" s="24">
        <f t="shared" si="59"/>
        <v>58.333333333333336</v>
      </c>
      <c r="CI299" s="24">
        <f t="shared" si="59"/>
        <v>66.666666666666657</v>
      </c>
      <c r="CJ299" s="24">
        <f t="shared" si="59"/>
        <v>62.5</v>
      </c>
      <c r="CK299" s="24">
        <f t="shared" si="59"/>
        <v>58.333333333333336</v>
      </c>
    </row>
    <row r="300" spans="1:89" x14ac:dyDescent="0.25">
      <c r="A300" s="22" t="s">
        <v>24</v>
      </c>
      <c r="B300" s="24">
        <f>(B$310/24)*100</f>
        <v>0</v>
      </c>
      <c r="C300" s="24">
        <f t="shared" ref="C300:BN300" si="60">(C$310/24)*100</f>
        <v>33.333333333333329</v>
      </c>
      <c r="D300" s="24">
        <f t="shared" si="60"/>
        <v>20.833333333333336</v>
      </c>
      <c r="E300" s="24">
        <f t="shared" si="60"/>
        <v>0</v>
      </c>
      <c r="F300" s="24">
        <f t="shared" si="60"/>
        <v>33.333333333333329</v>
      </c>
      <c r="G300" s="24">
        <f t="shared" si="60"/>
        <v>16.666666666666664</v>
      </c>
      <c r="H300" s="24">
        <f t="shared" si="60"/>
        <v>12.5</v>
      </c>
      <c r="I300" s="24">
        <f t="shared" si="60"/>
        <v>50</v>
      </c>
      <c r="J300" s="24">
        <f t="shared" si="60"/>
        <v>8.3333333333333321</v>
      </c>
      <c r="K300" s="24">
        <f t="shared" si="60"/>
        <v>4.1666666666666661</v>
      </c>
      <c r="L300" s="24">
        <f t="shared" si="60"/>
        <v>8.3333333333333321</v>
      </c>
      <c r="M300" s="24">
        <f t="shared" si="60"/>
        <v>33.333333333333329</v>
      </c>
      <c r="N300" s="24">
        <f t="shared" si="60"/>
        <v>16.666666666666664</v>
      </c>
      <c r="O300" s="24">
        <f t="shared" si="60"/>
        <v>50</v>
      </c>
      <c r="P300" s="24">
        <f t="shared" si="60"/>
        <v>29.166666666666668</v>
      </c>
      <c r="Q300" s="24">
        <f t="shared" si="60"/>
        <v>4.1666666666666661</v>
      </c>
      <c r="R300" s="24">
        <f t="shared" si="60"/>
        <v>37.5</v>
      </c>
      <c r="S300" s="24">
        <f t="shared" si="60"/>
        <v>25</v>
      </c>
      <c r="T300" s="24">
        <f t="shared" si="60"/>
        <v>16.666666666666664</v>
      </c>
      <c r="U300" s="24">
        <f t="shared" si="60"/>
        <v>50</v>
      </c>
      <c r="V300" s="24">
        <f t="shared" si="60"/>
        <v>50</v>
      </c>
      <c r="W300" s="24">
        <f t="shared" si="60"/>
        <v>4.1666666666666661</v>
      </c>
      <c r="X300" s="24">
        <f t="shared" si="60"/>
        <v>4.1666666666666661</v>
      </c>
      <c r="Y300" s="24">
        <f t="shared" si="60"/>
        <v>29.166666666666668</v>
      </c>
      <c r="Z300" s="24">
        <f t="shared" si="60"/>
        <v>16.666666666666664</v>
      </c>
      <c r="AA300" s="24">
        <f t="shared" si="60"/>
        <v>12.5</v>
      </c>
      <c r="AB300" s="24">
        <f t="shared" si="60"/>
        <v>0</v>
      </c>
      <c r="AC300" s="24">
        <f t="shared" si="60"/>
        <v>25</v>
      </c>
      <c r="AD300" s="24">
        <f t="shared" si="60"/>
        <v>4.1666666666666661</v>
      </c>
      <c r="AE300" s="24">
        <f t="shared" si="60"/>
        <v>20.833333333333336</v>
      </c>
      <c r="AF300" s="24">
        <f t="shared" si="60"/>
        <v>12.5</v>
      </c>
      <c r="AG300" s="24">
        <f t="shared" si="60"/>
        <v>50</v>
      </c>
      <c r="AH300" s="24">
        <f t="shared" si="60"/>
        <v>20.833333333333336</v>
      </c>
      <c r="AI300" s="24">
        <f t="shared" si="60"/>
        <v>16.666666666666664</v>
      </c>
      <c r="AJ300" s="24">
        <f t="shared" si="60"/>
        <v>12.5</v>
      </c>
      <c r="AK300" s="24">
        <f t="shared" si="60"/>
        <v>33.333333333333329</v>
      </c>
      <c r="AL300" s="24">
        <f t="shared" si="60"/>
        <v>16.666666666666664</v>
      </c>
      <c r="AM300" s="24">
        <f t="shared" si="60"/>
        <v>20.833333333333336</v>
      </c>
      <c r="AN300" s="24">
        <f t="shared" si="60"/>
        <v>20.833333333333336</v>
      </c>
      <c r="AO300" s="24">
        <f t="shared" si="60"/>
        <v>20.833333333333336</v>
      </c>
      <c r="AP300" s="24">
        <f t="shared" si="60"/>
        <v>20.833333333333336</v>
      </c>
      <c r="AQ300" s="24">
        <f t="shared" si="60"/>
        <v>4.1666666666666661</v>
      </c>
      <c r="AR300" s="24">
        <f t="shared" si="60"/>
        <v>20.833333333333336</v>
      </c>
      <c r="AS300" s="24">
        <f t="shared" si="60"/>
        <v>8.3333333333333321</v>
      </c>
      <c r="AT300" s="24">
        <f t="shared" si="60"/>
        <v>4.1666666666666661</v>
      </c>
      <c r="AU300" s="24">
        <f t="shared" si="60"/>
        <v>8.3333333333333321</v>
      </c>
      <c r="AV300" s="24">
        <f t="shared" si="60"/>
        <v>4.1666666666666661</v>
      </c>
      <c r="AW300" s="24">
        <f t="shared" si="60"/>
        <v>20.833333333333336</v>
      </c>
      <c r="AX300" s="24">
        <f t="shared" si="60"/>
        <v>16.666666666666664</v>
      </c>
      <c r="AY300" s="24">
        <f t="shared" si="60"/>
        <v>45.833333333333329</v>
      </c>
      <c r="AZ300" s="24">
        <f t="shared" si="60"/>
        <v>8.3333333333333321</v>
      </c>
      <c r="BA300" s="24">
        <f t="shared" si="60"/>
        <v>29.166666666666668</v>
      </c>
      <c r="BB300" s="24">
        <f t="shared" si="60"/>
        <v>29.166666666666668</v>
      </c>
      <c r="BC300" s="24">
        <f t="shared" si="60"/>
        <v>8.3333333333333321</v>
      </c>
      <c r="BD300" s="24">
        <f t="shared" si="60"/>
        <v>20.833333333333336</v>
      </c>
      <c r="BE300" s="24">
        <f t="shared" si="60"/>
        <v>0</v>
      </c>
      <c r="BF300" s="24">
        <f t="shared" si="60"/>
        <v>0</v>
      </c>
      <c r="BG300" s="24">
        <f t="shared" si="60"/>
        <v>20.833333333333336</v>
      </c>
      <c r="BH300" s="24">
        <f t="shared" si="60"/>
        <v>20.833333333333336</v>
      </c>
      <c r="BI300" s="24">
        <f t="shared" si="60"/>
        <v>25</v>
      </c>
      <c r="BJ300" s="24">
        <f t="shared" si="60"/>
        <v>0</v>
      </c>
      <c r="BK300" s="24">
        <f t="shared" si="60"/>
        <v>16.666666666666664</v>
      </c>
      <c r="BL300" s="24">
        <f t="shared" si="60"/>
        <v>12.5</v>
      </c>
      <c r="BM300" s="24">
        <f t="shared" si="60"/>
        <v>29.166666666666668</v>
      </c>
      <c r="BN300" s="24">
        <f t="shared" si="60"/>
        <v>20.833333333333336</v>
      </c>
      <c r="BO300" s="24">
        <f t="shared" ref="BO300:CK300" si="61">(BO$310/24)*100</f>
        <v>16.666666666666664</v>
      </c>
      <c r="BP300" s="24">
        <f t="shared" si="61"/>
        <v>25</v>
      </c>
      <c r="BQ300" s="24">
        <f t="shared" si="61"/>
        <v>12.5</v>
      </c>
      <c r="BR300" s="24">
        <f t="shared" si="61"/>
        <v>8.3333333333333321</v>
      </c>
      <c r="BS300" s="24">
        <f t="shared" si="61"/>
        <v>37.5</v>
      </c>
      <c r="BT300" s="24">
        <f t="shared" si="61"/>
        <v>0</v>
      </c>
      <c r="BU300" s="24">
        <f t="shared" si="61"/>
        <v>0</v>
      </c>
      <c r="BV300" s="24">
        <f t="shared" si="61"/>
        <v>62.5</v>
      </c>
      <c r="BW300" s="24">
        <f t="shared" si="61"/>
        <v>8.3333333333333321</v>
      </c>
      <c r="BX300" s="24">
        <f t="shared" si="61"/>
        <v>4.1666666666666661</v>
      </c>
      <c r="BY300" s="24">
        <f t="shared" si="61"/>
        <v>16.666666666666664</v>
      </c>
      <c r="BZ300" s="24">
        <f t="shared" si="61"/>
        <v>33.333333333333329</v>
      </c>
      <c r="CA300" s="24">
        <f t="shared" si="61"/>
        <v>29.166666666666668</v>
      </c>
      <c r="CB300" s="24">
        <f t="shared" si="61"/>
        <v>45.833333333333329</v>
      </c>
      <c r="CC300" s="24">
        <f t="shared" si="61"/>
        <v>16.666666666666664</v>
      </c>
      <c r="CD300" s="24">
        <f t="shared" si="61"/>
        <v>41.666666666666671</v>
      </c>
      <c r="CE300" s="24">
        <f t="shared" si="61"/>
        <v>4.1666666666666661</v>
      </c>
      <c r="CF300" s="24">
        <f t="shared" si="61"/>
        <v>16.666666666666664</v>
      </c>
      <c r="CG300" s="24">
        <f t="shared" si="61"/>
        <v>4.1666666666666661</v>
      </c>
      <c r="CH300" s="24">
        <f t="shared" si="61"/>
        <v>16.666666666666664</v>
      </c>
      <c r="CI300" s="24">
        <f t="shared" si="61"/>
        <v>33.333333333333329</v>
      </c>
      <c r="CJ300" s="24">
        <f t="shared" si="61"/>
        <v>29.166666666666668</v>
      </c>
      <c r="CK300" s="24">
        <f t="shared" si="61"/>
        <v>8.3333333333333321</v>
      </c>
    </row>
    <row r="301" spans="1:89" x14ac:dyDescent="0.25">
      <c r="A301" s="22" t="s">
        <v>498</v>
      </c>
      <c r="B301" s="24">
        <f>AVERAGE(B$177:B$201)</f>
        <v>37.541666666666664</v>
      </c>
      <c r="C301" s="24">
        <f t="shared" ref="C301:BN301" si="62">AVERAGE(C$177:C$201)</f>
        <v>50</v>
      </c>
      <c r="D301" s="24">
        <f t="shared" si="62"/>
        <v>44.583333333333336</v>
      </c>
      <c r="E301" s="24">
        <f t="shared" si="62"/>
        <v>21.333333333333332</v>
      </c>
      <c r="F301" s="24">
        <f t="shared" si="62"/>
        <v>43.333333333333336</v>
      </c>
      <c r="G301" s="24">
        <f t="shared" si="62"/>
        <v>44.375</v>
      </c>
      <c r="H301" s="24">
        <f t="shared" si="62"/>
        <v>36.875</v>
      </c>
      <c r="I301" s="24">
        <f t="shared" si="62"/>
        <v>49.375</v>
      </c>
      <c r="J301" s="24">
        <f t="shared" si="62"/>
        <v>29.791666666666668</v>
      </c>
      <c r="K301" s="24">
        <f t="shared" si="62"/>
        <v>40</v>
      </c>
      <c r="L301" s="24">
        <f t="shared" si="62"/>
        <v>21.833333333333332</v>
      </c>
      <c r="M301" s="24">
        <f t="shared" si="62"/>
        <v>40.625</v>
      </c>
      <c r="N301" s="24">
        <f t="shared" si="62"/>
        <v>37.5</v>
      </c>
      <c r="O301" s="24">
        <f t="shared" si="62"/>
        <v>50.625</v>
      </c>
      <c r="P301" s="24">
        <f t="shared" si="62"/>
        <v>42.916666666666664</v>
      </c>
      <c r="Q301" s="24">
        <f t="shared" si="62"/>
        <v>28.130434782608695</v>
      </c>
      <c r="R301" s="24">
        <f t="shared" si="62"/>
        <v>46.875</v>
      </c>
      <c r="S301" s="24">
        <f t="shared" si="62"/>
        <v>46.666666666666664</v>
      </c>
      <c r="T301" s="24">
        <f t="shared" si="62"/>
        <v>38.958333333333336</v>
      </c>
      <c r="U301" s="24">
        <f t="shared" si="62"/>
        <v>45.625</v>
      </c>
      <c r="V301" s="24">
        <f t="shared" si="62"/>
        <v>48.916666666666664</v>
      </c>
      <c r="W301" s="24">
        <f t="shared" si="62"/>
        <v>25.625</v>
      </c>
      <c r="X301" s="24">
        <f t="shared" si="62"/>
        <v>41.666666666666664</v>
      </c>
      <c r="Y301" s="24">
        <f t="shared" si="62"/>
        <v>36.666666666666664</v>
      </c>
      <c r="Z301" s="24">
        <f t="shared" si="62"/>
        <v>30.416666666666668</v>
      </c>
      <c r="AA301" s="24">
        <f t="shared" si="62"/>
        <v>29.166666666666668</v>
      </c>
      <c r="AB301" s="24">
        <f t="shared" si="62"/>
        <v>23.125</v>
      </c>
      <c r="AC301" s="24">
        <f t="shared" si="62"/>
        <v>42.5</v>
      </c>
      <c r="AD301" s="24">
        <f t="shared" si="62"/>
        <v>33.541666666666664</v>
      </c>
      <c r="AE301" s="24">
        <f t="shared" si="62"/>
        <v>33.541666666666664</v>
      </c>
      <c r="AF301" s="24">
        <f t="shared" si="62"/>
        <v>27.916666666666668</v>
      </c>
      <c r="AG301" s="24">
        <f t="shared" si="62"/>
        <v>50.869565217391305</v>
      </c>
      <c r="AH301" s="24">
        <f t="shared" si="62"/>
        <v>34.375</v>
      </c>
      <c r="AI301" s="24">
        <f t="shared" si="62"/>
        <v>27.916666666666668</v>
      </c>
      <c r="AJ301" s="24">
        <f t="shared" si="62"/>
        <v>32.083333333333336</v>
      </c>
      <c r="AK301" s="24">
        <f t="shared" si="62"/>
        <v>42.708333333333336</v>
      </c>
      <c r="AL301" s="24">
        <f t="shared" si="62"/>
        <v>37.708333333333336</v>
      </c>
      <c r="AM301" s="24">
        <f t="shared" si="62"/>
        <v>38.75</v>
      </c>
      <c r="AN301" s="24">
        <f t="shared" si="62"/>
        <v>30</v>
      </c>
      <c r="AO301" s="24">
        <f t="shared" si="62"/>
        <v>37.5</v>
      </c>
      <c r="AP301" s="24">
        <f t="shared" si="62"/>
        <v>32.708333333333336</v>
      </c>
      <c r="AQ301" s="24">
        <f t="shared" si="62"/>
        <v>26.25</v>
      </c>
      <c r="AR301" s="24">
        <f t="shared" si="62"/>
        <v>37.826086956521742</v>
      </c>
      <c r="AS301" s="24">
        <f t="shared" si="62"/>
        <v>39.791666666666664</v>
      </c>
      <c r="AT301" s="24">
        <f t="shared" si="62"/>
        <v>38.333333333333336</v>
      </c>
      <c r="AU301" s="24">
        <f t="shared" si="62"/>
        <v>25.625</v>
      </c>
      <c r="AV301" s="24">
        <f t="shared" si="62"/>
        <v>24.583333333333332</v>
      </c>
      <c r="AW301" s="24">
        <f t="shared" si="62"/>
        <v>41.041666666666664</v>
      </c>
      <c r="AX301" s="24">
        <f t="shared" si="62"/>
        <v>40</v>
      </c>
      <c r="AY301" s="24">
        <f t="shared" si="62"/>
        <v>51.666666666666664</v>
      </c>
      <c r="AZ301" s="24">
        <f t="shared" si="62"/>
        <v>33.541666666666664</v>
      </c>
      <c r="BA301" s="24">
        <f t="shared" si="62"/>
        <v>47.5</v>
      </c>
      <c r="BB301" s="24">
        <f t="shared" si="62"/>
        <v>36.25</v>
      </c>
      <c r="BC301" s="24">
        <f t="shared" si="62"/>
        <v>25.416666666666668</v>
      </c>
      <c r="BD301" s="24">
        <f t="shared" si="62"/>
        <v>30.833333333333332</v>
      </c>
      <c r="BE301" s="24">
        <f t="shared" si="62"/>
        <v>32.708333333333336</v>
      </c>
      <c r="BF301" s="24">
        <f t="shared" si="62"/>
        <v>33.333333333333336</v>
      </c>
      <c r="BG301" s="24">
        <f t="shared" si="62"/>
        <v>34.791666666666664</v>
      </c>
      <c r="BH301" s="24">
        <f t="shared" si="62"/>
        <v>39.125</v>
      </c>
      <c r="BI301" s="24">
        <f t="shared" si="62"/>
        <v>31.875</v>
      </c>
      <c r="BJ301" s="24">
        <f t="shared" si="62"/>
        <v>25.416666666666668</v>
      </c>
      <c r="BK301" s="24">
        <f t="shared" si="62"/>
        <v>41.458333333333336</v>
      </c>
      <c r="BL301" s="24">
        <f t="shared" si="62"/>
        <v>36.875</v>
      </c>
      <c r="BM301" s="24">
        <f t="shared" si="62"/>
        <v>48.75</v>
      </c>
      <c r="BN301" s="24">
        <f t="shared" si="62"/>
        <v>32.291666666666664</v>
      </c>
      <c r="BO301" s="24">
        <f t="shared" ref="BO301:CK301" si="63">AVERAGE(BO$177:BO$201)</f>
        <v>24.875</v>
      </c>
      <c r="BP301" s="24">
        <f t="shared" si="63"/>
        <v>36.875</v>
      </c>
      <c r="BQ301" s="24">
        <f t="shared" si="63"/>
        <v>25.833333333333332</v>
      </c>
      <c r="BR301" s="24">
        <f t="shared" si="63"/>
        <v>24.791666666666668</v>
      </c>
      <c r="BS301" s="24">
        <f t="shared" si="63"/>
        <v>45.208333333333336</v>
      </c>
      <c r="BT301" s="24">
        <f t="shared" si="63"/>
        <v>35.208333333333336</v>
      </c>
      <c r="BU301" s="24">
        <f t="shared" si="63"/>
        <v>30.833333333333332</v>
      </c>
      <c r="BV301" s="24">
        <f t="shared" si="63"/>
        <v>55.625</v>
      </c>
      <c r="BW301" s="24">
        <f t="shared" si="63"/>
        <v>21.666666666666668</v>
      </c>
      <c r="BX301" s="24">
        <f t="shared" si="63"/>
        <v>27.916666666666668</v>
      </c>
      <c r="BY301" s="24">
        <f t="shared" si="63"/>
        <v>31.875</v>
      </c>
      <c r="BZ301" s="24">
        <f t="shared" si="63"/>
        <v>33.043478260869563</v>
      </c>
      <c r="CA301" s="24">
        <f t="shared" si="63"/>
        <v>44.583333333333336</v>
      </c>
      <c r="CB301" s="24">
        <f t="shared" si="63"/>
        <v>47.291666666666664</v>
      </c>
      <c r="CC301" s="24">
        <f t="shared" si="63"/>
        <v>40.625</v>
      </c>
      <c r="CD301" s="24">
        <f t="shared" si="63"/>
        <v>48.75</v>
      </c>
      <c r="CE301" s="24">
        <f t="shared" si="63"/>
        <v>32.5</v>
      </c>
      <c r="CF301" s="24">
        <f t="shared" si="63"/>
        <v>33.958333333333336</v>
      </c>
      <c r="CG301" s="24">
        <f t="shared" si="63"/>
        <v>20.583333333333332</v>
      </c>
      <c r="CH301" s="24">
        <f t="shared" si="63"/>
        <v>32.083333333333336</v>
      </c>
      <c r="CI301" s="24">
        <f t="shared" si="63"/>
        <v>47.083333333333336</v>
      </c>
      <c r="CJ301" s="24">
        <f t="shared" si="63"/>
        <v>37.708333333333336</v>
      </c>
      <c r="CK301" s="24">
        <f t="shared" si="63"/>
        <v>29.166666666666668</v>
      </c>
    </row>
    <row r="302" spans="1:89" x14ac:dyDescent="0.25">
      <c r="A302" s="22" t="s">
        <v>25</v>
      </c>
      <c r="B302" s="24">
        <f>AVERAGE(B$203:B$227)</f>
        <v>1.3333333333333333</v>
      </c>
      <c r="C302" s="24">
        <f t="shared" ref="C302:BN302" si="64">AVERAGE(C$203:C$227)</f>
        <v>1.75</v>
      </c>
      <c r="D302" s="24">
        <f t="shared" si="64"/>
        <v>1.875</v>
      </c>
      <c r="E302" s="24">
        <f t="shared" si="64"/>
        <v>0.41666666666666669</v>
      </c>
      <c r="F302" s="24">
        <f t="shared" si="64"/>
        <v>1.4166666666666667</v>
      </c>
      <c r="G302" s="24">
        <f t="shared" si="64"/>
        <v>2.7083333333333335</v>
      </c>
      <c r="H302" s="24">
        <f t="shared" si="64"/>
        <v>0.58333333333333337</v>
      </c>
      <c r="I302" s="24">
        <f t="shared" si="64"/>
        <v>1.375</v>
      </c>
      <c r="J302" s="24">
        <f t="shared" si="64"/>
        <v>1.625</v>
      </c>
      <c r="K302" s="24">
        <f t="shared" si="64"/>
        <v>0.79166666666666663</v>
      </c>
      <c r="L302" s="24">
        <f t="shared" si="64"/>
        <v>0.91666666666666663</v>
      </c>
      <c r="M302" s="24">
        <f t="shared" si="64"/>
        <v>1.2916666666666667</v>
      </c>
      <c r="N302" s="24">
        <f t="shared" si="64"/>
        <v>0.58333333333333337</v>
      </c>
      <c r="O302" s="24">
        <f t="shared" si="64"/>
        <v>0.29166666666666669</v>
      </c>
      <c r="P302" s="24">
        <f t="shared" si="64"/>
        <v>1.0416666666666667</v>
      </c>
      <c r="Q302" s="24">
        <f t="shared" si="64"/>
        <v>0.625</v>
      </c>
      <c r="R302" s="24">
        <f t="shared" si="64"/>
        <v>0.91666666666666663</v>
      </c>
      <c r="S302" s="24">
        <f t="shared" si="64"/>
        <v>0.83333333333333337</v>
      </c>
      <c r="T302" s="24">
        <f t="shared" si="64"/>
        <v>1.7083333333333333</v>
      </c>
      <c r="U302" s="24">
        <f t="shared" si="64"/>
        <v>1.0833333333333333</v>
      </c>
      <c r="V302" s="24">
        <f t="shared" si="64"/>
        <v>0.25</v>
      </c>
      <c r="W302" s="24">
        <f t="shared" si="64"/>
        <v>0.33333333333333331</v>
      </c>
      <c r="X302" s="24">
        <f t="shared" si="64"/>
        <v>0.20833333333333334</v>
      </c>
      <c r="Y302" s="24">
        <f t="shared" si="64"/>
        <v>0.79166666666666663</v>
      </c>
      <c r="Z302" s="24">
        <f t="shared" si="64"/>
        <v>0.625</v>
      </c>
      <c r="AA302" s="24">
        <f t="shared" si="64"/>
        <v>1.6666666666666667</v>
      </c>
      <c r="AB302" s="24">
        <f t="shared" si="64"/>
        <v>4.5454545454545456E-2</v>
      </c>
      <c r="AC302" s="24">
        <f t="shared" si="64"/>
        <v>1.7916666666666667</v>
      </c>
      <c r="AD302" s="24">
        <f t="shared" si="64"/>
        <v>0.91666666666666663</v>
      </c>
      <c r="AE302" s="24">
        <f t="shared" si="64"/>
        <v>0.625</v>
      </c>
      <c r="AF302" s="24">
        <f t="shared" si="64"/>
        <v>0.29166666666666669</v>
      </c>
      <c r="AG302" s="24">
        <f t="shared" si="64"/>
        <v>1.1666666666666667</v>
      </c>
      <c r="AH302" s="24">
        <f t="shared" si="64"/>
        <v>1.0833333333333333</v>
      </c>
      <c r="AI302" s="24">
        <f t="shared" si="64"/>
        <v>1.25</v>
      </c>
      <c r="AJ302" s="24">
        <f t="shared" si="64"/>
        <v>0.41666666666666669</v>
      </c>
      <c r="AK302" s="24">
        <f t="shared" si="64"/>
        <v>0.58333333333333337</v>
      </c>
      <c r="AL302" s="24">
        <f t="shared" si="64"/>
        <v>0.45833333333333331</v>
      </c>
      <c r="AM302" s="24">
        <f t="shared" si="64"/>
        <v>0.25</v>
      </c>
      <c r="AN302" s="24">
        <f t="shared" si="64"/>
        <v>0.58333333333333337</v>
      </c>
      <c r="AO302" s="24">
        <f t="shared" si="64"/>
        <v>0.41666666666666669</v>
      </c>
      <c r="AP302" s="24">
        <f t="shared" si="64"/>
        <v>0.5</v>
      </c>
      <c r="AQ302" s="24">
        <f t="shared" si="64"/>
        <v>0.625</v>
      </c>
      <c r="AR302" s="24">
        <f t="shared" si="64"/>
        <v>0</v>
      </c>
      <c r="AS302" s="24">
        <f t="shared" si="64"/>
        <v>0.41666666666666669</v>
      </c>
      <c r="AT302" s="24">
        <f t="shared" si="64"/>
        <v>3.1666666666666665</v>
      </c>
      <c r="AU302" s="24">
        <f t="shared" si="64"/>
        <v>0</v>
      </c>
      <c r="AV302" s="24">
        <f t="shared" si="64"/>
        <v>0.35</v>
      </c>
      <c r="AW302" s="24">
        <f t="shared" si="64"/>
        <v>0.91666666666666663</v>
      </c>
      <c r="AX302" s="24">
        <f t="shared" si="64"/>
        <v>0.16666666666666666</v>
      </c>
      <c r="AY302" s="24">
        <f t="shared" si="64"/>
        <v>0.16666666666666666</v>
      </c>
      <c r="AZ302" s="24">
        <f t="shared" si="64"/>
        <v>0.70833333333333337</v>
      </c>
      <c r="BA302" s="24">
        <f t="shared" si="64"/>
        <v>0</v>
      </c>
      <c r="BB302" s="24">
        <f t="shared" si="64"/>
        <v>0.16666666666666666</v>
      </c>
      <c r="BC302" s="24">
        <f t="shared" si="64"/>
        <v>1.2083333333333333</v>
      </c>
      <c r="BD302" s="24">
        <f t="shared" si="64"/>
        <v>0.75</v>
      </c>
      <c r="BE302" s="24">
        <f t="shared" si="64"/>
        <v>0.54166666666666663</v>
      </c>
      <c r="BF302" s="24">
        <f t="shared" si="64"/>
        <v>0.20833333333333334</v>
      </c>
      <c r="BG302" s="24">
        <f t="shared" si="64"/>
        <v>1.7083333333333333</v>
      </c>
      <c r="BH302" s="24">
        <f t="shared" si="64"/>
        <v>0.83333333333333337</v>
      </c>
      <c r="BI302" s="24">
        <f t="shared" si="64"/>
        <v>0.83333333333333337</v>
      </c>
      <c r="BJ302" s="24">
        <f t="shared" si="64"/>
        <v>0.33333333333333331</v>
      </c>
      <c r="BK302" s="24">
        <f t="shared" si="64"/>
        <v>1</v>
      </c>
      <c r="BL302" s="24">
        <f t="shared" si="64"/>
        <v>0.41666666666666669</v>
      </c>
      <c r="BM302" s="24">
        <f t="shared" si="64"/>
        <v>0.5</v>
      </c>
      <c r="BN302" s="24">
        <f t="shared" si="64"/>
        <v>0.66666666666666663</v>
      </c>
      <c r="BO302" s="24">
        <f t="shared" ref="BO302:CK302" si="65">AVERAGE(BO$203:BO$227)</f>
        <v>0.20833333333333334</v>
      </c>
      <c r="BP302" s="24">
        <f t="shared" si="65"/>
        <v>1.3913043478260869</v>
      </c>
      <c r="BQ302" s="24">
        <f t="shared" si="65"/>
        <v>0.5</v>
      </c>
      <c r="BR302" s="24">
        <f t="shared" si="65"/>
        <v>0</v>
      </c>
      <c r="BS302" s="24">
        <f t="shared" si="65"/>
        <v>1.6666666666666667</v>
      </c>
      <c r="BT302" s="24">
        <f t="shared" si="65"/>
        <v>0.83333333333333337</v>
      </c>
      <c r="BU302" s="24">
        <f t="shared" si="65"/>
        <v>1.2083333333333333</v>
      </c>
      <c r="BV302" s="24">
        <f t="shared" si="65"/>
        <v>4.1666666666666664E-2</v>
      </c>
      <c r="BW302" s="24">
        <f t="shared" si="65"/>
        <v>0.58333333333333337</v>
      </c>
      <c r="BX302" s="24">
        <f t="shared" si="65"/>
        <v>0.91666666666666663</v>
      </c>
      <c r="BY302" s="24">
        <f t="shared" si="65"/>
        <v>0.5</v>
      </c>
      <c r="BZ302" s="24">
        <f t="shared" si="65"/>
        <v>0.79166666666666663</v>
      </c>
      <c r="CA302" s="24">
        <f t="shared" si="65"/>
        <v>0.625</v>
      </c>
      <c r="CB302" s="24">
        <f t="shared" si="65"/>
        <v>0.58333333333333337</v>
      </c>
      <c r="CC302" s="24">
        <f t="shared" si="65"/>
        <v>1.4583333333333333</v>
      </c>
      <c r="CD302" s="24">
        <f t="shared" si="65"/>
        <v>0.91666666666666663</v>
      </c>
      <c r="CE302" s="24">
        <f t="shared" si="65"/>
        <v>1.25</v>
      </c>
      <c r="CF302" s="24">
        <f t="shared" si="65"/>
        <v>1.125</v>
      </c>
      <c r="CG302" s="24">
        <f t="shared" si="65"/>
        <v>1.3333333333333333</v>
      </c>
      <c r="CH302" s="24">
        <f t="shared" si="65"/>
        <v>0.41666666666666669</v>
      </c>
      <c r="CI302" s="24">
        <f t="shared" si="65"/>
        <v>0.41666666666666669</v>
      </c>
      <c r="CJ302" s="24">
        <f t="shared" si="65"/>
        <v>0.83333333333333337</v>
      </c>
      <c r="CK302" s="24">
        <f t="shared" si="65"/>
        <v>0.625</v>
      </c>
    </row>
    <row r="303" spans="1:89" x14ac:dyDescent="0.25">
      <c r="A303" s="22" t="s">
        <v>502</v>
      </c>
      <c r="B303" s="24">
        <f>(AVERAGE(B$229:B$266)/37)*100</f>
        <v>72.178060413354544</v>
      </c>
      <c r="C303" s="24">
        <f t="shared" ref="C303:BN303" si="66">(AVERAGE(C$229:C$266)/37)*100</f>
        <v>78.528528528528525</v>
      </c>
      <c r="D303" s="24">
        <f t="shared" si="66"/>
        <v>97.297297297297305</v>
      </c>
      <c r="E303" s="24">
        <f t="shared" si="66"/>
        <v>11.036036036036036</v>
      </c>
      <c r="F303" s="24">
        <f t="shared" si="66"/>
        <v>68.693693693693689</v>
      </c>
      <c r="G303" s="24">
        <f t="shared" si="66"/>
        <v>37.537537537537538</v>
      </c>
      <c r="H303" s="24">
        <f t="shared" si="66"/>
        <v>81.681681681681681</v>
      </c>
      <c r="I303" s="24">
        <f t="shared" si="66"/>
        <v>78.571428571428584</v>
      </c>
      <c r="J303" s="24">
        <f t="shared" si="66"/>
        <v>33.258258258258252</v>
      </c>
      <c r="K303" s="24">
        <f t="shared" si="66"/>
        <v>96.396396396396383</v>
      </c>
      <c r="L303" s="24">
        <f t="shared" si="66"/>
        <v>41.516516516516518</v>
      </c>
      <c r="M303" s="24">
        <f t="shared" si="66"/>
        <v>35.285285285285283</v>
      </c>
      <c r="N303" s="24">
        <f t="shared" si="66"/>
        <v>52.027027027027032</v>
      </c>
      <c r="O303" s="24">
        <f t="shared" si="66"/>
        <v>58.333333333333329</v>
      </c>
      <c r="P303" s="24">
        <f t="shared" si="66"/>
        <v>28.153153153153156</v>
      </c>
      <c r="Q303" s="24">
        <f t="shared" si="66"/>
        <v>71.939586645469006</v>
      </c>
      <c r="R303" s="24">
        <f t="shared" si="66"/>
        <v>89.114114114114102</v>
      </c>
      <c r="S303" s="24">
        <f t="shared" si="66"/>
        <v>95.030514385353101</v>
      </c>
      <c r="T303" s="24">
        <f t="shared" si="66"/>
        <v>57.507507507507505</v>
      </c>
      <c r="U303" s="24">
        <f t="shared" si="66"/>
        <v>33.933933933933936</v>
      </c>
      <c r="V303" s="24">
        <f t="shared" si="66"/>
        <v>85.585585585585591</v>
      </c>
      <c r="W303" s="24">
        <f t="shared" si="66"/>
        <v>10.18018018018018</v>
      </c>
      <c r="X303" s="24">
        <f t="shared" si="66"/>
        <v>97.972972972972968</v>
      </c>
      <c r="Y303" s="24">
        <f t="shared" si="66"/>
        <v>35.472972972972968</v>
      </c>
      <c r="Z303" s="24">
        <f t="shared" si="66"/>
        <v>8.9189189189189175</v>
      </c>
      <c r="AA303" s="24">
        <f t="shared" si="66"/>
        <v>64.26426426426427</v>
      </c>
      <c r="AB303" s="24">
        <f t="shared" si="66"/>
        <v>34.45945945945946</v>
      </c>
      <c r="AC303" s="24">
        <f t="shared" si="66"/>
        <v>40.015015015015017</v>
      </c>
      <c r="AD303" s="24">
        <f t="shared" si="66"/>
        <v>100</v>
      </c>
      <c r="AE303" s="24">
        <f t="shared" si="66"/>
        <v>53.378378378378379</v>
      </c>
      <c r="AF303" s="24">
        <f t="shared" si="66"/>
        <v>67.329093799682028</v>
      </c>
      <c r="AG303" s="24">
        <f t="shared" si="66"/>
        <v>38.438438438438439</v>
      </c>
      <c r="AH303" s="24">
        <f t="shared" si="66"/>
        <v>11.208267090620033</v>
      </c>
      <c r="AI303" s="24">
        <f t="shared" si="66"/>
        <v>52.648648648648653</v>
      </c>
      <c r="AJ303" s="24">
        <f t="shared" si="66"/>
        <v>9.0090090090090094</v>
      </c>
      <c r="AK303" s="24">
        <f t="shared" si="66"/>
        <v>94.14414414414415</v>
      </c>
      <c r="AL303" s="24">
        <f t="shared" si="66"/>
        <v>53.753753753753756</v>
      </c>
      <c r="AM303" s="24">
        <f t="shared" si="66"/>
        <v>89.348171701112889</v>
      </c>
      <c r="AN303" s="24">
        <f t="shared" si="66"/>
        <v>2.7777777777777777</v>
      </c>
      <c r="AO303" s="24">
        <f t="shared" si="66"/>
        <v>64.86486486486487</v>
      </c>
      <c r="AP303" s="24">
        <f t="shared" si="66"/>
        <v>27.181467181467177</v>
      </c>
      <c r="AQ303" s="24">
        <f t="shared" si="66"/>
        <v>4.5045045045045047</v>
      </c>
      <c r="AR303" s="24">
        <f t="shared" si="66"/>
        <v>100</v>
      </c>
      <c r="AS303" s="24">
        <f t="shared" si="66"/>
        <v>92.942942942942935</v>
      </c>
      <c r="AT303" s="24">
        <f t="shared" si="66"/>
        <v>60.585585585585591</v>
      </c>
      <c r="AU303" s="24">
        <f t="shared" si="66"/>
        <v>31.006006006006004</v>
      </c>
      <c r="AV303" s="24">
        <f t="shared" si="66"/>
        <v>32.618825722273996</v>
      </c>
      <c r="AW303" s="24">
        <f t="shared" si="66"/>
        <v>19.51951951951952</v>
      </c>
      <c r="AX303" s="24">
        <f t="shared" si="66"/>
        <v>45.67567567567567</v>
      </c>
      <c r="AY303" s="24">
        <f t="shared" si="66"/>
        <v>81.531531531531527</v>
      </c>
      <c r="AZ303" s="24">
        <f t="shared" si="66"/>
        <v>6.563706563706563</v>
      </c>
      <c r="BA303" s="24">
        <f t="shared" si="66"/>
        <v>98.198198198198199</v>
      </c>
      <c r="BB303" s="24">
        <f t="shared" si="66"/>
        <v>42.117117117117118</v>
      </c>
      <c r="BC303" s="24">
        <f t="shared" si="66"/>
        <v>7.8078078078078077</v>
      </c>
      <c r="BD303" s="24">
        <f t="shared" si="66"/>
        <v>55.067567567567565</v>
      </c>
      <c r="BE303" s="24">
        <f t="shared" si="66"/>
        <v>80.180180180180187</v>
      </c>
      <c r="BF303" s="24">
        <f t="shared" si="66"/>
        <v>61.636636636636645</v>
      </c>
      <c r="BG303" s="24">
        <f t="shared" si="66"/>
        <v>100</v>
      </c>
      <c r="BH303" s="24">
        <f t="shared" si="66"/>
        <v>7.4324324324324325</v>
      </c>
      <c r="BI303" s="24">
        <f t="shared" si="66"/>
        <v>53.753753753753756</v>
      </c>
      <c r="BJ303" s="24">
        <f t="shared" si="66"/>
        <v>74.324324324324323</v>
      </c>
      <c r="BK303" s="24">
        <f t="shared" si="66"/>
        <v>100</v>
      </c>
      <c r="BL303" s="24">
        <f t="shared" si="66"/>
        <v>92.342342342342334</v>
      </c>
      <c r="BM303" s="24">
        <f t="shared" si="66"/>
        <v>94.069069069069073</v>
      </c>
      <c r="BN303" s="24">
        <f t="shared" si="66"/>
        <v>9.7774244833068362</v>
      </c>
      <c r="BO303" s="24">
        <f t="shared" ref="BO303:CK303" si="67">(AVERAGE(BO$229:BO$266)/37)*100</f>
        <v>33.38632750397457</v>
      </c>
      <c r="BP303" s="24">
        <f t="shared" si="67"/>
        <v>98.198198198198199</v>
      </c>
      <c r="BQ303" s="24">
        <f t="shared" si="67"/>
        <v>24.662162162162161</v>
      </c>
      <c r="BR303" s="24">
        <f t="shared" si="67"/>
        <v>23.501762632197416</v>
      </c>
      <c r="BS303" s="24">
        <f t="shared" si="67"/>
        <v>1.8018018018018018</v>
      </c>
      <c r="BT303" s="24">
        <f t="shared" si="67"/>
        <v>99.699699699699693</v>
      </c>
      <c r="BU303" s="24">
        <f t="shared" si="67"/>
        <v>36.561561561561561</v>
      </c>
      <c r="BV303" s="24">
        <f t="shared" si="67"/>
        <v>84.009009009009006</v>
      </c>
      <c r="BW303" s="24">
        <f t="shared" si="67"/>
        <v>62.93436293436293</v>
      </c>
      <c r="BX303" s="24">
        <f t="shared" si="67"/>
        <v>93.018018018018012</v>
      </c>
      <c r="BY303" s="24">
        <f t="shared" si="67"/>
        <v>55.200655200655206</v>
      </c>
      <c r="BZ303" s="24">
        <f t="shared" si="67"/>
        <v>59.534534534534536</v>
      </c>
      <c r="CA303" s="24">
        <f t="shared" si="67"/>
        <v>89.268680445151034</v>
      </c>
      <c r="CB303" s="24">
        <f t="shared" si="67"/>
        <v>88.513513513513516</v>
      </c>
      <c r="CC303" s="24">
        <f t="shared" si="67"/>
        <v>60.810810810810814</v>
      </c>
      <c r="CD303" s="24">
        <f t="shared" si="67"/>
        <v>34.384384384384383</v>
      </c>
      <c r="CE303" s="24">
        <f t="shared" si="67"/>
        <v>9.9849849849849868</v>
      </c>
      <c r="CF303" s="24">
        <f t="shared" si="67"/>
        <v>16.816816816816818</v>
      </c>
      <c r="CG303" s="24">
        <f t="shared" si="67"/>
        <v>3.1531531531531534</v>
      </c>
      <c r="CH303" s="24">
        <f t="shared" si="67"/>
        <v>18.918918918918919</v>
      </c>
      <c r="CI303" s="24">
        <f t="shared" si="67"/>
        <v>43.693693693693696</v>
      </c>
      <c r="CJ303" s="24">
        <f t="shared" si="67"/>
        <v>7.8828828828828827</v>
      </c>
      <c r="CK303" s="24">
        <f t="shared" si="67"/>
        <v>33.108108108108105</v>
      </c>
    </row>
    <row r="304" spans="1:89" x14ac:dyDescent="0.25">
      <c r="A304" s="22" t="s">
        <v>519</v>
      </c>
      <c r="B304" s="24">
        <f>_xlfn.STDEV.S(B$229:B$266)</f>
        <v>12.922916951338593</v>
      </c>
      <c r="C304" s="24">
        <f t="shared" ref="C304:BN304" si="68">_xlfn.STDEV.S(C$229:C$266)</f>
        <v>11.449128337237719</v>
      </c>
      <c r="D304" s="24">
        <f t="shared" si="68"/>
        <v>3.56971387408811</v>
      </c>
      <c r="E304" s="24">
        <f t="shared" si="68"/>
        <v>9.772775596377052</v>
      </c>
      <c r="F304" s="24">
        <f t="shared" si="68"/>
        <v>13.51903420049989</v>
      </c>
      <c r="G304" s="24">
        <f t="shared" si="68"/>
        <v>15.665754786025248</v>
      </c>
      <c r="H304" s="24">
        <f t="shared" si="68"/>
        <v>12.106930980962009</v>
      </c>
      <c r="I304" s="24">
        <f t="shared" si="68"/>
        <v>15.755166604173841</v>
      </c>
      <c r="J304" s="24">
        <f t="shared" si="68"/>
        <v>14.392099905244534</v>
      </c>
      <c r="K304" s="24">
        <f t="shared" si="68"/>
        <v>2.9949452365105058</v>
      </c>
      <c r="L304" s="24">
        <f t="shared" si="68"/>
        <v>14.483789515529377</v>
      </c>
      <c r="M304" s="24">
        <f t="shared" si="68"/>
        <v>13.829460157720122</v>
      </c>
      <c r="N304" s="24">
        <f t="shared" si="68"/>
        <v>13.478096709442729</v>
      </c>
      <c r="O304" s="24">
        <f t="shared" si="68"/>
        <v>15.894300484097686</v>
      </c>
      <c r="P304" s="24">
        <f t="shared" si="68"/>
        <v>13.196049192304274</v>
      </c>
      <c r="Q304" s="24">
        <f t="shared" si="68"/>
        <v>14.004360156280232</v>
      </c>
      <c r="R304" s="24">
        <f t="shared" si="68"/>
        <v>10.349564824836452</v>
      </c>
      <c r="S304" s="24">
        <f t="shared" si="68"/>
        <v>2.8413233324579394</v>
      </c>
      <c r="T304" s="24">
        <f t="shared" si="68"/>
        <v>14.631977694140668</v>
      </c>
      <c r="U304" s="24">
        <f t="shared" si="68"/>
        <v>17.048576722236032</v>
      </c>
      <c r="V304" s="24">
        <f t="shared" si="68"/>
        <v>10.342615576811163</v>
      </c>
      <c r="W304" s="24">
        <f t="shared" si="68"/>
        <v>7.2191475919268333</v>
      </c>
      <c r="X304" s="24">
        <f t="shared" si="68"/>
        <v>2.598076211353316</v>
      </c>
      <c r="Y304" s="24">
        <f t="shared" si="68"/>
        <v>13.666869917187817</v>
      </c>
      <c r="Z304" s="24">
        <f t="shared" si="68"/>
        <v>4.7354131742683743</v>
      </c>
      <c r="AA304" s="24">
        <f t="shared" si="68"/>
        <v>16.030526434829824</v>
      </c>
      <c r="AB304" s="24">
        <f t="shared" si="68"/>
        <v>14.065593094175201</v>
      </c>
      <c r="AC304" s="24">
        <f t="shared" si="68"/>
        <v>14.583394557694612</v>
      </c>
      <c r="AD304" s="24">
        <f t="shared" si="68"/>
        <v>0</v>
      </c>
      <c r="AE304" s="24">
        <f t="shared" si="68"/>
        <v>12.880494666632289</v>
      </c>
      <c r="AF304" s="24">
        <f t="shared" si="68"/>
        <v>11.029897790836158</v>
      </c>
      <c r="AG304" s="24">
        <f t="shared" si="68"/>
        <v>14.658222677510807</v>
      </c>
      <c r="AH304" s="24">
        <f t="shared" si="68"/>
        <v>7.2200577221782964</v>
      </c>
      <c r="AI304" s="24">
        <f t="shared" si="68"/>
        <v>16.69610733075228</v>
      </c>
      <c r="AJ304" s="24">
        <f t="shared" si="68"/>
        <v>5.1301891368360035</v>
      </c>
      <c r="AK304" s="24">
        <f t="shared" si="68"/>
        <v>5.4116276928216598</v>
      </c>
      <c r="AL304" s="24">
        <f t="shared" si="68"/>
        <v>11.997089594154021</v>
      </c>
      <c r="AM304" s="24">
        <f t="shared" si="68"/>
        <v>10.741991171638094</v>
      </c>
      <c r="AN304" s="24">
        <f t="shared" si="68"/>
        <v>2.1710578213147764</v>
      </c>
      <c r="AO304" s="24">
        <f t="shared" si="68"/>
        <v>15.831776946708244</v>
      </c>
      <c r="AP304" s="24">
        <f t="shared" si="68"/>
        <v>13.370166212048941</v>
      </c>
      <c r="AQ304" s="24">
        <f t="shared" si="68"/>
        <v>3.4465617474213164</v>
      </c>
      <c r="AR304" s="24">
        <f t="shared" si="68"/>
        <v>0</v>
      </c>
      <c r="AS304" s="24">
        <f t="shared" si="68"/>
        <v>6.0889377890312515</v>
      </c>
      <c r="AT304" s="24">
        <f t="shared" si="68"/>
        <v>15.921907638758078</v>
      </c>
      <c r="AU304" s="24">
        <f t="shared" si="68"/>
        <v>12.916182786635446</v>
      </c>
      <c r="AV304" s="24">
        <f t="shared" si="68"/>
        <v>13.863959016309567</v>
      </c>
      <c r="AW304" s="24">
        <f t="shared" si="68"/>
        <v>11.878218026794404</v>
      </c>
      <c r="AX304" s="24">
        <f t="shared" si="68"/>
        <v>16.07842621258947</v>
      </c>
      <c r="AY304" s="24">
        <f t="shared" si="68"/>
        <v>12.074265144839197</v>
      </c>
      <c r="AZ304" s="24">
        <f t="shared" si="68"/>
        <v>4.7544759981313103</v>
      </c>
      <c r="BA304" s="24">
        <f t="shared" si="68"/>
        <v>1.7752507291971895</v>
      </c>
      <c r="BB304" s="24">
        <f t="shared" si="68"/>
        <v>12.078969954077836</v>
      </c>
      <c r="BC304" s="24">
        <f t="shared" si="68"/>
        <v>6.1865188816503158</v>
      </c>
      <c r="BD304" s="24">
        <f t="shared" si="68"/>
        <v>15.759789584316648</v>
      </c>
      <c r="BE304" s="24">
        <f t="shared" si="68"/>
        <v>11.260012379561523</v>
      </c>
      <c r="BF304" s="24">
        <f t="shared" si="68"/>
        <v>15.105002850417181</v>
      </c>
      <c r="BG304" s="24">
        <f t="shared" si="68"/>
        <v>0</v>
      </c>
      <c r="BH304" s="24">
        <f t="shared" si="68"/>
        <v>5.1190375515857918</v>
      </c>
      <c r="BI304" s="24">
        <f t="shared" si="68"/>
        <v>15.920835903714849</v>
      </c>
      <c r="BJ304" s="24">
        <f t="shared" si="68"/>
        <v>12.957974027952476</v>
      </c>
      <c r="BK304" s="24">
        <f t="shared" si="68"/>
        <v>0</v>
      </c>
      <c r="BL304" s="24">
        <f t="shared" si="68"/>
        <v>8.3212032929393214</v>
      </c>
      <c r="BM304" s="24">
        <f t="shared" si="68"/>
        <v>7.9384037418270692</v>
      </c>
      <c r="BN304" s="24">
        <f t="shared" si="68"/>
        <v>8.2020496547097554</v>
      </c>
      <c r="BO304" s="24">
        <f t="shared" ref="BO304:CK304" si="69">_xlfn.STDEV.S(BO$229:BO$266)</f>
        <v>12.389835406105052</v>
      </c>
      <c r="BP304" s="24">
        <f t="shared" si="69"/>
        <v>1.6143297699232979</v>
      </c>
      <c r="BQ304" s="24">
        <f t="shared" si="69"/>
        <v>13.727180477831846</v>
      </c>
      <c r="BR304" s="24">
        <f t="shared" si="69"/>
        <v>9.3099886857108061</v>
      </c>
      <c r="BS304" s="24">
        <f t="shared" si="69"/>
        <v>2.3094010767585029</v>
      </c>
      <c r="BT304" s="24">
        <f t="shared" si="69"/>
        <v>0.46462136829144618</v>
      </c>
      <c r="BU304" s="24">
        <f t="shared" si="69"/>
        <v>15.738008788754716</v>
      </c>
      <c r="BV304" s="24">
        <f t="shared" si="69"/>
        <v>11.54011448921727</v>
      </c>
      <c r="BW304" s="24">
        <f t="shared" si="69"/>
        <v>16.967972416057492</v>
      </c>
      <c r="BX304" s="24">
        <f t="shared" si="69"/>
        <v>8.9837154260997636</v>
      </c>
      <c r="BY304" s="24">
        <f t="shared" si="69"/>
        <v>12.673866574151472</v>
      </c>
      <c r="BZ304" s="24">
        <f t="shared" si="69"/>
        <v>16.185506940489535</v>
      </c>
      <c r="CA304" s="24">
        <f t="shared" si="69"/>
        <v>9.586876427882741</v>
      </c>
      <c r="CB304" s="24">
        <f t="shared" si="69"/>
        <v>10.872191382354591</v>
      </c>
      <c r="CC304" s="24">
        <f t="shared" si="69"/>
        <v>14.531738663058476</v>
      </c>
      <c r="CD304" s="24">
        <f t="shared" si="69"/>
        <v>14.290078698395934</v>
      </c>
      <c r="CE304" s="24">
        <f t="shared" si="69"/>
        <v>6.9644790367958072</v>
      </c>
      <c r="CF304" s="24">
        <f t="shared" si="69"/>
        <v>6.3835105035713964</v>
      </c>
      <c r="CG304" s="24">
        <f t="shared" si="69"/>
        <v>2.1509153357603816</v>
      </c>
      <c r="CH304" s="24">
        <f t="shared" si="69"/>
        <v>6.2335497797918364</v>
      </c>
      <c r="CI304" s="24">
        <f t="shared" si="69"/>
        <v>10.294222384073194</v>
      </c>
      <c r="CJ304" s="24">
        <f t="shared" si="69"/>
        <v>8.0191734522419988</v>
      </c>
      <c r="CK304" s="24">
        <f t="shared" si="69"/>
        <v>15.224744895821971</v>
      </c>
    </row>
    <row r="305" spans="1:89" x14ac:dyDescent="0.25">
      <c r="A305" s="22" t="s">
        <v>506</v>
      </c>
      <c r="B305" s="24">
        <f>(100-B$303)</f>
        <v>27.821939586645456</v>
      </c>
      <c r="C305" s="24">
        <f t="shared" ref="C305:BN305" si="70">(100-C$303)</f>
        <v>21.471471471471475</v>
      </c>
      <c r="D305" s="24">
        <f t="shared" si="70"/>
        <v>2.7027027027026946</v>
      </c>
      <c r="E305" s="24">
        <f t="shared" si="70"/>
        <v>88.963963963963963</v>
      </c>
      <c r="F305" s="24">
        <f t="shared" si="70"/>
        <v>31.306306306306311</v>
      </c>
      <c r="G305" s="24">
        <f t="shared" si="70"/>
        <v>62.462462462462462</v>
      </c>
      <c r="H305" s="24">
        <f t="shared" si="70"/>
        <v>18.318318318318319</v>
      </c>
      <c r="I305" s="24">
        <f t="shared" si="70"/>
        <v>21.428571428571416</v>
      </c>
      <c r="J305" s="24">
        <f t="shared" si="70"/>
        <v>66.741741741741748</v>
      </c>
      <c r="K305" s="24">
        <f t="shared" si="70"/>
        <v>3.6036036036036165</v>
      </c>
      <c r="L305" s="24">
        <f t="shared" si="70"/>
        <v>58.483483483483482</v>
      </c>
      <c r="M305" s="24">
        <f t="shared" si="70"/>
        <v>64.714714714714717</v>
      </c>
      <c r="N305" s="24">
        <f t="shared" si="70"/>
        <v>47.972972972972968</v>
      </c>
      <c r="O305" s="24">
        <f t="shared" si="70"/>
        <v>41.666666666666671</v>
      </c>
      <c r="P305" s="24">
        <f t="shared" si="70"/>
        <v>71.846846846846844</v>
      </c>
      <c r="Q305" s="24">
        <f t="shared" si="70"/>
        <v>28.060413354530994</v>
      </c>
      <c r="R305" s="24">
        <f t="shared" si="70"/>
        <v>10.885885885885898</v>
      </c>
      <c r="S305" s="24">
        <f t="shared" si="70"/>
        <v>4.9694856146468993</v>
      </c>
      <c r="T305" s="24">
        <f t="shared" si="70"/>
        <v>42.492492492492495</v>
      </c>
      <c r="U305" s="24">
        <f t="shared" si="70"/>
        <v>66.066066066066071</v>
      </c>
      <c r="V305" s="24">
        <f t="shared" si="70"/>
        <v>14.414414414414409</v>
      </c>
      <c r="W305" s="24">
        <f t="shared" si="70"/>
        <v>89.819819819819827</v>
      </c>
      <c r="X305" s="24">
        <f t="shared" si="70"/>
        <v>2.0270270270270316</v>
      </c>
      <c r="Y305" s="24">
        <f t="shared" si="70"/>
        <v>64.527027027027032</v>
      </c>
      <c r="Z305" s="24">
        <f t="shared" si="70"/>
        <v>91.081081081081081</v>
      </c>
      <c r="AA305" s="24">
        <f t="shared" si="70"/>
        <v>35.73573573573573</v>
      </c>
      <c r="AB305" s="24">
        <f t="shared" si="70"/>
        <v>65.540540540540547</v>
      </c>
      <c r="AC305" s="24">
        <f t="shared" si="70"/>
        <v>59.984984984984983</v>
      </c>
      <c r="AD305" s="24">
        <f t="shared" si="70"/>
        <v>0</v>
      </c>
      <c r="AE305" s="24">
        <f t="shared" si="70"/>
        <v>46.621621621621621</v>
      </c>
      <c r="AF305" s="24">
        <f t="shared" si="70"/>
        <v>32.670906200317972</v>
      </c>
      <c r="AG305" s="24">
        <f t="shared" si="70"/>
        <v>61.561561561561561</v>
      </c>
      <c r="AH305" s="24">
        <f t="shared" si="70"/>
        <v>88.791732909379959</v>
      </c>
      <c r="AI305" s="24">
        <f t="shared" si="70"/>
        <v>47.351351351351347</v>
      </c>
      <c r="AJ305" s="24">
        <f t="shared" si="70"/>
        <v>90.990990990990994</v>
      </c>
      <c r="AK305" s="24">
        <f t="shared" si="70"/>
        <v>5.8558558558558502</v>
      </c>
      <c r="AL305" s="24">
        <f t="shared" si="70"/>
        <v>46.246246246246244</v>
      </c>
      <c r="AM305" s="24">
        <f t="shared" si="70"/>
        <v>10.651828298887111</v>
      </c>
      <c r="AN305" s="24">
        <f t="shared" si="70"/>
        <v>97.222222222222229</v>
      </c>
      <c r="AO305" s="24">
        <f t="shared" si="70"/>
        <v>35.13513513513513</v>
      </c>
      <c r="AP305" s="24">
        <f t="shared" si="70"/>
        <v>72.818532818532816</v>
      </c>
      <c r="AQ305" s="24">
        <f t="shared" si="70"/>
        <v>95.49549549549549</v>
      </c>
      <c r="AR305" s="24">
        <f t="shared" si="70"/>
        <v>0</v>
      </c>
      <c r="AS305" s="24">
        <f t="shared" si="70"/>
        <v>7.0570570570570652</v>
      </c>
      <c r="AT305" s="24">
        <f t="shared" si="70"/>
        <v>39.414414414414409</v>
      </c>
      <c r="AU305" s="24">
        <f t="shared" si="70"/>
        <v>68.993993993993996</v>
      </c>
      <c r="AV305" s="24">
        <f t="shared" si="70"/>
        <v>67.381174277726004</v>
      </c>
      <c r="AW305" s="24">
        <f t="shared" si="70"/>
        <v>80.48048048048048</v>
      </c>
      <c r="AX305" s="24">
        <f t="shared" si="70"/>
        <v>54.32432432432433</v>
      </c>
      <c r="AY305" s="24">
        <f t="shared" si="70"/>
        <v>18.468468468468473</v>
      </c>
      <c r="AZ305" s="24">
        <f t="shared" si="70"/>
        <v>93.43629343629344</v>
      </c>
      <c r="BA305" s="24">
        <f t="shared" si="70"/>
        <v>1.8018018018018012</v>
      </c>
      <c r="BB305" s="24">
        <f t="shared" si="70"/>
        <v>57.882882882882882</v>
      </c>
      <c r="BC305" s="24">
        <f t="shared" si="70"/>
        <v>92.192192192192195</v>
      </c>
      <c r="BD305" s="24">
        <f t="shared" si="70"/>
        <v>44.932432432432435</v>
      </c>
      <c r="BE305" s="24">
        <f t="shared" si="70"/>
        <v>19.819819819819813</v>
      </c>
      <c r="BF305" s="24">
        <f t="shared" si="70"/>
        <v>38.363363363363355</v>
      </c>
      <c r="BG305" s="24">
        <f t="shared" si="70"/>
        <v>0</v>
      </c>
      <c r="BH305" s="24">
        <f t="shared" si="70"/>
        <v>92.567567567567565</v>
      </c>
      <c r="BI305" s="24">
        <f t="shared" si="70"/>
        <v>46.246246246246244</v>
      </c>
      <c r="BJ305" s="24">
        <f t="shared" si="70"/>
        <v>25.675675675675677</v>
      </c>
      <c r="BK305" s="24">
        <f t="shared" si="70"/>
        <v>0</v>
      </c>
      <c r="BL305" s="24">
        <f t="shared" si="70"/>
        <v>7.6576576576576656</v>
      </c>
      <c r="BM305" s="24">
        <f t="shared" si="70"/>
        <v>5.930930930930927</v>
      </c>
      <c r="BN305" s="24">
        <f t="shared" si="70"/>
        <v>90.222575516693169</v>
      </c>
      <c r="BO305" s="24">
        <f t="shared" ref="BO305:CK305" si="71">(100-BO$303)</f>
        <v>66.61367249602543</v>
      </c>
      <c r="BP305" s="24">
        <f t="shared" si="71"/>
        <v>1.8018018018018012</v>
      </c>
      <c r="BQ305" s="24">
        <f t="shared" si="71"/>
        <v>75.337837837837839</v>
      </c>
      <c r="BR305" s="24">
        <f t="shared" si="71"/>
        <v>76.498237367802588</v>
      </c>
      <c r="BS305" s="24">
        <f t="shared" si="71"/>
        <v>98.198198198198199</v>
      </c>
      <c r="BT305" s="24">
        <f t="shared" si="71"/>
        <v>0.3003003003003073</v>
      </c>
      <c r="BU305" s="24">
        <f t="shared" si="71"/>
        <v>63.438438438438439</v>
      </c>
      <c r="BV305" s="24">
        <f t="shared" si="71"/>
        <v>15.990990990990994</v>
      </c>
      <c r="BW305" s="24">
        <f t="shared" si="71"/>
        <v>37.06563706563707</v>
      </c>
      <c r="BX305" s="24">
        <f t="shared" si="71"/>
        <v>6.9819819819819884</v>
      </c>
      <c r="BY305" s="24">
        <f t="shared" si="71"/>
        <v>44.799344799344794</v>
      </c>
      <c r="BZ305" s="24">
        <f t="shared" si="71"/>
        <v>40.465465465465464</v>
      </c>
      <c r="CA305" s="24">
        <f t="shared" si="71"/>
        <v>10.731319554848966</v>
      </c>
      <c r="CB305" s="24">
        <f t="shared" si="71"/>
        <v>11.486486486486484</v>
      </c>
      <c r="CC305" s="24">
        <f t="shared" si="71"/>
        <v>39.189189189189186</v>
      </c>
      <c r="CD305" s="24">
        <f t="shared" si="71"/>
        <v>65.61561561561561</v>
      </c>
      <c r="CE305" s="24">
        <f t="shared" si="71"/>
        <v>90.01501501501501</v>
      </c>
      <c r="CF305" s="24">
        <f t="shared" si="71"/>
        <v>83.183183183183189</v>
      </c>
      <c r="CG305" s="24">
        <f t="shared" si="71"/>
        <v>96.846846846846844</v>
      </c>
      <c r="CH305" s="24">
        <f t="shared" si="71"/>
        <v>81.081081081081081</v>
      </c>
      <c r="CI305" s="24">
        <f t="shared" si="71"/>
        <v>56.306306306306304</v>
      </c>
      <c r="CJ305" s="24">
        <f t="shared" si="71"/>
        <v>92.117117117117118</v>
      </c>
      <c r="CK305" s="24">
        <f t="shared" si="71"/>
        <v>66.891891891891902</v>
      </c>
    </row>
    <row r="306" spans="1:89" x14ac:dyDescent="0.25">
      <c r="A306" s="22"/>
      <c r="B306" s="24"/>
      <c r="C306" s="24"/>
      <c r="D306" s="24"/>
      <c r="E306" s="24"/>
      <c r="F306" s="24"/>
      <c r="G306" s="24"/>
      <c r="H306" s="24"/>
      <c r="I306" s="24"/>
      <c r="J306" s="24"/>
      <c r="K306" s="24"/>
      <c r="L306" s="24"/>
      <c r="M306" s="24"/>
      <c r="N306" s="24"/>
      <c r="O306" s="24"/>
      <c r="P306" s="24"/>
      <c r="Q306" s="24"/>
      <c r="R306" s="24"/>
      <c r="S306" s="24"/>
      <c r="T306" s="24"/>
      <c r="U306" s="24"/>
      <c r="V306" s="24"/>
      <c r="W306" s="24"/>
      <c r="X306" s="24"/>
      <c r="Y306" s="24"/>
      <c r="Z306" s="24"/>
      <c r="AA306" s="24"/>
      <c r="AB306" s="24"/>
      <c r="AC306" s="24"/>
      <c r="AD306" s="24"/>
      <c r="AE306" s="24"/>
      <c r="AF306" s="24"/>
      <c r="AG306" s="24"/>
      <c r="AH306" s="24"/>
      <c r="AI306" s="24"/>
      <c r="AJ306" s="24"/>
      <c r="AK306" s="24"/>
      <c r="AL306" s="24"/>
      <c r="AM306" s="24"/>
      <c r="AN306" s="24"/>
      <c r="AO306" s="24"/>
      <c r="AP306" s="24"/>
      <c r="AQ306" s="24"/>
      <c r="AR306" s="24"/>
      <c r="AS306" s="24"/>
      <c r="AT306" s="24"/>
      <c r="AU306" s="24"/>
      <c r="AV306" s="24"/>
      <c r="AW306" s="24"/>
      <c r="AX306" s="24"/>
      <c r="AY306" s="24"/>
      <c r="AZ306" s="24"/>
      <c r="BA306" s="24"/>
      <c r="BB306" s="24"/>
      <c r="BC306" s="24"/>
      <c r="BD306" s="24"/>
      <c r="BE306" s="24"/>
      <c r="BF306" s="24"/>
      <c r="BG306" s="24"/>
      <c r="BH306" s="24"/>
      <c r="BI306" s="24"/>
      <c r="BJ306" s="24"/>
      <c r="BK306" s="24"/>
      <c r="BL306" s="24"/>
      <c r="BM306" s="24"/>
      <c r="BN306" s="24"/>
      <c r="BO306" s="24"/>
      <c r="BP306" s="24"/>
      <c r="BQ306" s="24"/>
      <c r="BR306" s="24"/>
      <c r="BS306" s="24"/>
      <c r="BT306" s="24"/>
      <c r="BU306" s="24"/>
      <c r="BV306" s="24"/>
      <c r="BW306" s="24"/>
      <c r="BX306" s="24"/>
      <c r="BY306" s="24"/>
      <c r="BZ306" s="24"/>
      <c r="CA306" s="24"/>
      <c r="CB306" s="24"/>
      <c r="CC306" s="24"/>
      <c r="CD306" s="24"/>
      <c r="CE306" s="24"/>
      <c r="CF306" s="24"/>
      <c r="CG306" s="24"/>
      <c r="CH306" s="24"/>
      <c r="CI306" s="24"/>
      <c r="CJ306" s="24"/>
      <c r="CK306" s="24"/>
    </row>
    <row r="307" spans="1:89" x14ac:dyDescent="0.25">
      <c r="A307" s="22"/>
      <c r="B307" s="24" t="s">
        <v>226</v>
      </c>
      <c r="C307" s="24" t="s">
        <v>226</v>
      </c>
      <c r="D307" s="24" t="s">
        <v>226</v>
      </c>
      <c r="E307" s="24" t="s">
        <v>226</v>
      </c>
      <c r="F307" s="24" t="s">
        <v>226</v>
      </c>
      <c r="G307" s="24" t="s">
        <v>226</v>
      </c>
      <c r="H307" s="24" t="s">
        <v>226</v>
      </c>
      <c r="I307" s="24" t="s">
        <v>226</v>
      </c>
      <c r="J307" s="24" t="s">
        <v>226</v>
      </c>
      <c r="K307" s="24" t="s">
        <v>226</v>
      </c>
      <c r="L307" s="24" t="s">
        <v>226</v>
      </c>
      <c r="M307" s="24" t="s">
        <v>226</v>
      </c>
      <c r="N307" s="24" t="s">
        <v>226</v>
      </c>
      <c r="O307" s="24" t="s">
        <v>226</v>
      </c>
      <c r="P307" s="24" t="s">
        <v>226</v>
      </c>
      <c r="Q307" s="24" t="s">
        <v>226</v>
      </c>
      <c r="R307" s="24" t="s">
        <v>226</v>
      </c>
      <c r="S307" s="24" t="s">
        <v>226</v>
      </c>
      <c r="T307" s="24" t="s">
        <v>226</v>
      </c>
      <c r="U307" s="24" t="s">
        <v>226</v>
      </c>
      <c r="V307" s="24" t="s">
        <v>226</v>
      </c>
      <c r="W307" s="24" t="s">
        <v>226</v>
      </c>
      <c r="X307" s="24" t="s">
        <v>226</v>
      </c>
      <c r="Y307" s="24" t="s">
        <v>226</v>
      </c>
      <c r="Z307" s="24" t="s">
        <v>226</v>
      </c>
      <c r="AA307" s="24" t="s">
        <v>226</v>
      </c>
      <c r="AB307" s="24" t="s">
        <v>226</v>
      </c>
      <c r="AC307" s="24" t="s">
        <v>226</v>
      </c>
      <c r="AD307" s="24" t="s">
        <v>226</v>
      </c>
      <c r="AE307" s="24" t="s">
        <v>226</v>
      </c>
      <c r="AF307" s="24" t="s">
        <v>226</v>
      </c>
      <c r="AG307" s="24" t="s">
        <v>226</v>
      </c>
      <c r="AH307" s="24" t="s">
        <v>226</v>
      </c>
      <c r="AI307" s="24" t="s">
        <v>226</v>
      </c>
      <c r="AJ307" s="24" t="s">
        <v>226</v>
      </c>
      <c r="AK307" s="24" t="s">
        <v>226</v>
      </c>
      <c r="AL307" s="24" t="s">
        <v>226</v>
      </c>
      <c r="AM307" s="24" t="s">
        <v>226</v>
      </c>
      <c r="AN307" s="24" t="s">
        <v>226</v>
      </c>
      <c r="AO307" s="24" t="s">
        <v>226</v>
      </c>
      <c r="AP307" s="24" t="s">
        <v>226</v>
      </c>
      <c r="AQ307" s="24" t="s">
        <v>226</v>
      </c>
      <c r="AR307" s="24" t="s">
        <v>226</v>
      </c>
      <c r="AS307" s="24" t="s">
        <v>226</v>
      </c>
      <c r="AT307" s="24" t="s">
        <v>226</v>
      </c>
      <c r="AU307" s="24" t="s">
        <v>226</v>
      </c>
      <c r="AV307" s="24" t="s">
        <v>226</v>
      </c>
      <c r="AW307" s="24" t="s">
        <v>226</v>
      </c>
      <c r="AX307" s="24" t="s">
        <v>226</v>
      </c>
      <c r="AY307" s="24" t="s">
        <v>226</v>
      </c>
      <c r="AZ307" s="24" t="s">
        <v>226</v>
      </c>
      <c r="BA307" s="24" t="s">
        <v>226</v>
      </c>
      <c r="BB307" s="24" t="s">
        <v>226</v>
      </c>
      <c r="BC307" s="24" t="s">
        <v>226</v>
      </c>
      <c r="BD307" s="24" t="s">
        <v>226</v>
      </c>
      <c r="BE307" s="24" t="s">
        <v>226</v>
      </c>
      <c r="BF307" s="24" t="s">
        <v>226</v>
      </c>
      <c r="BG307" s="24" t="s">
        <v>226</v>
      </c>
      <c r="BH307" s="24" t="s">
        <v>226</v>
      </c>
      <c r="BI307" s="24" t="s">
        <v>226</v>
      </c>
      <c r="BJ307" s="24" t="s">
        <v>226</v>
      </c>
      <c r="BK307" s="24" t="s">
        <v>226</v>
      </c>
      <c r="BL307" s="24" t="s">
        <v>226</v>
      </c>
      <c r="BM307" s="24" t="s">
        <v>226</v>
      </c>
      <c r="BN307" s="24" t="s">
        <v>226</v>
      </c>
      <c r="BO307" s="24" t="s">
        <v>226</v>
      </c>
      <c r="BP307" s="24" t="s">
        <v>226</v>
      </c>
      <c r="BQ307" s="24" t="s">
        <v>226</v>
      </c>
      <c r="BR307" s="24" t="s">
        <v>226</v>
      </c>
      <c r="BS307" s="24" t="s">
        <v>226</v>
      </c>
      <c r="BT307" s="24" t="s">
        <v>226</v>
      </c>
      <c r="BU307" s="24" t="s">
        <v>226</v>
      </c>
      <c r="BV307" s="24" t="s">
        <v>226</v>
      </c>
      <c r="BW307" s="24" t="s">
        <v>226</v>
      </c>
      <c r="BX307" s="24" t="s">
        <v>226</v>
      </c>
      <c r="BY307" s="24" t="s">
        <v>226</v>
      </c>
      <c r="BZ307" s="24" t="s">
        <v>226</v>
      </c>
      <c r="CA307" s="24" t="s">
        <v>226</v>
      </c>
      <c r="CB307" s="24" t="s">
        <v>226</v>
      </c>
      <c r="CC307" s="24" t="s">
        <v>226</v>
      </c>
      <c r="CD307" s="24" t="s">
        <v>226</v>
      </c>
      <c r="CE307" s="24" t="s">
        <v>226</v>
      </c>
      <c r="CF307" s="24" t="s">
        <v>226</v>
      </c>
      <c r="CG307" s="24" t="s">
        <v>226</v>
      </c>
      <c r="CH307" s="24" t="s">
        <v>226</v>
      </c>
      <c r="CI307" s="24" t="s">
        <v>226</v>
      </c>
      <c r="CJ307" s="24" t="s">
        <v>226</v>
      </c>
      <c r="CK307" s="24" t="s">
        <v>226</v>
      </c>
    </row>
    <row r="308" spans="1:89" x14ac:dyDescent="0.25">
      <c r="A308" s="22" t="s">
        <v>499</v>
      </c>
      <c r="B308" s="24">
        <f>COUNTIF(B$177:B$201,"&lt;16")</f>
        <v>1</v>
      </c>
      <c r="C308" s="24">
        <f t="shared" ref="C308:BN308" si="72">COUNTIF(C$177:C$201,"&lt;16")</f>
        <v>1</v>
      </c>
      <c r="D308" s="24">
        <f t="shared" si="72"/>
        <v>1</v>
      </c>
      <c r="E308" s="24">
        <f t="shared" si="72"/>
        <v>10</v>
      </c>
      <c r="F308" s="24">
        <f t="shared" si="72"/>
        <v>5</v>
      </c>
      <c r="G308" s="24">
        <f t="shared" si="72"/>
        <v>0</v>
      </c>
      <c r="H308" s="24">
        <f t="shared" si="72"/>
        <v>3</v>
      </c>
      <c r="I308" s="24">
        <f t="shared" si="72"/>
        <v>5</v>
      </c>
      <c r="J308" s="24">
        <f t="shared" si="72"/>
        <v>5</v>
      </c>
      <c r="K308" s="24">
        <f t="shared" si="72"/>
        <v>0</v>
      </c>
      <c r="L308" s="24">
        <f t="shared" si="72"/>
        <v>12</v>
      </c>
      <c r="M308" s="24">
        <f t="shared" si="72"/>
        <v>3</v>
      </c>
      <c r="N308" s="24">
        <f t="shared" si="72"/>
        <v>2</v>
      </c>
      <c r="O308" s="24">
        <f t="shared" si="72"/>
        <v>1</v>
      </c>
      <c r="P308" s="24">
        <f t="shared" si="72"/>
        <v>2</v>
      </c>
      <c r="Q308" s="24">
        <f t="shared" si="72"/>
        <v>6</v>
      </c>
      <c r="R308" s="24">
        <f t="shared" si="72"/>
        <v>1</v>
      </c>
      <c r="S308" s="24">
        <f t="shared" si="72"/>
        <v>0</v>
      </c>
      <c r="T308" s="24">
        <f t="shared" si="72"/>
        <v>2</v>
      </c>
      <c r="U308" s="24">
        <f t="shared" si="72"/>
        <v>4</v>
      </c>
      <c r="V308" s="24">
        <f t="shared" si="72"/>
        <v>1</v>
      </c>
      <c r="W308" s="24">
        <f t="shared" si="72"/>
        <v>8</v>
      </c>
      <c r="X308" s="24">
        <f t="shared" si="72"/>
        <v>0</v>
      </c>
      <c r="Y308" s="24">
        <f t="shared" si="72"/>
        <v>5</v>
      </c>
      <c r="Z308" s="24">
        <f t="shared" si="72"/>
        <v>8</v>
      </c>
      <c r="AA308" s="24">
        <f t="shared" si="72"/>
        <v>8</v>
      </c>
      <c r="AB308" s="24">
        <f t="shared" si="72"/>
        <v>9</v>
      </c>
      <c r="AC308" s="24">
        <f t="shared" si="72"/>
        <v>2</v>
      </c>
      <c r="AD308" s="24">
        <f t="shared" si="72"/>
        <v>4</v>
      </c>
      <c r="AE308" s="24">
        <f t="shared" si="72"/>
        <v>9</v>
      </c>
      <c r="AF308" s="24">
        <f t="shared" si="72"/>
        <v>9</v>
      </c>
      <c r="AG308" s="24">
        <f t="shared" si="72"/>
        <v>0</v>
      </c>
      <c r="AH308" s="24">
        <f t="shared" si="72"/>
        <v>7</v>
      </c>
      <c r="AI308" s="24">
        <f t="shared" si="72"/>
        <v>8</v>
      </c>
      <c r="AJ308" s="24">
        <f t="shared" si="72"/>
        <v>4</v>
      </c>
      <c r="AK308" s="24">
        <f t="shared" si="72"/>
        <v>0</v>
      </c>
      <c r="AL308" s="24">
        <f t="shared" si="72"/>
        <v>4</v>
      </c>
      <c r="AM308" s="24">
        <f t="shared" si="72"/>
        <v>4</v>
      </c>
      <c r="AN308" s="24">
        <f t="shared" si="72"/>
        <v>7</v>
      </c>
      <c r="AO308" s="24">
        <f t="shared" si="72"/>
        <v>5</v>
      </c>
      <c r="AP308" s="24">
        <f t="shared" si="72"/>
        <v>6</v>
      </c>
      <c r="AQ308" s="24">
        <f t="shared" si="72"/>
        <v>8</v>
      </c>
      <c r="AR308" s="24">
        <f t="shared" si="72"/>
        <v>2</v>
      </c>
      <c r="AS308" s="24">
        <f t="shared" si="72"/>
        <v>0</v>
      </c>
      <c r="AT308" s="24">
        <f t="shared" si="72"/>
        <v>2</v>
      </c>
      <c r="AU308" s="24">
        <f t="shared" si="72"/>
        <v>11</v>
      </c>
      <c r="AV308" s="24">
        <f t="shared" si="72"/>
        <v>12</v>
      </c>
      <c r="AW308" s="24">
        <f t="shared" si="72"/>
        <v>2</v>
      </c>
      <c r="AX308" s="24">
        <f t="shared" si="72"/>
        <v>3</v>
      </c>
      <c r="AY308" s="24">
        <f t="shared" si="72"/>
        <v>0</v>
      </c>
      <c r="AZ308" s="24">
        <f t="shared" si="72"/>
        <v>3</v>
      </c>
      <c r="BA308" s="24">
        <f t="shared" si="72"/>
        <v>0</v>
      </c>
      <c r="BB308" s="24">
        <f t="shared" si="72"/>
        <v>4</v>
      </c>
      <c r="BC308" s="24">
        <f t="shared" si="72"/>
        <v>9</v>
      </c>
      <c r="BD308" s="24">
        <f t="shared" si="72"/>
        <v>9</v>
      </c>
      <c r="BE308" s="24">
        <f t="shared" si="72"/>
        <v>2</v>
      </c>
      <c r="BF308" s="24">
        <f t="shared" si="72"/>
        <v>3</v>
      </c>
      <c r="BG308" s="24">
        <f t="shared" si="72"/>
        <v>5</v>
      </c>
      <c r="BH308" s="24">
        <f t="shared" si="72"/>
        <v>1</v>
      </c>
      <c r="BI308" s="24">
        <f t="shared" si="72"/>
        <v>7</v>
      </c>
      <c r="BJ308" s="24">
        <f t="shared" si="72"/>
        <v>4</v>
      </c>
      <c r="BK308" s="24">
        <f t="shared" si="72"/>
        <v>0</v>
      </c>
      <c r="BL308" s="24">
        <f t="shared" si="72"/>
        <v>3</v>
      </c>
      <c r="BM308" s="24">
        <f t="shared" si="72"/>
        <v>2</v>
      </c>
      <c r="BN308" s="24">
        <f t="shared" si="72"/>
        <v>9</v>
      </c>
      <c r="BO308" s="24">
        <f t="shared" ref="BO308:CK308" si="73">COUNTIF(BO$177:BO$201,"&lt;16")</f>
        <v>13</v>
      </c>
      <c r="BP308" s="24">
        <f t="shared" si="73"/>
        <v>3</v>
      </c>
      <c r="BQ308" s="24">
        <f t="shared" si="73"/>
        <v>10</v>
      </c>
      <c r="BR308" s="24">
        <f t="shared" si="73"/>
        <v>8</v>
      </c>
      <c r="BS308" s="24">
        <f t="shared" si="73"/>
        <v>1</v>
      </c>
      <c r="BT308" s="24">
        <f t="shared" si="73"/>
        <v>0</v>
      </c>
      <c r="BU308" s="24">
        <f t="shared" si="73"/>
        <v>6</v>
      </c>
      <c r="BV308" s="24">
        <f t="shared" si="73"/>
        <v>0</v>
      </c>
      <c r="BW308" s="24">
        <f t="shared" si="73"/>
        <v>14</v>
      </c>
      <c r="BX308" s="24">
        <f t="shared" si="73"/>
        <v>4</v>
      </c>
      <c r="BY308" s="24">
        <f t="shared" si="73"/>
        <v>7</v>
      </c>
      <c r="BZ308" s="24">
        <f t="shared" si="73"/>
        <v>11</v>
      </c>
      <c r="CA308" s="24">
        <f t="shared" si="73"/>
        <v>0</v>
      </c>
      <c r="CB308" s="24">
        <f t="shared" si="73"/>
        <v>0</v>
      </c>
      <c r="CC308" s="24">
        <f t="shared" si="73"/>
        <v>2</v>
      </c>
      <c r="CD308" s="24">
        <f t="shared" si="73"/>
        <v>1</v>
      </c>
      <c r="CE308" s="24">
        <f t="shared" si="73"/>
        <v>1</v>
      </c>
      <c r="CF308" s="24">
        <f t="shared" si="73"/>
        <v>4</v>
      </c>
      <c r="CG308" s="24">
        <f t="shared" si="73"/>
        <v>13</v>
      </c>
      <c r="CH308" s="24">
        <f t="shared" si="73"/>
        <v>6</v>
      </c>
      <c r="CI308" s="24">
        <f t="shared" si="73"/>
        <v>0</v>
      </c>
      <c r="CJ308" s="24">
        <f t="shared" si="73"/>
        <v>2</v>
      </c>
      <c r="CK308" s="24">
        <f t="shared" si="73"/>
        <v>8</v>
      </c>
    </row>
    <row r="309" spans="1:89" x14ac:dyDescent="0.25">
      <c r="A309" s="22" t="s">
        <v>500</v>
      </c>
      <c r="B309" s="24">
        <f>COUNTIF(B$177:B$201,"&gt;16")-COUNTIF(B$177:B$201,"&gt;=51")</f>
        <v>23</v>
      </c>
      <c r="C309" s="24">
        <f t="shared" ref="C309:BN309" si="74">COUNTIF(C$177:C$201,"&gt;16")-COUNTIF(C$177:C$201,"&gt;=51")</f>
        <v>14</v>
      </c>
      <c r="D309" s="24">
        <f t="shared" si="74"/>
        <v>18</v>
      </c>
      <c r="E309" s="24">
        <f t="shared" si="74"/>
        <v>14</v>
      </c>
      <c r="F309" s="24">
        <f t="shared" si="74"/>
        <v>11</v>
      </c>
      <c r="G309" s="24">
        <f t="shared" si="74"/>
        <v>20</v>
      </c>
      <c r="H309" s="24">
        <f t="shared" si="74"/>
        <v>18</v>
      </c>
      <c r="I309" s="24">
        <f t="shared" si="74"/>
        <v>7</v>
      </c>
      <c r="J309" s="24">
        <f t="shared" si="74"/>
        <v>17</v>
      </c>
      <c r="K309" s="24">
        <f t="shared" si="74"/>
        <v>23</v>
      </c>
      <c r="L309" s="24">
        <f t="shared" si="74"/>
        <v>10</v>
      </c>
      <c r="M309" s="24">
        <f t="shared" si="74"/>
        <v>13</v>
      </c>
      <c r="N309" s="24">
        <f t="shared" si="74"/>
        <v>18</v>
      </c>
      <c r="O309" s="24">
        <f t="shared" si="74"/>
        <v>11</v>
      </c>
      <c r="P309" s="24">
        <f t="shared" si="74"/>
        <v>15</v>
      </c>
      <c r="Q309" s="24">
        <f t="shared" si="74"/>
        <v>16</v>
      </c>
      <c r="R309" s="24">
        <f t="shared" si="74"/>
        <v>14</v>
      </c>
      <c r="S309" s="24">
        <f t="shared" si="74"/>
        <v>18</v>
      </c>
      <c r="T309" s="24">
        <f t="shared" si="74"/>
        <v>18</v>
      </c>
      <c r="U309" s="24">
        <f t="shared" si="74"/>
        <v>8</v>
      </c>
      <c r="V309" s="24">
        <f t="shared" si="74"/>
        <v>11</v>
      </c>
      <c r="W309" s="24">
        <f t="shared" si="74"/>
        <v>15</v>
      </c>
      <c r="X309" s="24">
        <f t="shared" si="74"/>
        <v>23</v>
      </c>
      <c r="Y309" s="24">
        <f t="shared" si="74"/>
        <v>12</v>
      </c>
      <c r="Z309" s="24">
        <f t="shared" si="74"/>
        <v>12</v>
      </c>
      <c r="AA309" s="24">
        <f t="shared" si="74"/>
        <v>13</v>
      </c>
      <c r="AB309" s="24">
        <f t="shared" si="74"/>
        <v>15</v>
      </c>
      <c r="AC309" s="24">
        <f t="shared" si="74"/>
        <v>16</v>
      </c>
      <c r="AD309" s="24">
        <f t="shared" si="74"/>
        <v>19</v>
      </c>
      <c r="AE309" s="24">
        <f t="shared" si="74"/>
        <v>10</v>
      </c>
      <c r="AF309" s="24">
        <f t="shared" si="74"/>
        <v>12</v>
      </c>
      <c r="AG309" s="24">
        <f t="shared" si="74"/>
        <v>11</v>
      </c>
      <c r="AH309" s="24">
        <f t="shared" si="74"/>
        <v>12</v>
      </c>
      <c r="AI309" s="24">
        <f t="shared" si="74"/>
        <v>12</v>
      </c>
      <c r="AJ309" s="24">
        <f t="shared" si="74"/>
        <v>17</v>
      </c>
      <c r="AK309" s="24">
        <f t="shared" si="74"/>
        <v>16</v>
      </c>
      <c r="AL309" s="24">
        <f t="shared" si="74"/>
        <v>16</v>
      </c>
      <c r="AM309" s="24">
        <f t="shared" si="74"/>
        <v>15</v>
      </c>
      <c r="AN309" s="24">
        <f t="shared" si="74"/>
        <v>12</v>
      </c>
      <c r="AO309" s="24">
        <f t="shared" si="74"/>
        <v>14</v>
      </c>
      <c r="AP309" s="24">
        <f t="shared" si="74"/>
        <v>13</v>
      </c>
      <c r="AQ309" s="24">
        <f t="shared" si="74"/>
        <v>15</v>
      </c>
      <c r="AR309" s="24">
        <f t="shared" si="74"/>
        <v>16</v>
      </c>
      <c r="AS309" s="24">
        <f t="shared" si="74"/>
        <v>22</v>
      </c>
      <c r="AT309" s="24">
        <f t="shared" si="74"/>
        <v>21</v>
      </c>
      <c r="AU309" s="24">
        <f t="shared" si="74"/>
        <v>11</v>
      </c>
      <c r="AV309" s="24">
        <f t="shared" si="74"/>
        <v>11</v>
      </c>
      <c r="AW309" s="24">
        <f t="shared" si="74"/>
        <v>17</v>
      </c>
      <c r="AX309" s="24">
        <f t="shared" si="74"/>
        <v>17</v>
      </c>
      <c r="AY309" s="24">
        <f t="shared" si="74"/>
        <v>13</v>
      </c>
      <c r="AZ309" s="24">
        <f t="shared" si="74"/>
        <v>19</v>
      </c>
      <c r="BA309" s="24">
        <f t="shared" si="74"/>
        <v>17</v>
      </c>
      <c r="BB309" s="24">
        <f t="shared" si="74"/>
        <v>13</v>
      </c>
      <c r="BC309" s="24">
        <f t="shared" si="74"/>
        <v>13</v>
      </c>
      <c r="BD309" s="24">
        <f t="shared" si="74"/>
        <v>10</v>
      </c>
      <c r="BE309" s="24">
        <f t="shared" si="74"/>
        <v>22</v>
      </c>
      <c r="BF309" s="24">
        <f t="shared" si="74"/>
        <v>21</v>
      </c>
      <c r="BG309" s="24">
        <f t="shared" si="74"/>
        <v>14</v>
      </c>
      <c r="BH309" s="24">
        <f t="shared" si="74"/>
        <v>18</v>
      </c>
      <c r="BI309" s="24">
        <f t="shared" si="74"/>
        <v>11</v>
      </c>
      <c r="BJ309" s="24">
        <f t="shared" si="74"/>
        <v>20</v>
      </c>
      <c r="BK309" s="24">
        <f t="shared" si="74"/>
        <v>20</v>
      </c>
      <c r="BL309" s="24">
        <f t="shared" si="74"/>
        <v>18</v>
      </c>
      <c r="BM309" s="24">
        <f t="shared" si="74"/>
        <v>15</v>
      </c>
      <c r="BN309" s="24">
        <f t="shared" si="74"/>
        <v>10</v>
      </c>
      <c r="BO309" s="24">
        <f t="shared" ref="BO309:CK309" si="75">COUNTIF(BO$177:BO$201,"&gt;16")-COUNTIF(BO$177:BO$201,"&gt;=51")</f>
        <v>7</v>
      </c>
      <c r="BP309" s="24">
        <f t="shared" si="75"/>
        <v>15</v>
      </c>
      <c r="BQ309" s="24">
        <f t="shared" si="75"/>
        <v>11</v>
      </c>
      <c r="BR309" s="24">
        <f t="shared" si="75"/>
        <v>14</v>
      </c>
      <c r="BS309" s="24">
        <f t="shared" si="75"/>
        <v>14</v>
      </c>
      <c r="BT309" s="24">
        <f t="shared" si="75"/>
        <v>24</v>
      </c>
      <c r="BU309" s="24">
        <f t="shared" si="75"/>
        <v>18</v>
      </c>
      <c r="BV309" s="24">
        <f t="shared" si="75"/>
        <v>9</v>
      </c>
      <c r="BW309" s="24">
        <f t="shared" si="75"/>
        <v>8</v>
      </c>
      <c r="BX309" s="24">
        <f t="shared" si="75"/>
        <v>19</v>
      </c>
      <c r="BY309" s="24">
        <f t="shared" si="75"/>
        <v>13</v>
      </c>
      <c r="BZ309" s="24">
        <f t="shared" si="75"/>
        <v>4</v>
      </c>
      <c r="CA309" s="24">
        <f t="shared" si="75"/>
        <v>17</v>
      </c>
      <c r="CB309" s="24">
        <f t="shared" si="75"/>
        <v>13</v>
      </c>
      <c r="CC309" s="24">
        <f t="shared" si="75"/>
        <v>18</v>
      </c>
      <c r="CD309" s="24">
        <f t="shared" si="75"/>
        <v>13</v>
      </c>
      <c r="CE309" s="24">
        <f t="shared" si="75"/>
        <v>22</v>
      </c>
      <c r="CF309" s="24">
        <f t="shared" si="75"/>
        <v>16</v>
      </c>
      <c r="CG309" s="24">
        <f t="shared" si="75"/>
        <v>10</v>
      </c>
      <c r="CH309" s="24">
        <f t="shared" si="75"/>
        <v>14</v>
      </c>
      <c r="CI309" s="24">
        <f t="shared" si="75"/>
        <v>16</v>
      </c>
      <c r="CJ309" s="24">
        <f t="shared" si="75"/>
        <v>15</v>
      </c>
      <c r="CK309" s="24">
        <f t="shared" si="75"/>
        <v>14</v>
      </c>
    </row>
    <row r="310" spans="1:89" x14ac:dyDescent="0.25">
      <c r="A310" s="22" t="s">
        <v>501</v>
      </c>
      <c r="B310" s="24">
        <f>COUNTIF(B$177:B$201,"&gt;=51")</f>
        <v>0</v>
      </c>
      <c r="C310" s="24">
        <f t="shared" ref="C310:BN310" si="76">COUNTIF(C$177:C$201,"&gt;=51")</f>
        <v>8</v>
      </c>
      <c r="D310" s="24">
        <f t="shared" si="76"/>
        <v>5</v>
      </c>
      <c r="E310" s="24">
        <f t="shared" si="76"/>
        <v>0</v>
      </c>
      <c r="F310" s="24">
        <f t="shared" si="76"/>
        <v>8</v>
      </c>
      <c r="G310" s="24">
        <f t="shared" si="76"/>
        <v>4</v>
      </c>
      <c r="H310" s="24">
        <f t="shared" si="76"/>
        <v>3</v>
      </c>
      <c r="I310" s="24">
        <f t="shared" si="76"/>
        <v>12</v>
      </c>
      <c r="J310" s="24">
        <f t="shared" si="76"/>
        <v>2</v>
      </c>
      <c r="K310" s="24">
        <f t="shared" si="76"/>
        <v>1</v>
      </c>
      <c r="L310" s="24">
        <f t="shared" si="76"/>
        <v>2</v>
      </c>
      <c r="M310" s="24">
        <f t="shared" si="76"/>
        <v>8</v>
      </c>
      <c r="N310" s="24">
        <f t="shared" si="76"/>
        <v>4</v>
      </c>
      <c r="O310" s="24">
        <f t="shared" si="76"/>
        <v>12</v>
      </c>
      <c r="P310" s="24">
        <f t="shared" si="76"/>
        <v>7</v>
      </c>
      <c r="Q310" s="24">
        <f t="shared" si="76"/>
        <v>1</v>
      </c>
      <c r="R310" s="24">
        <f t="shared" si="76"/>
        <v>9</v>
      </c>
      <c r="S310" s="24">
        <f t="shared" si="76"/>
        <v>6</v>
      </c>
      <c r="T310" s="24">
        <f t="shared" si="76"/>
        <v>4</v>
      </c>
      <c r="U310" s="24">
        <f t="shared" si="76"/>
        <v>12</v>
      </c>
      <c r="V310" s="24">
        <f t="shared" si="76"/>
        <v>12</v>
      </c>
      <c r="W310" s="24">
        <f t="shared" si="76"/>
        <v>1</v>
      </c>
      <c r="X310" s="24">
        <f t="shared" si="76"/>
        <v>1</v>
      </c>
      <c r="Y310" s="24">
        <f t="shared" si="76"/>
        <v>7</v>
      </c>
      <c r="Z310" s="24">
        <f t="shared" si="76"/>
        <v>4</v>
      </c>
      <c r="AA310" s="24">
        <f t="shared" si="76"/>
        <v>3</v>
      </c>
      <c r="AB310" s="24">
        <f t="shared" si="76"/>
        <v>0</v>
      </c>
      <c r="AC310" s="24">
        <f t="shared" si="76"/>
        <v>6</v>
      </c>
      <c r="AD310" s="24">
        <f t="shared" si="76"/>
        <v>1</v>
      </c>
      <c r="AE310" s="24">
        <f t="shared" si="76"/>
        <v>5</v>
      </c>
      <c r="AF310" s="24">
        <f t="shared" si="76"/>
        <v>3</v>
      </c>
      <c r="AG310" s="24">
        <f t="shared" si="76"/>
        <v>12</v>
      </c>
      <c r="AH310" s="24">
        <f t="shared" si="76"/>
        <v>5</v>
      </c>
      <c r="AI310" s="24">
        <f t="shared" si="76"/>
        <v>4</v>
      </c>
      <c r="AJ310" s="24">
        <f t="shared" si="76"/>
        <v>3</v>
      </c>
      <c r="AK310" s="24">
        <f t="shared" si="76"/>
        <v>8</v>
      </c>
      <c r="AL310" s="24">
        <f t="shared" si="76"/>
        <v>4</v>
      </c>
      <c r="AM310" s="24">
        <f t="shared" si="76"/>
        <v>5</v>
      </c>
      <c r="AN310" s="24">
        <f t="shared" si="76"/>
        <v>5</v>
      </c>
      <c r="AO310" s="24">
        <f t="shared" si="76"/>
        <v>5</v>
      </c>
      <c r="AP310" s="24">
        <f t="shared" si="76"/>
        <v>5</v>
      </c>
      <c r="AQ310" s="24">
        <f t="shared" si="76"/>
        <v>1</v>
      </c>
      <c r="AR310" s="24">
        <f t="shared" si="76"/>
        <v>5</v>
      </c>
      <c r="AS310" s="24">
        <f t="shared" si="76"/>
        <v>2</v>
      </c>
      <c r="AT310" s="24">
        <f t="shared" si="76"/>
        <v>1</v>
      </c>
      <c r="AU310" s="24">
        <f t="shared" si="76"/>
        <v>2</v>
      </c>
      <c r="AV310" s="24">
        <f t="shared" si="76"/>
        <v>1</v>
      </c>
      <c r="AW310" s="24">
        <f t="shared" si="76"/>
        <v>5</v>
      </c>
      <c r="AX310" s="24">
        <f t="shared" si="76"/>
        <v>4</v>
      </c>
      <c r="AY310" s="24">
        <f t="shared" si="76"/>
        <v>11</v>
      </c>
      <c r="AZ310" s="24">
        <f t="shared" si="76"/>
        <v>2</v>
      </c>
      <c r="BA310" s="24">
        <f t="shared" si="76"/>
        <v>7</v>
      </c>
      <c r="BB310" s="24">
        <f t="shared" si="76"/>
        <v>7</v>
      </c>
      <c r="BC310" s="24">
        <f t="shared" si="76"/>
        <v>2</v>
      </c>
      <c r="BD310" s="24">
        <f t="shared" si="76"/>
        <v>5</v>
      </c>
      <c r="BE310" s="24">
        <f t="shared" si="76"/>
        <v>0</v>
      </c>
      <c r="BF310" s="24">
        <f t="shared" si="76"/>
        <v>0</v>
      </c>
      <c r="BG310" s="24">
        <f t="shared" si="76"/>
        <v>5</v>
      </c>
      <c r="BH310" s="24">
        <f t="shared" si="76"/>
        <v>5</v>
      </c>
      <c r="BI310" s="24">
        <f t="shared" si="76"/>
        <v>6</v>
      </c>
      <c r="BJ310" s="24">
        <f t="shared" si="76"/>
        <v>0</v>
      </c>
      <c r="BK310" s="24">
        <f t="shared" si="76"/>
        <v>4</v>
      </c>
      <c r="BL310" s="24">
        <f t="shared" si="76"/>
        <v>3</v>
      </c>
      <c r="BM310" s="24">
        <f t="shared" si="76"/>
        <v>7</v>
      </c>
      <c r="BN310" s="24">
        <f t="shared" si="76"/>
        <v>5</v>
      </c>
      <c r="BO310" s="24">
        <f t="shared" ref="BO310:CK310" si="77">COUNTIF(BO$177:BO$201,"&gt;=51")</f>
        <v>4</v>
      </c>
      <c r="BP310" s="24">
        <f t="shared" si="77"/>
        <v>6</v>
      </c>
      <c r="BQ310" s="24">
        <f t="shared" si="77"/>
        <v>3</v>
      </c>
      <c r="BR310" s="24">
        <f t="shared" si="77"/>
        <v>2</v>
      </c>
      <c r="BS310" s="24">
        <f t="shared" si="77"/>
        <v>9</v>
      </c>
      <c r="BT310" s="24">
        <f t="shared" si="77"/>
        <v>0</v>
      </c>
      <c r="BU310" s="24">
        <f t="shared" si="77"/>
        <v>0</v>
      </c>
      <c r="BV310" s="24">
        <f t="shared" si="77"/>
        <v>15</v>
      </c>
      <c r="BW310" s="24">
        <f t="shared" si="77"/>
        <v>2</v>
      </c>
      <c r="BX310" s="24">
        <f t="shared" si="77"/>
        <v>1</v>
      </c>
      <c r="BY310" s="24">
        <f t="shared" si="77"/>
        <v>4</v>
      </c>
      <c r="BZ310" s="24">
        <f t="shared" si="77"/>
        <v>8</v>
      </c>
      <c r="CA310" s="24">
        <f t="shared" si="77"/>
        <v>7</v>
      </c>
      <c r="CB310" s="24">
        <f t="shared" si="77"/>
        <v>11</v>
      </c>
      <c r="CC310" s="24">
        <f t="shared" si="77"/>
        <v>4</v>
      </c>
      <c r="CD310" s="24">
        <f t="shared" si="77"/>
        <v>10</v>
      </c>
      <c r="CE310" s="24">
        <f t="shared" si="77"/>
        <v>1</v>
      </c>
      <c r="CF310" s="24">
        <f t="shared" si="77"/>
        <v>4</v>
      </c>
      <c r="CG310" s="24">
        <f t="shared" si="77"/>
        <v>1</v>
      </c>
      <c r="CH310" s="24">
        <f t="shared" si="77"/>
        <v>4</v>
      </c>
      <c r="CI310" s="24">
        <f t="shared" si="77"/>
        <v>8</v>
      </c>
      <c r="CJ310" s="24">
        <f t="shared" si="77"/>
        <v>7</v>
      </c>
      <c r="CK310" s="24">
        <f t="shared" si="77"/>
        <v>2</v>
      </c>
    </row>
    <row r="311" spans="1:89" x14ac:dyDescent="0.25">
      <c r="A311" s="22"/>
      <c r="B311">
        <v>24</v>
      </c>
    </row>
    <row r="312" spans="1:89" x14ac:dyDescent="0.25">
      <c r="A312" s="21" t="s">
        <v>504</v>
      </c>
      <c r="B312">
        <f>COUNTIF(B$75:B$86, "&gt;1")</f>
        <v>3</v>
      </c>
      <c r="C312">
        <f t="shared" ref="C312:BN312" si="78">COUNTIF(C$75:C$86, "&gt;1")</f>
        <v>2</v>
      </c>
      <c r="D312">
        <f t="shared" si="78"/>
        <v>0</v>
      </c>
      <c r="E312">
        <f t="shared" si="78"/>
        <v>1</v>
      </c>
      <c r="F312">
        <f t="shared" si="78"/>
        <v>5</v>
      </c>
      <c r="G312">
        <f t="shared" si="78"/>
        <v>2</v>
      </c>
      <c r="H312">
        <f t="shared" si="78"/>
        <v>3</v>
      </c>
      <c r="I312">
        <f t="shared" si="78"/>
        <v>4</v>
      </c>
      <c r="J312">
        <f t="shared" si="78"/>
        <v>3</v>
      </c>
      <c r="K312">
        <f t="shared" si="78"/>
        <v>3</v>
      </c>
      <c r="L312">
        <f t="shared" si="78"/>
        <v>2</v>
      </c>
      <c r="M312">
        <f t="shared" si="78"/>
        <v>4</v>
      </c>
      <c r="N312">
        <f t="shared" si="78"/>
        <v>7</v>
      </c>
      <c r="O312">
        <f t="shared" si="78"/>
        <v>5</v>
      </c>
      <c r="P312">
        <f t="shared" si="78"/>
        <v>3</v>
      </c>
      <c r="Q312">
        <f t="shared" si="78"/>
        <v>3</v>
      </c>
      <c r="R312">
        <f t="shared" si="78"/>
        <v>3</v>
      </c>
      <c r="S312">
        <f t="shared" si="78"/>
        <v>2</v>
      </c>
      <c r="T312">
        <f t="shared" si="78"/>
        <v>3</v>
      </c>
      <c r="U312">
        <f t="shared" si="78"/>
        <v>6</v>
      </c>
      <c r="V312">
        <f t="shared" si="78"/>
        <v>1</v>
      </c>
      <c r="W312">
        <f t="shared" si="78"/>
        <v>3</v>
      </c>
      <c r="X312">
        <f t="shared" si="78"/>
        <v>4</v>
      </c>
      <c r="Y312">
        <f t="shared" si="78"/>
        <v>1</v>
      </c>
      <c r="Z312">
        <f t="shared" si="78"/>
        <v>4</v>
      </c>
      <c r="AA312">
        <f t="shared" si="78"/>
        <v>7</v>
      </c>
      <c r="AB312">
        <f t="shared" si="78"/>
        <v>6</v>
      </c>
      <c r="AC312">
        <f t="shared" si="78"/>
        <v>5</v>
      </c>
      <c r="AD312">
        <f t="shared" si="78"/>
        <v>5</v>
      </c>
      <c r="AE312">
        <f t="shared" si="78"/>
        <v>3</v>
      </c>
      <c r="AF312">
        <f t="shared" si="78"/>
        <v>4</v>
      </c>
      <c r="AG312">
        <f t="shared" si="78"/>
        <v>1</v>
      </c>
      <c r="AH312">
        <f t="shared" si="78"/>
        <v>8</v>
      </c>
      <c r="AI312">
        <f t="shared" si="78"/>
        <v>1</v>
      </c>
      <c r="AJ312">
        <f t="shared" si="78"/>
        <v>5</v>
      </c>
      <c r="AK312">
        <f t="shared" si="78"/>
        <v>3</v>
      </c>
      <c r="AL312">
        <f t="shared" si="78"/>
        <v>1</v>
      </c>
      <c r="AM312">
        <f t="shared" si="78"/>
        <v>1</v>
      </c>
      <c r="AN312">
        <f t="shared" si="78"/>
        <v>2</v>
      </c>
      <c r="AO312">
        <f t="shared" si="78"/>
        <v>3</v>
      </c>
      <c r="AP312">
        <f t="shared" si="78"/>
        <v>7</v>
      </c>
      <c r="AQ312">
        <f t="shared" si="78"/>
        <v>4</v>
      </c>
      <c r="AR312">
        <f t="shared" si="78"/>
        <v>1</v>
      </c>
      <c r="AS312">
        <f t="shared" si="78"/>
        <v>3</v>
      </c>
      <c r="AT312">
        <f t="shared" si="78"/>
        <v>1</v>
      </c>
      <c r="AU312">
        <f t="shared" si="78"/>
        <v>0</v>
      </c>
      <c r="AV312">
        <f t="shared" si="78"/>
        <v>6</v>
      </c>
      <c r="AW312">
        <f t="shared" si="78"/>
        <v>1</v>
      </c>
      <c r="AX312">
        <f t="shared" si="78"/>
        <v>7</v>
      </c>
      <c r="AY312">
        <f t="shared" si="78"/>
        <v>2</v>
      </c>
      <c r="AZ312">
        <f t="shared" si="78"/>
        <v>3</v>
      </c>
      <c r="BA312">
        <f t="shared" si="78"/>
        <v>2</v>
      </c>
      <c r="BB312">
        <f t="shared" si="78"/>
        <v>5</v>
      </c>
      <c r="BC312">
        <f t="shared" si="78"/>
        <v>7</v>
      </c>
      <c r="BD312">
        <f t="shared" si="78"/>
        <v>9</v>
      </c>
      <c r="BE312">
        <f t="shared" si="78"/>
        <v>0</v>
      </c>
      <c r="BF312">
        <f t="shared" si="78"/>
        <v>5</v>
      </c>
      <c r="BG312">
        <f t="shared" si="78"/>
        <v>9</v>
      </c>
      <c r="BH312">
        <f t="shared" si="78"/>
        <v>9</v>
      </c>
      <c r="BI312">
        <f t="shared" si="78"/>
        <v>6</v>
      </c>
      <c r="BJ312">
        <f t="shared" si="78"/>
        <v>4</v>
      </c>
      <c r="BK312">
        <f t="shared" si="78"/>
        <v>4</v>
      </c>
      <c r="BL312">
        <f t="shared" si="78"/>
        <v>5</v>
      </c>
      <c r="BM312">
        <f t="shared" si="78"/>
        <v>3</v>
      </c>
      <c r="BN312">
        <f t="shared" si="78"/>
        <v>2</v>
      </c>
      <c r="BO312">
        <f t="shared" ref="BO312:CK312" si="79">COUNTIF(BO$75:BO$86, "&gt;1")</f>
        <v>3</v>
      </c>
      <c r="BP312">
        <f t="shared" si="79"/>
        <v>7</v>
      </c>
      <c r="BQ312">
        <f t="shared" si="79"/>
        <v>3</v>
      </c>
      <c r="BR312">
        <f t="shared" si="79"/>
        <v>2</v>
      </c>
      <c r="BS312">
        <f t="shared" si="79"/>
        <v>2</v>
      </c>
      <c r="BT312">
        <f t="shared" si="79"/>
        <v>1</v>
      </c>
      <c r="BU312">
        <f t="shared" si="79"/>
        <v>5</v>
      </c>
      <c r="BV312">
        <f t="shared" si="79"/>
        <v>2</v>
      </c>
      <c r="BW312">
        <f t="shared" si="79"/>
        <v>7</v>
      </c>
      <c r="BX312">
        <f t="shared" si="79"/>
        <v>2</v>
      </c>
      <c r="BY312">
        <f t="shared" si="79"/>
        <v>5</v>
      </c>
      <c r="BZ312">
        <f t="shared" si="79"/>
        <v>2</v>
      </c>
      <c r="CA312">
        <f t="shared" si="79"/>
        <v>4</v>
      </c>
      <c r="CB312">
        <f t="shared" si="79"/>
        <v>2</v>
      </c>
      <c r="CC312">
        <f t="shared" si="79"/>
        <v>6</v>
      </c>
      <c r="CD312">
        <f t="shared" si="79"/>
        <v>3</v>
      </c>
      <c r="CE312">
        <f t="shared" si="79"/>
        <v>2</v>
      </c>
      <c r="CF312">
        <f t="shared" si="79"/>
        <v>2</v>
      </c>
      <c r="CG312">
        <f t="shared" si="79"/>
        <v>1</v>
      </c>
      <c r="CH312">
        <f t="shared" si="79"/>
        <v>3</v>
      </c>
      <c r="CI312">
        <f t="shared" si="79"/>
        <v>1</v>
      </c>
      <c r="CJ312">
        <f t="shared" si="79"/>
        <v>5</v>
      </c>
      <c r="CK312">
        <f t="shared" si="79"/>
        <v>8</v>
      </c>
    </row>
  </sheetData>
  <pageMargins left="0.7" right="0.7" top="0.75" bottom="0.75" header="0.3" footer="0.3"/>
  <pageSetup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K45"/>
  <sheetViews>
    <sheetView workbookViewId="0">
      <selection activeCell="B35" sqref="B35"/>
    </sheetView>
  </sheetViews>
  <sheetFormatPr defaultRowHeight="15" x14ac:dyDescent="0.25"/>
  <cols>
    <col min="1" max="1" width="12.7109375" customWidth="1"/>
  </cols>
  <sheetData>
    <row r="1" spans="1:89" x14ac:dyDescent="0.25">
      <c r="B1" s="17">
        <v>1</v>
      </c>
      <c r="C1" s="17">
        <v>8</v>
      </c>
      <c r="D1" s="17">
        <v>10</v>
      </c>
      <c r="E1" s="17">
        <v>11</v>
      </c>
      <c r="F1" s="17">
        <v>12</v>
      </c>
      <c r="G1" s="17">
        <v>13</v>
      </c>
      <c r="H1" s="17">
        <v>14</v>
      </c>
      <c r="I1" s="17">
        <v>16</v>
      </c>
      <c r="J1" s="17">
        <v>18</v>
      </c>
      <c r="K1" s="17">
        <v>22</v>
      </c>
      <c r="L1" s="17">
        <v>26</v>
      </c>
      <c r="M1" s="17">
        <v>27</v>
      </c>
      <c r="N1" s="17">
        <v>29</v>
      </c>
      <c r="O1" s="17">
        <v>32</v>
      </c>
      <c r="P1" s="17">
        <v>34</v>
      </c>
      <c r="Q1" s="17">
        <v>35</v>
      </c>
      <c r="R1" s="17">
        <v>36</v>
      </c>
      <c r="S1" s="17">
        <v>38</v>
      </c>
      <c r="T1" s="17">
        <v>41</v>
      </c>
      <c r="U1" s="17">
        <v>48</v>
      </c>
      <c r="V1" s="17">
        <v>57</v>
      </c>
      <c r="W1" s="17">
        <v>61</v>
      </c>
      <c r="X1" s="17">
        <v>75</v>
      </c>
      <c r="Y1" s="17">
        <v>84</v>
      </c>
      <c r="Z1" s="17">
        <v>85</v>
      </c>
      <c r="AA1" s="17">
        <v>86</v>
      </c>
      <c r="AB1" s="17">
        <v>93</v>
      </c>
      <c r="AC1" s="17">
        <v>96</v>
      </c>
      <c r="AD1" s="17">
        <v>108</v>
      </c>
      <c r="AE1" s="17">
        <v>109</v>
      </c>
      <c r="AF1" s="17">
        <v>117</v>
      </c>
      <c r="AG1" s="17">
        <v>118</v>
      </c>
      <c r="AH1" s="17">
        <v>123</v>
      </c>
      <c r="AI1" s="17">
        <v>128</v>
      </c>
      <c r="AJ1" s="17">
        <v>130</v>
      </c>
      <c r="AK1" s="17">
        <v>135</v>
      </c>
      <c r="AL1" s="17">
        <v>149</v>
      </c>
      <c r="AM1" s="17">
        <v>154</v>
      </c>
      <c r="AN1" s="17">
        <v>156</v>
      </c>
      <c r="AO1" s="17">
        <v>157</v>
      </c>
      <c r="AP1" s="17">
        <v>163</v>
      </c>
      <c r="AQ1" s="17">
        <v>170</v>
      </c>
      <c r="AR1" s="17" t="s">
        <v>4</v>
      </c>
      <c r="AS1" s="17" t="s">
        <v>5</v>
      </c>
      <c r="AT1" s="17" t="s">
        <v>6</v>
      </c>
      <c r="AU1" s="17" t="s">
        <v>7</v>
      </c>
      <c r="AV1" s="17" t="s">
        <v>8</v>
      </c>
      <c r="AW1" s="18">
        <v>1</v>
      </c>
      <c r="AX1" s="18">
        <v>4</v>
      </c>
      <c r="AY1" s="18">
        <v>17</v>
      </c>
      <c r="AZ1" s="18">
        <v>20</v>
      </c>
      <c r="BA1" s="18">
        <v>25</v>
      </c>
      <c r="BB1" s="18">
        <v>29</v>
      </c>
      <c r="BC1" s="18">
        <v>33</v>
      </c>
      <c r="BD1" s="18">
        <v>36</v>
      </c>
      <c r="BE1" s="18">
        <v>39</v>
      </c>
      <c r="BF1" s="18">
        <v>40</v>
      </c>
      <c r="BG1" s="18">
        <v>41</v>
      </c>
      <c r="BH1" s="18">
        <v>52</v>
      </c>
      <c r="BI1" s="18">
        <v>56</v>
      </c>
      <c r="BJ1" s="18">
        <v>57</v>
      </c>
      <c r="BK1" s="18">
        <v>65</v>
      </c>
      <c r="BL1" s="18">
        <v>73</v>
      </c>
      <c r="BM1" s="18">
        <v>77</v>
      </c>
      <c r="BN1" s="18">
        <v>80</v>
      </c>
      <c r="BO1" s="18">
        <v>82</v>
      </c>
      <c r="BP1" s="18">
        <v>101</v>
      </c>
      <c r="BQ1" s="18">
        <v>103</v>
      </c>
      <c r="BR1" s="18">
        <v>105</v>
      </c>
      <c r="BS1" s="18">
        <v>113</v>
      </c>
      <c r="BT1" s="18">
        <v>119</v>
      </c>
      <c r="BU1" s="18">
        <v>120</v>
      </c>
      <c r="BV1" s="18">
        <v>129</v>
      </c>
      <c r="BW1" s="18">
        <v>150</v>
      </c>
      <c r="BX1" s="18">
        <v>161</v>
      </c>
      <c r="BY1" s="18">
        <v>178</v>
      </c>
      <c r="BZ1" s="18">
        <v>193</v>
      </c>
      <c r="CA1" s="18">
        <v>201</v>
      </c>
      <c r="CB1" s="18">
        <v>202</v>
      </c>
      <c r="CC1" s="18">
        <v>203</v>
      </c>
      <c r="CD1" s="18">
        <v>204</v>
      </c>
      <c r="CE1" s="19">
        <v>5</v>
      </c>
      <c r="CF1" s="19">
        <v>8</v>
      </c>
      <c r="CG1" s="19">
        <v>10</v>
      </c>
      <c r="CH1" s="19">
        <v>17</v>
      </c>
      <c r="CI1" s="19" t="s">
        <v>11</v>
      </c>
      <c r="CJ1" s="19">
        <v>24</v>
      </c>
      <c r="CK1" s="19">
        <v>61</v>
      </c>
    </row>
    <row r="2" spans="1:89" x14ac:dyDescent="0.25">
      <c r="A2" s="22" t="s">
        <v>332</v>
      </c>
      <c r="B2">
        <v>0</v>
      </c>
    </row>
    <row r="3" spans="1:89" x14ac:dyDescent="0.25">
      <c r="A3" s="22"/>
      <c r="B3">
        <v>0</v>
      </c>
    </row>
    <row r="4" spans="1:89" x14ac:dyDescent="0.25">
      <c r="A4" s="22" t="s">
        <v>333</v>
      </c>
      <c r="B4">
        <v>0</v>
      </c>
    </row>
    <row r="5" spans="1:89" x14ac:dyDescent="0.25">
      <c r="A5" s="22"/>
      <c r="B5">
        <v>0</v>
      </c>
    </row>
    <row r="6" spans="1:89" x14ac:dyDescent="0.25">
      <c r="A6" s="22" t="s">
        <v>334</v>
      </c>
      <c r="B6">
        <v>1</v>
      </c>
    </row>
    <row r="7" spans="1:89" x14ac:dyDescent="0.25">
      <c r="A7" s="22"/>
      <c r="B7">
        <v>0</v>
      </c>
    </row>
    <row r="8" spans="1:89" x14ac:dyDescent="0.25">
      <c r="A8" s="22" t="s">
        <v>335</v>
      </c>
      <c r="B8">
        <v>0</v>
      </c>
    </row>
    <row r="9" spans="1:89" x14ac:dyDescent="0.25">
      <c r="A9" s="22"/>
      <c r="B9">
        <v>0</v>
      </c>
    </row>
    <row r="10" spans="1:89" x14ac:dyDescent="0.25">
      <c r="A10" s="22" t="s">
        <v>336</v>
      </c>
      <c r="B10">
        <v>0</v>
      </c>
    </row>
    <row r="11" spans="1:89" x14ac:dyDescent="0.25">
      <c r="A11" s="22"/>
      <c r="B11">
        <v>0</v>
      </c>
    </row>
    <row r="12" spans="1:89" x14ac:dyDescent="0.25">
      <c r="A12" s="22" t="s">
        <v>337</v>
      </c>
      <c r="B12">
        <v>0</v>
      </c>
    </row>
    <row r="13" spans="1:89" x14ac:dyDescent="0.25">
      <c r="A13" s="22"/>
      <c r="B13">
        <v>0</v>
      </c>
    </row>
    <row r="14" spans="1:89" x14ac:dyDescent="0.25">
      <c r="A14" s="22" t="s">
        <v>338</v>
      </c>
      <c r="B14">
        <v>0</v>
      </c>
    </row>
    <row r="15" spans="1:89" x14ac:dyDescent="0.25">
      <c r="A15" s="22"/>
      <c r="B15">
        <v>0</v>
      </c>
    </row>
    <row r="16" spans="1:89" x14ac:dyDescent="0.25">
      <c r="A16" s="22" t="s">
        <v>339</v>
      </c>
      <c r="B16">
        <v>0</v>
      </c>
    </row>
    <row r="17" spans="1:2" x14ac:dyDescent="0.25">
      <c r="A17" s="22"/>
      <c r="B17">
        <v>0</v>
      </c>
    </row>
    <row r="18" spans="1:2" x14ac:dyDescent="0.25">
      <c r="A18" s="22" t="s">
        <v>340</v>
      </c>
      <c r="B18">
        <v>0</v>
      </c>
    </row>
    <row r="19" spans="1:2" x14ac:dyDescent="0.25">
      <c r="A19" s="22"/>
      <c r="B19">
        <v>0</v>
      </c>
    </row>
    <row r="20" spans="1:2" x14ac:dyDescent="0.25">
      <c r="A20" s="22" t="s">
        <v>341</v>
      </c>
      <c r="B20">
        <v>0</v>
      </c>
    </row>
    <row r="21" spans="1:2" x14ac:dyDescent="0.25">
      <c r="A21" s="22"/>
      <c r="B21">
        <v>0</v>
      </c>
    </row>
    <row r="22" spans="1:2" x14ac:dyDescent="0.25">
      <c r="A22" s="22" t="s">
        <v>342</v>
      </c>
      <c r="B22">
        <v>0</v>
      </c>
    </row>
    <row r="23" spans="1:2" x14ac:dyDescent="0.25">
      <c r="A23" s="22"/>
      <c r="B23">
        <v>0</v>
      </c>
    </row>
    <row r="24" spans="1:2" x14ac:dyDescent="0.25">
      <c r="A24" s="22" t="s">
        <v>343</v>
      </c>
      <c r="B24">
        <v>0</v>
      </c>
    </row>
    <row r="25" spans="1:2" x14ac:dyDescent="0.25">
      <c r="A25" s="22"/>
      <c r="B25">
        <v>0</v>
      </c>
    </row>
    <row r="26" spans="1:2" x14ac:dyDescent="0.25">
      <c r="A26" s="22" t="s">
        <v>344</v>
      </c>
      <c r="B26">
        <v>4</v>
      </c>
    </row>
    <row r="27" spans="1:2" x14ac:dyDescent="0.25">
      <c r="A27" s="22" t="s">
        <v>345</v>
      </c>
      <c r="B27">
        <v>2</v>
      </c>
    </row>
    <row r="28" spans="1:2" x14ac:dyDescent="0.25">
      <c r="A28" s="22" t="s">
        <v>346</v>
      </c>
      <c r="B28">
        <v>3</v>
      </c>
    </row>
    <row r="29" spans="1:2" x14ac:dyDescent="0.25">
      <c r="A29" s="22" t="s">
        <v>347</v>
      </c>
      <c r="B29">
        <v>4</v>
      </c>
    </row>
    <row r="30" spans="1:2" x14ac:dyDescent="0.25">
      <c r="A30" s="22" t="s">
        <v>348</v>
      </c>
      <c r="B30">
        <v>4</v>
      </c>
    </row>
    <row r="31" spans="1:2" x14ac:dyDescent="0.25">
      <c r="A31" s="22" t="s">
        <v>349</v>
      </c>
      <c r="B31">
        <v>4</v>
      </c>
    </row>
    <row r="32" spans="1:2" x14ac:dyDescent="0.25">
      <c r="A32" s="22" t="s">
        <v>350</v>
      </c>
      <c r="B32">
        <v>0</v>
      </c>
    </row>
    <row r="33" spans="1:2" x14ac:dyDescent="0.25">
      <c r="A33" s="22" t="s">
        <v>351</v>
      </c>
      <c r="B33">
        <v>0</v>
      </c>
    </row>
    <row r="34" spans="1:2" x14ac:dyDescent="0.25">
      <c r="A34" s="22"/>
    </row>
    <row r="35" spans="1:2" x14ac:dyDescent="0.25">
      <c r="A35" s="22" t="s">
        <v>352</v>
      </c>
    </row>
    <row r="36" spans="1:2" x14ac:dyDescent="0.25">
      <c r="A36" s="22" t="s">
        <v>353</v>
      </c>
    </row>
    <row r="37" spans="1:2" x14ac:dyDescent="0.25">
      <c r="A37" s="22"/>
    </row>
    <row r="38" spans="1:2" x14ac:dyDescent="0.25">
      <c r="A38" s="22" t="s">
        <v>354</v>
      </c>
    </row>
    <row r="39" spans="1:2" x14ac:dyDescent="0.25">
      <c r="A39" s="22" t="s">
        <v>355</v>
      </c>
    </row>
    <row r="40" spans="1:2" x14ac:dyDescent="0.25">
      <c r="A40" s="22"/>
    </row>
    <row r="41" spans="1:2" x14ac:dyDescent="0.25">
      <c r="A41" s="22" t="s">
        <v>356</v>
      </c>
    </row>
    <row r="42" spans="1:2" x14ac:dyDescent="0.25">
      <c r="A42" s="22" t="s">
        <v>357</v>
      </c>
    </row>
    <row r="43" spans="1:2" x14ac:dyDescent="0.25">
      <c r="A43" s="22"/>
    </row>
    <row r="44" spans="1:2" x14ac:dyDescent="0.25">
      <c r="A44" s="22" t="s">
        <v>358</v>
      </c>
    </row>
    <row r="45" spans="1:2" x14ac:dyDescent="0.25">
      <c r="A45" s="22" t="s">
        <v>359</v>
      </c>
    </row>
  </sheetData>
  <pageMargins left="0.7" right="0.7" top="0.75" bottom="0.75" header="0.3" footer="0.3"/>
  <pageSetup orientation="portrait" horizontalDpi="4294967295" verticalDpi="4294967295"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T104"/>
  <sheetViews>
    <sheetView topLeftCell="BJ70" workbookViewId="0">
      <selection activeCell="BJ104" sqref="BJ104:ES104"/>
    </sheetView>
  </sheetViews>
  <sheetFormatPr defaultRowHeight="15" x14ac:dyDescent="0.25"/>
  <sheetData>
    <row r="1" spans="1:88" x14ac:dyDescent="0.25">
      <c r="A1">
        <v>3.125</v>
      </c>
      <c r="B1">
        <v>6.916666666666667</v>
      </c>
      <c r="C1">
        <v>3.8249999999999997</v>
      </c>
      <c r="D1">
        <v>2.1041666666666665</v>
      </c>
      <c r="E1">
        <v>2.0583333333333336</v>
      </c>
      <c r="F1">
        <v>3.6583333333333332</v>
      </c>
      <c r="G1">
        <v>2.5749999999999997</v>
      </c>
      <c r="H1">
        <v>1.5374999999999996</v>
      </c>
      <c r="I1">
        <v>2.9</v>
      </c>
      <c r="J1">
        <v>2.1833333333333331</v>
      </c>
      <c r="K1">
        <v>5.7291666666666679</v>
      </c>
      <c r="L1">
        <v>4.0445833333333336</v>
      </c>
      <c r="M1">
        <v>1.4999999999999998</v>
      </c>
      <c r="N1">
        <v>1.908333333333333</v>
      </c>
      <c r="O1">
        <v>3.2624999999999993</v>
      </c>
      <c r="P1">
        <v>5.9250000000000007</v>
      </c>
      <c r="Q1">
        <v>2.3749999999999996</v>
      </c>
      <c r="R1">
        <v>2.3374999999999999</v>
      </c>
      <c r="S1">
        <v>2.7208333333333332</v>
      </c>
      <c r="T1">
        <v>3.4625000000000004</v>
      </c>
      <c r="U1">
        <v>0.95000000000000007</v>
      </c>
      <c r="V1">
        <v>2.2500000000000004</v>
      </c>
      <c r="W1">
        <v>1.6999999999999993</v>
      </c>
      <c r="X1">
        <v>2.1166666666666667</v>
      </c>
      <c r="Y1">
        <v>3.5304347826086957</v>
      </c>
      <c r="Z1">
        <v>2.8583333333333338</v>
      </c>
      <c r="AA1">
        <v>1.6333333333333335</v>
      </c>
      <c r="AB1">
        <v>4.8374999999999995</v>
      </c>
      <c r="AC1">
        <v>2.9666666666666668</v>
      </c>
      <c r="AD1">
        <v>3.7708333333333335</v>
      </c>
      <c r="AE1">
        <v>3.5208333333333344</v>
      </c>
      <c r="AF1">
        <v>5.4375</v>
      </c>
      <c r="AG1">
        <v>4.4541666666666666</v>
      </c>
      <c r="AH1">
        <v>3.1708333333333338</v>
      </c>
      <c r="AI1">
        <v>2.9250000000000003</v>
      </c>
      <c r="AJ1">
        <v>1.4083333333333334</v>
      </c>
      <c r="AK1">
        <v>5.4333333333333327</v>
      </c>
      <c r="AL1">
        <v>3.9208333333333338</v>
      </c>
      <c r="AM1">
        <v>3.3333333333333339</v>
      </c>
      <c r="AN1">
        <v>5.7458333333333336</v>
      </c>
      <c r="AO1">
        <v>4.3458333333333332</v>
      </c>
      <c r="AP1">
        <v>1.8458333333333334</v>
      </c>
      <c r="AQ1">
        <v>2.5708333333333329</v>
      </c>
      <c r="AR1">
        <v>1.9833333333333334</v>
      </c>
      <c r="AS1">
        <v>3.0083333333333333</v>
      </c>
      <c r="AT1">
        <v>4.6249999999999991</v>
      </c>
      <c r="AU1">
        <v>2.85</v>
      </c>
      <c r="AV1">
        <v>5.9958333333333327</v>
      </c>
      <c r="AW1">
        <v>2.3999999999999995</v>
      </c>
      <c r="AX1">
        <v>2.1770833333333335</v>
      </c>
      <c r="AY1">
        <v>4.3875000000000002</v>
      </c>
      <c r="AZ1">
        <v>0.97083333333333355</v>
      </c>
      <c r="BA1">
        <v>2.6499999999999995</v>
      </c>
      <c r="BB1">
        <v>1.9708333333333332</v>
      </c>
      <c r="BC1">
        <v>1.8625</v>
      </c>
      <c r="BD1">
        <v>0.91250000000000009</v>
      </c>
      <c r="BE1">
        <v>6.145833333333333</v>
      </c>
      <c r="BF1">
        <v>2.9782608695652173</v>
      </c>
      <c r="BG1">
        <v>1.8916666666666664</v>
      </c>
      <c r="BH1">
        <v>3.0791666666666671</v>
      </c>
      <c r="BI1">
        <v>1.3958333333333337</v>
      </c>
      <c r="BJ1">
        <v>1.7958333333333334</v>
      </c>
      <c r="BK1">
        <v>2.9166666666666674</v>
      </c>
      <c r="BL1">
        <v>2.8374999999999999</v>
      </c>
      <c r="BM1">
        <v>3.3583333333333329</v>
      </c>
      <c r="BN1">
        <v>3.8333333333333335</v>
      </c>
      <c r="BO1">
        <v>2.0958333333333337</v>
      </c>
      <c r="BP1">
        <v>2.6083333333333329</v>
      </c>
      <c r="BQ1">
        <v>2.5416666666666665</v>
      </c>
      <c r="BR1">
        <v>1.3291666666666668</v>
      </c>
      <c r="BS1">
        <v>2.9624999999999999</v>
      </c>
      <c r="BT1">
        <v>4.5125000000000002</v>
      </c>
      <c r="BU1">
        <v>1.2249999999999999</v>
      </c>
      <c r="BV1">
        <v>1.8208333333333335</v>
      </c>
      <c r="BW1">
        <v>3.25</v>
      </c>
      <c r="BX1">
        <v>4.6291666666666673</v>
      </c>
      <c r="BY1">
        <v>7.5000000000000009</v>
      </c>
      <c r="BZ1">
        <v>2.9125000000000001</v>
      </c>
      <c r="CA1">
        <v>1.4166666666666667</v>
      </c>
      <c r="CB1">
        <v>6.4333333333333327</v>
      </c>
      <c r="CC1">
        <v>4.5458333333333334</v>
      </c>
      <c r="CD1">
        <v>2.8833333333333342</v>
      </c>
      <c r="CE1">
        <v>2.8916666666666662</v>
      </c>
      <c r="CF1">
        <v>2.9</v>
      </c>
      <c r="CG1">
        <v>4.8000000000000016</v>
      </c>
      <c r="CH1">
        <v>1.9083333333333332</v>
      </c>
      <c r="CI1">
        <v>3.4791666666666674</v>
      </c>
      <c r="CJ1">
        <v>5.6375000000000002</v>
      </c>
    </row>
    <row r="4" spans="1:88" x14ac:dyDescent="0.25">
      <c r="A4">
        <v>50</v>
      </c>
      <c r="B4">
        <v>20.833333333333336</v>
      </c>
      <c r="C4">
        <v>4.1666666666666661</v>
      </c>
      <c r="D4">
        <v>83.333333333333343</v>
      </c>
      <c r="E4">
        <v>41.666666666666671</v>
      </c>
      <c r="F4">
        <v>25</v>
      </c>
      <c r="G4">
        <v>29.166666666666668</v>
      </c>
      <c r="H4">
        <v>12.5</v>
      </c>
      <c r="I4">
        <v>29.166666666666668</v>
      </c>
      <c r="J4">
        <v>37.5</v>
      </c>
      <c r="K4">
        <v>29.166666666666668</v>
      </c>
      <c r="L4">
        <v>16.666666666666664</v>
      </c>
      <c r="M4">
        <v>29.166666666666668</v>
      </c>
      <c r="N4">
        <v>20.833333333333336</v>
      </c>
      <c r="O4">
        <v>16.666666666666664</v>
      </c>
      <c r="P4">
        <v>29.166666666666668</v>
      </c>
      <c r="Q4">
        <v>12.5</v>
      </c>
      <c r="R4">
        <v>8.3333333333333321</v>
      </c>
      <c r="S4">
        <v>16.666666666666664</v>
      </c>
      <c r="T4">
        <v>41.666666666666671</v>
      </c>
      <c r="U4">
        <v>8.3333333333333321</v>
      </c>
      <c r="V4">
        <v>66.666666666666657</v>
      </c>
      <c r="W4">
        <v>12.5</v>
      </c>
      <c r="X4">
        <v>8.3333333333333321</v>
      </c>
      <c r="Y4">
        <v>54.166666666666664</v>
      </c>
      <c r="Z4">
        <v>37.5</v>
      </c>
      <c r="AA4">
        <v>29.166666666666668</v>
      </c>
      <c r="AB4">
        <v>33.333333333333329</v>
      </c>
      <c r="AC4">
        <v>25</v>
      </c>
      <c r="AD4">
        <v>33.333333333333329</v>
      </c>
      <c r="AE4">
        <v>29.166666666666668</v>
      </c>
      <c r="AF4">
        <v>16.666666666666664</v>
      </c>
      <c r="AG4">
        <v>29.166666666666668</v>
      </c>
      <c r="AH4">
        <v>4.1666666666666661</v>
      </c>
      <c r="AI4">
        <v>16.666666666666664</v>
      </c>
      <c r="AJ4">
        <v>20.833333333333336</v>
      </c>
      <c r="AK4">
        <v>33.333333333333329</v>
      </c>
      <c r="AL4">
        <v>41.666666666666671</v>
      </c>
      <c r="AM4">
        <v>62.5</v>
      </c>
      <c r="AN4">
        <v>8.3333333333333321</v>
      </c>
      <c r="AO4">
        <v>25</v>
      </c>
      <c r="AP4">
        <v>0</v>
      </c>
      <c r="AQ4">
        <v>25</v>
      </c>
      <c r="AR4">
        <v>8.3333333333333321</v>
      </c>
      <c r="AS4">
        <v>12.5</v>
      </c>
      <c r="AT4">
        <v>45.833333333333329</v>
      </c>
      <c r="AU4">
        <v>66.666666666666657</v>
      </c>
      <c r="AV4">
        <v>29.166666666666668</v>
      </c>
      <c r="AW4">
        <v>50</v>
      </c>
      <c r="AX4">
        <v>4.1666666666666661</v>
      </c>
      <c r="AY4">
        <v>54.166666666666664</v>
      </c>
      <c r="AZ4">
        <v>20.833333333333336</v>
      </c>
      <c r="BA4">
        <v>25</v>
      </c>
      <c r="BB4">
        <v>41.666666666666671</v>
      </c>
      <c r="BC4">
        <v>29.166666666666668</v>
      </c>
      <c r="BD4">
        <v>0</v>
      </c>
      <c r="BE4">
        <v>50</v>
      </c>
      <c r="BF4">
        <v>37.5</v>
      </c>
      <c r="BG4">
        <v>29.166666666666668</v>
      </c>
      <c r="BH4">
        <v>33.333333333333329</v>
      </c>
      <c r="BI4">
        <v>16.666666666666664</v>
      </c>
      <c r="BJ4">
        <v>37.5</v>
      </c>
      <c r="BK4">
        <v>8.3333333333333321</v>
      </c>
      <c r="BL4">
        <v>45.833333333333329</v>
      </c>
      <c r="BM4">
        <v>16.666666666666664</v>
      </c>
      <c r="BN4">
        <v>41.666666666666671</v>
      </c>
      <c r="BO4">
        <v>33.333333333333329</v>
      </c>
      <c r="BP4">
        <v>33.333333333333329</v>
      </c>
      <c r="BQ4">
        <v>66.666666666666657</v>
      </c>
      <c r="BR4">
        <v>25</v>
      </c>
      <c r="BS4">
        <v>8.3333333333333321</v>
      </c>
      <c r="BT4">
        <v>25</v>
      </c>
      <c r="BU4">
        <v>8.3333333333333321</v>
      </c>
      <c r="BV4">
        <v>41.666666666666671</v>
      </c>
      <c r="BW4">
        <v>25</v>
      </c>
      <c r="BX4">
        <v>20.833333333333336</v>
      </c>
      <c r="BY4">
        <v>41.666666666666671</v>
      </c>
      <c r="BZ4">
        <v>20.833333333333336</v>
      </c>
      <c r="CA4">
        <v>12.5</v>
      </c>
      <c r="CB4">
        <v>45.833333333333329</v>
      </c>
      <c r="CC4">
        <v>20.833333333333336</v>
      </c>
      <c r="CD4">
        <v>20.833333333333336</v>
      </c>
      <c r="CE4">
        <v>66.666666666666657</v>
      </c>
      <c r="CF4">
        <v>50</v>
      </c>
      <c r="CG4">
        <v>41.666666666666671</v>
      </c>
      <c r="CH4">
        <v>8.3333333333333321</v>
      </c>
      <c r="CI4">
        <v>29.166666666666668</v>
      </c>
      <c r="CJ4">
        <v>25</v>
      </c>
    </row>
    <row r="6" spans="1:88" x14ac:dyDescent="0.25">
      <c r="A6">
        <v>44.444444444444443</v>
      </c>
      <c r="B6">
        <v>66.666666666666671</v>
      </c>
      <c r="C6">
        <v>29.166666666666664</v>
      </c>
      <c r="D6">
        <v>87.878787878787875</v>
      </c>
      <c r="E6">
        <v>72.340425531914889</v>
      </c>
      <c r="F6">
        <v>56.25</v>
      </c>
      <c r="G6">
        <v>52.173913043478265</v>
      </c>
      <c r="H6">
        <v>38.888888888888886</v>
      </c>
      <c r="I6">
        <v>50</v>
      </c>
      <c r="J6">
        <v>67.741935483870975</v>
      </c>
      <c r="K6">
        <v>79.166666666666671</v>
      </c>
      <c r="L6">
        <v>66.666666666666671</v>
      </c>
      <c r="M6">
        <v>80.769230769230759</v>
      </c>
      <c r="N6">
        <v>83.333333333333343</v>
      </c>
      <c r="O6">
        <v>85.714285714285722</v>
      </c>
      <c r="P6">
        <v>86.36363636363636</v>
      </c>
      <c r="Q6">
        <v>41.17647058823529</v>
      </c>
      <c r="R6">
        <v>56.756756756756758</v>
      </c>
      <c r="S6">
        <v>40</v>
      </c>
      <c r="T6">
        <v>88.888888888888886</v>
      </c>
      <c r="U6">
        <v>25</v>
      </c>
      <c r="V6">
        <v>83.333333333333329</v>
      </c>
      <c r="W6">
        <v>79.166666666666657</v>
      </c>
      <c r="X6">
        <v>17.142857142857142</v>
      </c>
      <c r="Y6">
        <v>99.999999999999986</v>
      </c>
      <c r="Z6">
        <v>90</v>
      </c>
      <c r="AA6">
        <v>77.777777777777771</v>
      </c>
      <c r="AB6">
        <v>78.723404255319139</v>
      </c>
      <c r="AC6">
        <v>89.189189189189193</v>
      </c>
      <c r="AD6">
        <v>100</v>
      </c>
      <c r="AE6">
        <v>78.048780487804876</v>
      </c>
      <c r="AF6">
        <v>78.260869565217405</v>
      </c>
      <c r="AG6">
        <v>93.181818181818173</v>
      </c>
      <c r="AH6">
        <v>16.216216216216218</v>
      </c>
      <c r="AI6">
        <v>54.054054054054056</v>
      </c>
      <c r="AJ6">
        <v>23.333333333333332</v>
      </c>
      <c r="AK6">
        <v>67.391304347826093</v>
      </c>
      <c r="AL6">
        <v>97.297297297297305</v>
      </c>
      <c r="AM6">
        <v>85</v>
      </c>
      <c r="AN6">
        <v>54.166666666666664</v>
      </c>
      <c r="AO6">
        <v>91.111111111111114</v>
      </c>
      <c r="AP6">
        <v>66.666666666666657</v>
      </c>
      <c r="AQ6">
        <v>37.5</v>
      </c>
      <c r="AR6">
        <v>81.578947368421055</v>
      </c>
      <c r="AS6">
        <v>18.75</v>
      </c>
      <c r="AT6">
        <v>96.296296296296305</v>
      </c>
      <c r="AU6">
        <v>87.878787878787875</v>
      </c>
      <c r="AV6">
        <v>75</v>
      </c>
      <c r="AW6">
        <v>88.571428571428569</v>
      </c>
      <c r="AX6">
        <v>72</v>
      </c>
      <c r="AY6">
        <v>86.956521739130423</v>
      </c>
      <c r="AZ6">
        <v>87.499999999999986</v>
      </c>
      <c r="BA6">
        <v>79.310344827586206</v>
      </c>
      <c r="BB6">
        <v>95.652173913043484</v>
      </c>
      <c r="BC6">
        <v>89.285714285714278</v>
      </c>
      <c r="BD6">
        <v>0</v>
      </c>
      <c r="BE6">
        <v>95.454545454545439</v>
      </c>
      <c r="BF6">
        <v>91.17647058823529</v>
      </c>
      <c r="BG6">
        <v>88.461538461538453</v>
      </c>
      <c r="BH6">
        <v>100</v>
      </c>
      <c r="BI6">
        <v>62.5</v>
      </c>
      <c r="BJ6">
        <v>97.222222222222214</v>
      </c>
      <c r="BK6">
        <v>70.370370370370367</v>
      </c>
      <c r="BL6">
        <v>93.548387096774192</v>
      </c>
      <c r="BM6">
        <v>67.647058823529406</v>
      </c>
      <c r="BN6">
        <v>93.181818181818173</v>
      </c>
      <c r="BO6">
        <v>79.310344827586206</v>
      </c>
      <c r="BP6">
        <v>86.111111111111114</v>
      </c>
      <c r="BQ6">
        <v>100</v>
      </c>
      <c r="BR6">
        <v>76</v>
      </c>
      <c r="BS6">
        <v>8.5106382978723403</v>
      </c>
      <c r="BT6">
        <v>50</v>
      </c>
      <c r="BU6">
        <v>92</v>
      </c>
      <c r="BV6">
        <v>80</v>
      </c>
      <c r="BW6">
        <v>89.189189189189193</v>
      </c>
      <c r="BX6">
        <v>74.999999999999986</v>
      </c>
      <c r="BY6">
        <v>82.222222222222214</v>
      </c>
      <c r="BZ6">
        <v>65.78947368421052</v>
      </c>
      <c r="CA6">
        <v>54.166666666666664</v>
      </c>
      <c r="CB6">
        <v>87.2340425531915</v>
      </c>
      <c r="CC6">
        <v>75</v>
      </c>
      <c r="CD6">
        <v>80.555555555555557</v>
      </c>
      <c r="CE6">
        <v>87.5</v>
      </c>
      <c r="CF6">
        <v>77.777777777777771</v>
      </c>
      <c r="CG6">
        <v>83.333333333333329</v>
      </c>
      <c r="CH6">
        <v>38.235294117647058</v>
      </c>
      <c r="CI6">
        <v>92.5</v>
      </c>
      <c r="CJ6">
        <v>80.434782608695642</v>
      </c>
    </row>
    <row r="9" spans="1:88" x14ac:dyDescent="0.25">
      <c r="A9">
        <v>42.222222222222221</v>
      </c>
      <c r="B9">
        <v>57.894736842105267</v>
      </c>
      <c r="C9">
        <v>18.055555555555554</v>
      </c>
      <c r="D9">
        <v>87.878787878787875</v>
      </c>
      <c r="E9">
        <v>65.957446808510639</v>
      </c>
      <c r="F9">
        <v>50</v>
      </c>
      <c r="G9">
        <v>28.260869565217391</v>
      </c>
      <c r="H9">
        <v>36.111111111111107</v>
      </c>
      <c r="I9">
        <v>43.75</v>
      </c>
      <c r="J9">
        <v>41.935483870967744</v>
      </c>
      <c r="K9">
        <v>77.083333333333343</v>
      </c>
      <c r="L9">
        <v>62.5</v>
      </c>
      <c r="M9">
        <v>73.076923076923066</v>
      </c>
      <c r="N9">
        <v>62.5</v>
      </c>
      <c r="O9">
        <v>77.142857142857153</v>
      </c>
      <c r="P9">
        <v>75</v>
      </c>
      <c r="Q9">
        <v>17.647058823529413</v>
      </c>
      <c r="R9">
        <v>37.837837837837839</v>
      </c>
      <c r="S9">
        <v>40</v>
      </c>
      <c r="T9">
        <v>82.222222222222214</v>
      </c>
      <c r="U9">
        <v>12.5</v>
      </c>
      <c r="V9">
        <v>75</v>
      </c>
      <c r="W9">
        <v>79.166666666666657</v>
      </c>
      <c r="X9">
        <v>17.142857142857142</v>
      </c>
      <c r="Y9">
        <v>94.285714285714278</v>
      </c>
      <c r="Z9">
        <v>90</v>
      </c>
      <c r="AA9">
        <v>66.666666666666657</v>
      </c>
      <c r="AB9">
        <v>74.468085106382972</v>
      </c>
      <c r="AC9">
        <v>81.081081081081081</v>
      </c>
      <c r="AD9">
        <v>92.857142857142861</v>
      </c>
      <c r="AE9">
        <v>73.170731707317074</v>
      </c>
      <c r="AF9">
        <v>76.08695652173914</v>
      </c>
      <c r="AG9">
        <v>90.909090909090907</v>
      </c>
      <c r="AH9">
        <v>5.4054054054054053</v>
      </c>
      <c r="AI9">
        <v>54.054054054054056</v>
      </c>
      <c r="AJ9">
        <v>20</v>
      </c>
      <c r="AK9">
        <v>65.217391304347828</v>
      </c>
      <c r="AL9">
        <v>94.594594594594597</v>
      </c>
      <c r="AM9">
        <v>82.5</v>
      </c>
      <c r="AN9">
        <v>50</v>
      </c>
      <c r="AO9">
        <v>88.888888888888886</v>
      </c>
      <c r="AP9">
        <v>66.666666666666657</v>
      </c>
      <c r="AQ9">
        <v>28.125</v>
      </c>
      <c r="AR9">
        <v>65.789473684210535</v>
      </c>
      <c r="AS9">
        <v>18.75</v>
      </c>
      <c r="AT9">
        <v>85.18518518518519</v>
      </c>
      <c r="AU9">
        <v>87.878787878787875</v>
      </c>
      <c r="AV9">
        <v>64.583333333333343</v>
      </c>
      <c r="AW9">
        <v>88.571428571428569</v>
      </c>
      <c r="AX9">
        <v>72</v>
      </c>
      <c r="AY9">
        <v>73.91304347826086</v>
      </c>
      <c r="AZ9">
        <v>79.166666666666657</v>
      </c>
      <c r="BA9">
        <v>79.310344827586206</v>
      </c>
      <c r="BB9">
        <v>95.652173913043484</v>
      </c>
      <c r="BC9">
        <v>82.142857142857139</v>
      </c>
      <c r="BD9">
        <v>0</v>
      </c>
      <c r="BE9">
        <v>93.181818181818173</v>
      </c>
      <c r="BF9">
        <v>76.470588235294116</v>
      </c>
      <c r="BG9">
        <v>69.230769230769226</v>
      </c>
      <c r="BH9">
        <v>96.666666666666671</v>
      </c>
      <c r="BI9">
        <v>50</v>
      </c>
      <c r="BJ9">
        <v>94.444444444444443</v>
      </c>
      <c r="BK9">
        <v>59.259259259259252</v>
      </c>
      <c r="BL9">
        <v>87.096774193548384</v>
      </c>
      <c r="BM9">
        <v>64.705882352941174</v>
      </c>
      <c r="BN9">
        <v>93.181818181818173</v>
      </c>
      <c r="BO9">
        <v>65.517241379310349</v>
      </c>
      <c r="BP9">
        <v>80.555555555555557</v>
      </c>
      <c r="BQ9">
        <v>100</v>
      </c>
      <c r="BR9">
        <v>56.000000000000007</v>
      </c>
      <c r="BS9">
        <v>6.3829787234042552</v>
      </c>
      <c r="BT9">
        <v>47.727272727272727</v>
      </c>
      <c r="BU9">
        <v>88</v>
      </c>
      <c r="BV9">
        <v>64</v>
      </c>
      <c r="BW9">
        <v>72.972972972972968</v>
      </c>
      <c r="BX9">
        <v>66.666666666666657</v>
      </c>
      <c r="BY9">
        <v>82.222222222222214</v>
      </c>
      <c r="BZ9">
        <v>60.526315789473685</v>
      </c>
      <c r="CA9">
        <v>33.333333333333329</v>
      </c>
      <c r="CB9">
        <v>76.59574468085107</v>
      </c>
      <c r="CC9">
        <v>75</v>
      </c>
      <c r="CD9">
        <v>77.777777777777786</v>
      </c>
      <c r="CE9">
        <v>59.375</v>
      </c>
      <c r="CF9">
        <v>70.370370370370367</v>
      </c>
      <c r="CG9">
        <v>80.952380952380949</v>
      </c>
      <c r="CH9">
        <v>23.52941176470588</v>
      </c>
      <c r="CI9">
        <v>85</v>
      </c>
      <c r="CJ9">
        <v>73.91304347826086</v>
      </c>
    </row>
    <row r="12" spans="1:88" x14ac:dyDescent="0.25">
      <c r="A12">
        <v>53.333333333333329</v>
      </c>
      <c r="B12">
        <v>31.578947368421051</v>
      </c>
      <c r="C12">
        <v>70.833333333333329</v>
      </c>
      <c r="D12">
        <v>12.121212121212121</v>
      </c>
      <c r="E12">
        <v>27.659574468085108</v>
      </c>
      <c r="F12">
        <v>43.75</v>
      </c>
      <c r="G12">
        <v>47.826086956521735</v>
      </c>
      <c r="H12">
        <v>61.111111111111114</v>
      </c>
      <c r="I12">
        <v>50.000000000000007</v>
      </c>
      <c r="J12">
        <v>32.258064516129032</v>
      </c>
      <c r="K12">
        <v>20.833333333333336</v>
      </c>
      <c r="L12">
        <v>33.333333333333336</v>
      </c>
      <c r="M12">
        <v>19.230769230769234</v>
      </c>
      <c r="N12">
        <v>16.666666666666664</v>
      </c>
      <c r="O12">
        <v>14.285714285714285</v>
      </c>
      <c r="P12">
        <v>13.636363636363635</v>
      </c>
      <c r="Q12">
        <v>58.823529411764703</v>
      </c>
      <c r="R12">
        <v>43.243243243243242</v>
      </c>
      <c r="S12">
        <v>60</v>
      </c>
      <c r="T12">
        <v>11.111111111111111</v>
      </c>
      <c r="U12">
        <v>75</v>
      </c>
      <c r="V12">
        <v>16.666666666666664</v>
      </c>
      <c r="W12">
        <v>20.833333333333336</v>
      </c>
      <c r="X12">
        <v>82.857142857142847</v>
      </c>
      <c r="Y12">
        <v>0</v>
      </c>
      <c r="Z12">
        <v>10</v>
      </c>
      <c r="AA12">
        <v>22.222222222222221</v>
      </c>
      <c r="AB12">
        <v>21.276595744680854</v>
      </c>
      <c r="AC12">
        <v>10.810810810810811</v>
      </c>
      <c r="AD12">
        <v>0</v>
      </c>
      <c r="AE12">
        <v>21.951219512195124</v>
      </c>
      <c r="AF12">
        <v>21.739130434782609</v>
      </c>
      <c r="AG12">
        <v>6.8181818181818183</v>
      </c>
      <c r="AH12">
        <v>83.78378378378379</v>
      </c>
      <c r="AI12">
        <v>45.945945945945951</v>
      </c>
      <c r="AJ12">
        <v>76.666666666666671</v>
      </c>
      <c r="AK12">
        <v>32.608695652173914</v>
      </c>
      <c r="AL12">
        <v>2.7027027027027026</v>
      </c>
      <c r="AM12">
        <v>15</v>
      </c>
      <c r="AN12">
        <v>45.833333333333329</v>
      </c>
      <c r="AO12">
        <v>8.8888888888888893</v>
      </c>
      <c r="AP12">
        <v>33.333333333333329</v>
      </c>
      <c r="AQ12">
        <v>62.5</v>
      </c>
      <c r="AR12">
        <v>18.421052631578945</v>
      </c>
      <c r="AS12">
        <v>81.25</v>
      </c>
      <c r="AT12">
        <v>3.7037037037037033</v>
      </c>
      <c r="AU12">
        <v>12.121212121212121</v>
      </c>
      <c r="AV12">
        <v>25</v>
      </c>
      <c r="AW12">
        <v>11.428571428571429</v>
      </c>
      <c r="AX12">
        <v>28.000000000000004</v>
      </c>
      <c r="AY12">
        <v>13.043478260869565</v>
      </c>
      <c r="AZ12">
        <v>12.5</v>
      </c>
      <c r="BA12">
        <v>20.689655172413794</v>
      </c>
      <c r="BB12">
        <v>4.3478260869565215</v>
      </c>
      <c r="BC12">
        <v>10.714285714285714</v>
      </c>
      <c r="BD12">
        <v>100</v>
      </c>
      <c r="BE12">
        <v>4.5454545454545459</v>
      </c>
      <c r="BF12">
        <v>8.8235294117647047</v>
      </c>
      <c r="BG12">
        <v>11.538461538461538</v>
      </c>
      <c r="BH12">
        <v>0</v>
      </c>
      <c r="BI12">
        <v>37.5</v>
      </c>
      <c r="BJ12">
        <v>2.7777777777777777</v>
      </c>
      <c r="BK12">
        <v>29.629629629629626</v>
      </c>
      <c r="BL12">
        <v>6.4516129032258061</v>
      </c>
      <c r="BM12">
        <v>32.352941176470587</v>
      </c>
      <c r="BN12">
        <v>6.8181818181818183</v>
      </c>
      <c r="BO12">
        <v>20.689655172413794</v>
      </c>
      <c r="BP12">
        <v>13.888888888888888</v>
      </c>
      <c r="BQ12">
        <v>0</v>
      </c>
      <c r="BR12">
        <v>24</v>
      </c>
      <c r="BS12">
        <v>91.489361702127667</v>
      </c>
      <c r="BT12">
        <v>50</v>
      </c>
      <c r="BU12">
        <v>8</v>
      </c>
      <c r="BV12">
        <v>20</v>
      </c>
      <c r="BW12">
        <v>10.810810810810811</v>
      </c>
      <c r="BX12">
        <v>25</v>
      </c>
      <c r="BY12">
        <v>17.777777777777779</v>
      </c>
      <c r="BZ12">
        <v>34.210526315789473</v>
      </c>
      <c r="CA12">
        <v>45.833333333333329</v>
      </c>
      <c r="CB12">
        <v>12.76595744680851</v>
      </c>
      <c r="CC12">
        <v>25</v>
      </c>
      <c r="CD12">
        <v>19.444444444444443</v>
      </c>
      <c r="CE12">
        <v>12.5</v>
      </c>
      <c r="CF12">
        <v>22.222222222222221</v>
      </c>
      <c r="CG12">
        <v>16.666666666666664</v>
      </c>
      <c r="CH12">
        <v>61.764705882352942</v>
      </c>
      <c r="CI12">
        <v>7.5</v>
      </c>
      <c r="CJ12">
        <v>19.565217391304348</v>
      </c>
    </row>
    <row r="14" spans="1:88" x14ac:dyDescent="0.25">
      <c r="A14">
        <v>1</v>
      </c>
      <c r="B14">
        <v>0.63600000000000001</v>
      </c>
      <c r="C14">
        <v>0.64</v>
      </c>
      <c r="D14">
        <v>0.18</v>
      </c>
      <c r="E14">
        <v>0.59</v>
      </c>
      <c r="F14">
        <v>0.88</v>
      </c>
      <c r="G14">
        <v>0.59666666666666668</v>
      </c>
      <c r="H14">
        <v>0.5</v>
      </c>
      <c r="I14">
        <v>0.44</v>
      </c>
      <c r="J14">
        <v>0.52</v>
      </c>
      <c r="K14">
        <v>1.5</v>
      </c>
      <c r="L14">
        <v>0.72</v>
      </c>
      <c r="M14">
        <v>0.68</v>
      </c>
      <c r="N14">
        <v>0.56000000000000005</v>
      </c>
      <c r="O14">
        <v>0.74</v>
      </c>
      <c r="P14">
        <v>0.96</v>
      </c>
      <c r="Q14">
        <v>0.62</v>
      </c>
      <c r="R14">
        <v>0.7</v>
      </c>
      <c r="S14">
        <v>0.76</v>
      </c>
      <c r="T14">
        <v>0.66</v>
      </c>
      <c r="U14">
        <v>0.36</v>
      </c>
      <c r="V14">
        <v>0.8</v>
      </c>
      <c r="W14">
        <v>0.5</v>
      </c>
      <c r="X14">
        <v>0.44</v>
      </c>
      <c r="Y14">
        <v>0.68</v>
      </c>
      <c r="Z14">
        <v>0.56000000000000005</v>
      </c>
      <c r="AA14">
        <v>0.68</v>
      </c>
      <c r="AB14">
        <v>0.6</v>
      </c>
      <c r="AC14">
        <v>1.3</v>
      </c>
      <c r="AD14">
        <v>0.69500000000000006</v>
      </c>
      <c r="AE14">
        <v>0.7</v>
      </c>
      <c r="AF14">
        <v>0.59</v>
      </c>
      <c r="AG14">
        <v>0.8</v>
      </c>
      <c r="AH14">
        <v>0.64</v>
      </c>
      <c r="AI14">
        <v>0.7</v>
      </c>
      <c r="AJ14">
        <v>0.56000000000000005</v>
      </c>
      <c r="AK14">
        <v>0.88</v>
      </c>
      <c r="AL14">
        <v>1</v>
      </c>
      <c r="AM14">
        <v>0.54</v>
      </c>
      <c r="AN14">
        <v>0.74</v>
      </c>
      <c r="AO14">
        <v>0.62</v>
      </c>
      <c r="AP14">
        <v>0.3</v>
      </c>
      <c r="AQ14">
        <v>0.78</v>
      </c>
      <c r="AR14">
        <v>0.52</v>
      </c>
      <c r="AS14">
        <v>0.82</v>
      </c>
      <c r="AT14">
        <v>0.63</v>
      </c>
      <c r="AU14">
        <v>0.48</v>
      </c>
      <c r="AV14">
        <v>0.88</v>
      </c>
      <c r="AW14">
        <v>0.43</v>
      </c>
      <c r="AX14">
        <v>0.74</v>
      </c>
      <c r="AY14">
        <v>0.48</v>
      </c>
      <c r="AZ14">
        <v>0.53</v>
      </c>
      <c r="BA14">
        <v>0.42</v>
      </c>
      <c r="BB14">
        <v>0.84</v>
      </c>
      <c r="BC14">
        <v>0.71</v>
      </c>
      <c r="BD14">
        <v>2</v>
      </c>
      <c r="BE14">
        <v>0.62</v>
      </c>
      <c r="BF14">
        <v>0.52</v>
      </c>
      <c r="BG14">
        <v>0.38</v>
      </c>
      <c r="BH14">
        <v>0.56000000000000005</v>
      </c>
      <c r="BI14">
        <v>0.46</v>
      </c>
      <c r="BJ14">
        <v>0.32</v>
      </c>
      <c r="BK14">
        <v>0.68</v>
      </c>
      <c r="BL14">
        <v>0.61499999999999999</v>
      </c>
      <c r="BM14">
        <v>0.54</v>
      </c>
      <c r="BN14">
        <v>1.08</v>
      </c>
      <c r="BO14">
        <v>0.42</v>
      </c>
      <c r="BP14">
        <v>0.52</v>
      </c>
      <c r="BQ14">
        <v>0.26</v>
      </c>
      <c r="BR14">
        <v>0.77</v>
      </c>
      <c r="BS14">
        <v>0.56000000000000005</v>
      </c>
      <c r="BT14">
        <v>0.42666666666666669</v>
      </c>
      <c r="BU14">
        <v>0.6</v>
      </c>
      <c r="BV14">
        <v>0.44</v>
      </c>
      <c r="BW14">
        <v>0.55000000000000004</v>
      </c>
      <c r="BX14">
        <v>0.52</v>
      </c>
      <c r="BY14">
        <v>1.1000000000000001</v>
      </c>
      <c r="BZ14">
        <v>1.4</v>
      </c>
      <c r="CA14">
        <v>0.5</v>
      </c>
      <c r="CB14">
        <v>1</v>
      </c>
      <c r="CC14">
        <v>0.92</v>
      </c>
      <c r="CD14">
        <v>0.36</v>
      </c>
      <c r="CE14">
        <v>0.4</v>
      </c>
      <c r="CF14">
        <v>0.24</v>
      </c>
      <c r="CG14">
        <v>0.72</v>
      </c>
      <c r="CH14">
        <v>0.38</v>
      </c>
      <c r="CI14">
        <v>0.52</v>
      </c>
      <c r="CJ14">
        <v>1.08</v>
      </c>
    </row>
    <row r="16" spans="1:88" x14ac:dyDescent="0.25">
      <c r="A16">
        <v>0.92607164714841306</v>
      </c>
      <c r="B16">
        <v>0.49490154195747277</v>
      </c>
      <c r="C16">
        <v>0.41833001326703662</v>
      </c>
      <c r="D16">
        <v>0.60251586063674833</v>
      </c>
      <c r="E16">
        <v>0.94635073315601415</v>
      </c>
      <c r="F16">
        <v>1.4946038203183285</v>
      </c>
      <c r="G16">
        <v>0.71032754232910322</v>
      </c>
      <c r="H16">
        <v>0.61982641328737864</v>
      </c>
      <c r="I16">
        <v>0.69968937207256943</v>
      </c>
      <c r="J16">
        <v>0.4478612621615411</v>
      </c>
      <c r="K16">
        <v>1.8359878674096277</v>
      </c>
      <c r="L16">
        <v>0.77086049697535974</v>
      </c>
      <c r="M16">
        <v>0.54692818064404924</v>
      </c>
      <c r="N16">
        <v>0.52908178595741306</v>
      </c>
      <c r="O16">
        <v>1.4367271079118331</v>
      </c>
      <c r="P16">
        <v>2.7017305243282399</v>
      </c>
      <c r="Q16">
        <v>0.90132752334976918</v>
      </c>
      <c r="R16">
        <v>0.52652470110106431</v>
      </c>
      <c r="S16">
        <v>0.92782080666223821</v>
      </c>
      <c r="T16">
        <v>1.0499741197638695</v>
      </c>
      <c r="U16">
        <v>0.30072376462244504</v>
      </c>
      <c r="V16">
        <v>1.0232089335708168</v>
      </c>
      <c r="W16">
        <v>0.49956502819083182</v>
      </c>
      <c r="X16">
        <v>0.35590260840104421</v>
      </c>
      <c r="Y16">
        <v>1.0742586376442869</v>
      </c>
      <c r="Z16">
        <v>0.84024668565464744</v>
      </c>
      <c r="AA16">
        <v>0.74813778472119363</v>
      </c>
      <c r="AB16">
        <v>1.2218348639577328</v>
      </c>
      <c r="AC16">
        <v>1.0639003985199986</v>
      </c>
      <c r="AD16">
        <v>1.404798969578045</v>
      </c>
      <c r="AE16">
        <v>0.95415756909781824</v>
      </c>
      <c r="AF16">
        <v>0.82820523606379015</v>
      </c>
      <c r="AG16">
        <v>1.4631648742624193</v>
      </c>
      <c r="AH16">
        <v>0.78931955652881092</v>
      </c>
      <c r="AI16">
        <v>1.6141359244526752</v>
      </c>
      <c r="AJ16">
        <v>0.43028470520834372</v>
      </c>
      <c r="AK16">
        <v>1.9113884474646861</v>
      </c>
      <c r="AL16">
        <v>1.7987868294967622</v>
      </c>
      <c r="AM16">
        <v>1.4687074076463835</v>
      </c>
      <c r="AN16">
        <v>2.3361021356965135</v>
      </c>
      <c r="AO16">
        <v>1.4673191071879486</v>
      </c>
      <c r="AP16">
        <v>0.79835655468330458</v>
      </c>
      <c r="AQ16">
        <v>1.3362761907521277</v>
      </c>
      <c r="AR16">
        <v>0.28539319431675009</v>
      </c>
      <c r="AS16">
        <v>0.76551583442383664</v>
      </c>
      <c r="AT16">
        <v>1.4554993166846804</v>
      </c>
      <c r="AU16">
        <v>0.93063792987484451</v>
      </c>
      <c r="AV16">
        <v>1.1947272443557191</v>
      </c>
      <c r="AW16">
        <v>1.006068542915185</v>
      </c>
      <c r="AX16">
        <v>0.53527302392790743</v>
      </c>
      <c r="AY16">
        <v>1.1880976756801278</v>
      </c>
      <c r="AZ16">
        <v>0.27263475593718317</v>
      </c>
      <c r="BA16">
        <v>1.2215457064897246</v>
      </c>
      <c r="BB16">
        <v>0.74219367369667266</v>
      </c>
      <c r="BC16">
        <v>0.59695786756870328</v>
      </c>
      <c r="BD16">
        <v>0.24013130466113874</v>
      </c>
      <c r="BE16">
        <v>1.7788562927187028</v>
      </c>
      <c r="BF16">
        <v>0.83826472372131411</v>
      </c>
      <c r="BG16">
        <v>0.55082283640155183</v>
      </c>
      <c r="BH16">
        <v>0.93342714331867127</v>
      </c>
      <c r="BI16">
        <v>0.32900266507003795</v>
      </c>
      <c r="BJ16">
        <v>0.38839599544197451</v>
      </c>
      <c r="BK16">
        <v>0.58582284506247884</v>
      </c>
      <c r="BL16">
        <v>0.93892283333430715</v>
      </c>
      <c r="BM16">
        <v>1.2863553727207506</v>
      </c>
      <c r="BN16">
        <v>1.051155334016757</v>
      </c>
      <c r="BO16">
        <v>0.57368311709564779</v>
      </c>
      <c r="BP16">
        <v>0.82615751033568574</v>
      </c>
      <c r="BQ16">
        <v>0.67817957520990313</v>
      </c>
      <c r="BR16">
        <v>0.21564698743178751</v>
      </c>
      <c r="BS16">
        <v>1.3887161728357784</v>
      </c>
      <c r="BT16">
        <v>1.3482073443941254</v>
      </c>
      <c r="BU16">
        <v>0.41624616462523506</v>
      </c>
      <c r="BV16">
        <v>1.0790411067910841</v>
      </c>
      <c r="BW16">
        <v>1.1617078881505918</v>
      </c>
      <c r="BX16">
        <v>1.5886770998337663</v>
      </c>
      <c r="BY16">
        <v>2.957637409761213</v>
      </c>
      <c r="BZ16">
        <v>1.2563966764902113</v>
      </c>
      <c r="CA16">
        <v>0.61337744012799444</v>
      </c>
      <c r="CB16">
        <v>1.6833369206447679</v>
      </c>
      <c r="CC16">
        <v>1.5511508116813513</v>
      </c>
      <c r="CD16">
        <v>0.96082693852592138</v>
      </c>
      <c r="CE16">
        <v>0.77230128535586506</v>
      </c>
      <c r="CF16">
        <v>1.0986157297886885</v>
      </c>
      <c r="CG16">
        <v>1.8308942932467371</v>
      </c>
      <c r="CH16">
        <v>0.52743568877835878</v>
      </c>
      <c r="CI16">
        <v>0.89295755128997722</v>
      </c>
      <c r="CJ16">
        <v>3.0394239299720849</v>
      </c>
    </row>
    <row r="18" spans="1:89" x14ac:dyDescent="0.25">
      <c r="A18">
        <v>37.5</v>
      </c>
      <c r="B18">
        <v>66.666666666666657</v>
      </c>
      <c r="C18">
        <v>75</v>
      </c>
      <c r="D18">
        <v>83.333333333333343</v>
      </c>
      <c r="E18">
        <v>41.666666666666671</v>
      </c>
      <c r="F18">
        <v>37.5</v>
      </c>
      <c r="G18">
        <v>58.333333333333336</v>
      </c>
      <c r="H18">
        <v>83.333333333333343</v>
      </c>
      <c r="I18">
        <v>58.333333333333336</v>
      </c>
      <c r="J18">
        <v>45.833333333333329</v>
      </c>
      <c r="K18">
        <v>29.166666666666668</v>
      </c>
      <c r="L18">
        <v>62.5</v>
      </c>
      <c r="M18">
        <v>33.333333333333329</v>
      </c>
      <c r="N18">
        <v>79.166666666666657</v>
      </c>
      <c r="O18">
        <v>33.333333333333329</v>
      </c>
      <c r="P18">
        <v>37.5</v>
      </c>
      <c r="Q18">
        <v>79.166666666666657</v>
      </c>
      <c r="R18">
        <v>83.333333333333343</v>
      </c>
      <c r="S18">
        <v>37.5</v>
      </c>
      <c r="T18">
        <v>45.833333333333329</v>
      </c>
      <c r="U18">
        <v>58.333333333333336</v>
      </c>
      <c r="V18">
        <v>66.666666666666657</v>
      </c>
      <c r="W18">
        <v>79.166666666666657</v>
      </c>
      <c r="X18">
        <v>75</v>
      </c>
      <c r="Y18">
        <v>54.166666666666664</v>
      </c>
      <c r="Z18">
        <v>37.5</v>
      </c>
      <c r="AA18">
        <v>45.833333333333329</v>
      </c>
      <c r="AB18">
        <v>45.833333333333329</v>
      </c>
      <c r="AC18">
        <v>37.5</v>
      </c>
      <c r="AD18">
        <v>50</v>
      </c>
      <c r="AE18">
        <v>33.333333333333329</v>
      </c>
      <c r="AF18">
        <v>70.833333333333343</v>
      </c>
      <c r="AG18">
        <v>50</v>
      </c>
      <c r="AH18">
        <v>79.166666666666657</v>
      </c>
      <c r="AI18">
        <v>41.666666666666671</v>
      </c>
      <c r="AJ18">
        <v>41.666666666666671</v>
      </c>
      <c r="AK18">
        <v>41.666666666666671</v>
      </c>
      <c r="AL18">
        <v>41.666666666666671</v>
      </c>
      <c r="AM18">
        <v>62.5</v>
      </c>
      <c r="AN18">
        <v>50</v>
      </c>
      <c r="AO18">
        <v>37.5</v>
      </c>
      <c r="AP18">
        <v>54.166666666666664</v>
      </c>
      <c r="AQ18">
        <v>41.666666666666671</v>
      </c>
      <c r="AR18">
        <v>87.5</v>
      </c>
      <c r="AS18">
        <v>45.833333333333329</v>
      </c>
      <c r="AT18">
        <v>45.833333333333329</v>
      </c>
      <c r="AU18">
        <v>66.666666666666657</v>
      </c>
      <c r="AV18">
        <v>58.333333333333336</v>
      </c>
      <c r="AW18">
        <v>50</v>
      </c>
      <c r="AX18">
        <v>87.5</v>
      </c>
      <c r="AY18">
        <v>54.166666666666664</v>
      </c>
      <c r="AZ18">
        <v>70.833333333333343</v>
      </c>
      <c r="BA18">
        <v>37.5</v>
      </c>
      <c r="BB18">
        <v>41.666666666666671</v>
      </c>
      <c r="BC18">
        <v>58.333333333333336</v>
      </c>
      <c r="BD18">
        <v>75</v>
      </c>
      <c r="BE18">
        <v>50</v>
      </c>
      <c r="BF18">
        <v>41.666666666666671</v>
      </c>
      <c r="BG18">
        <v>70.833333333333343</v>
      </c>
      <c r="BH18">
        <v>45.833333333333329</v>
      </c>
      <c r="BI18">
        <v>75</v>
      </c>
      <c r="BJ18">
        <v>58.333333333333336</v>
      </c>
      <c r="BK18">
        <v>83.333333333333343</v>
      </c>
      <c r="BL18">
        <v>45.833333333333329</v>
      </c>
      <c r="BM18">
        <v>45.833333333333329</v>
      </c>
      <c r="BN18">
        <v>41.666666666666671</v>
      </c>
      <c r="BO18">
        <v>33.333333333333329</v>
      </c>
      <c r="BP18">
        <v>41.666666666666671</v>
      </c>
      <c r="BQ18">
        <v>66.666666666666657</v>
      </c>
      <c r="BR18">
        <v>75</v>
      </c>
      <c r="BS18">
        <v>70.833333333333343</v>
      </c>
      <c r="BT18">
        <v>50</v>
      </c>
      <c r="BU18">
        <v>83.333333333333343</v>
      </c>
      <c r="BV18">
        <v>41.666666666666671</v>
      </c>
      <c r="BW18">
        <v>45.833333333333329</v>
      </c>
      <c r="BX18">
        <v>50</v>
      </c>
      <c r="BY18">
        <v>41.666666666666671</v>
      </c>
      <c r="BZ18">
        <v>41.666666666666671</v>
      </c>
      <c r="CA18">
        <v>66.666666666666657</v>
      </c>
      <c r="CB18">
        <v>50</v>
      </c>
      <c r="CC18">
        <v>50</v>
      </c>
      <c r="CD18">
        <v>33.333333333333329</v>
      </c>
      <c r="CE18">
        <v>66.666666666666657</v>
      </c>
      <c r="CF18">
        <v>50</v>
      </c>
      <c r="CG18">
        <v>41.666666666666671</v>
      </c>
      <c r="CH18">
        <v>41.666666666666671</v>
      </c>
      <c r="CI18">
        <v>33.333333333333329</v>
      </c>
      <c r="CJ18">
        <v>41.666666666666671</v>
      </c>
    </row>
    <row r="20" spans="1:89" x14ac:dyDescent="0.25">
      <c r="A20">
        <v>42.222222222222221</v>
      </c>
      <c r="B20">
        <v>57.894736842105267</v>
      </c>
      <c r="C20">
        <v>55.555555555555557</v>
      </c>
      <c r="D20">
        <v>87.878787878787875</v>
      </c>
      <c r="E20">
        <v>65.957446808510639</v>
      </c>
      <c r="F20">
        <v>50</v>
      </c>
      <c r="G20">
        <v>34.782608695652172</v>
      </c>
      <c r="H20">
        <v>61.111111111111114</v>
      </c>
      <c r="I20">
        <v>47.916666666666671</v>
      </c>
      <c r="J20">
        <v>41.935483870967744</v>
      </c>
      <c r="K20">
        <v>77.083333333333343</v>
      </c>
      <c r="L20">
        <v>62.5</v>
      </c>
      <c r="M20">
        <v>73.076923076923066</v>
      </c>
      <c r="N20">
        <v>62.5</v>
      </c>
      <c r="O20">
        <v>77.142857142857153</v>
      </c>
      <c r="P20">
        <v>75</v>
      </c>
      <c r="Q20">
        <v>47.058823529411761</v>
      </c>
      <c r="R20">
        <v>43.243243243243242</v>
      </c>
      <c r="S20">
        <v>60</v>
      </c>
      <c r="T20">
        <v>82.222222222222214</v>
      </c>
      <c r="U20">
        <v>54.166666666666664</v>
      </c>
      <c r="V20">
        <v>75</v>
      </c>
      <c r="W20">
        <v>79.166666666666657</v>
      </c>
      <c r="X20">
        <v>65.714285714285708</v>
      </c>
      <c r="Y20">
        <v>94.285714285714278</v>
      </c>
      <c r="Z20">
        <v>90</v>
      </c>
      <c r="AA20">
        <v>66.666666666666657</v>
      </c>
      <c r="AB20">
        <v>74.468085106382972</v>
      </c>
      <c r="AC20">
        <v>81.081081081081081</v>
      </c>
      <c r="AD20">
        <v>92.857142857142861</v>
      </c>
      <c r="AE20">
        <v>73.170731707317074</v>
      </c>
      <c r="AF20">
        <v>76.08695652173914</v>
      </c>
      <c r="AG20">
        <v>90.909090909090907</v>
      </c>
      <c r="AH20">
        <v>62.162162162162161</v>
      </c>
      <c r="AI20">
        <v>54.054054054054056</v>
      </c>
      <c r="AJ20">
        <v>76.666666666666671</v>
      </c>
      <c r="AK20">
        <v>65.217391304347828</v>
      </c>
      <c r="AL20">
        <v>94.594594594594597</v>
      </c>
      <c r="AM20">
        <v>82.5</v>
      </c>
      <c r="AN20">
        <v>50</v>
      </c>
      <c r="AO20">
        <v>88.888888888888886</v>
      </c>
      <c r="AP20">
        <v>66.666666666666657</v>
      </c>
      <c r="AQ20">
        <v>43.75</v>
      </c>
      <c r="AR20">
        <v>65.789473684210535</v>
      </c>
      <c r="AS20">
        <v>78.125</v>
      </c>
      <c r="AT20">
        <v>85.18518518518519</v>
      </c>
      <c r="AU20">
        <v>87.878787878787875</v>
      </c>
      <c r="AV20">
        <v>64.583333333333343</v>
      </c>
      <c r="AW20">
        <v>88.571428571428569</v>
      </c>
      <c r="AX20">
        <v>72</v>
      </c>
      <c r="AY20">
        <v>73.91304347826086</v>
      </c>
      <c r="AZ20">
        <v>79.166666666666657</v>
      </c>
      <c r="BA20">
        <v>79.310344827586206</v>
      </c>
      <c r="BB20">
        <v>95.652173913043484</v>
      </c>
      <c r="BC20">
        <v>82.142857142857139</v>
      </c>
      <c r="BD20">
        <v>100</v>
      </c>
      <c r="BE20">
        <v>93.181818181818173</v>
      </c>
      <c r="BF20">
        <v>76.470588235294116</v>
      </c>
      <c r="BG20">
        <v>69.230769230769226</v>
      </c>
      <c r="BH20">
        <v>96.666666666666671</v>
      </c>
      <c r="BI20">
        <v>50</v>
      </c>
      <c r="BJ20">
        <v>94.444444444444443</v>
      </c>
      <c r="BK20">
        <v>59.259259259259252</v>
      </c>
      <c r="BL20">
        <v>87.096774193548384</v>
      </c>
      <c r="BM20">
        <v>64.705882352941174</v>
      </c>
      <c r="BN20">
        <v>93.181818181818173</v>
      </c>
      <c r="BO20">
        <v>65.517241379310349</v>
      </c>
      <c r="BP20">
        <v>80.555555555555557</v>
      </c>
      <c r="BQ20">
        <v>100</v>
      </c>
      <c r="BR20">
        <v>56.000000000000007</v>
      </c>
      <c r="BS20">
        <v>65.957446808510639</v>
      </c>
      <c r="BT20">
        <v>47.727272727272727</v>
      </c>
      <c r="BU20">
        <v>88</v>
      </c>
      <c r="BV20">
        <v>64</v>
      </c>
      <c r="BW20">
        <v>72.972972972972968</v>
      </c>
      <c r="BX20">
        <v>66.666666666666657</v>
      </c>
      <c r="BY20">
        <v>82.222222222222214</v>
      </c>
      <c r="BZ20">
        <v>60.526315789473685</v>
      </c>
      <c r="CA20">
        <v>45.833333333333329</v>
      </c>
      <c r="CB20">
        <v>76.59574468085107</v>
      </c>
      <c r="CC20">
        <v>75</v>
      </c>
      <c r="CD20">
        <v>77.777777777777786</v>
      </c>
      <c r="CE20">
        <v>59.375</v>
      </c>
      <c r="CF20">
        <v>70.370370370370367</v>
      </c>
      <c r="CG20">
        <v>80.952380952380949</v>
      </c>
      <c r="CH20">
        <v>50</v>
      </c>
      <c r="CI20">
        <v>85</v>
      </c>
      <c r="CJ20">
        <v>73.91304347826086</v>
      </c>
    </row>
    <row r="22" spans="1:89" x14ac:dyDescent="0.25">
      <c r="A22" t="s">
        <v>251</v>
      </c>
    </row>
    <row r="24" spans="1:89" x14ac:dyDescent="0.25">
      <c r="A24" t="s">
        <v>193</v>
      </c>
      <c r="B24">
        <v>3.125</v>
      </c>
      <c r="C24">
        <v>6.916666666666667</v>
      </c>
      <c r="D24">
        <v>3.8249999999999997</v>
      </c>
      <c r="E24">
        <v>2.1041666666666665</v>
      </c>
      <c r="F24">
        <v>2.0583333333333336</v>
      </c>
      <c r="G24">
        <v>3.6583333333333332</v>
      </c>
      <c r="H24">
        <v>2.5749999999999997</v>
      </c>
      <c r="I24">
        <v>1.5374999999999996</v>
      </c>
      <c r="J24">
        <v>2.9</v>
      </c>
      <c r="K24">
        <v>2.1833333333333331</v>
      </c>
      <c r="L24">
        <v>5.7291666666666679</v>
      </c>
      <c r="M24">
        <v>4.0445833333333336</v>
      </c>
      <c r="N24">
        <v>1.4999999999999998</v>
      </c>
      <c r="O24">
        <v>1.908333333333333</v>
      </c>
      <c r="P24">
        <v>3.2624999999999993</v>
      </c>
      <c r="Q24">
        <v>5.9250000000000007</v>
      </c>
      <c r="R24">
        <v>2.3749999999999996</v>
      </c>
      <c r="S24">
        <v>2.3374999999999999</v>
      </c>
      <c r="T24">
        <v>2.7208333333333332</v>
      </c>
      <c r="U24">
        <v>3.4625000000000004</v>
      </c>
      <c r="V24">
        <v>0.95000000000000007</v>
      </c>
      <c r="W24">
        <v>2.2500000000000004</v>
      </c>
      <c r="X24">
        <v>1.6999999999999993</v>
      </c>
      <c r="Y24">
        <v>2.1166666666666667</v>
      </c>
      <c r="Z24">
        <v>3.5304347826086957</v>
      </c>
      <c r="AA24">
        <v>2.8583333333333338</v>
      </c>
      <c r="AB24">
        <v>1.6333333333333335</v>
      </c>
      <c r="AC24">
        <v>4.8374999999999995</v>
      </c>
      <c r="AD24">
        <v>2.9666666666666668</v>
      </c>
      <c r="AE24">
        <v>3.7708333333333335</v>
      </c>
      <c r="AF24">
        <v>3.5208333333333344</v>
      </c>
      <c r="AG24">
        <v>5.4375</v>
      </c>
      <c r="AH24">
        <v>4.4541666666666666</v>
      </c>
      <c r="AI24">
        <v>3.1708333333333338</v>
      </c>
      <c r="AJ24">
        <v>2.9250000000000003</v>
      </c>
      <c r="AK24">
        <v>1.4083333333333334</v>
      </c>
      <c r="AL24">
        <v>5.4333333333333327</v>
      </c>
      <c r="AM24">
        <v>3.9208333333333338</v>
      </c>
      <c r="AN24">
        <v>3.3333333333333339</v>
      </c>
      <c r="AO24">
        <v>5.7458333333333336</v>
      </c>
      <c r="AP24">
        <v>4.3458333333333332</v>
      </c>
      <c r="AQ24">
        <v>1.8458333333333334</v>
      </c>
      <c r="AR24">
        <v>2.5708333333333329</v>
      </c>
      <c r="AS24">
        <v>1.9833333333333334</v>
      </c>
      <c r="AT24">
        <v>3.0083333333333333</v>
      </c>
      <c r="AU24">
        <v>4.6249999999999991</v>
      </c>
      <c r="AV24">
        <v>2.85</v>
      </c>
      <c r="AW24">
        <v>5.9958333333333327</v>
      </c>
      <c r="AX24">
        <v>2.3999999999999995</v>
      </c>
      <c r="AY24">
        <v>2.1770833333333335</v>
      </c>
      <c r="AZ24">
        <v>4.3875000000000002</v>
      </c>
      <c r="BA24">
        <v>0.97083333333333355</v>
      </c>
      <c r="BB24">
        <v>2.6499999999999995</v>
      </c>
      <c r="BC24">
        <v>1.9708333333333332</v>
      </c>
      <c r="BD24">
        <v>1.8625</v>
      </c>
      <c r="BE24">
        <v>0.91250000000000009</v>
      </c>
      <c r="BF24">
        <v>6.145833333333333</v>
      </c>
      <c r="BG24">
        <v>2.9782608695652173</v>
      </c>
      <c r="BH24">
        <v>1.8916666666666664</v>
      </c>
      <c r="BI24">
        <v>3.0791666666666671</v>
      </c>
      <c r="BJ24">
        <v>1.3958333333333337</v>
      </c>
      <c r="BK24">
        <v>1.7958333333333334</v>
      </c>
      <c r="BL24">
        <v>2.9166666666666674</v>
      </c>
      <c r="BM24">
        <v>2.8374999999999999</v>
      </c>
      <c r="BN24">
        <v>3.3583333333333329</v>
      </c>
      <c r="BO24">
        <v>3.8333333333333335</v>
      </c>
      <c r="BP24">
        <v>2.0958333333333337</v>
      </c>
      <c r="BQ24">
        <v>2.6083333333333329</v>
      </c>
      <c r="BR24">
        <v>2.5416666666666665</v>
      </c>
      <c r="BS24">
        <v>1.3291666666666668</v>
      </c>
      <c r="BT24">
        <v>2.9624999999999999</v>
      </c>
      <c r="BU24">
        <v>4.5125000000000002</v>
      </c>
      <c r="BV24">
        <v>1.2249999999999999</v>
      </c>
      <c r="BW24">
        <v>1.8208333333333335</v>
      </c>
      <c r="BX24">
        <v>3.25</v>
      </c>
      <c r="BY24">
        <v>4.6291666666666673</v>
      </c>
      <c r="BZ24">
        <v>7.5000000000000009</v>
      </c>
      <c r="CA24">
        <v>2.9125000000000001</v>
      </c>
      <c r="CB24">
        <v>1.4166666666666667</v>
      </c>
      <c r="CC24">
        <v>6.4333333333333327</v>
      </c>
      <c r="CD24">
        <v>4.5458333333333334</v>
      </c>
      <c r="CE24">
        <v>2.8833333333333342</v>
      </c>
      <c r="CF24">
        <v>2.8916666666666662</v>
      </c>
      <c r="CG24">
        <v>2.9</v>
      </c>
      <c r="CH24">
        <v>4.8000000000000016</v>
      </c>
      <c r="CI24">
        <v>1.9083333333333332</v>
      </c>
      <c r="CJ24">
        <v>3.4791666666666674</v>
      </c>
      <c r="CK24">
        <v>5.6375000000000002</v>
      </c>
    </row>
    <row r="25" spans="1:89" x14ac:dyDescent="0.25">
      <c r="A25" t="s">
        <v>203</v>
      </c>
      <c r="B25">
        <v>0.92607164714841306</v>
      </c>
      <c r="C25">
        <v>0.49490154195747277</v>
      </c>
      <c r="D25">
        <v>0.41833001326703662</v>
      </c>
      <c r="E25">
        <v>0.60251586063674833</v>
      </c>
      <c r="F25">
        <v>0.94635073315601415</v>
      </c>
      <c r="G25">
        <v>1.4946038203183285</v>
      </c>
      <c r="H25">
        <v>0.71032754232910322</v>
      </c>
      <c r="I25">
        <v>0.61982641328737864</v>
      </c>
      <c r="J25">
        <v>0.69968937207256943</v>
      </c>
      <c r="K25">
        <v>0.4478612621615411</v>
      </c>
      <c r="L25">
        <v>1.8359878674096277</v>
      </c>
      <c r="M25">
        <v>0.77086049697535974</v>
      </c>
      <c r="N25">
        <v>0.54692818064404924</v>
      </c>
      <c r="O25">
        <v>0.52908178595741306</v>
      </c>
      <c r="P25">
        <v>1.4367271079118331</v>
      </c>
      <c r="Q25">
        <v>2.7017305243282399</v>
      </c>
      <c r="R25">
        <v>0.90132752334976918</v>
      </c>
      <c r="S25">
        <v>0.52652470110106431</v>
      </c>
      <c r="T25">
        <v>0.92782080666223821</v>
      </c>
      <c r="U25">
        <v>1.0499741197638695</v>
      </c>
      <c r="V25">
        <v>0.30072376462244504</v>
      </c>
      <c r="W25">
        <v>1.0232089335708168</v>
      </c>
      <c r="X25">
        <v>0.49956502819083182</v>
      </c>
      <c r="Y25">
        <v>0.35590260840104421</v>
      </c>
      <c r="Z25">
        <v>1.0742586376442869</v>
      </c>
      <c r="AA25">
        <v>0.84024668565464744</v>
      </c>
      <c r="AB25">
        <v>0.74813778472119363</v>
      </c>
      <c r="AC25">
        <v>1.2218348639577328</v>
      </c>
      <c r="AD25">
        <v>1.0639003985199986</v>
      </c>
      <c r="AE25">
        <v>1.404798969578045</v>
      </c>
      <c r="AF25">
        <v>0.95415756909781824</v>
      </c>
      <c r="AG25">
        <v>0.82820523606379015</v>
      </c>
      <c r="AH25">
        <v>1.4631648742624193</v>
      </c>
      <c r="AI25">
        <v>0.78931955652881092</v>
      </c>
      <c r="AJ25">
        <v>1.6141359244526752</v>
      </c>
      <c r="AK25">
        <v>0.43028470520834372</v>
      </c>
      <c r="AL25">
        <v>1.9113884474646861</v>
      </c>
      <c r="AM25">
        <v>1.7987868294967622</v>
      </c>
      <c r="AN25">
        <v>1.4687074076463835</v>
      </c>
      <c r="AO25">
        <v>2.3361021356965135</v>
      </c>
      <c r="AP25">
        <v>1.4673191071879486</v>
      </c>
      <c r="AQ25">
        <v>0.79835655468330458</v>
      </c>
      <c r="AR25">
        <v>1.3362761907521277</v>
      </c>
      <c r="AS25">
        <v>0.28539319431675009</v>
      </c>
      <c r="AT25">
        <v>0.76551583442383664</v>
      </c>
      <c r="AU25">
        <v>1.4554993166846804</v>
      </c>
      <c r="AV25">
        <v>0.93063792987484451</v>
      </c>
      <c r="AW25">
        <v>1.1947272443557191</v>
      </c>
      <c r="AX25">
        <v>1.006068542915185</v>
      </c>
      <c r="AY25">
        <v>0.53527302392790743</v>
      </c>
      <c r="AZ25">
        <v>1.1880976756801278</v>
      </c>
      <c r="BA25">
        <v>0.27263475593718317</v>
      </c>
      <c r="BB25">
        <v>1.2215457064897246</v>
      </c>
      <c r="BC25">
        <v>0.74219367369667266</v>
      </c>
      <c r="BD25">
        <v>0.59695786756870328</v>
      </c>
      <c r="BE25">
        <v>0.24013130466113874</v>
      </c>
      <c r="BF25">
        <v>1.7788562927187028</v>
      </c>
      <c r="BG25">
        <v>0.83826472372131411</v>
      </c>
      <c r="BH25">
        <v>0.55082283640155183</v>
      </c>
      <c r="BI25">
        <v>0.93342714331867127</v>
      </c>
      <c r="BJ25">
        <v>0.32900266507003795</v>
      </c>
      <c r="BK25">
        <v>0.38839599544197451</v>
      </c>
      <c r="BL25">
        <v>0.58582284506247884</v>
      </c>
      <c r="BM25">
        <v>0.93892283333430715</v>
      </c>
      <c r="BN25">
        <v>1.2863553727207506</v>
      </c>
      <c r="BO25">
        <v>1.051155334016757</v>
      </c>
      <c r="BP25">
        <v>0.57368311709564779</v>
      </c>
      <c r="BQ25">
        <v>0.82615751033568574</v>
      </c>
      <c r="BR25">
        <v>0.67817957520990313</v>
      </c>
      <c r="BS25">
        <v>0.21564698743178751</v>
      </c>
      <c r="BT25">
        <v>1.3887161728357784</v>
      </c>
      <c r="BU25">
        <v>1.3482073443941254</v>
      </c>
      <c r="BV25">
        <v>0.41624616462523506</v>
      </c>
      <c r="BW25">
        <v>1.0790411067910841</v>
      </c>
      <c r="BX25">
        <v>1.1617078881505918</v>
      </c>
      <c r="BY25">
        <v>1.5886770998337663</v>
      </c>
      <c r="BZ25">
        <v>2.957637409761213</v>
      </c>
      <c r="CA25">
        <v>1.2563966764902113</v>
      </c>
      <c r="CB25">
        <v>0.61337744012799444</v>
      </c>
      <c r="CC25">
        <v>1.6833369206447679</v>
      </c>
      <c r="CD25">
        <v>1.5511508116813513</v>
      </c>
      <c r="CE25">
        <v>0.96082693852592138</v>
      </c>
      <c r="CF25">
        <v>0.77230128535586506</v>
      </c>
      <c r="CG25">
        <v>1.0986157297886885</v>
      </c>
      <c r="CH25">
        <v>1.8308942932467371</v>
      </c>
      <c r="CI25">
        <v>0.52743568877835878</v>
      </c>
      <c r="CJ25">
        <v>0.89295755128997722</v>
      </c>
      <c r="CK25">
        <v>3.0394239299720849</v>
      </c>
    </row>
    <row r="26" spans="1:89" x14ac:dyDescent="0.25">
      <c r="A26" t="s">
        <v>32</v>
      </c>
      <c r="B26">
        <v>1</v>
      </c>
      <c r="C26">
        <v>0.63600000000000001</v>
      </c>
      <c r="D26">
        <v>0.64</v>
      </c>
      <c r="E26">
        <v>0.18</v>
      </c>
      <c r="F26">
        <v>0.59</v>
      </c>
      <c r="G26">
        <v>0.88</v>
      </c>
      <c r="H26">
        <v>0.59666666666666668</v>
      </c>
      <c r="I26">
        <v>0.5</v>
      </c>
      <c r="J26">
        <v>0.44</v>
      </c>
      <c r="K26">
        <v>0.52</v>
      </c>
      <c r="L26">
        <v>1.5</v>
      </c>
      <c r="M26">
        <v>0.72</v>
      </c>
      <c r="N26">
        <v>0.68</v>
      </c>
      <c r="O26">
        <v>0.56000000000000005</v>
      </c>
      <c r="P26">
        <v>0.74</v>
      </c>
      <c r="Q26">
        <v>0.96</v>
      </c>
      <c r="R26">
        <v>0.62</v>
      </c>
      <c r="S26">
        <v>0.7</v>
      </c>
      <c r="T26">
        <v>0.76</v>
      </c>
      <c r="U26">
        <v>0.66</v>
      </c>
      <c r="V26">
        <v>0.36</v>
      </c>
      <c r="W26">
        <v>0.8</v>
      </c>
      <c r="X26">
        <v>0.5</v>
      </c>
      <c r="Y26">
        <v>0.44</v>
      </c>
      <c r="Z26">
        <v>0.68</v>
      </c>
      <c r="AA26">
        <v>0.56000000000000005</v>
      </c>
      <c r="AB26">
        <v>0.68</v>
      </c>
      <c r="AC26">
        <v>0.6</v>
      </c>
      <c r="AD26">
        <v>1.3</v>
      </c>
      <c r="AE26">
        <v>0.69500000000000006</v>
      </c>
      <c r="AF26">
        <v>0.7</v>
      </c>
      <c r="AG26">
        <v>0.59</v>
      </c>
      <c r="AH26">
        <v>0.8</v>
      </c>
      <c r="AI26">
        <v>0.64</v>
      </c>
      <c r="AJ26">
        <v>0.7</v>
      </c>
      <c r="AK26">
        <v>0.56000000000000005</v>
      </c>
      <c r="AL26">
        <v>0.88</v>
      </c>
      <c r="AM26">
        <v>1</v>
      </c>
      <c r="AN26">
        <v>0.54</v>
      </c>
      <c r="AO26">
        <v>0.74</v>
      </c>
      <c r="AP26">
        <v>0.62</v>
      </c>
      <c r="AQ26">
        <v>0.3</v>
      </c>
      <c r="AR26">
        <v>0.78</v>
      </c>
      <c r="AS26">
        <v>0.52</v>
      </c>
      <c r="AT26">
        <v>0.82</v>
      </c>
      <c r="AU26">
        <v>0.63</v>
      </c>
      <c r="AV26">
        <v>0.48</v>
      </c>
      <c r="AW26">
        <v>0.88</v>
      </c>
      <c r="AX26">
        <v>0.43</v>
      </c>
      <c r="AY26">
        <v>0.74</v>
      </c>
      <c r="AZ26">
        <v>0.48</v>
      </c>
      <c r="BA26">
        <v>0.53</v>
      </c>
      <c r="BB26">
        <v>0.42</v>
      </c>
      <c r="BC26">
        <v>0.84</v>
      </c>
      <c r="BD26">
        <v>0.71</v>
      </c>
      <c r="BE26">
        <v>2</v>
      </c>
      <c r="BF26">
        <v>0.62</v>
      </c>
      <c r="BG26">
        <v>0.52</v>
      </c>
      <c r="BH26">
        <v>0.38</v>
      </c>
      <c r="BI26">
        <v>0.56000000000000005</v>
      </c>
      <c r="BJ26">
        <v>0.46</v>
      </c>
      <c r="BK26">
        <v>0.32</v>
      </c>
      <c r="BL26">
        <v>0.68</v>
      </c>
      <c r="BM26">
        <v>0.61499999999999999</v>
      </c>
      <c r="BN26">
        <v>0.54</v>
      </c>
      <c r="BO26">
        <v>1.08</v>
      </c>
      <c r="BP26">
        <v>0.42</v>
      </c>
      <c r="BQ26">
        <v>0.52</v>
      </c>
      <c r="BR26">
        <v>0.26</v>
      </c>
      <c r="BS26">
        <v>0.77</v>
      </c>
      <c r="BT26">
        <v>0.56000000000000005</v>
      </c>
      <c r="BU26">
        <v>0.42666666666666669</v>
      </c>
      <c r="BV26">
        <v>0.6</v>
      </c>
      <c r="BW26">
        <v>0.44</v>
      </c>
      <c r="BX26">
        <v>0.55000000000000004</v>
      </c>
      <c r="BY26">
        <v>0.52</v>
      </c>
      <c r="BZ26">
        <v>1.1000000000000001</v>
      </c>
      <c r="CA26">
        <v>1.4</v>
      </c>
      <c r="CB26">
        <v>0.5</v>
      </c>
      <c r="CC26">
        <v>1</v>
      </c>
      <c r="CD26">
        <v>0.92</v>
      </c>
      <c r="CE26">
        <v>0.36</v>
      </c>
      <c r="CF26">
        <v>0.4</v>
      </c>
      <c r="CG26">
        <v>0.24</v>
      </c>
      <c r="CH26">
        <v>0.72</v>
      </c>
      <c r="CI26">
        <v>0.38</v>
      </c>
      <c r="CJ26">
        <v>0.52</v>
      </c>
      <c r="CK26">
        <v>1.08</v>
      </c>
    </row>
    <row r="27" spans="1:89" x14ac:dyDescent="0.25">
      <c r="A27" t="s">
        <v>194</v>
      </c>
      <c r="B27">
        <v>2.2222222222222223</v>
      </c>
      <c r="C27">
        <v>0</v>
      </c>
      <c r="D27">
        <v>1.3888888888888888</v>
      </c>
      <c r="E27">
        <v>3.0303030303030303</v>
      </c>
      <c r="F27">
        <v>0</v>
      </c>
      <c r="G27">
        <v>0</v>
      </c>
      <c r="H27">
        <v>8.695652173913043</v>
      </c>
      <c r="I27">
        <v>0</v>
      </c>
      <c r="J27">
        <v>0</v>
      </c>
      <c r="K27">
        <v>0</v>
      </c>
      <c r="L27">
        <v>0</v>
      </c>
      <c r="M27">
        <v>0</v>
      </c>
      <c r="N27">
        <v>0</v>
      </c>
      <c r="O27">
        <v>0</v>
      </c>
      <c r="P27">
        <v>0</v>
      </c>
      <c r="Q27">
        <v>0</v>
      </c>
      <c r="R27">
        <v>0</v>
      </c>
      <c r="S27">
        <v>0</v>
      </c>
      <c r="T27">
        <v>0</v>
      </c>
      <c r="U27">
        <v>0</v>
      </c>
      <c r="V27">
        <v>0</v>
      </c>
      <c r="W27">
        <v>0</v>
      </c>
      <c r="X27">
        <v>0</v>
      </c>
      <c r="Y27">
        <v>0</v>
      </c>
      <c r="Z27">
        <v>0</v>
      </c>
      <c r="AA27">
        <v>3.3333333333333335</v>
      </c>
      <c r="AB27">
        <v>0</v>
      </c>
      <c r="AC27">
        <v>0</v>
      </c>
      <c r="AD27">
        <v>0</v>
      </c>
      <c r="AE27">
        <v>0</v>
      </c>
      <c r="AF27">
        <v>0</v>
      </c>
      <c r="AG27">
        <v>2.1739130434782608</v>
      </c>
      <c r="AH27">
        <v>0</v>
      </c>
      <c r="AI27">
        <v>8.1081081081081088</v>
      </c>
      <c r="AJ27">
        <v>0</v>
      </c>
      <c r="AK27">
        <v>0</v>
      </c>
      <c r="AL27">
        <v>2.1739130434782608</v>
      </c>
      <c r="AM27">
        <v>0</v>
      </c>
      <c r="AN27">
        <v>2.5</v>
      </c>
      <c r="AO27">
        <v>0</v>
      </c>
      <c r="AP27">
        <v>0</v>
      </c>
      <c r="AQ27">
        <v>0</v>
      </c>
      <c r="AR27">
        <v>0</v>
      </c>
      <c r="AS27">
        <v>0</v>
      </c>
      <c r="AT27">
        <v>0</v>
      </c>
      <c r="AU27">
        <v>3.7037037037037033</v>
      </c>
      <c r="AV27">
        <v>0</v>
      </c>
      <c r="AW27">
        <v>0</v>
      </c>
      <c r="AX27">
        <v>0</v>
      </c>
      <c r="AY27">
        <v>0</v>
      </c>
      <c r="AZ27">
        <v>0</v>
      </c>
      <c r="BA27">
        <v>0</v>
      </c>
      <c r="BB27">
        <v>0</v>
      </c>
      <c r="BC27">
        <v>0</v>
      </c>
      <c r="BD27">
        <v>7.1428571428571423</v>
      </c>
      <c r="BE27">
        <v>0</v>
      </c>
      <c r="BF27">
        <v>0</v>
      </c>
      <c r="BG27">
        <v>2.9411764705882351</v>
      </c>
      <c r="BH27">
        <v>0</v>
      </c>
      <c r="BI27">
        <v>0</v>
      </c>
      <c r="BJ27">
        <v>0</v>
      </c>
      <c r="BK27">
        <v>0</v>
      </c>
      <c r="BL27">
        <v>0</v>
      </c>
      <c r="BM27">
        <v>3.225806451612903</v>
      </c>
      <c r="BN27">
        <v>0</v>
      </c>
      <c r="BO27">
        <v>0</v>
      </c>
      <c r="BP27">
        <v>6.8965517241379306</v>
      </c>
      <c r="BQ27">
        <v>0</v>
      </c>
      <c r="BR27">
        <v>0</v>
      </c>
      <c r="BS27">
        <v>0</v>
      </c>
      <c r="BT27">
        <v>0</v>
      </c>
      <c r="BU27">
        <v>2.2727272727272729</v>
      </c>
      <c r="BV27">
        <v>0</v>
      </c>
      <c r="BW27">
        <v>0</v>
      </c>
      <c r="BX27">
        <v>0</v>
      </c>
      <c r="BY27">
        <v>0</v>
      </c>
      <c r="BZ27">
        <v>2.2222222222222223</v>
      </c>
      <c r="CA27">
        <v>0</v>
      </c>
      <c r="CB27">
        <v>0</v>
      </c>
      <c r="CC27">
        <v>8.5106382978723403</v>
      </c>
      <c r="CD27">
        <v>0</v>
      </c>
      <c r="CE27">
        <v>5.5555555555555554</v>
      </c>
      <c r="CF27">
        <v>0</v>
      </c>
      <c r="CG27">
        <v>0</v>
      </c>
      <c r="CH27">
        <v>0</v>
      </c>
      <c r="CI27">
        <v>2.9411764705882351</v>
      </c>
      <c r="CJ27">
        <v>2.5</v>
      </c>
      <c r="CK27">
        <v>2.1739130434782608</v>
      </c>
    </row>
    <row r="28" spans="1:89" x14ac:dyDescent="0.25">
      <c r="A28" t="s">
        <v>200</v>
      </c>
      <c r="B28">
        <v>26.666666666666668</v>
      </c>
      <c r="C28">
        <v>7.0175438596491224</v>
      </c>
      <c r="D28">
        <v>55.555555555555557</v>
      </c>
      <c r="E28">
        <v>9.0909090909090917</v>
      </c>
      <c r="F28">
        <v>27.659574468085108</v>
      </c>
      <c r="G28">
        <v>37.5</v>
      </c>
      <c r="H28">
        <v>4.3478260869565215</v>
      </c>
      <c r="I28">
        <v>61.111111111111114</v>
      </c>
      <c r="J28">
        <v>47.916666666666671</v>
      </c>
      <c r="K28">
        <v>22.58064516129032</v>
      </c>
      <c r="L28">
        <v>20.833333333333336</v>
      </c>
      <c r="M28">
        <v>29.166666666666668</v>
      </c>
      <c r="N28">
        <v>19.230769230769234</v>
      </c>
      <c r="O28">
        <v>16.666666666666664</v>
      </c>
      <c r="P28">
        <v>8.5714285714285712</v>
      </c>
      <c r="Q28">
        <v>13.636363636363635</v>
      </c>
      <c r="R28">
        <v>11.76470588235294</v>
      </c>
      <c r="S28">
        <v>43.243243243243242</v>
      </c>
      <c r="T28">
        <v>60</v>
      </c>
      <c r="U28">
        <v>11.111111111111111</v>
      </c>
      <c r="V28">
        <v>54.166666666666664</v>
      </c>
      <c r="W28">
        <v>16.666666666666664</v>
      </c>
      <c r="X28">
        <v>20.833333333333336</v>
      </c>
      <c r="Y28">
        <v>65.714285714285708</v>
      </c>
      <c r="Z28">
        <v>0</v>
      </c>
      <c r="AA28">
        <v>0</v>
      </c>
      <c r="AB28">
        <v>14.814814814814813</v>
      </c>
      <c r="AC28">
        <v>19.148936170212767</v>
      </c>
      <c r="AD28">
        <v>8.1081081081081088</v>
      </c>
      <c r="AE28">
        <v>0</v>
      </c>
      <c r="AF28">
        <v>12.195121951219512</v>
      </c>
      <c r="AG28">
        <v>10.869565217391305</v>
      </c>
      <c r="AH28">
        <v>2.2727272727272729</v>
      </c>
      <c r="AI28">
        <v>62.162162162162161</v>
      </c>
      <c r="AJ28">
        <v>45.945945945945951</v>
      </c>
      <c r="AK28">
        <v>76.666666666666671</v>
      </c>
      <c r="AL28">
        <v>30.434782608695656</v>
      </c>
      <c r="AM28">
        <v>2.7027027027027026</v>
      </c>
      <c r="AN28">
        <v>5</v>
      </c>
      <c r="AO28">
        <v>45.833333333333329</v>
      </c>
      <c r="AP28">
        <v>8.8888888888888893</v>
      </c>
      <c r="AQ28">
        <v>33.333333333333329</v>
      </c>
      <c r="AR28">
        <v>43.75</v>
      </c>
      <c r="AS28">
        <v>15.789473684210526</v>
      </c>
      <c r="AT28">
        <v>78.125</v>
      </c>
      <c r="AU28">
        <v>0</v>
      </c>
      <c r="AV28">
        <v>9.0909090909090917</v>
      </c>
      <c r="AW28">
        <v>20.833333333333336</v>
      </c>
      <c r="AX28">
        <v>11.428571428571429</v>
      </c>
      <c r="AY28">
        <v>28.000000000000004</v>
      </c>
      <c r="AZ28">
        <v>13.043478260869565</v>
      </c>
      <c r="BA28">
        <v>12.5</v>
      </c>
      <c r="BB28">
        <v>20.689655172413794</v>
      </c>
      <c r="BC28">
        <v>4.3478260869565215</v>
      </c>
      <c r="BD28">
        <v>3.5714285714285712</v>
      </c>
      <c r="BE28">
        <v>100</v>
      </c>
      <c r="BF28">
        <v>4.5454545454545459</v>
      </c>
      <c r="BG28">
        <v>5.8823529411764701</v>
      </c>
      <c r="BH28">
        <v>11.538461538461538</v>
      </c>
      <c r="BI28">
        <v>0</v>
      </c>
      <c r="BJ28">
        <v>29.166666666666668</v>
      </c>
      <c r="BK28">
        <v>2.7777777777777777</v>
      </c>
      <c r="BL28">
        <v>29.629629629629626</v>
      </c>
      <c r="BM28">
        <v>3.225806451612903</v>
      </c>
      <c r="BN28">
        <v>32.352941176470587</v>
      </c>
      <c r="BO28">
        <v>4.5454545454545459</v>
      </c>
      <c r="BP28">
        <v>3.4482758620689653</v>
      </c>
      <c r="BQ28">
        <v>5.5555555555555554</v>
      </c>
      <c r="BR28">
        <v>0</v>
      </c>
      <c r="BS28">
        <v>24</v>
      </c>
      <c r="BT28">
        <v>65.957446808510639</v>
      </c>
      <c r="BU28">
        <v>18.181818181818183</v>
      </c>
      <c r="BV28">
        <v>4</v>
      </c>
      <c r="BW28">
        <v>12</v>
      </c>
      <c r="BX28">
        <v>10.810810810810811</v>
      </c>
      <c r="BY28">
        <v>2.7777777777777777</v>
      </c>
      <c r="BZ28">
        <v>6.666666666666667</v>
      </c>
      <c r="CA28">
        <v>31.578947368421051</v>
      </c>
      <c r="CB28">
        <v>45.833333333333329</v>
      </c>
      <c r="CC28">
        <v>0</v>
      </c>
      <c r="CD28">
        <v>25</v>
      </c>
      <c r="CE28">
        <v>13.888888888888889</v>
      </c>
      <c r="CF28">
        <v>9.375</v>
      </c>
      <c r="CG28">
        <v>11.111111111111111</v>
      </c>
      <c r="CH28">
        <v>9.5238095238095237</v>
      </c>
      <c r="CI28">
        <v>50</v>
      </c>
      <c r="CJ28">
        <v>5</v>
      </c>
      <c r="CK28">
        <v>8.695652173913043</v>
      </c>
    </row>
    <row r="29" spans="1:89" x14ac:dyDescent="0.25">
      <c r="A29" t="s">
        <v>199</v>
      </c>
      <c r="B29">
        <v>24.444444444444443</v>
      </c>
      <c r="C29">
        <v>24.561403508771928</v>
      </c>
      <c r="D29">
        <v>13.888888888888889</v>
      </c>
      <c r="E29">
        <v>0</v>
      </c>
      <c r="F29">
        <v>0</v>
      </c>
      <c r="G29">
        <v>6.25</v>
      </c>
      <c r="H29">
        <v>34.782608695652172</v>
      </c>
      <c r="I29">
        <v>0</v>
      </c>
      <c r="J29">
        <v>2.083333333333333</v>
      </c>
      <c r="K29">
        <v>9.67741935483871</v>
      </c>
      <c r="L29">
        <v>0</v>
      </c>
      <c r="M29">
        <v>4.1666666666666661</v>
      </c>
      <c r="N29">
        <v>0</v>
      </c>
      <c r="O29">
        <v>0</v>
      </c>
      <c r="P29">
        <v>5.7142857142857144</v>
      </c>
      <c r="Q29">
        <v>0</v>
      </c>
      <c r="R29">
        <v>47.058823529411761</v>
      </c>
      <c r="S29">
        <v>0</v>
      </c>
      <c r="T29">
        <v>0</v>
      </c>
      <c r="U29">
        <v>0</v>
      </c>
      <c r="V29">
        <v>20.833333333333336</v>
      </c>
      <c r="W29">
        <v>0</v>
      </c>
      <c r="X29">
        <v>0</v>
      </c>
      <c r="Y29">
        <v>17.142857142857142</v>
      </c>
      <c r="Z29">
        <v>0</v>
      </c>
      <c r="AA29">
        <v>6.666666666666667</v>
      </c>
      <c r="AB29">
        <v>7.4074074074074066</v>
      </c>
      <c r="AC29">
        <v>2.1276595744680851</v>
      </c>
      <c r="AD29">
        <v>2.7027027027027026</v>
      </c>
      <c r="AE29">
        <v>0</v>
      </c>
      <c r="AF29">
        <v>9.7560975609756095</v>
      </c>
      <c r="AG29">
        <v>8.695652173913043</v>
      </c>
      <c r="AH29">
        <v>4.5454545454545459</v>
      </c>
      <c r="AI29">
        <v>13.513513513513514</v>
      </c>
      <c r="AJ29">
        <v>0</v>
      </c>
      <c r="AK29">
        <v>0</v>
      </c>
      <c r="AL29">
        <v>0</v>
      </c>
      <c r="AM29">
        <v>0</v>
      </c>
      <c r="AN29">
        <v>7.5</v>
      </c>
      <c r="AO29">
        <v>0</v>
      </c>
      <c r="AP29">
        <v>0</v>
      </c>
      <c r="AQ29">
        <v>0</v>
      </c>
      <c r="AR29">
        <v>18.75</v>
      </c>
      <c r="AS29">
        <v>2.6315789473684208</v>
      </c>
      <c r="AT29">
        <v>3.125</v>
      </c>
      <c r="AU29">
        <v>0</v>
      </c>
      <c r="AV29">
        <v>3.0303030303030303</v>
      </c>
      <c r="AW29">
        <v>4.1666666666666661</v>
      </c>
      <c r="AX29">
        <v>0</v>
      </c>
      <c r="AY29">
        <v>0</v>
      </c>
      <c r="AZ29">
        <v>0</v>
      </c>
      <c r="BA29">
        <v>0</v>
      </c>
      <c r="BB29">
        <v>0</v>
      </c>
      <c r="BC29">
        <v>0</v>
      </c>
      <c r="BD29">
        <v>0</v>
      </c>
      <c r="BE29">
        <v>0</v>
      </c>
      <c r="BF29">
        <v>0</v>
      </c>
      <c r="BG29">
        <v>0</v>
      </c>
      <c r="BH29">
        <v>0</v>
      </c>
      <c r="BI29">
        <v>0</v>
      </c>
      <c r="BJ29">
        <v>8.3333333333333321</v>
      </c>
      <c r="BK29">
        <v>0</v>
      </c>
      <c r="BL29">
        <v>0</v>
      </c>
      <c r="BM29">
        <v>0</v>
      </c>
      <c r="BN29">
        <v>0</v>
      </c>
      <c r="BO29">
        <v>2.2727272727272729</v>
      </c>
      <c r="BP29">
        <v>10.344827586206897</v>
      </c>
      <c r="BQ29">
        <v>8.3333333333333321</v>
      </c>
      <c r="BR29">
        <v>0</v>
      </c>
      <c r="BS29">
        <v>0</v>
      </c>
      <c r="BT29">
        <v>25.531914893617021</v>
      </c>
      <c r="BU29">
        <v>29.545454545454547</v>
      </c>
      <c r="BV29">
        <v>4</v>
      </c>
      <c r="BW29">
        <v>8</v>
      </c>
      <c r="BX29">
        <v>0</v>
      </c>
      <c r="BY29">
        <v>22.222222222222221</v>
      </c>
      <c r="BZ29">
        <v>8.8888888888888893</v>
      </c>
      <c r="CA29">
        <v>2.6315789473684208</v>
      </c>
      <c r="CB29">
        <v>0</v>
      </c>
      <c r="CC29">
        <v>4.2553191489361701</v>
      </c>
      <c r="CD29">
        <v>0</v>
      </c>
      <c r="CE29">
        <v>0</v>
      </c>
      <c r="CF29">
        <v>3.125</v>
      </c>
      <c r="CG29">
        <v>11.111111111111111</v>
      </c>
      <c r="CH29">
        <v>7.1428571428571423</v>
      </c>
      <c r="CI29">
        <v>8.8235294117647065</v>
      </c>
      <c r="CJ29">
        <v>0</v>
      </c>
      <c r="CK29">
        <v>8.695652173913043</v>
      </c>
    </row>
    <row r="30" spans="1:89" x14ac:dyDescent="0.25">
      <c r="A30" t="s">
        <v>202</v>
      </c>
      <c r="B30">
        <v>53.333333333333329</v>
      </c>
      <c r="C30">
        <v>31.578947368421051</v>
      </c>
      <c r="D30">
        <v>70.833333333333329</v>
      </c>
      <c r="E30">
        <v>12.121212121212121</v>
      </c>
      <c r="F30">
        <v>27.659574468085108</v>
      </c>
      <c r="G30">
        <v>43.75</v>
      </c>
      <c r="H30">
        <v>47.826086956521735</v>
      </c>
      <c r="I30">
        <v>61.111111111111114</v>
      </c>
      <c r="J30">
        <v>50.000000000000007</v>
      </c>
      <c r="K30">
        <v>32.258064516129032</v>
      </c>
      <c r="L30">
        <v>20.833333333333336</v>
      </c>
      <c r="M30">
        <v>33.333333333333336</v>
      </c>
      <c r="N30">
        <v>19.230769230769234</v>
      </c>
      <c r="O30">
        <v>16.666666666666664</v>
      </c>
      <c r="P30">
        <v>14.285714285714285</v>
      </c>
      <c r="Q30">
        <v>13.636363636363635</v>
      </c>
      <c r="R30">
        <v>58.823529411764703</v>
      </c>
      <c r="S30">
        <v>43.243243243243242</v>
      </c>
      <c r="T30">
        <v>60</v>
      </c>
      <c r="U30">
        <v>11.111111111111111</v>
      </c>
      <c r="V30">
        <v>75</v>
      </c>
      <c r="W30">
        <v>16.666666666666664</v>
      </c>
      <c r="X30">
        <v>20.833333333333336</v>
      </c>
      <c r="Y30">
        <v>82.857142857142847</v>
      </c>
      <c r="Z30">
        <v>0</v>
      </c>
      <c r="AA30">
        <v>10</v>
      </c>
      <c r="AB30">
        <v>22.222222222222221</v>
      </c>
      <c r="AC30">
        <v>21.276595744680854</v>
      </c>
      <c r="AD30">
        <v>10.810810810810811</v>
      </c>
      <c r="AE30">
        <v>0</v>
      </c>
      <c r="AF30">
        <v>21.951219512195124</v>
      </c>
      <c r="AG30">
        <v>21.739130434782609</v>
      </c>
      <c r="AH30">
        <v>6.8181818181818183</v>
      </c>
      <c r="AI30">
        <v>83.78378378378379</v>
      </c>
      <c r="AJ30">
        <v>45.945945945945951</v>
      </c>
      <c r="AK30">
        <v>76.666666666666671</v>
      </c>
      <c r="AL30">
        <v>32.608695652173914</v>
      </c>
      <c r="AM30">
        <v>2.7027027027027026</v>
      </c>
      <c r="AN30">
        <v>15</v>
      </c>
      <c r="AO30">
        <v>45.833333333333329</v>
      </c>
      <c r="AP30">
        <v>8.8888888888888893</v>
      </c>
      <c r="AQ30">
        <v>33.333333333333329</v>
      </c>
      <c r="AR30">
        <v>62.5</v>
      </c>
      <c r="AS30">
        <v>18.421052631578945</v>
      </c>
      <c r="AT30">
        <v>81.25</v>
      </c>
      <c r="AU30">
        <v>3.7037037037037033</v>
      </c>
      <c r="AV30">
        <v>12.121212121212121</v>
      </c>
      <c r="AW30">
        <v>25</v>
      </c>
      <c r="AX30">
        <v>11.428571428571429</v>
      </c>
      <c r="AY30">
        <v>28.000000000000004</v>
      </c>
      <c r="AZ30">
        <v>13.043478260869565</v>
      </c>
      <c r="BA30">
        <v>12.5</v>
      </c>
      <c r="BB30">
        <v>20.689655172413794</v>
      </c>
      <c r="BC30">
        <v>4.3478260869565215</v>
      </c>
      <c r="BD30">
        <v>10.714285714285714</v>
      </c>
      <c r="BE30">
        <v>100</v>
      </c>
      <c r="BF30">
        <v>4.5454545454545459</v>
      </c>
      <c r="BG30">
        <v>8.8235294117647047</v>
      </c>
      <c r="BH30">
        <v>11.538461538461538</v>
      </c>
      <c r="BI30">
        <v>0</v>
      </c>
      <c r="BJ30">
        <v>37.5</v>
      </c>
      <c r="BK30">
        <v>2.7777777777777777</v>
      </c>
      <c r="BL30">
        <v>29.629629629629626</v>
      </c>
      <c r="BM30">
        <v>6.4516129032258061</v>
      </c>
      <c r="BN30">
        <v>32.352941176470587</v>
      </c>
      <c r="BO30">
        <v>6.8181818181818183</v>
      </c>
      <c r="BP30">
        <v>20.689655172413794</v>
      </c>
      <c r="BQ30">
        <v>13.888888888888888</v>
      </c>
      <c r="BR30">
        <v>0</v>
      </c>
      <c r="BS30">
        <v>24</v>
      </c>
      <c r="BT30">
        <v>91.489361702127667</v>
      </c>
      <c r="BU30">
        <v>50</v>
      </c>
      <c r="BV30">
        <v>8</v>
      </c>
      <c r="BW30">
        <v>20</v>
      </c>
      <c r="BX30">
        <v>10.810810810810811</v>
      </c>
      <c r="BY30">
        <v>25</v>
      </c>
      <c r="BZ30">
        <v>17.777777777777779</v>
      </c>
      <c r="CA30">
        <v>34.210526315789473</v>
      </c>
      <c r="CB30">
        <v>45.833333333333329</v>
      </c>
      <c r="CC30">
        <v>12.76595744680851</v>
      </c>
      <c r="CD30">
        <v>25</v>
      </c>
      <c r="CE30">
        <v>19.444444444444443</v>
      </c>
      <c r="CF30">
        <v>12.5</v>
      </c>
      <c r="CG30">
        <v>22.222222222222221</v>
      </c>
      <c r="CH30">
        <v>16.666666666666664</v>
      </c>
      <c r="CI30">
        <v>61.764705882352942</v>
      </c>
      <c r="CJ30">
        <v>7.5</v>
      </c>
      <c r="CK30">
        <v>19.565217391304348</v>
      </c>
    </row>
    <row r="31" spans="1:89" x14ac:dyDescent="0.25">
      <c r="A31" t="s">
        <v>195</v>
      </c>
      <c r="B31">
        <v>2.2222222222222223</v>
      </c>
      <c r="C31">
        <v>8.7719298245614024</v>
      </c>
      <c r="D31">
        <v>8.3333333333333321</v>
      </c>
      <c r="E31">
        <v>0</v>
      </c>
      <c r="F31">
        <v>6.3829787234042552</v>
      </c>
      <c r="G31">
        <v>6.25</v>
      </c>
      <c r="H31">
        <v>23.913043478260871</v>
      </c>
      <c r="I31">
        <v>2.7777777777777777</v>
      </c>
      <c r="J31">
        <v>4.1666666666666661</v>
      </c>
      <c r="K31">
        <v>25.806451612903224</v>
      </c>
      <c r="L31">
        <v>0</v>
      </c>
      <c r="M31">
        <v>4.1666666666666661</v>
      </c>
      <c r="N31">
        <v>7.6923076923076925</v>
      </c>
      <c r="O31">
        <v>20.833333333333336</v>
      </c>
      <c r="P31">
        <v>2.8571428571428572</v>
      </c>
      <c r="Q31">
        <v>6.8181818181818175</v>
      </c>
      <c r="R31">
        <v>23.52941176470588</v>
      </c>
      <c r="S31">
        <v>18.918918918918919</v>
      </c>
      <c r="T31">
        <v>0</v>
      </c>
      <c r="U31">
        <v>6.666666666666667</v>
      </c>
      <c r="V31">
        <v>12.5</v>
      </c>
      <c r="W31">
        <v>8.3333333333333321</v>
      </c>
      <c r="X31">
        <v>0</v>
      </c>
      <c r="Y31">
        <v>0</v>
      </c>
      <c r="Z31">
        <v>5.7142857142857144</v>
      </c>
      <c r="AA31">
        <v>0</v>
      </c>
      <c r="AB31">
        <v>11.111111111111111</v>
      </c>
      <c r="AC31">
        <v>0</v>
      </c>
      <c r="AD31">
        <v>8.1081081081081088</v>
      </c>
      <c r="AE31">
        <v>3.5714285714285712</v>
      </c>
      <c r="AF31">
        <v>0</v>
      </c>
      <c r="AG31">
        <v>2.1739130434782608</v>
      </c>
      <c r="AH31">
        <v>2.2727272727272729</v>
      </c>
      <c r="AI31">
        <v>10.810810810810811</v>
      </c>
      <c r="AJ31">
        <v>0</v>
      </c>
      <c r="AK31">
        <v>3.3333333333333335</v>
      </c>
      <c r="AL31">
        <v>0</v>
      </c>
      <c r="AM31">
        <v>0</v>
      </c>
      <c r="AN31">
        <v>2.5</v>
      </c>
      <c r="AO31">
        <v>0</v>
      </c>
      <c r="AP31">
        <v>2.2222222222222223</v>
      </c>
      <c r="AQ31">
        <v>0</v>
      </c>
      <c r="AR31">
        <v>9.375</v>
      </c>
      <c r="AS31">
        <v>15.789473684210526</v>
      </c>
      <c r="AT31">
        <v>0</v>
      </c>
      <c r="AU31">
        <v>0</v>
      </c>
      <c r="AV31">
        <v>0</v>
      </c>
      <c r="AW31">
        <v>8.3333333333333321</v>
      </c>
      <c r="AX31">
        <v>0</v>
      </c>
      <c r="AY31">
        <v>0</v>
      </c>
      <c r="AZ31">
        <v>8.695652173913043</v>
      </c>
      <c r="BA31">
        <v>8.3333333333333321</v>
      </c>
      <c r="BB31">
        <v>0</v>
      </c>
      <c r="BC31">
        <v>0</v>
      </c>
      <c r="BD31">
        <v>3.5714285714285712</v>
      </c>
      <c r="BE31">
        <v>0</v>
      </c>
      <c r="BF31">
        <v>2.2727272727272729</v>
      </c>
      <c r="BG31">
        <v>14.705882352941178</v>
      </c>
      <c r="BH31">
        <v>19.230769230769234</v>
      </c>
      <c r="BI31">
        <v>3.3333333333333335</v>
      </c>
      <c r="BJ31">
        <v>12.5</v>
      </c>
      <c r="BK31">
        <v>2.7777777777777777</v>
      </c>
      <c r="BL31">
        <v>11.111111111111111</v>
      </c>
      <c r="BM31">
        <v>0</v>
      </c>
      <c r="BN31">
        <v>2.9411764705882351</v>
      </c>
      <c r="BO31">
        <v>0</v>
      </c>
      <c r="BP31">
        <v>13.793103448275861</v>
      </c>
      <c r="BQ31">
        <v>5.5555555555555554</v>
      </c>
      <c r="BR31">
        <v>0</v>
      </c>
      <c r="BS31">
        <v>20</v>
      </c>
      <c r="BT31">
        <v>2.1276595744680851</v>
      </c>
      <c r="BU31">
        <v>2.2727272727272729</v>
      </c>
      <c r="BV31">
        <v>4</v>
      </c>
      <c r="BW31">
        <v>16</v>
      </c>
      <c r="BX31">
        <v>16.216216216216218</v>
      </c>
      <c r="BY31">
        <v>8.3333333333333321</v>
      </c>
      <c r="BZ31">
        <v>0</v>
      </c>
      <c r="CA31">
        <v>5.2631578947368416</v>
      </c>
      <c r="CB31">
        <v>20.833333333333336</v>
      </c>
      <c r="CC31">
        <v>10.638297872340425</v>
      </c>
      <c r="CD31">
        <v>0</v>
      </c>
      <c r="CE31">
        <v>2.7777777777777777</v>
      </c>
      <c r="CF31">
        <v>28.125</v>
      </c>
      <c r="CG31">
        <v>7.4074074074074066</v>
      </c>
      <c r="CH31">
        <v>0</v>
      </c>
      <c r="CI31">
        <v>14.705882352941178</v>
      </c>
      <c r="CJ31">
        <v>5</v>
      </c>
      <c r="CK31">
        <v>0</v>
      </c>
    </row>
    <row r="32" spans="1:89" x14ac:dyDescent="0.25">
      <c r="A32" t="s">
        <v>196</v>
      </c>
      <c r="B32">
        <v>42.222222222222221</v>
      </c>
      <c r="C32">
        <v>57.894736842105267</v>
      </c>
      <c r="D32">
        <v>18.055555555555554</v>
      </c>
      <c r="E32">
        <v>87.878787878787875</v>
      </c>
      <c r="F32">
        <v>65.957446808510639</v>
      </c>
      <c r="G32">
        <v>50</v>
      </c>
      <c r="H32">
        <v>28.260869565217391</v>
      </c>
      <c r="I32">
        <v>36.111111111111107</v>
      </c>
      <c r="J32">
        <v>43.75</v>
      </c>
      <c r="K32">
        <v>41.935483870967744</v>
      </c>
      <c r="L32">
        <v>77.083333333333343</v>
      </c>
      <c r="M32">
        <v>62.5</v>
      </c>
      <c r="N32">
        <v>73.076923076923066</v>
      </c>
      <c r="O32">
        <v>62.5</v>
      </c>
      <c r="P32">
        <v>77.142857142857153</v>
      </c>
      <c r="Q32">
        <v>75</v>
      </c>
      <c r="R32">
        <v>17.647058823529413</v>
      </c>
      <c r="S32">
        <v>37.837837837837839</v>
      </c>
      <c r="T32">
        <v>40</v>
      </c>
      <c r="U32">
        <v>82.222222222222214</v>
      </c>
      <c r="V32">
        <v>12.5</v>
      </c>
      <c r="W32">
        <v>75</v>
      </c>
      <c r="X32">
        <v>79.166666666666657</v>
      </c>
      <c r="Y32">
        <v>17.142857142857142</v>
      </c>
      <c r="Z32">
        <v>94.285714285714278</v>
      </c>
      <c r="AA32">
        <v>90</v>
      </c>
      <c r="AB32">
        <v>66.666666666666657</v>
      </c>
      <c r="AC32">
        <v>74.468085106382972</v>
      </c>
      <c r="AD32">
        <v>81.081081081081081</v>
      </c>
      <c r="AE32">
        <v>92.857142857142861</v>
      </c>
      <c r="AF32">
        <v>73.170731707317074</v>
      </c>
      <c r="AG32">
        <v>76.08695652173914</v>
      </c>
      <c r="AH32">
        <v>90.909090909090907</v>
      </c>
      <c r="AI32">
        <v>5.4054054054054053</v>
      </c>
      <c r="AJ32">
        <v>54.054054054054056</v>
      </c>
      <c r="AK32">
        <v>20</v>
      </c>
      <c r="AL32">
        <v>65.217391304347828</v>
      </c>
      <c r="AM32">
        <v>94.594594594594597</v>
      </c>
      <c r="AN32">
        <v>82.5</v>
      </c>
      <c r="AO32">
        <v>50</v>
      </c>
      <c r="AP32">
        <v>88.888888888888886</v>
      </c>
      <c r="AQ32">
        <v>66.666666666666657</v>
      </c>
      <c r="AR32">
        <v>28.125</v>
      </c>
      <c r="AS32">
        <v>65.789473684210535</v>
      </c>
      <c r="AT32">
        <v>18.75</v>
      </c>
      <c r="AU32">
        <v>85.18518518518519</v>
      </c>
      <c r="AV32">
        <v>87.878787878787875</v>
      </c>
      <c r="AW32">
        <v>64.583333333333343</v>
      </c>
      <c r="AX32">
        <v>88.571428571428569</v>
      </c>
      <c r="AY32">
        <v>72</v>
      </c>
      <c r="AZ32">
        <v>73.91304347826086</v>
      </c>
      <c r="BA32">
        <v>79.166666666666657</v>
      </c>
      <c r="BB32">
        <v>79.310344827586206</v>
      </c>
      <c r="BC32">
        <v>95.652173913043484</v>
      </c>
      <c r="BD32">
        <v>82.142857142857139</v>
      </c>
      <c r="BE32">
        <v>0</v>
      </c>
      <c r="BF32">
        <v>93.181818181818173</v>
      </c>
      <c r="BG32">
        <v>76.470588235294116</v>
      </c>
      <c r="BH32">
        <v>69.230769230769226</v>
      </c>
      <c r="BI32">
        <v>96.666666666666671</v>
      </c>
      <c r="BJ32">
        <v>50</v>
      </c>
      <c r="BK32">
        <v>94.444444444444443</v>
      </c>
      <c r="BL32">
        <v>59.259259259259252</v>
      </c>
      <c r="BM32">
        <v>87.096774193548384</v>
      </c>
      <c r="BN32">
        <v>64.705882352941174</v>
      </c>
      <c r="BO32">
        <v>93.181818181818173</v>
      </c>
      <c r="BP32">
        <v>65.517241379310349</v>
      </c>
      <c r="BQ32">
        <v>80.555555555555557</v>
      </c>
      <c r="BR32">
        <v>100</v>
      </c>
      <c r="BS32">
        <v>56.000000000000007</v>
      </c>
      <c r="BT32">
        <v>6.3829787234042552</v>
      </c>
      <c r="BU32">
        <v>47.727272727272727</v>
      </c>
      <c r="BV32">
        <v>88</v>
      </c>
      <c r="BW32">
        <v>64</v>
      </c>
      <c r="BX32">
        <v>72.972972972972968</v>
      </c>
      <c r="BY32">
        <v>66.666666666666657</v>
      </c>
      <c r="BZ32">
        <v>82.222222222222214</v>
      </c>
      <c r="CA32">
        <v>60.526315789473685</v>
      </c>
      <c r="CB32">
        <v>33.333333333333329</v>
      </c>
      <c r="CC32">
        <v>76.59574468085107</v>
      </c>
      <c r="CD32">
        <v>75</v>
      </c>
      <c r="CE32">
        <v>77.777777777777786</v>
      </c>
      <c r="CF32">
        <v>59.375</v>
      </c>
      <c r="CG32">
        <v>70.370370370370367</v>
      </c>
      <c r="CH32">
        <v>80.952380952380949</v>
      </c>
      <c r="CI32">
        <v>23.52941176470588</v>
      </c>
      <c r="CJ32">
        <v>85</v>
      </c>
      <c r="CK32">
        <v>73.91304347826086</v>
      </c>
    </row>
    <row r="33" spans="1:89" x14ac:dyDescent="0.25">
      <c r="A33" t="s">
        <v>197</v>
      </c>
      <c r="B33">
        <v>0</v>
      </c>
      <c r="C33">
        <v>0</v>
      </c>
      <c r="D33">
        <v>2.7777777777777777</v>
      </c>
      <c r="E33">
        <v>0</v>
      </c>
      <c r="F33">
        <v>0</v>
      </c>
      <c r="G33">
        <v>0</v>
      </c>
      <c r="H33">
        <v>0</v>
      </c>
      <c r="I33">
        <v>0</v>
      </c>
      <c r="J33">
        <v>2.083333333333333</v>
      </c>
      <c r="K33">
        <v>0</v>
      </c>
      <c r="L33">
        <v>2.083333333333333</v>
      </c>
      <c r="M33">
        <v>0</v>
      </c>
      <c r="N33">
        <v>0</v>
      </c>
      <c r="O33">
        <v>0</v>
      </c>
      <c r="P33">
        <v>5.7142857142857144</v>
      </c>
      <c r="Q33">
        <v>4.5454545454545459</v>
      </c>
      <c r="R33">
        <v>0</v>
      </c>
      <c r="S33">
        <v>0</v>
      </c>
      <c r="T33">
        <v>0</v>
      </c>
      <c r="U33">
        <v>0</v>
      </c>
      <c r="V33">
        <v>0</v>
      </c>
      <c r="W33">
        <v>0</v>
      </c>
      <c r="X33">
        <v>0</v>
      </c>
      <c r="Y33">
        <v>0</v>
      </c>
      <c r="Z33">
        <v>0</v>
      </c>
      <c r="AA33">
        <v>0</v>
      </c>
      <c r="AB33">
        <v>0</v>
      </c>
      <c r="AC33">
        <v>4.2553191489361701</v>
      </c>
      <c r="AD33">
        <v>0</v>
      </c>
      <c r="AE33">
        <v>3.5714285714285712</v>
      </c>
      <c r="AF33">
        <v>4.8780487804878048</v>
      </c>
      <c r="AG33">
        <v>0</v>
      </c>
      <c r="AH33">
        <v>0</v>
      </c>
      <c r="AI33">
        <v>0</v>
      </c>
      <c r="AJ33">
        <v>0</v>
      </c>
      <c r="AK33">
        <v>0</v>
      </c>
      <c r="AL33">
        <v>2.1739130434782608</v>
      </c>
      <c r="AM33">
        <v>2.7027027027027026</v>
      </c>
      <c r="AN33">
        <v>0</v>
      </c>
      <c r="AO33">
        <v>4.1666666666666661</v>
      </c>
      <c r="AP33">
        <v>0</v>
      </c>
      <c r="AQ33">
        <v>0</v>
      </c>
      <c r="AR33">
        <v>0</v>
      </c>
      <c r="AS33">
        <v>0</v>
      </c>
      <c r="AT33">
        <v>0</v>
      </c>
      <c r="AU33">
        <v>11.111111111111111</v>
      </c>
      <c r="AV33">
        <v>0</v>
      </c>
      <c r="AW33">
        <v>2.083333333333333</v>
      </c>
      <c r="AX33">
        <v>0</v>
      </c>
      <c r="AY33">
        <v>0</v>
      </c>
      <c r="AZ33">
        <v>4.3478260869565215</v>
      </c>
      <c r="BA33">
        <v>0</v>
      </c>
      <c r="BB33">
        <v>0</v>
      </c>
      <c r="BC33">
        <v>0</v>
      </c>
      <c r="BD33">
        <v>3.5714285714285712</v>
      </c>
      <c r="BE33">
        <v>0</v>
      </c>
      <c r="BF33">
        <v>0</v>
      </c>
      <c r="BG33">
        <v>0</v>
      </c>
      <c r="BH33">
        <v>0</v>
      </c>
      <c r="BI33">
        <v>0</v>
      </c>
      <c r="BJ33">
        <v>0</v>
      </c>
      <c r="BK33">
        <v>0</v>
      </c>
      <c r="BL33">
        <v>0</v>
      </c>
      <c r="BM33">
        <v>6.4516129032258061</v>
      </c>
      <c r="BN33">
        <v>0</v>
      </c>
      <c r="BO33">
        <v>0</v>
      </c>
      <c r="BP33">
        <v>0</v>
      </c>
      <c r="BQ33">
        <v>0</v>
      </c>
      <c r="BR33">
        <v>0</v>
      </c>
      <c r="BS33">
        <v>0</v>
      </c>
      <c r="BT33">
        <v>0</v>
      </c>
      <c r="BU33">
        <v>0</v>
      </c>
      <c r="BV33">
        <v>0</v>
      </c>
      <c r="BW33">
        <v>0</v>
      </c>
      <c r="BX33">
        <v>0</v>
      </c>
      <c r="BY33">
        <v>0</v>
      </c>
      <c r="BZ33">
        <v>0</v>
      </c>
      <c r="CA33">
        <v>0</v>
      </c>
      <c r="CB33">
        <v>0</v>
      </c>
      <c r="CC33">
        <v>0</v>
      </c>
      <c r="CD33">
        <v>0</v>
      </c>
      <c r="CE33">
        <v>0</v>
      </c>
      <c r="CF33">
        <v>0</v>
      </c>
      <c r="CG33">
        <v>0</v>
      </c>
      <c r="CH33">
        <v>2.3809523809523809</v>
      </c>
      <c r="CI33">
        <v>0</v>
      </c>
      <c r="CJ33">
        <v>2.5</v>
      </c>
      <c r="CK33">
        <v>6.5217391304347823</v>
      </c>
    </row>
    <row r="34" spans="1:89" x14ac:dyDescent="0.25">
      <c r="A34" t="s">
        <v>201</v>
      </c>
      <c r="B34">
        <v>44.444444444444443</v>
      </c>
      <c r="C34">
        <v>66.666666666666671</v>
      </c>
      <c r="D34">
        <v>29.166666666666664</v>
      </c>
      <c r="E34">
        <v>87.878787878787875</v>
      </c>
      <c r="F34">
        <v>72.340425531914889</v>
      </c>
      <c r="G34">
        <v>56.25</v>
      </c>
      <c r="H34">
        <v>52.173913043478265</v>
      </c>
      <c r="I34">
        <v>38.888888888888886</v>
      </c>
      <c r="J34">
        <v>50</v>
      </c>
      <c r="K34">
        <v>67.741935483870975</v>
      </c>
      <c r="L34">
        <v>79.166666666666671</v>
      </c>
      <c r="M34">
        <v>66.666666666666671</v>
      </c>
      <c r="N34">
        <v>80.769230769230759</v>
      </c>
      <c r="O34">
        <v>83.333333333333343</v>
      </c>
      <c r="P34">
        <v>85.714285714285722</v>
      </c>
      <c r="Q34">
        <v>86.36363636363636</v>
      </c>
      <c r="R34">
        <v>41.17647058823529</v>
      </c>
      <c r="S34">
        <v>56.756756756756758</v>
      </c>
      <c r="T34">
        <v>40</v>
      </c>
      <c r="U34">
        <v>88.888888888888886</v>
      </c>
      <c r="V34">
        <v>25</v>
      </c>
      <c r="W34">
        <v>83.333333333333329</v>
      </c>
      <c r="X34">
        <v>79.166666666666657</v>
      </c>
      <c r="Y34">
        <v>17.142857142857142</v>
      </c>
      <c r="Z34">
        <v>99.999999999999986</v>
      </c>
      <c r="AA34">
        <v>90</v>
      </c>
      <c r="AB34">
        <v>77.777777777777771</v>
      </c>
      <c r="AC34">
        <v>78.723404255319139</v>
      </c>
      <c r="AD34">
        <v>89.189189189189193</v>
      </c>
      <c r="AE34">
        <v>100</v>
      </c>
      <c r="AF34">
        <v>78.048780487804876</v>
      </c>
      <c r="AG34">
        <v>78.260869565217405</v>
      </c>
      <c r="AH34">
        <v>93.181818181818173</v>
      </c>
      <c r="AI34">
        <v>16.216216216216218</v>
      </c>
      <c r="AJ34">
        <v>54.054054054054056</v>
      </c>
      <c r="AK34">
        <v>23.333333333333332</v>
      </c>
      <c r="AL34">
        <v>67.391304347826093</v>
      </c>
      <c r="AM34">
        <v>97.297297297297305</v>
      </c>
      <c r="AN34">
        <v>85</v>
      </c>
      <c r="AO34">
        <v>54.166666666666664</v>
      </c>
      <c r="AP34">
        <v>91.111111111111114</v>
      </c>
      <c r="AQ34">
        <v>66.666666666666657</v>
      </c>
      <c r="AR34">
        <v>37.5</v>
      </c>
      <c r="AS34">
        <v>81.578947368421055</v>
      </c>
      <c r="AT34">
        <v>18.75</v>
      </c>
      <c r="AU34">
        <v>96.296296296296305</v>
      </c>
      <c r="AV34">
        <v>87.878787878787875</v>
      </c>
      <c r="AW34">
        <v>75</v>
      </c>
      <c r="AX34">
        <v>88.571428571428569</v>
      </c>
      <c r="AY34">
        <v>72</v>
      </c>
      <c r="AZ34">
        <v>86.956521739130423</v>
      </c>
      <c r="BA34">
        <v>87.499999999999986</v>
      </c>
      <c r="BB34">
        <v>79.310344827586206</v>
      </c>
      <c r="BC34">
        <v>95.652173913043484</v>
      </c>
      <c r="BD34">
        <v>89.285714285714278</v>
      </c>
      <c r="BE34">
        <v>0</v>
      </c>
      <c r="BF34">
        <v>95.454545454545439</v>
      </c>
      <c r="BG34">
        <v>91.17647058823529</v>
      </c>
      <c r="BH34">
        <v>88.461538461538453</v>
      </c>
      <c r="BI34">
        <v>100</v>
      </c>
      <c r="BJ34">
        <v>62.5</v>
      </c>
      <c r="BK34">
        <v>97.222222222222214</v>
      </c>
      <c r="BL34">
        <v>70.370370370370367</v>
      </c>
      <c r="BM34">
        <v>93.548387096774192</v>
      </c>
      <c r="BN34">
        <v>67.647058823529406</v>
      </c>
      <c r="BO34">
        <v>93.181818181818173</v>
      </c>
      <c r="BP34">
        <v>79.310344827586206</v>
      </c>
      <c r="BQ34">
        <v>86.111111111111114</v>
      </c>
      <c r="BR34">
        <v>100</v>
      </c>
      <c r="BS34">
        <v>76</v>
      </c>
      <c r="BT34">
        <v>8.5106382978723403</v>
      </c>
      <c r="BU34">
        <v>50</v>
      </c>
      <c r="BV34">
        <v>92</v>
      </c>
      <c r="BW34">
        <v>80</v>
      </c>
      <c r="BX34">
        <v>89.189189189189193</v>
      </c>
      <c r="BY34">
        <v>74.999999999999986</v>
      </c>
      <c r="BZ34">
        <v>82.222222222222214</v>
      </c>
      <c r="CA34">
        <v>65.78947368421052</v>
      </c>
      <c r="CB34">
        <v>54.166666666666664</v>
      </c>
      <c r="CC34">
        <v>87.2340425531915</v>
      </c>
      <c r="CD34">
        <v>75</v>
      </c>
      <c r="CE34">
        <v>80.555555555555557</v>
      </c>
      <c r="CF34">
        <v>87.5</v>
      </c>
      <c r="CG34">
        <v>77.777777777777771</v>
      </c>
      <c r="CH34">
        <v>83.333333333333329</v>
      </c>
      <c r="CI34">
        <v>38.235294117647058</v>
      </c>
      <c r="CJ34">
        <v>92.5</v>
      </c>
      <c r="CK34">
        <v>80.434782608695642</v>
      </c>
    </row>
    <row r="35" spans="1:89" x14ac:dyDescent="0.25">
      <c r="A35" t="s">
        <v>205</v>
      </c>
      <c r="B35">
        <v>42.222222222222221</v>
      </c>
      <c r="C35">
        <v>57.894736842105267</v>
      </c>
      <c r="D35">
        <v>55.555555555555557</v>
      </c>
      <c r="E35">
        <v>87.878787878787875</v>
      </c>
      <c r="F35">
        <v>65.957446808510639</v>
      </c>
      <c r="G35">
        <v>50</v>
      </c>
      <c r="H35">
        <v>34.782608695652172</v>
      </c>
      <c r="I35">
        <v>61.111111111111114</v>
      </c>
      <c r="J35">
        <v>47.916666666666671</v>
      </c>
      <c r="K35">
        <v>41.935483870967744</v>
      </c>
      <c r="L35">
        <v>77.083333333333343</v>
      </c>
      <c r="M35">
        <v>62.5</v>
      </c>
      <c r="N35">
        <v>73.076923076923066</v>
      </c>
      <c r="O35">
        <v>62.5</v>
      </c>
      <c r="P35">
        <v>77.142857142857153</v>
      </c>
      <c r="Q35">
        <v>75</v>
      </c>
      <c r="R35">
        <v>47.058823529411761</v>
      </c>
      <c r="S35">
        <v>43.243243243243242</v>
      </c>
      <c r="T35">
        <v>60</v>
      </c>
      <c r="U35">
        <v>82.222222222222214</v>
      </c>
      <c r="V35">
        <v>54.166666666666664</v>
      </c>
      <c r="W35">
        <v>75</v>
      </c>
      <c r="X35">
        <v>79.166666666666657</v>
      </c>
      <c r="Y35">
        <v>65.714285714285708</v>
      </c>
      <c r="Z35">
        <v>94.285714285714278</v>
      </c>
      <c r="AA35">
        <v>90</v>
      </c>
      <c r="AB35">
        <v>66.666666666666657</v>
      </c>
      <c r="AC35">
        <v>74.468085106382972</v>
      </c>
      <c r="AD35">
        <v>81.081081081081081</v>
      </c>
      <c r="AE35">
        <v>92.857142857142861</v>
      </c>
      <c r="AF35">
        <v>73.170731707317074</v>
      </c>
      <c r="AG35">
        <v>76.08695652173914</v>
      </c>
      <c r="AH35">
        <v>90.909090909090907</v>
      </c>
      <c r="AI35">
        <v>62.162162162162161</v>
      </c>
      <c r="AJ35">
        <v>54.054054054054056</v>
      </c>
      <c r="AK35">
        <v>76.666666666666671</v>
      </c>
      <c r="AL35">
        <v>65.217391304347828</v>
      </c>
      <c r="AM35">
        <v>94.594594594594597</v>
      </c>
      <c r="AN35">
        <v>82.5</v>
      </c>
      <c r="AO35">
        <v>50</v>
      </c>
      <c r="AP35">
        <v>88.888888888888886</v>
      </c>
      <c r="AQ35">
        <v>66.666666666666657</v>
      </c>
      <c r="AR35">
        <v>43.75</v>
      </c>
      <c r="AS35">
        <v>65.789473684210535</v>
      </c>
      <c r="AT35">
        <v>78.125</v>
      </c>
      <c r="AU35">
        <v>85.18518518518519</v>
      </c>
      <c r="AV35">
        <v>87.878787878787875</v>
      </c>
      <c r="AW35">
        <v>64.583333333333343</v>
      </c>
      <c r="AX35">
        <v>88.571428571428569</v>
      </c>
      <c r="AY35">
        <v>72</v>
      </c>
      <c r="AZ35">
        <v>73.91304347826086</v>
      </c>
      <c r="BA35">
        <v>79.166666666666657</v>
      </c>
      <c r="BB35">
        <v>79.310344827586206</v>
      </c>
      <c r="BC35">
        <v>95.652173913043484</v>
      </c>
      <c r="BD35">
        <v>82.142857142857139</v>
      </c>
      <c r="BE35">
        <v>100</v>
      </c>
      <c r="BF35">
        <v>93.181818181818173</v>
      </c>
      <c r="BG35">
        <v>76.470588235294116</v>
      </c>
      <c r="BH35">
        <v>69.230769230769226</v>
      </c>
      <c r="BI35">
        <v>96.666666666666671</v>
      </c>
      <c r="BJ35">
        <v>50</v>
      </c>
      <c r="BK35">
        <v>94.444444444444443</v>
      </c>
      <c r="BL35">
        <v>59.259259259259252</v>
      </c>
      <c r="BM35">
        <v>87.096774193548384</v>
      </c>
      <c r="BN35">
        <v>64.705882352941174</v>
      </c>
      <c r="BO35">
        <v>93.181818181818173</v>
      </c>
      <c r="BP35">
        <v>65.517241379310349</v>
      </c>
      <c r="BQ35">
        <v>80.555555555555557</v>
      </c>
      <c r="BR35">
        <v>100</v>
      </c>
      <c r="BS35">
        <v>56.000000000000007</v>
      </c>
      <c r="BT35">
        <v>65.957446808510639</v>
      </c>
      <c r="BU35">
        <v>47.727272727272727</v>
      </c>
      <c r="BV35">
        <v>88</v>
      </c>
      <c r="BW35">
        <v>64</v>
      </c>
      <c r="BX35">
        <v>72.972972972972968</v>
      </c>
      <c r="BY35">
        <v>66.666666666666657</v>
      </c>
      <c r="BZ35">
        <v>82.222222222222214</v>
      </c>
      <c r="CA35">
        <v>60.526315789473685</v>
      </c>
      <c r="CB35">
        <v>45.833333333333329</v>
      </c>
      <c r="CC35">
        <v>76.59574468085107</v>
      </c>
      <c r="CD35">
        <v>75</v>
      </c>
      <c r="CE35">
        <v>77.777777777777786</v>
      </c>
      <c r="CF35">
        <v>59.375</v>
      </c>
      <c r="CG35">
        <v>70.370370370370367</v>
      </c>
      <c r="CH35">
        <v>80.952380952380949</v>
      </c>
      <c r="CI35">
        <v>50</v>
      </c>
      <c r="CJ35">
        <v>85</v>
      </c>
      <c r="CK35">
        <v>73.91304347826086</v>
      </c>
    </row>
    <row r="36" spans="1:89" x14ac:dyDescent="0.25">
      <c r="A36" t="s">
        <v>198</v>
      </c>
      <c r="B36">
        <v>50</v>
      </c>
      <c r="C36">
        <v>20.833333333333336</v>
      </c>
      <c r="D36">
        <v>4.1666666666666661</v>
      </c>
      <c r="E36">
        <v>83.333333333333343</v>
      </c>
      <c r="F36">
        <v>41.666666666666671</v>
      </c>
      <c r="G36">
        <v>25</v>
      </c>
      <c r="H36">
        <v>29.166666666666668</v>
      </c>
      <c r="I36">
        <v>12.5</v>
      </c>
      <c r="J36">
        <v>29.166666666666668</v>
      </c>
      <c r="K36">
        <v>37.5</v>
      </c>
      <c r="L36">
        <v>29.166666666666668</v>
      </c>
      <c r="M36">
        <v>16.666666666666664</v>
      </c>
      <c r="N36">
        <v>29.166666666666668</v>
      </c>
      <c r="O36">
        <v>20.833333333333336</v>
      </c>
      <c r="P36">
        <v>16.666666666666664</v>
      </c>
      <c r="Q36">
        <v>29.166666666666668</v>
      </c>
      <c r="R36">
        <v>12.5</v>
      </c>
      <c r="S36">
        <v>8.3333333333333321</v>
      </c>
      <c r="T36">
        <v>16.666666666666664</v>
      </c>
      <c r="U36">
        <v>41.666666666666671</v>
      </c>
      <c r="V36">
        <v>8.3333333333333321</v>
      </c>
      <c r="W36">
        <v>66.666666666666657</v>
      </c>
      <c r="X36">
        <v>12.5</v>
      </c>
      <c r="Y36">
        <v>8.3333333333333321</v>
      </c>
      <c r="Z36">
        <v>54.166666666666664</v>
      </c>
      <c r="AA36">
        <v>37.5</v>
      </c>
      <c r="AB36">
        <v>29.166666666666668</v>
      </c>
      <c r="AC36">
        <v>33.333333333333329</v>
      </c>
      <c r="AD36">
        <v>25</v>
      </c>
      <c r="AE36">
        <v>33.333333333333329</v>
      </c>
      <c r="AF36">
        <v>29.166666666666668</v>
      </c>
      <c r="AG36">
        <v>16.666666666666664</v>
      </c>
      <c r="AH36">
        <v>29.166666666666668</v>
      </c>
      <c r="AI36">
        <v>4.1666666666666661</v>
      </c>
      <c r="AJ36">
        <v>16.666666666666664</v>
      </c>
      <c r="AK36">
        <v>20.833333333333336</v>
      </c>
      <c r="AL36">
        <v>33.333333333333329</v>
      </c>
      <c r="AM36">
        <v>41.666666666666671</v>
      </c>
      <c r="AN36">
        <v>62.5</v>
      </c>
      <c r="AO36">
        <v>8.3333333333333321</v>
      </c>
      <c r="AP36">
        <v>25</v>
      </c>
      <c r="AQ36">
        <v>0</v>
      </c>
      <c r="AR36">
        <v>25</v>
      </c>
      <c r="AS36">
        <v>8.3333333333333321</v>
      </c>
      <c r="AT36">
        <v>12.5</v>
      </c>
      <c r="AU36">
        <v>45.833333333333329</v>
      </c>
      <c r="AV36">
        <v>66.666666666666657</v>
      </c>
      <c r="AW36">
        <v>29.166666666666668</v>
      </c>
      <c r="AX36">
        <v>50</v>
      </c>
      <c r="AY36">
        <v>4.1666666666666661</v>
      </c>
      <c r="AZ36">
        <v>54.166666666666664</v>
      </c>
      <c r="BA36">
        <v>20.833333333333336</v>
      </c>
      <c r="BB36">
        <v>25</v>
      </c>
      <c r="BC36">
        <v>41.666666666666671</v>
      </c>
      <c r="BD36">
        <v>29.166666666666668</v>
      </c>
      <c r="BE36">
        <v>0</v>
      </c>
      <c r="BF36">
        <v>50</v>
      </c>
      <c r="BG36">
        <v>37.5</v>
      </c>
      <c r="BH36">
        <v>29.166666666666668</v>
      </c>
      <c r="BI36">
        <v>33.333333333333329</v>
      </c>
      <c r="BJ36">
        <v>16.666666666666664</v>
      </c>
      <c r="BK36">
        <v>37.5</v>
      </c>
      <c r="BL36">
        <v>8.3333333333333321</v>
      </c>
      <c r="BM36">
        <v>45.833333333333329</v>
      </c>
      <c r="BN36">
        <v>16.666666666666664</v>
      </c>
      <c r="BO36">
        <v>41.666666666666671</v>
      </c>
      <c r="BP36">
        <v>33.333333333333329</v>
      </c>
      <c r="BQ36">
        <v>33.333333333333329</v>
      </c>
      <c r="BR36">
        <v>66.666666666666657</v>
      </c>
      <c r="BS36">
        <v>25</v>
      </c>
      <c r="BT36">
        <v>8.3333333333333321</v>
      </c>
      <c r="BU36">
        <v>25</v>
      </c>
      <c r="BV36">
        <v>8.3333333333333321</v>
      </c>
      <c r="BW36">
        <v>41.666666666666671</v>
      </c>
      <c r="BX36">
        <v>25</v>
      </c>
      <c r="BY36">
        <v>20.833333333333336</v>
      </c>
      <c r="BZ36">
        <v>41.666666666666671</v>
      </c>
      <c r="CA36">
        <v>20.833333333333336</v>
      </c>
      <c r="CB36">
        <v>12.5</v>
      </c>
      <c r="CC36">
        <v>45.833333333333329</v>
      </c>
      <c r="CD36">
        <v>20.833333333333336</v>
      </c>
      <c r="CE36">
        <v>20.833333333333336</v>
      </c>
      <c r="CF36">
        <v>66.666666666666657</v>
      </c>
      <c r="CG36">
        <v>50</v>
      </c>
      <c r="CH36">
        <v>41.666666666666671</v>
      </c>
      <c r="CI36">
        <v>8.3333333333333321</v>
      </c>
      <c r="CJ36">
        <v>29.166666666666668</v>
      </c>
      <c r="CK36">
        <v>25</v>
      </c>
    </row>
    <row r="37" spans="1:89" x14ac:dyDescent="0.25">
      <c r="A37" t="s">
        <v>204</v>
      </c>
      <c r="B37">
        <v>37.5</v>
      </c>
      <c r="C37">
        <v>66.666666666666657</v>
      </c>
      <c r="D37">
        <v>75</v>
      </c>
      <c r="E37">
        <v>83.333333333333343</v>
      </c>
      <c r="F37">
        <v>41.666666666666671</v>
      </c>
      <c r="G37">
        <v>37.5</v>
      </c>
      <c r="H37">
        <v>58.333333333333336</v>
      </c>
      <c r="I37">
        <v>83.333333333333343</v>
      </c>
      <c r="J37">
        <v>58.333333333333336</v>
      </c>
      <c r="K37">
        <v>45.833333333333329</v>
      </c>
      <c r="L37">
        <v>29.166666666666668</v>
      </c>
      <c r="M37">
        <v>62.5</v>
      </c>
      <c r="N37">
        <v>33.333333333333329</v>
      </c>
      <c r="O37">
        <v>79.166666666666657</v>
      </c>
      <c r="P37">
        <v>33.333333333333329</v>
      </c>
      <c r="Q37">
        <v>37.5</v>
      </c>
      <c r="R37">
        <v>79.166666666666657</v>
      </c>
      <c r="S37">
        <v>83.333333333333343</v>
      </c>
      <c r="T37">
        <v>37.5</v>
      </c>
      <c r="U37">
        <v>45.833333333333329</v>
      </c>
      <c r="V37">
        <v>58.333333333333336</v>
      </c>
      <c r="W37">
        <v>66.666666666666657</v>
      </c>
      <c r="X37">
        <v>79.166666666666657</v>
      </c>
      <c r="Y37">
        <v>75</v>
      </c>
      <c r="Z37">
        <v>54.166666666666664</v>
      </c>
      <c r="AA37">
        <v>37.5</v>
      </c>
      <c r="AB37">
        <v>45.833333333333329</v>
      </c>
      <c r="AC37">
        <v>45.833333333333329</v>
      </c>
      <c r="AD37">
        <v>37.5</v>
      </c>
      <c r="AE37">
        <v>50</v>
      </c>
      <c r="AF37">
        <v>33.333333333333329</v>
      </c>
      <c r="AG37">
        <v>70.833333333333343</v>
      </c>
      <c r="AH37">
        <v>50</v>
      </c>
      <c r="AI37">
        <v>79.166666666666657</v>
      </c>
      <c r="AJ37">
        <v>41.666666666666671</v>
      </c>
      <c r="AK37">
        <v>41.666666666666671</v>
      </c>
      <c r="AL37">
        <v>41.666666666666671</v>
      </c>
      <c r="AM37">
        <v>41.666666666666671</v>
      </c>
      <c r="AN37">
        <v>62.5</v>
      </c>
      <c r="AO37">
        <v>50</v>
      </c>
      <c r="AP37">
        <v>37.5</v>
      </c>
      <c r="AQ37">
        <v>54.166666666666664</v>
      </c>
      <c r="AR37">
        <v>41.666666666666671</v>
      </c>
      <c r="AS37">
        <v>87.5</v>
      </c>
      <c r="AT37">
        <v>45.833333333333329</v>
      </c>
      <c r="AU37">
        <v>45.833333333333329</v>
      </c>
      <c r="AV37">
        <v>66.666666666666657</v>
      </c>
      <c r="AW37">
        <v>58.333333333333336</v>
      </c>
      <c r="AX37">
        <v>50</v>
      </c>
      <c r="AY37">
        <v>87.5</v>
      </c>
      <c r="AZ37">
        <v>54.166666666666664</v>
      </c>
      <c r="BA37">
        <v>70.833333333333343</v>
      </c>
      <c r="BB37">
        <v>37.5</v>
      </c>
      <c r="BC37">
        <v>41.666666666666671</v>
      </c>
      <c r="BD37">
        <v>58.333333333333336</v>
      </c>
      <c r="BE37">
        <v>75</v>
      </c>
      <c r="BF37">
        <v>50</v>
      </c>
      <c r="BG37">
        <v>41.666666666666671</v>
      </c>
      <c r="BH37">
        <v>70.833333333333343</v>
      </c>
      <c r="BI37">
        <v>45.833333333333329</v>
      </c>
      <c r="BJ37">
        <v>75</v>
      </c>
      <c r="BK37">
        <v>58.333333333333336</v>
      </c>
      <c r="BL37">
        <v>83.333333333333343</v>
      </c>
      <c r="BM37">
        <v>45.833333333333329</v>
      </c>
      <c r="BN37">
        <v>45.833333333333329</v>
      </c>
      <c r="BO37">
        <v>41.666666666666671</v>
      </c>
      <c r="BP37">
        <v>33.333333333333329</v>
      </c>
      <c r="BQ37">
        <v>41.666666666666671</v>
      </c>
      <c r="BR37">
        <v>66.666666666666657</v>
      </c>
      <c r="BS37">
        <v>75</v>
      </c>
      <c r="BT37">
        <v>70.833333333333343</v>
      </c>
      <c r="BU37">
        <v>50</v>
      </c>
      <c r="BV37">
        <v>83.333333333333343</v>
      </c>
      <c r="BW37">
        <v>41.666666666666671</v>
      </c>
      <c r="BX37">
        <v>45.833333333333329</v>
      </c>
      <c r="BY37">
        <v>50</v>
      </c>
      <c r="BZ37">
        <v>41.666666666666671</v>
      </c>
      <c r="CA37">
        <v>41.666666666666671</v>
      </c>
      <c r="CB37">
        <v>66.666666666666657</v>
      </c>
      <c r="CC37">
        <v>50</v>
      </c>
      <c r="CD37">
        <v>50</v>
      </c>
      <c r="CE37">
        <v>33.333333333333329</v>
      </c>
      <c r="CF37">
        <v>66.666666666666657</v>
      </c>
      <c r="CG37">
        <v>50</v>
      </c>
      <c r="CH37">
        <v>41.666666666666671</v>
      </c>
      <c r="CI37">
        <v>41.666666666666671</v>
      </c>
      <c r="CJ37">
        <v>33.333333333333329</v>
      </c>
      <c r="CK37">
        <v>41.666666666666671</v>
      </c>
    </row>
    <row r="41" spans="1:89" x14ac:dyDescent="0.25">
      <c r="A41" t="s">
        <v>61</v>
      </c>
      <c r="B41">
        <v>0.22249999999999998</v>
      </c>
      <c r="C41">
        <v>0.44791666666666657</v>
      </c>
      <c r="D41">
        <v>0.54291666666666671</v>
      </c>
      <c r="E41">
        <v>9.1249999999999998E-2</v>
      </c>
      <c r="F41">
        <v>0.11000000000000001</v>
      </c>
      <c r="G41">
        <v>0.45466666666666661</v>
      </c>
      <c r="H41">
        <v>0.18625000000000003</v>
      </c>
      <c r="I41">
        <v>0.26666666666666666</v>
      </c>
      <c r="J41">
        <v>0.15062500000000004</v>
      </c>
      <c r="K41">
        <v>0.21000000000000002</v>
      </c>
      <c r="L41">
        <v>0.24812500000000001</v>
      </c>
      <c r="M41">
        <v>0.359375</v>
      </c>
      <c r="N41">
        <v>0.27</v>
      </c>
      <c r="O41">
        <v>0.29750000000000004</v>
      </c>
      <c r="P41">
        <v>0.27000000000000007</v>
      </c>
      <c r="Q41">
        <v>0.41562500000000002</v>
      </c>
      <c r="R41">
        <v>0.24545454545454543</v>
      </c>
      <c r="S41">
        <v>0.35333333333333333</v>
      </c>
      <c r="T41">
        <v>0.27166666666666667</v>
      </c>
      <c r="U41">
        <v>0.18000000000000002</v>
      </c>
      <c r="V41">
        <v>0.23250000000000004</v>
      </c>
      <c r="W41">
        <v>0.29454545454545455</v>
      </c>
      <c r="X41">
        <v>0.27749999999999997</v>
      </c>
      <c r="Y41">
        <v>0.24545454545454548</v>
      </c>
      <c r="Z41">
        <v>0.35299999999999998</v>
      </c>
      <c r="AA41">
        <v>0.2225</v>
      </c>
      <c r="AB41">
        <v>0.12222222222222223</v>
      </c>
      <c r="AC41">
        <v>0.34499999999999997</v>
      </c>
      <c r="AD41">
        <v>0.30153846153846153</v>
      </c>
      <c r="AE41">
        <v>0.27909090909090906</v>
      </c>
      <c r="AF41">
        <v>0.28857142857142859</v>
      </c>
      <c r="AG41">
        <v>0.39066666666666666</v>
      </c>
      <c r="AH41">
        <v>0.35000000000000003</v>
      </c>
      <c r="AI41">
        <v>0.38384615384615384</v>
      </c>
      <c r="AJ41">
        <v>0.28333333333333338</v>
      </c>
      <c r="AK41">
        <v>0.246</v>
      </c>
      <c r="AL41">
        <v>0.29533333333333334</v>
      </c>
      <c r="AM41">
        <v>0.34769230769230774</v>
      </c>
      <c r="AN41">
        <v>0.23250000000000004</v>
      </c>
      <c r="AO41">
        <v>0.36125000000000002</v>
      </c>
      <c r="AP41">
        <v>0.2985714285714286</v>
      </c>
      <c r="AQ41">
        <v>0.14000000000000001</v>
      </c>
      <c r="AR41">
        <v>0.27</v>
      </c>
      <c r="AS41">
        <v>0.22142857142857145</v>
      </c>
      <c r="AT41">
        <v>0.19090909090909092</v>
      </c>
      <c r="AU41">
        <v>0.21333333333333337</v>
      </c>
      <c r="AV41">
        <v>0.27833333333333332</v>
      </c>
      <c r="AW41">
        <v>0.32625000000000004</v>
      </c>
      <c r="AX41">
        <v>0.13833333333333334</v>
      </c>
      <c r="AY41">
        <v>0.25888888888888889</v>
      </c>
      <c r="AZ41">
        <v>0.25624999999999998</v>
      </c>
      <c r="BA41">
        <v>0.23249999999999998</v>
      </c>
      <c r="BB41">
        <v>0.22000000000000003</v>
      </c>
      <c r="BC41">
        <v>0.26</v>
      </c>
      <c r="BD41">
        <v>0.13125000000000001</v>
      </c>
      <c r="BE41">
        <v>0.28249999999999997</v>
      </c>
      <c r="BF41">
        <v>0.30375000000000002</v>
      </c>
      <c r="BG41">
        <v>0.27499999999999997</v>
      </c>
      <c r="BH41">
        <v>0.2</v>
      </c>
      <c r="BI41">
        <v>0.31</v>
      </c>
      <c r="BJ41">
        <v>0.25375000000000003</v>
      </c>
      <c r="BK41">
        <v>0.16833333333333336</v>
      </c>
      <c r="BL41">
        <v>0.47555555555555556</v>
      </c>
      <c r="BM41">
        <v>0.31384615384615394</v>
      </c>
      <c r="BN41">
        <v>0.22363636363636363</v>
      </c>
      <c r="BO41">
        <v>0.44687500000000008</v>
      </c>
      <c r="BP41">
        <v>0.12444444444444445</v>
      </c>
      <c r="BQ41">
        <v>0.14000000000000001</v>
      </c>
      <c r="BR41">
        <v>0.11833333333333335</v>
      </c>
      <c r="BS41">
        <v>0.13500000000000001</v>
      </c>
      <c r="BT41">
        <v>0.42399999999999999</v>
      </c>
      <c r="BU41">
        <v>0.26357142857142857</v>
      </c>
      <c r="BV41">
        <v>0.37000000000000005</v>
      </c>
      <c r="BW41">
        <v>0.17222222222222219</v>
      </c>
      <c r="BX41">
        <v>0.23250000000000001</v>
      </c>
      <c r="BY41">
        <v>0.3116666666666667</v>
      </c>
      <c r="BZ41">
        <v>0.46928571428571431</v>
      </c>
      <c r="CA41">
        <v>0.3428571428571428</v>
      </c>
      <c r="CB41">
        <v>0.29375000000000001</v>
      </c>
      <c r="CC41">
        <v>0.41999999999999993</v>
      </c>
      <c r="CD41">
        <v>0.30250000000000005</v>
      </c>
      <c r="CE41">
        <v>0.11833333333333335</v>
      </c>
      <c r="CF41">
        <v>0.15916666666666668</v>
      </c>
      <c r="CG41">
        <v>0.16</v>
      </c>
      <c r="CH41">
        <v>0.21312500000000004</v>
      </c>
      <c r="CI41">
        <v>0.22999999999999998</v>
      </c>
      <c r="CJ41">
        <v>0.28000000000000008</v>
      </c>
      <c r="CK41">
        <v>0.33799999999999997</v>
      </c>
    </row>
    <row r="42" spans="1:89" x14ac:dyDescent="0.25">
      <c r="A42" t="s">
        <v>62</v>
      </c>
      <c r="B42">
        <v>0.37687500000000002</v>
      </c>
      <c r="C42">
        <v>0.29166666666666674</v>
      </c>
      <c r="D42">
        <v>0.45458333333333351</v>
      </c>
      <c r="E42">
        <v>0.14333333333333337</v>
      </c>
      <c r="F42">
        <v>0.25062500000000004</v>
      </c>
      <c r="G42">
        <v>0.32999999999999996</v>
      </c>
      <c r="H42">
        <v>0.35562500000000002</v>
      </c>
      <c r="I42">
        <v>0.3033333333333334</v>
      </c>
      <c r="J42">
        <v>0.14250000000000002</v>
      </c>
      <c r="K42">
        <v>0.24909090909090906</v>
      </c>
      <c r="L42">
        <v>0.33875000000000005</v>
      </c>
      <c r="M42">
        <v>0.31230769230769229</v>
      </c>
      <c r="N42">
        <v>0.15777777777777777</v>
      </c>
      <c r="O42">
        <v>0.30500000000000005</v>
      </c>
      <c r="P42">
        <v>0.18333333333333335</v>
      </c>
      <c r="Q42">
        <v>0.33333333333333331</v>
      </c>
      <c r="R42">
        <v>0.27499999999999997</v>
      </c>
      <c r="S42">
        <v>0.47166666666666668</v>
      </c>
      <c r="T42">
        <v>0.14000000000000001</v>
      </c>
      <c r="U42">
        <v>0.26</v>
      </c>
      <c r="V42">
        <v>0.22125</v>
      </c>
      <c r="W42">
        <v>9.1111111111111115E-2</v>
      </c>
      <c r="X42">
        <v>0.22624999999999998</v>
      </c>
      <c r="Y42">
        <v>0.14583333333333334</v>
      </c>
      <c r="Z42">
        <v>0.23785714285714285</v>
      </c>
      <c r="AA42">
        <v>0.25</v>
      </c>
      <c r="AB42">
        <v>0.13</v>
      </c>
      <c r="AC42">
        <v>0.21937500000000001</v>
      </c>
      <c r="AD42">
        <v>0.48833333333333329</v>
      </c>
      <c r="AE42">
        <v>0.13999999999999999</v>
      </c>
      <c r="AF42">
        <v>0.23153846153846155</v>
      </c>
      <c r="AG42">
        <v>0.31937500000000002</v>
      </c>
      <c r="AH42">
        <v>0.18428571428571425</v>
      </c>
      <c r="AI42">
        <v>0.21500000000000005</v>
      </c>
      <c r="AJ42">
        <v>0.17000000000000004</v>
      </c>
      <c r="AK42">
        <v>0.23799999999999999</v>
      </c>
      <c r="AL42">
        <v>0.233125</v>
      </c>
      <c r="AM42">
        <v>0.23</v>
      </c>
      <c r="AN42">
        <v>0.19333333333333333</v>
      </c>
      <c r="AO42">
        <v>0.35062500000000002</v>
      </c>
      <c r="AP42">
        <v>0.12250000000000001</v>
      </c>
      <c r="AQ42">
        <v>0.11750000000000002</v>
      </c>
      <c r="AR42">
        <v>0.16545454545454547</v>
      </c>
      <c r="AS42">
        <v>0.32187500000000002</v>
      </c>
      <c r="AT42">
        <v>0.32545454545454544</v>
      </c>
      <c r="AU42">
        <v>0.13583333333333336</v>
      </c>
      <c r="AV42">
        <v>0.15636363636363637</v>
      </c>
      <c r="AW42">
        <v>0.42249999999999999</v>
      </c>
      <c r="AX42">
        <v>0.22333333333333336</v>
      </c>
      <c r="AY42">
        <v>0.3125</v>
      </c>
      <c r="AZ42">
        <v>0.20600000000000004</v>
      </c>
      <c r="BA42">
        <v>0.17750000000000002</v>
      </c>
      <c r="BB42">
        <v>0.29833333333333328</v>
      </c>
      <c r="BC42">
        <v>0.21250000000000002</v>
      </c>
      <c r="BD42">
        <v>0.22727272727272732</v>
      </c>
      <c r="BE42">
        <v>0.30500000000000005</v>
      </c>
      <c r="BF42">
        <v>0.26749999999999996</v>
      </c>
      <c r="BG42">
        <v>0.23333333333333336</v>
      </c>
      <c r="BH42">
        <v>0.21800000000000003</v>
      </c>
      <c r="BI42">
        <v>0.16818181818181818</v>
      </c>
      <c r="BJ42">
        <v>0.26</v>
      </c>
      <c r="BK42">
        <v>0.20333333333333337</v>
      </c>
      <c r="BL42">
        <v>0.38500000000000001</v>
      </c>
      <c r="BM42">
        <v>0.39090909090909087</v>
      </c>
      <c r="BN42">
        <v>0.22272727272727275</v>
      </c>
      <c r="BO42">
        <v>0.2207142857142857</v>
      </c>
      <c r="BP42">
        <v>0.2218181818181818</v>
      </c>
      <c r="BQ42">
        <v>0.21000000000000005</v>
      </c>
      <c r="BR42">
        <v>0.14000000000000001</v>
      </c>
      <c r="BS42">
        <v>0.11555555555555556</v>
      </c>
      <c r="BT42">
        <v>0.32437500000000002</v>
      </c>
      <c r="BU42">
        <v>0.24933333333333335</v>
      </c>
      <c r="BV42">
        <v>0.38222222222222219</v>
      </c>
      <c r="BW42">
        <v>0.1125</v>
      </c>
      <c r="BX42">
        <v>0.28307692307692311</v>
      </c>
      <c r="BY42">
        <v>0.31333333333333335</v>
      </c>
      <c r="BZ42">
        <v>0.45333333333333325</v>
      </c>
      <c r="CA42">
        <v>0.31</v>
      </c>
      <c r="CB42">
        <v>0.3175</v>
      </c>
      <c r="CC42">
        <v>0.38375000000000004</v>
      </c>
      <c r="CD42">
        <v>0.37249999999999994</v>
      </c>
      <c r="CE42">
        <v>0.13499999999999998</v>
      </c>
      <c r="CF42">
        <v>0.17000000000000004</v>
      </c>
      <c r="CG42">
        <v>0.11600000000000002</v>
      </c>
      <c r="CH42">
        <v>0.23999999999999996</v>
      </c>
      <c r="CI42">
        <v>0.21600000000000003</v>
      </c>
      <c r="CJ42">
        <v>0.15076923076923079</v>
      </c>
      <c r="CK42">
        <v>0.23374999999999996</v>
      </c>
    </row>
    <row r="43" spans="1:89" x14ac:dyDescent="0.25">
      <c r="A43" t="s">
        <v>63</v>
      </c>
      <c r="B43">
        <v>0.41384615384615392</v>
      </c>
      <c r="C43">
        <v>0.30687500000000001</v>
      </c>
      <c r="D43">
        <v>0.38874999999999998</v>
      </c>
      <c r="E43">
        <v>8.5384615384615378E-2</v>
      </c>
      <c r="F43">
        <v>0.19</v>
      </c>
      <c r="G43">
        <v>0.53374999999999995</v>
      </c>
      <c r="H43">
        <v>0.17466666666666666</v>
      </c>
      <c r="I43">
        <v>0.27666666666666667</v>
      </c>
      <c r="J43">
        <v>0.18437500000000001</v>
      </c>
      <c r="K43">
        <v>0.32300000000000001</v>
      </c>
      <c r="L43">
        <v>0.25750000000000001</v>
      </c>
      <c r="M43">
        <v>0.48375000000000001</v>
      </c>
      <c r="N43">
        <v>0.12888888888888889</v>
      </c>
      <c r="O43">
        <v>0.26750000000000002</v>
      </c>
      <c r="P43">
        <v>0.44833333333333325</v>
      </c>
      <c r="Q43">
        <v>0.28875000000000001</v>
      </c>
      <c r="R43">
        <v>0.2290909090909091</v>
      </c>
      <c r="S43">
        <v>0.39076923076923087</v>
      </c>
      <c r="T43">
        <v>0.34</v>
      </c>
      <c r="U43">
        <v>0.21857142857142858</v>
      </c>
      <c r="V43">
        <v>0.1925</v>
      </c>
      <c r="W43">
        <v>0.16625000000000001</v>
      </c>
      <c r="X43">
        <v>0.37</v>
      </c>
      <c r="Y43">
        <v>0.10666666666666669</v>
      </c>
      <c r="Z43">
        <v>0.16545454545454544</v>
      </c>
      <c r="AA43">
        <v>0.19833333333333333</v>
      </c>
      <c r="AB43">
        <v>0.26800000000000002</v>
      </c>
      <c r="AC43">
        <v>0.27875000000000005</v>
      </c>
      <c r="AD43">
        <v>0.29416666666666669</v>
      </c>
      <c r="AE43">
        <v>0.27250000000000002</v>
      </c>
      <c r="AF43">
        <v>0.20400000000000004</v>
      </c>
      <c r="AG43">
        <v>0.34333333333333338</v>
      </c>
      <c r="AH43">
        <v>0.37571428571428572</v>
      </c>
      <c r="AI43">
        <v>0.32999999999999996</v>
      </c>
      <c r="AJ43">
        <v>0.40384615384615385</v>
      </c>
      <c r="AK43">
        <v>0.17199999999999999</v>
      </c>
      <c r="AL43">
        <v>0.65187499999999998</v>
      </c>
      <c r="AM43">
        <v>0.35166666666666674</v>
      </c>
      <c r="AN43">
        <v>0.15333333333333335</v>
      </c>
      <c r="AO43">
        <v>0.58437499999999998</v>
      </c>
      <c r="AP43">
        <v>0.33333333333333326</v>
      </c>
      <c r="AQ43">
        <v>9.2499999999999999E-2</v>
      </c>
      <c r="AR43">
        <v>0.5763636363636363</v>
      </c>
      <c r="AS43">
        <v>0.41000000000000003</v>
      </c>
      <c r="AT43">
        <v>0.5591666666666667</v>
      </c>
      <c r="AU43">
        <v>0.16416666666666668</v>
      </c>
      <c r="AV43">
        <v>0.16200000000000001</v>
      </c>
      <c r="AW43">
        <v>0.22437500000000005</v>
      </c>
      <c r="AX43">
        <v>0.13454545454545458</v>
      </c>
      <c r="AY43">
        <v>0.38749999999999996</v>
      </c>
      <c r="AZ43">
        <v>0.2106666666666667</v>
      </c>
      <c r="BA43">
        <v>0.22000000000000003</v>
      </c>
      <c r="BB43">
        <v>0.16818181818181818</v>
      </c>
      <c r="BC43">
        <v>0.20250000000000001</v>
      </c>
      <c r="BD43">
        <v>0.14833333333333334</v>
      </c>
      <c r="BE43">
        <v>0.46000000000000008</v>
      </c>
      <c r="BF43">
        <v>0.17125000000000001</v>
      </c>
      <c r="BG43">
        <v>0.19090909090909092</v>
      </c>
      <c r="BH43">
        <v>0.26500000000000001</v>
      </c>
      <c r="BI43">
        <v>0.26666666666666666</v>
      </c>
      <c r="BJ43">
        <v>0.33624999999999999</v>
      </c>
      <c r="BK43">
        <v>0.21166666666666667</v>
      </c>
      <c r="BL43">
        <v>0.45600000000000007</v>
      </c>
      <c r="BM43">
        <v>0.21555555555555558</v>
      </c>
      <c r="BN43">
        <v>0.18666666666666665</v>
      </c>
      <c r="BO43">
        <v>0.22785714285714284</v>
      </c>
      <c r="BP43">
        <v>0.20666666666666669</v>
      </c>
      <c r="BQ43">
        <v>0.12333333333333335</v>
      </c>
      <c r="BR43">
        <v>0.10249999999999999</v>
      </c>
      <c r="BS43">
        <v>0.23125000000000001</v>
      </c>
      <c r="BT43">
        <v>0.32187499999999997</v>
      </c>
      <c r="BU43">
        <v>0.19133333333333333</v>
      </c>
      <c r="BV43">
        <v>0.40499999999999997</v>
      </c>
      <c r="BW43">
        <v>0.17750000000000005</v>
      </c>
      <c r="BX43">
        <v>0.23833333333333337</v>
      </c>
      <c r="BY43">
        <v>0.28666666666666663</v>
      </c>
      <c r="BZ43">
        <v>0.21937500000000004</v>
      </c>
      <c r="CA43">
        <v>0.33499999999999996</v>
      </c>
      <c r="CB43">
        <v>0.23</v>
      </c>
      <c r="CC43">
        <v>0.43687500000000001</v>
      </c>
      <c r="CD43">
        <v>0.58250000000000002</v>
      </c>
      <c r="CE43">
        <v>0.18500000000000003</v>
      </c>
      <c r="CF43">
        <v>0.12249999999999998</v>
      </c>
      <c r="CG43">
        <v>0.12545454545454546</v>
      </c>
      <c r="CH43">
        <v>0.25875000000000004</v>
      </c>
      <c r="CI43">
        <v>0.26285714285714284</v>
      </c>
      <c r="CJ43">
        <v>0.29428571428571432</v>
      </c>
      <c r="CK43">
        <v>0.32133333333333336</v>
      </c>
    </row>
    <row r="45" spans="1:89" x14ac:dyDescent="0.25">
      <c r="A45" t="s">
        <v>64</v>
      </c>
      <c r="B45">
        <v>0.33266666666666667</v>
      </c>
      <c r="C45">
        <v>0.36051724137931035</v>
      </c>
      <c r="D45">
        <v>0.46208333333333318</v>
      </c>
      <c r="E45">
        <v>0.10787878787878791</v>
      </c>
      <c r="F45">
        <v>0.1835416666666666</v>
      </c>
      <c r="G45">
        <v>0.43937499999999996</v>
      </c>
      <c r="H45">
        <v>0.24021276595744684</v>
      </c>
      <c r="I45">
        <v>0.28222222222222215</v>
      </c>
      <c r="J45">
        <v>0.15916666666666668</v>
      </c>
      <c r="K45">
        <v>0.26032258064516128</v>
      </c>
      <c r="L45">
        <v>0.28145833333333337</v>
      </c>
      <c r="M45">
        <v>0.39</v>
      </c>
      <c r="N45">
        <v>0.18230769230769231</v>
      </c>
      <c r="O45">
        <v>0.29000000000000004</v>
      </c>
      <c r="P45">
        <v>0.30055555555555563</v>
      </c>
      <c r="Q45">
        <v>0.3470454545454546</v>
      </c>
      <c r="R45">
        <v>0.25058823529411767</v>
      </c>
      <c r="S45">
        <v>0.40486486486486495</v>
      </c>
      <c r="T45">
        <v>0.25371428571428573</v>
      </c>
      <c r="U45">
        <v>0.22044444444444444</v>
      </c>
      <c r="V45">
        <v>0.21541666666666662</v>
      </c>
      <c r="W45">
        <v>0.19249999999999995</v>
      </c>
      <c r="X45">
        <v>0.29125000000000006</v>
      </c>
      <c r="Y45">
        <v>0.16371428571428576</v>
      </c>
      <c r="Z45">
        <v>0.24800000000000005</v>
      </c>
      <c r="AA45">
        <v>0.22361111111111112</v>
      </c>
      <c r="AB45">
        <v>0.17517241379310347</v>
      </c>
      <c r="AC45">
        <v>0.28104166666666669</v>
      </c>
      <c r="AD45">
        <v>0.35972972972972972</v>
      </c>
      <c r="AE45">
        <v>0.22931034482758619</v>
      </c>
      <c r="AF45">
        <v>0.24071428571428574</v>
      </c>
      <c r="AG45">
        <v>0.35043478260869565</v>
      </c>
      <c r="AH45">
        <v>0.30545454545454537</v>
      </c>
      <c r="AI45">
        <v>0.29918918918918913</v>
      </c>
      <c r="AJ45">
        <v>0.28578947368421054</v>
      </c>
      <c r="AK45">
        <v>0.21866666666666668</v>
      </c>
      <c r="AL45">
        <v>0.39553191489361694</v>
      </c>
      <c r="AM45">
        <v>0.3108108108108108</v>
      </c>
      <c r="AN45">
        <v>0.19700000000000004</v>
      </c>
      <c r="AO45">
        <v>0.43208333333333332</v>
      </c>
      <c r="AP45">
        <v>0.24755555555555553</v>
      </c>
      <c r="AQ45">
        <v>0.1166666666666667</v>
      </c>
      <c r="AR45">
        <v>0.33937499999999993</v>
      </c>
      <c r="AS45">
        <v>0.30342105263157904</v>
      </c>
      <c r="AT45">
        <v>0.36441176470588232</v>
      </c>
      <c r="AU45">
        <v>0.1711111111111111</v>
      </c>
      <c r="AV45">
        <v>0.20242424242424245</v>
      </c>
      <c r="AW45">
        <v>0.32437500000000008</v>
      </c>
      <c r="AX45">
        <v>0.16628571428571426</v>
      </c>
      <c r="AY45">
        <v>0.31719999999999998</v>
      </c>
      <c r="AZ45">
        <v>0.22500000000000001</v>
      </c>
      <c r="BA45">
        <v>0.21000000000000005</v>
      </c>
      <c r="BB45">
        <v>0.23193548387096771</v>
      </c>
      <c r="BC45">
        <v>0.22500000000000001</v>
      </c>
      <c r="BD45">
        <v>0.17193548387096771</v>
      </c>
      <c r="BE45">
        <v>0.34916666666666668</v>
      </c>
      <c r="BF45">
        <v>0.24749999999999997</v>
      </c>
      <c r="BG45">
        <v>0.23428571428571426</v>
      </c>
      <c r="BH45">
        <v>0.22692307692307698</v>
      </c>
      <c r="BI45">
        <v>0.25057142857142861</v>
      </c>
      <c r="BJ45">
        <v>0.28333333333333338</v>
      </c>
      <c r="BK45">
        <v>0.19444444444444453</v>
      </c>
      <c r="BL45">
        <v>0.44148148148148147</v>
      </c>
      <c r="BM45">
        <v>0.31272727272727274</v>
      </c>
      <c r="BN45">
        <v>0.21029411764705883</v>
      </c>
      <c r="BO45">
        <v>0.30522727272727268</v>
      </c>
      <c r="BP45">
        <v>0.18689655172413794</v>
      </c>
      <c r="BQ45">
        <v>0.15777777777777777</v>
      </c>
      <c r="BR45">
        <v>0.11971428571428573</v>
      </c>
      <c r="BS45">
        <v>0.15880000000000005</v>
      </c>
      <c r="BT45">
        <v>0.35531914893617028</v>
      </c>
      <c r="BU45">
        <v>0.23409090909090907</v>
      </c>
      <c r="BV45">
        <v>0.3856</v>
      </c>
      <c r="BW45">
        <v>0.15480000000000005</v>
      </c>
      <c r="BX45">
        <v>0.25216216216216214</v>
      </c>
      <c r="BY45">
        <v>0.30388888888888899</v>
      </c>
      <c r="BZ45">
        <v>0.37511111111111117</v>
      </c>
      <c r="CA45">
        <v>0.32948717948717948</v>
      </c>
      <c r="CB45">
        <v>0.28041666666666659</v>
      </c>
      <c r="CC45">
        <v>0.41354166666666653</v>
      </c>
      <c r="CD45">
        <v>0.41916666666666652</v>
      </c>
      <c r="CE45">
        <v>0.14611111111111114</v>
      </c>
      <c r="CF45">
        <v>0.15055555555555561</v>
      </c>
      <c r="CG45">
        <v>0.13172413793103452</v>
      </c>
      <c r="CH45">
        <v>0.23723404255319153</v>
      </c>
      <c r="CI45">
        <v>0.23941176470588238</v>
      </c>
      <c r="CJ45">
        <v>0.24476190476190482</v>
      </c>
      <c r="CK45">
        <v>0.296304347826087</v>
      </c>
    </row>
    <row r="46" spans="1:89" x14ac:dyDescent="0.25">
      <c r="A46" t="s">
        <v>503</v>
      </c>
      <c r="B46">
        <v>0.20597219582881934</v>
      </c>
      <c r="C46">
        <v>0.14410549758549032</v>
      </c>
      <c r="D46">
        <v>0.12220898171275155</v>
      </c>
      <c r="E46">
        <v>4.3139133608416917E-2</v>
      </c>
      <c r="F46">
        <v>0.15732456738712525</v>
      </c>
      <c r="G46">
        <v>0.20857330265555374</v>
      </c>
      <c r="H46">
        <v>0.15973468983860495</v>
      </c>
      <c r="I46">
        <v>0.10709438056782623</v>
      </c>
      <c r="J46">
        <v>0.10006026552827378</v>
      </c>
      <c r="K46">
        <v>9.9815959678057495E-2</v>
      </c>
      <c r="L46">
        <v>0.22884529368050435</v>
      </c>
      <c r="M46">
        <v>0.14641162397966787</v>
      </c>
      <c r="N46">
        <v>0.13063866785321085</v>
      </c>
      <c r="O46">
        <v>0.11375029861403703</v>
      </c>
      <c r="P46">
        <v>0.18228618699247054</v>
      </c>
      <c r="Q46">
        <v>0.27190610165715884</v>
      </c>
      <c r="R46">
        <v>0.13533216546302898</v>
      </c>
      <c r="S46">
        <v>0.1541395763877953</v>
      </c>
      <c r="T46">
        <v>0.14501695061745901</v>
      </c>
      <c r="U46">
        <v>0.13317718128929448</v>
      </c>
      <c r="V46">
        <v>8.4027902543126282E-2</v>
      </c>
      <c r="W46">
        <v>0.21012562380104391</v>
      </c>
      <c r="X46">
        <v>0.12480637177156696</v>
      </c>
      <c r="Y46">
        <v>9.8102159066176281E-2</v>
      </c>
      <c r="Z46">
        <v>0.16021676493022147</v>
      </c>
      <c r="AA46">
        <v>0.12226792074965714</v>
      </c>
      <c r="AB46">
        <v>0.14497834049202887</v>
      </c>
      <c r="AC46">
        <v>0.1459268190732009</v>
      </c>
      <c r="AD46">
        <v>0.28296531478145764</v>
      </c>
      <c r="AE46">
        <v>0.191943649366213</v>
      </c>
      <c r="AF46">
        <v>0.13765267102283646</v>
      </c>
      <c r="AG46">
        <v>0.12379115965095985</v>
      </c>
      <c r="AH46">
        <v>0.18768422943566257</v>
      </c>
      <c r="AI46">
        <v>0.13544942431234827</v>
      </c>
      <c r="AJ46">
        <v>0.19851654678051753</v>
      </c>
      <c r="AK46">
        <v>0.11410017780315967</v>
      </c>
      <c r="AL46">
        <v>0.25917770058598033</v>
      </c>
      <c r="AM46">
        <v>0.22274023707721338</v>
      </c>
      <c r="AN46">
        <v>0.11987600431385922</v>
      </c>
      <c r="AO46">
        <v>0.18403235531128329</v>
      </c>
      <c r="AP46">
        <v>0.20446332806949161</v>
      </c>
      <c r="AQ46">
        <v>7.1909766323870195E-2</v>
      </c>
      <c r="AR46">
        <v>0.20874335994848006</v>
      </c>
      <c r="AS46">
        <v>0.12085900464701581</v>
      </c>
      <c r="AT46">
        <v>0.21874561365604839</v>
      </c>
      <c r="AU46">
        <v>0.12473463896901366</v>
      </c>
      <c r="AV46">
        <v>0.1107652445216431</v>
      </c>
      <c r="AW46">
        <v>0.1567204619425597</v>
      </c>
      <c r="AX46">
        <v>9.3150280675454639E-2</v>
      </c>
      <c r="AY46">
        <v>0.12607934009979596</v>
      </c>
      <c r="AZ46">
        <v>0.11377853732385372</v>
      </c>
      <c r="BA46">
        <v>0.10210821199355966</v>
      </c>
      <c r="BB46">
        <v>8.6116949738469437E-2</v>
      </c>
      <c r="BC46">
        <v>0.2029564099697915</v>
      </c>
      <c r="BD46">
        <v>0.17702013736368549</v>
      </c>
      <c r="BE46">
        <v>0.35907994346259642</v>
      </c>
      <c r="BF46">
        <v>0.12912965610233151</v>
      </c>
      <c r="BG46">
        <v>0.13638797847416362</v>
      </c>
      <c r="BH46">
        <v>7.8779146010564433E-2</v>
      </c>
      <c r="BI46">
        <v>0.17806051279968677</v>
      </c>
      <c r="BJ46">
        <v>8.4424737085075099E-2</v>
      </c>
      <c r="BK46">
        <v>7.1331998207353933E-2</v>
      </c>
      <c r="BL46">
        <v>0.12960602145626124</v>
      </c>
      <c r="BM46">
        <v>0.13129815134058251</v>
      </c>
      <c r="BN46">
        <v>0.14044270467946246</v>
      </c>
      <c r="BO46">
        <v>0.22443198209644241</v>
      </c>
      <c r="BP46">
        <v>0.11035991276196074</v>
      </c>
      <c r="BQ46">
        <v>0.11551403405427442</v>
      </c>
      <c r="BR46">
        <v>5.8535344490502877E-2</v>
      </c>
      <c r="BS46">
        <v>0.13207699774500223</v>
      </c>
      <c r="BT46">
        <v>0.11507749872283193</v>
      </c>
      <c r="BU46">
        <v>0.13411758433203805</v>
      </c>
      <c r="BV46">
        <v>0.11409352888456596</v>
      </c>
      <c r="BW46">
        <v>8.8370432460938633E-2</v>
      </c>
      <c r="BX46">
        <v>0.14255866502241449</v>
      </c>
      <c r="BY46">
        <v>0.14027071332203639</v>
      </c>
      <c r="BZ46">
        <v>0.28208333892842746</v>
      </c>
      <c r="CA46">
        <v>0.23513656410409131</v>
      </c>
      <c r="CB46">
        <v>0.13989061461717517</v>
      </c>
      <c r="CC46">
        <v>0.20334950086869211</v>
      </c>
      <c r="CD46">
        <v>0.26945866290489329</v>
      </c>
      <c r="CE46">
        <v>7.9112136608298952E-2</v>
      </c>
      <c r="CF46">
        <v>9.4625410191809686E-2</v>
      </c>
      <c r="CG46">
        <v>5.4580802846869676E-2</v>
      </c>
      <c r="CH46">
        <v>0.15364699982440799</v>
      </c>
      <c r="CI46">
        <v>7.8583720130308898E-2</v>
      </c>
      <c r="CJ46">
        <v>0.14913143810219801</v>
      </c>
      <c r="CK46">
        <v>0.18657567658134697</v>
      </c>
    </row>
    <row r="47" spans="1:89" x14ac:dyDescent="0.25">
      <c r="A47" t="s">
        <v>65</v>
      </c>
      <c r="B47">
        <v>0.32</v>
      </c>
      <c r="C47">
        <v>0.7</v>
      </c>
      <c r="D47">
        <v>0.7</v>
      </c>
      <c r="E47">
        <v>0.13</v>
      </c>
      <c r="F47">
        <v>0.36</v>
      </c>
      <c r="G47">
        <v>0.78</v>
      </c>
      <c r="H47">
        <v>0.36</v>
      </c>
      <c r="I47">
        <v>0.42</v>
      </c>
      <c r="J47">
        <v>0.44</v>
      </c>
      <c r="K47">
        <v>0.28000000000000003</v>
      </c>
      <c r="L47">
        <v>0.54</v>
      </c>
      <c r="M47">
        <v>0.62</v>
      </c>
      <c r="N47">
        <v>0.68</v>
      </c>
      <c r="O47">
        <v>0.5</v>
      </c>
      <c r="P47">
        <v>0.68</v>
      </c>
      <c r="Q47">
        <v>1.5</v>
      </c>
      <c r="R47">
        <v>0.5</v>
      </c>
      <c r="S47">
        <v>0.56000000000000005</v>
      </c>
      <c r="T47">
        <v>0.4</v>
      </c>
      <c r="U47">
        <v>0.44</v>
      </c>
      <c r="V47">
        <v>0.36</v>
      </c>
      <c r="W47">
        <v>0.8</v>
      </c>
      <c r="X47">
        <v>0.5</v>
      </c>
      <c r="Y47">
        <v>0.48</v>
      </c>
      <c r="Z47">
        <v>0.68</v>
      </c>
      <c r="AA47">
        <v>0.54</v>
      </c>
      <c r="AB47">
        <v>0.28000000000000003</v>
      </c>
      <c r="AC47">
        <v>0.84</v>
      </c>
      <c r="AD47">
        <v>1.3</v>
      </c>
      <c r="AE47">
        <v>0.8</v>
      </c>
      <c r="AF47">
        <v>0.7</v>
      </c>
      <c r="AG47">
        <v>0.62</v>
      </c>
      <c r="AH47">
        <v>0.8</v>
      </c>
      <c r="AI47">
        <v>0.64</v>
      </c>
      <c r="AJ47">
        <v>0.57999999999999996</v>
      </c>
      <c r="AK47">
        <v>0.56000000000000005</v>
      </c>
      <c r="AL47">
        <v>0.68</v>
      </c>
      <c r="AM47">
        <v>0.74</v>
      </c>
      <c r="AN47">
        <v>0.54</v>
      </c>
      <c r="AO47">
        <v>0.6</v>
      </c>
      <c r="AP47">
        <v>0.88</v>
      </c>
      <c r="AQ47">
        <v>0.3</v>
      </c>
      <c r="AR47">
        <v>0.5</v>
      </c>
      <c r="AS47">
        <v>0.38</v>
      </c>
      <c r="AT47">
        <v>0.46</v>
      </c>
      <c r="AU47">
        <v>0.5</v>
      </c>
      <c r="AV47">
        <v>0.48</v>
      </c>
      <c r="AW47">
        <v>0.59</v>
      </c>
      <c r="AX47">
        <v>0.26</v>
      </c>
      <c r="AY47">
        <v>0.36</v>
      </c>
      <c r="AZ47">
        <v>0.56000000000000005</v>
      </c>
      <c r="BA47">
        <v>0.53</v>
      </c>
      <c r="BB47">
        <v>0.3</v>
      </c>
      <c r="BC47">
        <v>0.7</v>
      </c>
      <c r="BD47">
        <v>0.24</v>
      </c>
      <c r="BE47">
        <v>0.42</v>
      </c>
      <c r="BF47">
        <v>0.5</v>
      </c>
      <c r="BG47">
        <v>0.62</v>
      </c>
      <c r="BH47">
        <v>0.28000000000000003</v>
      </c>
      <c r="BI47">
        <v>0.74</v>
      </c>
      <c r="BJ47">
        <v>0.36</v>
      </c>
      <c r="BK47">
        <v>0.3</v>
      </c>
      <c r="BL47">
        <v>0.68</v>
      </c>
      <c r="BM47">
        <v>0.4</v>
      </c>
      <c r="BN47">
        <v>0.54</v>
      </c>
      <c r="BO47">
        <v>1.08</v>
      </c>
      <c r="BP47">
        <v>0.24</v>
      </c>
      <c r="BQ47">
        <v>0.28000000000000003</v>
      </c>
      <c r="BR47">
        <v>0.26</v>
      </c>
      <c r="BS47">
        <v>0.18</v>
      </c>
      <c r="BT47">
        <v>0.56000000000000005</v>
      </c>
      <c r="BU47">
        <v>0.57999999999999996</v>
      </c>
      <c r="BV47">
        <v>0.6</v>
      </c>
      <c r="BW47">
        <v>0.44</v>
      </c>
      <c r="BX47">
        <v>0.55000000000000004</v>
      </c>
      <c r="BY47">
        <v>0.5</v>
      </c>
      <c r="BZ47">
        <v>1.1000000000000001</v>
      </c>
      <c r="CA47">
        <v>0.6</v>
      </c>
      <c r="CB47">
        <v>0.5</v>
      </c>
      <c r="CC47">
        <v>0.74</v>
      </c>
      <c r="CD47">
        <v>0.86</v>
      </c>
      <c r="CE47">
        <v>0.3</v>
      </c>
      <c r="CF47">
        <v>0.38</v>
      </c>
      <c r="CG47">
        <v>0.24</v>
      </c>
      <c r="CH47">
        <v>0.59</v>
      </c>
      <c r="CI47">
        <v>0.3</v>
      </c>
      <c r="CJ47">
        <v>0.6</v>
      </c>
      <c r="CK47">
        <v>0.64</v>
      </c>
    </row>
    <row r="48" spans="1:89" x14ac:dyDescent="0.25">
      <c r="A48" t="s">
        <v>66</v>
      </c>
      <c r="B48">
        <v>1</v>
      </c>
      <c r="C48">
        <v>0.46</v>
      </c>
      <c r="D48">
        <v>0.68</v>
      </c>
      <c r="E48">
        <v>0.24</v>
      </c>
      <c r="F48">
        <v>0.59</v>
      </c>
      <c r="G48">
        <v>0.46</v>
      </c>
      <c r="H48">
        <v>0.62</v>
      </c>
      <c r="I48">
        <v>0.5</v>
      </c>
      <c r="J48">
        <v>0.44</v>
      </c>
      <c r="K48">
        <v>0.52</v>
      </c>
      <c r="L48">
        <v>1.5</v>
      </c>
      <c r="M48">
        <v>0.48</v>
      </c>
      <c r="N48">
        <v>0.28000000000000003</v>
      </c>
      <c r="O48">
        <v>0.56000000000000005</v>
      </c>
      <c r="P48">
        <v>0.36</v>
      </c>
      <c r="Q48">
        <v>0.78</v>
      </c>
      <c r="R48">
        <v>0.62</v>
      </c>
      <c r="S48">
        <v>0.7</v>
      </c>
      <c r="T48">
        <v>0.24</v>
      </c>
      <c r="U48">
        <v>0.54</v>
      </c>
      <c r="V48">
        <v>0.36</v>
      </c>
      <c r="W48">
        <v>0.16</v>
      </c>
      <c r="X48">
        <v>0.5</v>
      </c>
      <c r="Y48">
        <v>0.26</v>
      </c>
      <c r="Z48">
        <v>0.54</v>
      </c>
      <c r="AA48">
        <v>0.56000000000000005</v>
      </c>
      <c r="AB48">
        <v>0.2</v>
      </c>
      <c r="AC48">
        <v>0.39</v>
      </c>
      <c r="AD48">
        <v>1.2</v>
      </c>
      <c r="AE48">
        <v>0.24</v>
      </c>
      <c r="AF48">
        <v>0.48</v>
      </c>
      <c r="AG48">
        <v>0.56000000000000005</v>
      </c>
      <c r="AH48">
        <v>0.34</v>
      </c>
      <c r="AI48">
        <v>0.36</v>
      </c>
      <c r="AJ48">
        <v>0.38</v>
      </c>
      <c r="AK48">
        <v>0.38</v>
      </c>
      <c r="AL48">
        <v>0.66</v>
      </c>
      <c r="AM48">
        <v>0.57999999999999996</v>
      </c>
      <c r="AN48">
        <v>0.52</v>
      </c>
      <c r="AO48">
        <v>0.65</v>
      </c>
      <c r="AP48">
        <v>0.26</v>
      </c>
      <c r="AQ48">
        <v>0.24</v>
      </c>
      <c r="AR48">
        <v>0.26</v>
      </c>
      <c r="AS48">
        <v>0.48</v>
      </c>
      <c r="AT48">
        <v>0.62</v>
      </c>
      <c r="AU48">
        <v>0.32</v>
      </c>
      <c r="AV48">
        <v>0.28000000000000003</v>
      </c>
      <c r="AW48">
        <v>0.88</v>
      </c>
      <c r="AX48">
        <v>0.5</v>
      </c>
      <c r="AY48">
        <v>0.44</v>
      </c>
      <c r="AZ48">
        <v>0.4</v>
      </c>
      <c r="BA48">
        <v>0.32</v>
      </c>
      <c r="BB48">
        <v>0.42</v>
      </c>
      <c r="BC48">
        <v>0.84</v>
      </c>
      <c r="BD48">
        <v>0.86</v>
      </c>
      <c r="BE48">
        <v>0.4</v>
      </c>
      <c r="BF48">
        <v>0.48</v>
      </c>
      <c r="BG48">
        <v>0.52</v>
      </c>
      <c r="BH48">
        <v>0.4</v>
      </c>
      <c r="BI48">
        <v>0.26</v>
      </c>
      <c r="BJ48">
        <v>0.4</v>
      </c>
      <c r="BK48">
        <v>0.3</v>
      </c>
      <c r="BL48">
        <v>0.64</v>
      </c>
      <c r="BM48">
        <v>0.62</v>
      </c>
      <c r="BN48">
        <v>0.5</v>
      </c>
      <c r="BO48">
        <v>0.62</v>
      </c>
      <c r="BP48">
        <v>0.38</v>
      </c>
      <c r="BQ48">
        <v>0.52</v>
      </c>
      <c r="BR48">
        <v>0.3</v>
      </c>
      <c r="BS48">
        <v>0.18</v>
      </c>
      <c r="BT48">
        <v>0.5</v>
      </c>
      <c r="BU48">
        <v>0.44</v>
      </c>
      <c r="BV48">
        <v>0.52</v>
      </c>
      <c r="BW48">
        <v>0.18</v>
      </c>
      <c r="BX48">
        <v>0.69</v>
      </c>
      <c r="BY48">
        <v>0.74</v>
      </c>
      <c r="BZ48">
        <v>0.86</v>
      </c>
      <c r="CA48">
        <v>0.52</v>
      </c>
      <c r="CB48">
        <v>0.5</v>
      </c>
      <c r="CC48">
        <v>0.68</v>
      </c>
      <c r="CD48">
        <v>0.6</v>
      </c>
      <c r="CE48">
        <v>0.34</v>
      </c>
      <c r="CF48">
        <v>0.4</v>
      </c>
      <c r="CG48">
        <v>0.19</v>
      </c>
      <c r="CH48">
        <v>0.72</v>
      </c>
      <c r="CI48">
        <v>0.3</v>
      </c>
      <c r="CJ48">
        <v>0.4</v>
      </c>
      <c r="CK48">
        <v>0.52</v>
      </c>
    </row>
    <row r="49" spans="1:89" x14ac:dyDescent="0.25">
      <c r="A49" t="s">
        <v>67</v>
      </c>
      <c r="B49">
        <v>0.92</v>
      </c>
      <c r="C49">
        <v>0.54</v>
      </c>
      <c r="D49">
        <v>0.61</v>
      </c>
      <c r="E49">
        <v>0.15</v>
      </c>
      <c r="F49">
        <v>0.57999999999999996</v>
      </c>
      <c r="G49">
        <v>0.88</v>
      </c>
      <c r="H49">
        <v>0.28000000000000003</v>
      </c>
      <c r="I49">
        <v>0.44</v>
      </c>
      <c r="J49">
        <v>0.32</v>
      </c>
      <c r="K49">
        <v>0.46</v>
      </c>
      <c r="L49">
        <v>0.48</v>
      </c>
      <c r="M49">
        <v>0.72</v>
      </c>
      <c r="N49">
        <v>0.18</v>
      </c>
      <c r="O49">
        <v>0.38</v>
      </c>
      <c r="P49">
        <v>0.84</v>
      </c>
      <c r="Q49">
        <v>0.57999999999999996</v>
      </c>
      <c r="R49">
        <v>0.48</v>
      </c>
      <c r="S49">
        <v>0.57999999999999996</v>
      </c>
      <c r="T49">
        <v>0.76</v>
      </c>
      <c r="U49">
        <v>0.66</v>
      </c>
      <c r="V49">
        <v>0.3</v>
      </c>
      <c r="W49">
        <v>0.6</v>
      </c>
      <c r="X49">
        <v>0.5</v>
      </c>
      <c r="Y49">
        <v>0.2</v>
      </c>
      <c r="Z49">
        <v>0.3</v>
      </c>
      <c r="AA49">
        <v>0.44</v>
      </c>
      <c r="AB49">
        <v>0.68</v>
      </c>
      <c r="AC49">
        <v>0.42</v>
      </c>
      <c r="AD49">
        <v>0.78</v>
      </c>
      <c r="AE49">
        <v>0.66</v>
      </c>
      <c r="AF49">
        <v>0.46</v>
      </c>
      <c r="AG49">
        <v>0.59</v>
      </c>
      <c r="AH49">
        <v>0.76</v>
      </c>
      <c r="AI49">
        <v>0.44</v>
      </c>
      <c r="AJ49">
        <v>0.78</v>
      </c>
      <c r="AK49">
        <v>0.24</v>
      </c>
      <c r="AL49">
        <v>0.98</v>
      </c>
      <c r="AM49">
        <v>1</v>
      </c>
      <c r="AN49">
        <v>0.3</v>
      </c>
      <c r="AO49">
        <v>0.8</v>
      </c>
      <c r="AP49">
        <v>0.82</v>
      </c>
      <c r="AQ49">
        <v>0.16</v>
      </c>
      <c r="AR49">
        <v>0.78</v>
      </c>
      <c r="AS49">
        <v>0.52</v>
      </c>
      <c r="AT49">
        <v>0.82</v>
      </c>
      <c r="AU49">
        <v>0.63</v>
      </c>
      <c r="AV49">
        <v>0.22</v>
      </c>
      <c r="AW49">
        <v>0.48</v>
      </c>
      <c r="AX49">
        <v>0.26</v>
      </c>
      <c r="AY49">
        <v>0.74</v>
      </c>
      <c r="AZ49">
        <v>0.32</v>
      </c>
      <c r="BA49">
        <v>0.36</v>
      </c>
      <c r="BB49">
        <v>0.3</v>
      </c>
      <c r="BC49">
        <v>0.4</v>
      </c>
      <c r="BD49">
        <v>0.42</v>
      </c>
      <c r="BE49">
        <v>2</v>
      </c>
      <c r="BF49">
        <v>0.62</v>
      </c>
      <c r="BG49">
        <v>0.5</v>
      </c>
      <c r="BH49">
        <v>0.38</v>
      </c>
      <c r="BI49">
        <v>0.72</v>
      </c>
      <c r="BJ49">
        <v>0.46</v>
      </c>
      <c r="BK49">
        <v>0.32</v>
      </c>
      <c r="BL49">
        <v>0.66</v>
      </c>
      <c r="BM49">
        <v>0.38</v>
      </c>
      <c r="BN49">
        <v>0.4</v>
      </c>
      <c r="BO49">
        <v>0.44</v>
      </c>
      <c r="BP49">
        <v>0.42</v>
      </c>
      <c r="BQ49">
        <v>0.26</v>
      </c>
      <c r="BR49">
        <v>0.22</v>
      </c>
      <c r="BS49">
        <v>0.77</v>
      </c>
      <c r="BT49">
        <v>0.54</v>
      </c>
      <c r="BU49">
        <v>0.54</v>
      </c>
      <c r="BV49">
        <v>0.52</v>
      </c>
      <c r="BW49">
        <v>0.28000000000000003</v>
      </c>
      <c r="BX49">
        <v>0.52</v>
      </c>
      <c r="BY49">
        <v>0.52</v>
      </c>
      <c r="BZ49">
        <v>0.6</v>
      </c>
      <c r="CA49">
        <v>1.4</v>
      </c>
      <c r="CB49">
        <v>0.42</v>
      </c>
      <c r="CC49">
        <v>1</v>
      </c>
      <c r="CD49">
        <v>0.92</v>
      </c>
      <c r="CE49">
        <v>0.36</v>
      </c>
      <c r="CF49">
        <v>0.3</v>
      </c>
      <c r="CG49">
        <v>0.22</v>
      </c>
      <c r="CH49">
        <v>0.57999999999999996</v>
      </c>
      <c r="CI49">
        <v>0.38</v>
      </c>
      <c r="CJ49">
        <v>0.54</v>
      </c>
      <c r="CK49">
        <v>1.08</v>
      </c>
    </row>
    <row r="50" spans="1:89" x14ac:dyDescent="0.25">
      <c r="A50" t="s">
        <v>32</v>
      </c>
      <c r="B50">
        <v>1</v>
      </c>
      <c r="C50">
        <v>0.7</v>
      </c>
      <c r="D50">
        <v>0.7</v>
      </c>
      <c r="E50">
        <v>0.24</v>
      </c>
      <c r="F50">
        <v>0.59</v>
      </c>
      <c r="G50">
        <v>0.88</v>
      </c>
      <c r="H50">
        <v>0.62</v>
      </c>
      <c r="I50">
        <v>0.5</v>
      </c>
      <c r="J50">
        <v>0.44</v>
      </c>
      <c r="K50">
        <v>0.52</v>
      </c>
      <c r="L50">
        <v>1.5</v>
      </c>
      <c r="M50">
        <v>0.72</v>
      </c>
      <c r="N50">
        <v>0.68</v>
      </c>
      <c r="O50">
        <v>0.56000000000000005</v>
      </c>
      <c r="P50">
        <v>0.84</v>
      </c>
      <c r="Q50">
        <v>1.5</v>
      </c>
      <c r="R50">
        <v>0.62</v>
      </c>
      <c r="S50">
        <v>0.7</v>
      </c>
      <c r="T50">
        <v>0.76</v>
      </c>
      <c r="U50">
        <v>0.66</v>
      </c>
      <c r="V50">
        <v>0.36</v>
      </c>
      <c r="W50">
        <v>0.8</v>
      </c>
      <c r="X50">
        <v>0.5</v>
      </c>
      <c r="Y50">
        <v>0.48</v>
      </c>
      <c r="Z50">
        <v>0.68</v>
      </c>
      <c r="AA50">
        <v>0.56000000000000005</v>
      </c>
      <c r="AB50">
        <v>0.68</v>
      </c>
      <c r="AC50">
        <v>0.84</v>
      </c>
      <c r="AD50">
        <v>1.3</v>
      </c>
      <c r="AE50">
        <v>0.8</v>
      </c>
      <c r="AF50">
        <v>0.7</v>
      </c>
      <c r="AG50">
        <v>0.62</v>
      </c>
      <c r="AH50">
        <v>0.8</v>
      </c>
      <c r="AI50">
        <v>0.64</v>
      </c>
      <c r="AJ50">
        <v>0.78</v>
      </c>
      <c r="AK50">
        <v>0.56000000000000005</v>
      </c>
      <c r="AL50">
        <v>0.98</v>
      </c>
      <c r="AM50">
        <v>1</v>
      </c>
      <c r="AN50">
        <v>0.54</v>
      </c>
      <c r="AO50">
        <v>0.8</v>
      </c>
      <c r="AP50">
        <v>0.88</v>
      </c>
      <c r="AQ50">
        <v>0.3</v>
      </c>
      <c r="AR50">
        <v>0.78</v>
      </c>
      <c r="AS50">
        <v>0.52</v>
      </c>
      <c r="AT50">
        <v>0.82</v>
      </c>
      <c r="AU50">
        <v>0.63</v>
      </c>
      <c r="AV50">
        <v>0.48</v>
      </c>
      <c r="AW50">
        <v>0.88</v>
      </c>
      <c r="AX50">
        <v>0.5</v>
      </c>
      <c r="AY50">
        <v>0.74</v>
      </c>
      <c r="AZ50">
        <v>0.56000000000000005</v>
      </c>
      <c r="BA50">
        <v>0.53</v>
      </c>
      <c r="BB50">
        <v>0.42</v>
      </c>
      <c r="BC50">
        <v>0.84</v>
      </c>
      <c r="BD50">
        <v>0.86</v>
      </c>
      <c r="BE50">
        <v>2</v>
      </c>
      <c r="BF50">
        <v>0.62</v>
      </c>
      <c r="BG50">
        <v>0.62</v>
      </c>
      <c r="BH50">
        <v>0.4</v>
      </c>
      <c r="BI50">
        <v>0.74</v>
      </c>
      <c r="BJ50">
        <v>0.46</v>
      </c>
      <c r="BK50">
        <v>0.32</v>
      </c>
      <c r="BL50">
        <v>0.68</v>
      </c>
      <c r="BM50">
        <v>0.62</v>
      </c>
      <c r="BN50">
        <v>0.54</v>
      </c>
      <c r="BO50">
        <v>1.08</v>
      </c>
      <c r="BP50">
        <v>0.42</v>
      </c>
      <c r="BQ50">
        <v>0.52</v>
      </c>
      <c r="BR50">
        <v>0.3</v>
      </c>
      <c r="BS50">
        <v>0.77</v>
      </c>
      <c r="BT50">
        <v>0.56000000000000005</v>
      </c>
      <c r="BU50">
        <v>0.57999999999999996</v>
      </c>
      <c r="BV50">
        <v>0.6</v>
      </c>
      <c r="BW50">
        <v>0.44</v>
      </c>
      <c r="BX50">
        <v>0.69</v>
      </c>
      <c r="BY50">
        <v>0.74</v>
      </c>
      <c r="BZ50">
        <v>1.1000000000000001</v>
      </c>
      <c r="CA50">
        <v>1.4</v>
      </c>
      <c r="CB50">
        <v>0.5</v>
      </c>
      <c r="CC50">
        <v>1</v>
      </c>
      <c r="CD50">
        <v>0.92</v>
      </c>
      <c r="CE50">
        <v>0.36</v>
      </c>
      <c r="CF50">
        <v>0.4</v>
      </c>
      <c r="CG50">
        <v>0.24</v>
      </c>
      <c r="CH50">
        <v>0.72</v>
      </c>
      <c r="CI50">
        <v>0.38</v>
      </c>
      <c r="CJ50">
        <v>0.6</v>
      </c>
      <c r="CK50">
        <v>1.08</v>
      </c>
    </row>
    <row r="52" spans="1:89" x14ac:dyDescent="0.25">
      <c r="A52" t="s">
        <v>73</v>
      </c>
      <c r="B52">
        <v>0.22562499999999996</v>
      </c>
      <c r="C52">
        <v>0.25090909090909091</v>
      </c>
      <c r="D52">
        <v>0.24727272727272734</v>
      </c>
      <c r="E52">
        <v>0.46750000000000003</v>
      </c>
      <c r="F52">
        <v>0.16200000000000001</v>
      </c>
      <c r="G52">
        <v>9.285714285714286E-2</v>
      </c>
      <c r="H52">
        <v>0.32874999999999999</v>
      </c>
      <c r="I52">
        <v>0.26181818181818178</v>
      </c>
      <c r="J52">
        <v>4.9375000000000002E-2</v>
      </c>
      <c r="K52">
        <v>0.36888888888888888</v>
      </c>
      <c r="L52">
        <v>0.33562500000000001</v>
      </c>
      <c r="M52">
        <v>0.41666666666666674</v>
      </c>
      <c r="N52">
        <v>9.5000000000000015E-2</v>
      </c>
      <c r="O52">
        <v>0.41249999999999998</v>
      </c>
      <c r="P52">
        <v>0.12000000000000001</v>
      </c>
      <c r="Q52">
        <v>0.11546666666666668</v>
      </c>
      <c r="R52">
        <v>0.32300000000000006</v>
      </c>
      <c r="S52">
        <v>0.22454545454545452</v>
      </c>
      <c r="T52">
        <v>7.2727272727272738E-2</v>
      </c>
      <c r="U52">
        <v>0.27666666666666662</v>
      </c>
      <c r="V52">
        <v>0.11750000000000001</v>
      </c>
      <c r="W52">
        <v>8.1818181818181832E-2</v>
      </c>
      <c r="X52">
        <v>0.43875000000000003</v>
      </c>
      <c r="Y52">
        <v>0.19636363636363632</v>
      </c>
      <c r="Z52">
        <v>0.23888888888888887</v>
      </c>
      <c r="AA52">
        <v>0.2558333333333333</v>
      </c>
      <c r="AB52">
        <v>0.23111111111111107</v>
      </c>
      <c r="AC52">
        <v>0.26</v>
      </c>
      <c r="AD52">
        <v>0.31916666666666665</v>
      </c>
      <c r="AE52">
        <v>0.315</v>
      </c>
      <c r="AF52">
        <v>0.12461538461538463</v>
      </c>
      <c r="AG52">
        <v>0.27666666666666667</v>
      </c>
      <c r="AH52">
        <v>0.18066666666666664</v>
      </c>
      <c r="AI52">
        <v>3.1425000000000001</v>
      </c>
      <c r="AJ52">
        <v>3.0833333333333334E-2</v>
      </c>
      <c r="AK52">
        <v>0.26900000000000002</v>
      </c>
      <c r="AL52">
        <v>0.35133333333333339</v>
      </c>
      <c r="AM52">
        <v>0.15583333333333335</v>
      </c>
      <c r="AN52">
        <v>0.19666666666666663</v>
      </c>
      <c r="AO52">
        <v>0.24187500000000001</v>
      </c>
      <c r="AP52">
        <v>9.1538461538461541E-2</v>
      </c>
      <c r="AQ52">
        <v>9.1249999999999998E-2</v>
      </c>
      <c r="AR52">
        <v>0.32</v>
      </c>
      <c r="AS52">
        <v>0.37923076923076926</v>
      </c>
      <c r="AT52">
        <v>0.13727272727272724</v>
      </c>
      <c r="AU52">
        <v>0.1875</v>
      </c>
      <c r="AV52">
        <v>0.30583333333333335</v>
      </c>
      <c r="AW52">
        <v>0.314</v>
      </c>
      <c r="AX52">
        <v>0.39583333333333331</v>
      </c>
      <c r="AY52">
        <v>0.49749999999999994</v>
      </c>
      <c r="AZ52">
        <v>0.21249999999999999</v>
      </c>
      <c r="BA52">
        <v>0.30249999999999999</v>
      </c>
      <c r="BB52">
        <v>0.28000000000000003</v>
      </c>
      <c r="BC52">
        <v>0.16125</v>
      </c>
      <c r="BD52">
        <v>0.16250000000000001</v>
      </c>
      <c r="BE52">
        <v>7.0000000000000007E-2</v>
      </c>
      <c r="BF52">
        <v>0.31</v>
      </c>
      <c r="BG52">
        <v>0.14636363636363636</v>
      </c>
      <c r="BH52">
        <v>0.58624999999999994</v>
      </c>
      <c r="BI52">
        <v>0.11545454545454546</v>
      </c>
      <c r="BJ52">
        <v>0.42124999999999996</v>
      </c>
      <c r="BK52">
        <v>0.3741666666666667</v>
      </c>
      <c r="BL52">
        <v>0.30777777777777771</v>
      </c>
      <c r="BM52">
        <v>0.37916666666666665</v>
      </c>
      <c r="BN52">
        <v>0.14899999999999999</v>
      </c>
      <c r="BO52">
        <v>0.17799999999999999</v>
      </c>
      <c r="BP52">
        <v>0.22750000000000004</v>
      </c>
      <c r="BQ52">
        <v>0.28750000000000003</v>
      </c>
      <c r="BR52">
        <v>0.36166666666666664</v>
      </c>
      <c r="BS52">
        <v>0.34875</v>
      </c>
      <c r="BT52">
        <v>0.16857142857142859</v>
      </c>
      <c r="BU52">
        <v>0.11769230769230769</v>
      </c>
      <c r="BV52">
        <v>0.33124999999999999</v>
      </c>
      <c r="BW52">
        <v>0.18555555555555558</v>
      </c>
      <c r="BX52">
        <v>0.27181818181818185</v>
      </c>
      <c r="BY52">
        <v>0.21333333333333329</v>
      </c>
      <c r="BZ52">
        <v>0.23642857142857143</v>
      </c>
      <c r="CA52">
        <v>0.1435714285714286</v>
      </c>
      <c r="CB52">
        <v>4.2500000000000003E-2</v>
      </c>
      <c r="CC52">
        <v>0.28333333333333333</v>
      </c>
      <c r="CD52">
        <v>0.21000000000000002</v>
      </c>
      <c r="CE52">
        <v>0.22090909090909089</v>
      </c>
      <c r="CF52">
        <v>0.15666666666666665</v>
      </c>
      <c r="CG52">
        <v>0.17625000000000002</v>
      </c>
      <c r="CH52">
        <v>0.18999999999999995</v>
      </c>
      <c r="CI52">
        <v>6.7777777777777784E-2</v>
      </c>
      <c r="CJ52">
        <v>0.11600000000000002</v>
      </c>
      <c r="CK52">
        <v>0.15642857142857142</v>
      </c>
    </row>
    <row r="53" spans="1:89" x14ac:dyDescent="0.25">
      <c r="A53" t="s">
        <v>74</v>
      </c>
      <c r="B53">
        <v>0.12625</v>
      </c>
      <c r="C53">
        <v>0.3322222222222222</v>
      </c>
      <c r="D53">
        <v>0.2776190476190476</v>
      </c>
      <c r="E53">
        <v>0.21333333333333335</v>
      </c>
      <c r="F53">
        <v>6.1333333333333344E-2</v>
      </c>
      <c r="G53">
        <v>0.28375</v>
      </c>
      <c r="H53">
        <v>0.18125000000000002</v>
      </c>
      <c r="I53">
        <v>0.20454545454545456</v>
      </c>
      <c r="J53">
        <v>0.138125</v>
      </c>
      <c r="K53">
        <v>0.28300000000000003</v>
      </c>
      <c r="L53">
        <v>0.46249999999999997</v>
      </c>
      <c r="M53">
        <v>0.57399999999999995</v>
      </c>
      <c r="N53">
        <v>9.8750000000000004E-2</v>
      </c>
      <c r="O53">
        <v>0.47625000000000001</v>
      </c>
      <c r="P53">
        <v>0.13818181818181821</v>
      </c>
      <c r="Q53">
        <v>0.31166666666666665</v>
      </c>
      <c r="R53">
        <v>0.27090909090909093</v>
      </c>
      <c r="S53">
        <v>0.16999999999999996</v>
      </c>
      <c r="T53">
        <v>0.20700000000000002</v>
      </c>
      <c r="U53">
        <v>0.15375</v>
      </c>
      <c r="V53">
        <v>0.10999999999999999</v>
      </c>
      <c r="W53">
        <v>0.28888888888888886</v>
      </c>
      <c r="X53">
        <v>0.50750000000000006</v>
      </c>
      <c r="Y53">
        <v>0.16636363636363635</v>
      </c>
      <c r="Z53">
        <v>0.1676923076923077</v>
      </c>
      <c r="AA53">
        <v>0.23666666666666666</v>
      </c>
      <c r="AB53">
        <v>0.13900000000000001</v>
      </c>
      <c r="AC53">
        <v>0.35599999999999998</v>
      </c>
      <c r="AD53">
        <v>0.20454545454545456</v>
      </c>
      <c r="AE53">
        <v>0.19400000000000001</v>
      </c>
      <c r="AF53">
        <v>0.26500000000000001</v>
      </c>
      <c r="AG53">
        <v>0.46312500000000001</v>
      </c>
      <c r="AH53">
        <v>0.35230769230769232</v>
      </c>
      <c r="AI53">
        <v>0.28466666666666662</v>
      </c>
      <c r="AJ53">
        <v>0.10615384615384617</v>
      </c>
      <c r="AK53">
        <v>0.15444444444444444</v>
      </c>
      <c r="AL53">
        <v>0.31125000000000003</v>
      </c>
      <c r="AM53">
        <v>0.31181818181818183</v>
      </c>
      <c r="AN53">
        <v>0.27363636363636368</v>
      </c>
      <c r="AO53">
        <v>0.19500000000000003</v>
      </c>
      <c r="AP53">
        <v>0.20133333333333334</v>
      </c>
      <c r="AQ53">
        <v>7.4999999999999997E-2</v>
      </c>
      <c r="AR53">
        <v>0.55636363636363628</v>
      </c>
      <c r="AS53">
        <v>0.25533333333333336</v>
      </c>
      <c r="AT53">
        <v>0.15454545454545457</v>
      </c>
      <c r="AU53">
        <v>0.25416666666666665</v>
      </c>
      <c r="AV53">
        <v>0.54272727272727284</v>
      </c>
      <c r="AW53">
        <v>0.19733333333333333</v>
      </c>
      <c r="AX53">
        <v>0.34499999999999997</v>
      </c>
      <c r="AY53">
        <v>0.58125000000000004</v>
      </c>
      <c r="AZ53">
        <v>0.16666666666666666</v>
      </c>
      <c r="BA53">
        <v>0.41375000000000001</v>
      </c>
      <c r="BB53">
        <v>8.2727272727272733E-2</v>
      </c>
      <c r="BC53">
        <v>0.12499999999999999</v>
      </c>
      <c r="BD53">
        <v>0.15</v>
      </c>
      <c r="BE53">
        <v>0.13250000000000001</v>
      </c>
      <c r="BF53">
        <v>0.39266666666666666</v>
      </c>
      <c r="BG53">
        <v>0.31</v>
      </c>
      <c r="BH53">
        <v>0.52100000000000002</v>
      </c>
      <c r="BI53">
        <v>0.28999999999999998</v>
      </c>
      <c r="BJ53">
        <v>0.43374999999999997</v>
      </c>
      <c r="BK53">
        <v>0.34</v>
      </c>
      <c r="BL53">
        <v>0.65499999999999992</v>
      </c>
      <c r="BM53">
        <v>0.28272727272727277</v>
      </c>
      <c r="BN53">
        <v>8.6999999999999994E-2</v>
      </c>
      <c r="BO53">
        <v>0.30615384615384617</v>
      </c>
      <c r="BP53">
        <v>0.10909090909090911</v>
      </c>
      <c r="BQ53">
        <v>0.23333333333333336</v>
      </c>
      <c r="BR53">
        <v>0.27181818181818185</v>
      </c>
      <c r="BS53">
        <v>0.29777777777777781</v>
      </c>
      <c r="BT53">
        <v>0.21733333333333335</v>
      </c>
      <c r="BU53">
        <v>0.23500000000000001</v>
      </c>
      <c r="BV53">
        <v>0.40249999999999997</v>
      </c>
      <c r="BW53">
        <v>0.20875000000000005</v>
      </c>
      <c r="BX53">
        <v>0.20499999999999999</v>
      </c>
      <c r="BY53">
        <v>0.25499999999999995</v>
      </c>
      <c r="BZ53">
        <v>0.23357142857142854</v>
      </c>
      <c r="CA53">
        <v>0.23846153846153845</v>
      </c>
      <c r="CB53">
        <v>5.2500000000000005E-2</v>
      </c>
      <c r="CC53">
        <v>0.34333333333333338</v>
      </c>
      <c r="CD53">
        <v>0.20250000000000001</v>
      </c>
      <c r="CE53">
        <v>0.12636363636363637</v>
      </c>
      <c r="CF53">
        <v>0.18500000000000003</v>
      </c>
      <c r="CG53">
        <v>0.17</v>
      </c>
      <c r="CH53">
        <v>0.13799999999999998</v>
      </c>
      <c r="CI53">
        <v>0.15333333333333332</v>
      </c>
      <c r="CJ53">
        <v>0.19916666666666669</v>
      </c>
      <c r="CK53">
        <v>0.28600000000000009</v>
      </c>
    </row>
    <row r="54" spans="1:89" x14ac:dyDescent="0.25">
      <c r="A54" t="s">
        <v>75</v>
      </c>
      <c r="B54">
        <v>0.17307692307692307</v>
      </c>
      <c r="C54">
        <v>0.361875</v>
      </c>
      <c r="D54">
        <v>0.44681818181818184</v>
      </c>
      <c r="E54">
        <v>0.36307692307692307</v>
      </c>
      <c r="F54">
        <v>0.13866666666666663</v>
      </c>
      <c r="G54">
        <v>0.16375000000000001</v>
      </c>
      <c r="H54">
        <v>0.21799999999999997</v>
      </c>
      <c r="I54">
        <v>0.24181818181818182</v>
      </c>
      <c r="J54">
        <v>1.1875E-2</v>
      </c>
      <c r="K54">
        <v>0.19222222222222218</v>
      </c>
      <c r="L54">
        <v>0.330625</v>
      </c>
      <c r="M54">
        <v>0.216</v>
      </c>
      <c r="N54">
        <v>0.19666666666666666</v>
      </c>
      <c r="O54">
        <v>0.39999999999999997</v>
      </c>
      <c r="P54">
        <v>9.5454545454545459E-2</v>
      </c>
      <c r="Q54">
        <v>0.19</v>
      </c>
      <c r="R54">
        <v>0.33199999999999996</v>
      </c>
      <c r="S54">
        <v>0.29499999999999998</v>
      </c>
      <c r="T54">
        <v>7.8181818181818186E-2</v>
      </c>
      <c r="U54">
        <v>0.27857142857142858</v>
      </c>
      <c r="V54">
        <v>0.18375</v>
      </c>
      <c r="W54">
        <v>0.18875</v>
      </c>
      <c r="X54">
        <v>0.26874999999999999</v>
      </c>
      <c r="Y54">
        <v>0.2818181818181818</v>
      </c>
      <c r="Z54">
        <v>0.27300000000000002</v>
      </c>
      <c r="AA54">
        <v>0.20333333333333334</v>
      </c>
      <c r="AB54">
        <v>0.14699999999999999</v>
      </c>
      <c r="AC54">
        <v>0.27600000000000002</v>
      </c>
      <c r="AD54">
        <v>0.27090909090909093</v>
      </c>
      <c r="AE54">
        <v>0.22000000000000003</v>
      </c>
      <c r="AF54">
        <v>0.16428571428571434</v>
      </c>
      <c r="AG54">
        <v>0.33875</v>
      </c>
      <c r="AH54">
        <v>0.18153846153846154</v>
      </c>
      <c r="AI54">
        <v>0.34500000000000003</v>
      </c>
      <c r="AJ54">
        <v>6.7500000000000004E-2</v>
      </c>
      <c r="AK54">
        <v>0.19000000000000006</v>
      </c>
      <c r="AL54">
        <v>2.2499999999999999E-2</v>
      </c>
      <c r="AM54">
        <v>0.24916666666666665</v>
      </c>
      <c r="AN54">
        <v>0.30363636363636365</v>
      </c>
      <c r="AO54">
        <v>9.7500000000000017E-2</v>
      </c>
      <c r="AP54">
        <v>0.11714285714285713</v>
      </c>
      <c r="AQ54">
        <v>9.6250000000000002E-2</v>
      </c>
      <c r="AR54">
        <v>0.05</v>
      </c>
      <c r="AS54">
        <v>0.32375000000000004</v>
      </c>
      <c r="AT54">
        <v>2.8333333333333335E-2</v>
      </c>
      <c r="AU54">
        <v>0.32454545454545453</v>
      </c>
      <c r="AV54">
        <v>0.72799999999999998</v>
      </c>
      <c r="AW54">
        <v>0.29466666666666669</v>
      </c>
      <c r="AX54">
        <v>0.26090909090909092</v>
      </c>
      <c r="AY54">
        <v>0.39124999999999999</v>
      </c>
      <c r="AZ54">
        <v>0.19466666666666668</v>
      </c>
      <c r="BA54">
        <v>0.26500000000000001</v>
      </c>
      <c r="BB54">
        <v>0.25</v>
      </c>
      <c r="BC54">
        <v>0.13625000000000001</v>
      </c>
      <c r="BD54">
        <v>0.12727272727272729</v>
      </c>
      <c r="BE54">
        <v>0.13</v>
      </c>
      <c r="BF54">
        <v>0.40266666666666673</v>
      </c>
      <c r="BG54">
        <v>0.26999999999999996</v>
      </c>
      <c r="BH54">
        <v>0.30375000000000002</v>
      </c>
      <c r="BI54">
        <v>0.24090909090909091</v>
      </c>
      <c r="BJ54">
        <v>0.23374999999999999</v>
      </c>
      <c r="BK54">
        <v>0.29166666666666669</v>
      </c>
      <c r="BL54">
        <v>0.25700000000000001</v>
      </c>
      <c r="BM54">
        <v>0.46111111111111103</v>
      </c>
      <c r="BN54">
        <v>0.13636363636363635</v>
      </c>
      <c r="BO54">
        <v>0.23538461538461541</v>
      </c>
      <c r="BP54">
        <v>0.14777777777777776</v>
      </c>
      <c r="BQ54">
        <v>0.16583333333333333</v>
      </c>
      <c r="BR54">
        <v>0.27416666666666667</v>
      </c>
      <c r="BS54">
        <v>0.31</v>
      </c>
      <c r="BT54">
        <v>0.17466666666666666</v>
      </c>
      <c r="BU54">
        <v>0.24071428571428574</v>
      </c>
      <c r="BV54">
        <v>0.40625</v>
      </c>
      <c r="BW54">
        <v>0.15750000000000003</v>
      </c>
      <c r="BX54">
        <v>0.21090909090909093</v>
      </c>
      <c r="BY54">
        <v>0.26666666666666666</v>
      </c>
      <c r="BZ54">
        <v>0.40066666666666667</v>
      </c>
      <c r="CA54">
        <v>0.29833333333333328</v>
      </c>
      <c r="CB54">
        <v>7.4999999999999997E-2</v>
      </c>
      <c r="CC54">
        <v>0.39799999999999996</v>
      </c>
      <c r="CD54">
        <v>0.20375000000000001</v>
      </c>
      <c r="CE54">
        <v>0.10909090909090911</v>
      </c>
      <c r="CF54">
        <v>0.17666666666666667</v>
      </c>
      <c r="CG54">
        <v>0.11099999999999999</v>
      </c>
      <c r="CH54">
        <v>0.19874999999999995</v>
      </c>
      <c r="CI54">
        <v>4.4615384615384626E-2</v>
      </c>
      <c r="CJ54">
        <v>0.12153846153846154</v>
      </c>
      <c r="CK54">
        <v>0.1242857142857143</v>
      </c>
    </row>
    <row r="55" spans="1:89" x14ac:dyDescent="0.25">
      <c r="A55" t="s">
        <v>257</v>
      </c>
      <c r="B55">
        <v>0.17511111111111111</v>
      </c>
      <c r="C55">
        <v>0.30293103448275854</v>
      </c>
      <c r="D55">
        <v>0.31915492957746472</v>
      </c>
      <c r="E55">
        <v>0.33393939393939392</v>
      </c>
      <c r="F55">
        <v>0.114375</v>
      </c>
      <c r="G55">
        <v>0.16812499999999997</v>
      </c>
      <c r="H55">
        <v>0.24319148936170212</v>
      </c>
      <c r="I55">
        <v>0.22999999999999998</v>
      </c>
      <c r="J55">
        <v>6.6458333333333314E-2</v>
      </c>
      <c r="K55">
        <v>0.26838709677419342</v>
      </c>
      <c r="L55">
        <v>0.37625000000000003</v>
      </c>
      <c r="M55">
        <v>0.40729166666666677</v>
      </c>
      <c r="N55">
        <v>0.12884615384615386</v>
      </c>
      <c r="O55">
        <v>0.42958333333333326</v>
      </c>
      <c r="P55">
        <v>0.11666666666666667</v>
      </c>
      <c r="Q55">
        <v>0.19572727272727269</v>
      </c>
      <c r="R55">
        <v>0.31176470588235289</v>
      </c>
      <c r="S55">
        <v>0.23810810810810817</v>
      </c>
      <c r="T55">
        <v>0.10885714285714287</v>
      </c>
      <c r="U55">
        <v>0.23355555555555552</v>
      </c>
      <c r="V55">
        <v>0.13708333333333331</v>
      </c>
      <c r="W55">
        <v>0.17892857142857141</v>
      </c>
      <c r="X55">
        <v>0.40499999999999997</v>
      </c>
      <c r="Y55">
        <v>0.20942857142857141</v>
      </c>
      <c r="Z55">
        <v>0.20399999999999996</v>
      </c>
      <c r="AA55">
        <v>0.23194444444444443</v>
      </c>
      <c r="AB55">
        <v>0.17034482758620684</v>
      </c>
      <c r="AC55">
        <v>0.291875</v>
      </c>
      <c r="AD55">
        <v>0.25972972972972974</v>
      </c>
      <c r="AE55">
        <v>0.23724137931034484</v>
      </c>
      <c r="AF55">
        <v>0.18761904761904763</v>
      </c>
      <c r="AG55">
        <v>0.3612765957446808</v>
      </c>
      <c r="AH55">
        <v>0.23454545454545447</v>
      </c>
      <c r="AI55">
        <v>1.2235135135135136</v>
      </c>
      <c r="AJ55">
        <v>6.7368421052631577E-2</v>
      </c>
      <c r="AK55">
        <v>0.19833333333333331</v>
      </c>
      <c r="AL55">
        <v>0.22574468085106375</v>
      </c>
      <c r="AM55">
        <v>0.23135135135135132</v>
      </c>
      <c r="AN55">
        <v>0.26650000000000001</v>
      </c>
      <c r="AO55">
        <v>0.17812500000000001</v>
      </c>
      <c r="AP55">
        <v>0.13533333333333328</v>
      </c>
      <c r="AQ55">
        <v>8.7500000000000022E-2</v>
      </c>
      <c r="AR55">
        <v>0.30843749999999998</v>
      </c>
      <c r="AS55">
        <v>0.31026315789473685</v>
      </c>
      <c r="AT55">
        <v>0.10441176470588232</v>
      </c>
      <c r="AU55">
        <v>0.25342857142857139</v>
      </c>
      <c r="AV55">
        <v>0.5127272727272727</v>
      </c>
      <c r="AW55">
        <v>0.26500000000000001</v>
      </c>
      <c r="AX55">
        <v>0.33600000000000002</v>
      </c>
      <c r="AY55">
        <v>0.4924</v>
      </c>
      <c r="AZ55">
        <v>0.19173913043478258</v>
      </c>
      <c r="BA55">
        <v>0.32708333333333334</v>
      </c>
      <c r="BB55">
        <v>0.19161290322580646</v>
      </c>
      <c r="BC55">
        <v>0.14083333333333334</v>
      </c>
      <c r="BD55">
        <v>0.16774193548387092</v>
      </c>
      <c r="BE55">
        <v>0.11083333333333334</v>
      </c>
      <c r="BF55">
        <v>0.3664583333333335</v>
      </c>
      <c r="BG55">
        <v>0.24200000000000008</v>
      </c>
      <c r="BH55">
        <v>0.47423076923076912</v>
      </c>
      <c r="BI55">
        <v>0.19771428571428576</v>
      </c>
      <c r="BJ55">
        <v>0.36291666666666661</v>
      </c>
      <c r="BK55">
        <v>0.33527777777777773</v>
      </c>
      <c r="BL55">
        <v>0.39185185185185178</v>
      </c>
      <c r="BM55">
        <v>0.36151515151515157</v>
      </c>
      <c r="BN55">
        <v>0.12</v>
      </c>
      <c r="BO55">
        <v>0.23227272727272724</v>
      </c>
      <c r="BP55">
        <v>0.15586206896551721</v>
      </c>
      <c r="BQ55">
        <v>0.22888888888888895</v>
      </c>
      <c r="BR55">
        <v>0.30342857142857138</v>
      </c>
      <c r="BS55">
        <v>0.31799999999999995</v>
      </c>
      <c r="BT55">
        <v>0.18723404255319145</v>
      </c>
      <c r="BU55">
        <v>0.20272727272727276</v>
      </c>
      <c r="BV55">
        <v>0.38160000000000005</v>
      </c>
      <c r="BW55">
        <v>0.184</v>
      </c>
      <c r="BX55">
        <v>0.22945945945945947</v>
      </c>
      <c r="BY55">
        <v>0.245</v>
      </c>
      <c r="BZ55">
        <v>0.31555555555555559</v>
      </c>
      <c r="CA55">
        <v>0.22282051282051279</v>
      </c>
      <c r="CB55">
        <v>5.6666666666666671E-2</v>
      </c>
      <c r="CC55">
        <v>0.34937499999999999</v>
      </c>
      <c r="CD55">
        <v>0.20541666666666666</v>
      </c>
      <c r="CE55">
        <v>0.14999999999999997</v>
      </c>
      <c r="CF55">
        <v>0.17277777777777775</v>
      </c>
      <c r="CG55">
        <v>0.19</v>
      </c>
      <c r="CH55">
        <v>0.17638297872340425</v>
      </c>
      <c r="CI55">
        <v>8.5882352941176465E-2</v>
      </c>
      <c r="CJ55">
        <v>0.14619047619047612</v>
      </c>
      <c r="CK55">
        <v>0.18108695652173909</v>
      </c>
    </row>
    <row r="56" spans="1:89" x14ac:dyDescent="0.25">
      <c r="A56" t="s">
        <v>256</v>
      </c>
      <c r="B56">
        <v>0.18236604326840494</v>
      </c>
      <c r="C56">
        <v>0.20296926239237334</v>
      </c>
      <c r="D56">
        <v>0.19181647835420526</v>
      </c>
      <c r="E56">
        <v>0.18861235699741738</v>
      </c>
      <c r="F56">
        <v>0.19113219497888581</v>
      </c>
      <c r="G56">
        <v>0.15432344542049217</v>
      </c>
      <c r="H56">
        <v>0.1472221979803601</v>
      </c>
      <c r="I56">
        <v>0.15693492736982245</v>
      </c>
      <c r="J56">
        <v>0.12298572107627975</v>
      </c>
      <c r="K56">
        <v>0.15684592809917122</v>
      </c>
      <c r="L56">
        <v>0.33540464605569292</v>
      </c>
      <c r="M56">
        <v>0.32523470793909265</v>
      </c>
      <c r="N56">
        <v>0.1208081759841418</v>
      </c>
      <c r="O56">
        <v>0.22609115450394685</v>
      </c>
      <c r="P56">
        <v>0.13294467162803375</v>
      </c>
      <c r="Q56">
        <v>0.18987760606615064</v>
      </c>
      <c r="R56">
        <v>0.19618282426032957</v>
      </c>
      <c r="S56">
        <v>0.12571656475840653</v>
      </c>
      <c r="T56">
        <v>0.15840698567059375</v>
      </c>
      <c r="U56">
        <v>0.2047188266374102</v>
      </c>
      <c r="V56">
        <v>9.5438537775647189E-2</v>
      </c>
      <c r="W56">
        <v>0.15009476724202997</v>
      </c>
      <c r="X56">
        <v>0.25901149882146002</v>
      </c>
      <c r="Y56">
        <v>0.12564990712158872</v>
      </c>
      <c r="Z56">
        <v>0.18137059882364359</v>
      </c>
      <c r="AA56">
        <v>0.22565231719166601</v>
      </c>
      <c r="AB56">
        <v>0.16145505253830794</v>
      </c>
      <c r="AC56">
        <v>0.23431798952015176</v>
      </c>
      <c r="AD56">
        <v>0.24537371142454983</v>
      </c>
      <c r="AE56">
        <v>0.19316714730520188</v>
      </c>
      <c r="AF56">
        <v>0.16558557619241257</v>
      </c>
      <c r="AG56">
        <v>0.24158549680479588</v>
      </c>
      <c r="AH56">
        <v>0.21714269818303172</v>
      </c>
      <c r="AI56">
        <v>5.8779575138422482</v>
      </c>
      <c r="AJ56">
        <v>0.10983240821695954</v>
      </c>
      <c r="AK56">
        <v>0.16712752375178155</v>
      </c>
      <c r="AL56">
        <v>0.27822218741307758</v>
      </c>
      <c r="AM56">
        <v>0.26200256744036948</v>
      </c>
      <c r="AN56">
        <v>0.19515345704053463</v>
      </c>
      <c r="AO56">
        <v>0.2008985797901571</v>
      </c>
      <c r="AP56">
        <v>0.13354604245182805</v>
      </c>
      <c r="AQ56">
        <v>8.7984682461358502E-2</v>
      </c>
      <c r="AR56">
        <v>0.29630095179100946</v>
      </c>
      <c r="AS56">
        <v>0.19729915332629205</v>
      </c>
      <c r="AT56">
        <v>0.16263346363452122</v>
      </c>
      <c r="AU56">
        <v>0.25463864658793339</v>
      </c>
      <c r="AV56">
        <v>0.31703975231105413</v>
      </c>
      <c r="AW56">
        <v>0.17136498314068865</v>
      </c>
      <c r="AX56">
        <v>0.26944605484324352</v>
      </c>
      <c r="AY56">
        <v>0.2148503355051295</v>
      </c>
      <c r="AZ56">
        <v>0.16349385782314188</v>
      </c>
      <c r="BA56">
        <v>0.19068478808178985</v>
      </c>
      <c r="BB56">
        <v>0.18615579092422471</v>
      </c>
      <c r="BC56">
        <v>8.7074014826301727E-2</v>
      </c>
      <c r="BD56">
        <v>0.18800194462503764</v>
      </c>
      <c r="BE56">
        <v>6.268740020871448E-2</v>
      </c>
      <c r="BF56">
        <v>0.24621811454293518</v>
      </c>
      <c r="BG56">
        <v>0.17176933918005541</v>
      </c>
      <c r="BH56">
        <v>0.20856026614718517</v>
      </c>
      <c r="BI56">
        <v>0.20315287947005517</v>
      </c>
      <c r="BJ56">
        <v>0.15894979154400951</v>
      </c>
      <c r="BK56">
        <v>0.2227039817606849</v>
      </c>
      <c r="BL56">
        <v>0.29929451711851995</v>
      </c>
      <c r="BM56">
        <v>0.278670069393463</v>
      </c>
      <c r="BN56">
        <v>0.1162807469928368</v>
      </c>
      <c r="BO56">
        <v>0.22567587001863557</v>
      </c>
      <c r="BP56">
        <v>0.14363936093512886</v>
      </c>
      <c r="BQ56">
        <v>0.23089611489372411</v>
      </c>
      <c r="BR56">
        <v>0.19380012227797488</v>
      </c>
      <c r="BS56">
        <v>0.12760616495034002</v>
      </c>
      <c r="BT56">
        <v>0.11011263260584346</v>
      </c>
      <c r="BU56">
        <v>0.19151007789820107</v>
      </c>
      <c r="BV56">
        <v>0.21318380176114057</v>
      </c>
      <c r="BW56">
        <v>0.13503086067019396</v>
      </c>
      <c r="BX56">
        <v>0.16978656447869336</v>
      </c>
      <c r="BY56">
        <v>0.16739175606940748</v>
      </c>
      <c r="BZ56">
        <v>0.26554879328696185</v>
      </c>
      <c r="CA56">
        <v>0.25483687990089821</v>
      </c>
      <c r="CB56">
        <v>5.4904396487195702E-2</v>
      </c>
      <c r="CC56">
        <v>0.21239672083456607</v>
      </c>
      <c r="CD56">
        <v>0.22463456636456711</v>
      </c>
      <c r="CE56">
        <v>0.17647338933351153</v>
      </c>
      <c r="CF56">
        <v>0.13863850446623743</v>
      </c>
      <c r="CG56">
        <v>0.21505813167606569</v>
      </c>
      <c r="CH56">
        <v>0.15216446382714946</v>
      </c>
      <c r="CI56">
        <v>0.11297942014417534</v>
      </c>
      <c r="CJ56">
        <v>0.14573534952854356</v>
      </c>
      <c r="CK56">
        <v>0.18876473612373879</v>
      </c>
    </row>
    <row r="57" spans="1:89" x14ac:dyDescent="0.25">
      <c r="A57" t="s">
        <v>76</v>
      </c>
      <c r="B57">
        <v>0.57999999999999996</v>
      </c>
      <c r="C57">
        <v>0.83</v>
      </c>
      <c r="D57">
        <v>0.39</v>
      </c>
      <c r="E57">
        <v>0.69</v>
      </c>
      <c r="F57">
        <v>0.93</v>
      </c>
      <c r="G57">
        <v>0.28999999999999998</v>
      </c>
      <c r="H57">
        <v>0.74</v>
      </c>
      <c r="I57">
        <v>0.61</v>
      </c>
      <c r="J57">
        <v>0.25</v>
      </c>
      <c r="K57">
        <v>0.6</v>
      </c>
      <c r="L57">
        <v>0.72</v>
      </c>
      <c r="M57">
        <v>1.1499999999999999</v>
      </c>
      <c r="N57">
        <v>0.28000000000000003</v>
      </c>
      <c r="O57">
        <v>0.99</v>
      </c>
      <c r="P57">
        <v>0.53</v>
      </c>
      <c r="Q57">
        <v>0.55000000000000004</v>
      </c>
      <c r="R57">
        <v>0.64</v>
      </c>
      <c r="S57">
        <v>0.35</v>
      </c>
      <c r="T57">
        <v>0.3</v>
      </c>
      <c r="U57">
        <v>0.61</v>
      </c>
      <c r="V57">
        <v>0.25</v>
      </c>
      <c r="W57">
        <v>0.36</v>
      </c>
      <c r="X57">
        <v>0.79</v>
      </c>
      <c r="Y57">
        <v>0.56000000000000005</v>
      </c>
      <c r="Z57">
        <v>0.54</v>
      </c>
      <c r="AA57">
        <v>0.72</v>
      </c>
      <c r="AB57">
        <v>0.5</v>
      </c>
      <c r="AC57">
        <v>0.89</v>
      </c>
      <c r="AD57">
        <v>0.84</v>
      </c>
      <c r="AE57">
        <v>0.71</v>
      </c>
      <c r="AF57">
        <v>0.6</v>
      </c>
      <c r="AG57">
        <v>0.6</v>
      </c>
      <c r="AH57">
        <v>0.51</v>
      </c>
      <c r="AI57">
        <v>36</v>
      </c>
      <c r="AJ57">
        <v>0.15</v>
      </c>
      <c r="AK57">
        <v>0.9</v>
      </c>
      <c r="AL57">
        <v>1.02</v>
      </c>
      <c r="AM57">
        <v>0.97</v>
      </c>
      <c r="AN57">
        <v>0.42</v>
      </c>
      <c r="AO57">
        <v>1.1000000000000001</v>
      </c>
      <c r="AP57">
        <v>0.47</v>
      </c>
      <c r="AQ57">
        <v>0.28999999999999998</v>
      </c>
      <c r="AR57">
        <v>1.1000000000000001</v>
      </c>
      <c r="AS57">
        <v>0.77</v>
      </c>
      <c r="AT57">
        <v>0.32</v>
      </c>
      <c r="AU57">
        <v>0.4</v>
      </c>
      <c r="AV57">
        <v>0.78</v>
      </c>
      <c r="AW57">
        <v>0.56000000000000005</v>
      </c>
      <c r="AX57">
        <v>0.93</v>
      </c>
      <c r="AY57">
        <v>0.79</v>
      </c>
      <c r="AZ57">
        <v>0.61</v>
      </c>
      <c r="BA57">
        <v>0.67</v>
      </c>
      <c r="BB57">
        <v>0.68</v>
      </c>
      <c r="BC57">
        <v>0.28999999999999998</v>
      </c>
      <c r="BD57">
        <v>0.36</v>
      </c>
      <c r="BE57">
        <v>0.14000000000000001</v>
      </c>
      <c r="BF57">
        <v>1.04</v>
      </c>
      <c r="BG57">
        <v>0.26</v>
      </c>
      <c r="BH57">
        <v>0.99</v>
      </c>
      <c r="BI57">
        <v>0.45</v>
      </c>
      <c r="BJ57">
        <v>0.67</v>
      </c>
      <c r="BK57">
        <v>0.75</v>
      </c>
      <c r="BL57">
        <v>0.71</v>
      </c>
      <c r="BM57">
        <v>0.86</v>
      </c>
      <c r="BN57">
        <v>0.47</v>
      </c>
      <c r="BO57">
        <v>0.89</v>
      </c>
      <c r="BP57">
        <v>0.44</v>
      </c>
      <c r="BQ57">
        <v>1.04</v>
      </c>
      <c r="BR57">
        <v>0.7</v>
      </c>
      <c r="BS57">
        <v>0.42</v>
      </c>
      <c r="BT57">
        <v>0.39</v>
      </c>
      <c r="BU57">
        <v>0.28000000000000003</v>
      </c>
      <c r="BV57">
        <v>0.86</v>
      </c>
      <c r="BW57">
        <v>0.34</v>
      </c>
      <c r="BX57">
        <v>0.54</v>
      </c>
      <c r="BY57">
        <v>0.48</v>
      </c>
      <c r="BZ57">
        <v>0.54</v>
      </c>
      <c r="CA57">
        <v>1.03</v>
      </c>
      <c r="CB57">
        <v>0.13</v>
      </c>
      <c r="CC57">
        <v>0.62</v>
      </c>
      <c r="CD57">
        <v>0.41</v>
      </c>
      <c r="CE57">
        <v>0.69</v>
      </c>
      <c r="CF57">
        <v>0.3</v>
      </c>
      <c r="CG57">
        <v>0.39</v>
      </c>
      <c r="CH57">
        <v>0.56999999999999995</v>
      </c>
      <c r="CI57">
        <v>0.18</v>
      </c>
      <c r="CJ57">
        <v>0.31</v>
      </c>
      <c r="CK57">
        <v>0.69</v>
      </c>
    </row>
    <row r="58" spans="1:89" x14ac:dyDescent="0.25">
      <c r="A58" t="s">
        <v>77</v>
      </c>
      <c r="B58">
        <v>0.5</v>
      </c>
      <c r="C58">
        <v>0.75</v>
      </c>
      <c r="D58">
        <v>0.46</v>
      </c>
      <c r="E58">
        <v>0.44</v>
      </c>
      <c r="F58">
        <v>0.52</v>
      </c>
      <c r="G58">
        <v>0.43</v>
      </c>
      <c r="H58">
        <v>0.53</v>
      </c>
      <c r="I58">
        <v>0.54</v>
      </c>
      <c r="J58">
        <v>0.61</v>
      </c>
      <c r="K58">
        <v>0.72</v>
      </c>
      <c r="L58">
        <v>1.34</v>
      </c>
      <c r="M58">
        <v>1.46</v>
      </c>
      <c r="N58">
        <v>0.31</v>
      </c>
      <c r="O58">
        <v>0.95</v>
      </c>
      <c r="P58">
        <v>0.56999999999999995</v>
      </c>
      <c r="Q58">
        <v>0.65</v>
      </c>
      <c r="R58">
        <v>0.83</v>
      </c>
      <c r="S58">
        <v>0.28999999999999998</v>
      </c>
      <c r="T58">
        <v>0.56000000000000005</v>
      </c>
      <c r="U58">
        <v>0.62</v>
      </c>
      <c r="V58">
        <v>0.25</v>
      </c>
      <c r="W58">
        <v>0.53</v>
      </c>
      <c r="X58">
        <v>0.96</v>
      </c>
      <c r="Y58">
        <v>0.38</v>
      </c>
      <c r="Z58">
        <v>0.48</v>
      </c>
      <c r="AA58">
        <v>0.92</v>
      </c>
      <c r="AB58">
        <v>0.26</v>
      </c>
      <c r="AC58">
        <v>0.89</v>
      </c>
      <c r="AD58">
        <v>0.67</v>
      </c>
      <c r="AE58">
        <v>0.45</v>
      </c>
      <c r="AF58">
        <v>0.52</v>
      </c>
      <c r="AG58">
        <v>1.04</v>
      </c>
      <c r="AH58">
        <v>1.24</v>
      </c>
      <c r="AI58">
        <v>0.55000000000000004</v>
      </c>
      <c r="AJ58">
        <v>0.33</v>
      </c>
      <c r="AK58">
        <v>0.24</v>
      </c>
      <c r="AL58">
        <v>0.85</v>
      </c>
      <c r="AM58">
        <v>0.74</v>
      </c>
      <c r="AN58">
        <v>0.56000000000000005</v>
      </c>
      <c r="AO58">
        <v>0.38</v>
      </c>
      <c r="AP58">
        <v>0.43</v>
      </c>
      <c r="AQ58">
        <v>0.23</v>
      </c>
      <c r="AR58">
        <v>0.89</v>
      </c>
      <c r="AS58">
        <v>0.57999999999999996</v>
      </c>
      <c r="AT58">
        <v>0.78</v>
      </c>
      <c r="AU58">
        <v>0.76</v>
      </c>
      <c r="AV58">
        <v>0.92</v>
      </c>
      <c r="AW58">
        <v>0.53</v>
      </c>
      <c r="AX58">
        <v>0.72</v>
      </c>
      <c r="AY58">
        <v>1.05</v>
      </c>
      <c r="AZ58">
        <v>0.49</v>
      </c>
      <c r="BA58">
        <v>0.93</v>
      </c>
      <c r="BB58">
        <v>0.18</v>
      </c>
      <c r="BC58">
        <v>0.25</v>
      </c>
      <c r="BD58">
        <v>0.39</v>
      </c>
      <c r="BE58">
        <v>0.28999999999999998</v>
      </c>
      <c r="BF58">
        <v>0.88</v>
      </c>
      <c r="BG58">
        <v>0.86</v>
      </c>
      <c r="BH58">
        <v>0.95</v>
      </c>
      <c r="BI58">
        <v>0.94</v>
      </c>
      <c r="BJ58">
        <v>0.72</v>
      </c>
      <c r="BK58">
        <v>0.8</v>
      </c>
      <c r="BL58">
        <v>1.23</v>
      </c>
      <c r="BM58">
        <v>1.1200000000000001</v>
      </c>
      <c r="BN58">
        <v>0.27</v>
      </c>
      <c r="BO58">
        <v>0.78</v>
      </c>
      <c r="BP58">
        <v>0.52</v>
      </c>
      <c r="BQ58">
        <v>0.52</v>
      </c>
      <c r="BR58">
        <v>0.75</v>
      </c>
      <c r="BS58">
        <v>0.75</v>
      </c>
      <c r="BT58">
        <v>0.4</v>
      </c>
      <c r="BU58">
        <v>0.69</v>
      </c>
      <c r="BV58">
        <v>0.96</v>
      </c>
      <c r="BW58">
        <v>0.45</v>
      </c>
      <c r="BX58">
        <v>0.45</v>
      </c>
      <c r="BY58">
        <v>0.53</v>
      </c>
      <c r="BZ58">
        <v>0.81</v>
      </c>
      <c r="CA58">
        <v>0.97</v>
      </c>
      <c r="CB58">
        <v>0.12</v>
      </c>
      <c r="CC58">
        <v>0.71</v>
      </c>
      <c r="CD58">
        <v>0.61</v>
      </c>
      <c r="CE58">
        <v>0.51</v>
      </c>
      <c r="CF58">
        <v>0.62</v>
      </c>
      <c r="CG58">
        <v>0.39</v>
      </c>
      <c r="CH58">
        <v>0.4</v>
      </c>
      <c r="CI58">
        <v>0.57999999999999996</v>
      </c>
      <c r="CJ58">
        <v>0.44</v>
      </c>
      <c r="CK58">
        <v>0.78</v>
      </c>
    </row>
    <row r="59" spans="1:89" x14ac:dyDescent="0.25">
      <c r="A59" t="s">
        <v>78</v>
      </c>
      <c r="B59">
        <v>0.68</v>
      </c>
      <c r="C59">
        <v>0.75</v>
      </c>
      <c r="D59">
        <v>1.01</v>
      </c>
      <c r="E59">
        <v>0.65</v>
      </c>
      <c r="F59">
        <v>0.6</v>
      </c>
      <c r="G59">
        <v>0.6</v>
      </c>
      <c r="H59">
        <v>0.42</v>
      </c>
      <c r="I59">
        <v>0.46</v>
      </c>
      <c r="J59">
        <v>0.05</v>
      </c>
      <c r="K59">
        <v>0.36</v>
      </c>
      <c r="L59">
        <v>1.2</v>
      </c>
      <c r="M59">
        <v>0.4</v>
      </c>
      <c r="N59">
        <v>0.49</v>
      </c>
      <c r="O59">
        <v>0.83</v>
      </c>
      <c r="P59">
        <v>0.28000000000000003</v>
      </c>
      <c r="Q59">
        <v>0.5</v>
      </c>
      <c r="R59">
        <v>0.64</v>
      </c>
      <c r="S59">
        <v>0.55000000000000004</v>
      </c>
      <c r="T59">
        <v>0.56999999999999995</v>
      </c>
      <c r="U59">
        <v>0.76</v>
      </c>
      <c r="V59">
        <v>0.37</v>
      </c>
      <c r="W59">
        <v>0.39</v>
      </c>
      <c r="X59">
        <v>0.57999999999999996</v>
      </c>
      <c r="Y59">
        <v>0.46</v>
      </c>
      <c r="Z59">
        <v>0.67</v>
      </c>
      <c r="AA59">
        <v>0.46</v>
      </c>
      <c r="AB59">
        <v>0.56000000000000005</v>
      </c>
      <c r="AC59">
        <v>0.53</v>
      </c>
      <c r="AD59">
        <v>1.01</v>
      </c>
      <c r="AE59">
        <v>0.64</v>
      </c>
      <c r="AF59">
        <v>0.28999999999999998</v>
      </c>
      <c r="AG59">
        <v>0.91</v>
      </c>
      <c r="AH59">
        <v>0.34</v>
      </c>
      <c r="AI59">
        <v>0.79</v>
      </c>
      <c r="AJ59">
        <v>0.46</v>
      </c>
      <c r="AK59">
        <v>0.42</v>
      </c>
      <c r="AL59">
        <v>7.0000000000000007E-2</v>
      </c>
      <c r="AM59">
        <v>0.8</v>
      </c>
      <c r="AN59">
        <v>0.8</v>
      </c>
      <c r="AO59">
        <v>0.17</v>
      </c>
      <c r="AP59">
        <v>0.42</v>
      </c>
      <c r="AQ59">
        <v>0.25</v>
      </c>
      <c r="AR59">
        <v>0.09</v>
      </c>
      <c r="AS59">
        <v>0.83</v>
      </c>
      <c r="AT59">
        <v>0.09</v>
      </c>
      <c r="AU59">
        <v>1.04</v>
      </c>
      <c r="AV59">
        <v>1.23</v>
      </c>
      <c r="AW59">
        <v>0.85</v>
      </c>
      <c r="AX59">
        <v>0.75</v>
      </c>
      <c r="AY59">
        <v>0.78</v>
      </c>
      <c r="AZ59">
        <v>0.46</v>
      </c>
      <c r="BA59">
        <v>0.36</v>
      </c>
      <c r="BB59">
        <v>0.67</v>
      </c>
      <c r="BC59">
        <v>0.28000000000000003</v>
      </c>
      <c r="BD59">
        <v>0.25</v>
      </c>
      <c r="BE59">
        <v>0.19</v>
      </c>
      <c r="BF59">
        <v>0.86</v>
      </c>
      <c r="BG59">
        <v>0.5</v>
      </c>
      <c r="BH59">
        <v>0.42</v>
      </c>
      <c r="BI59">
        <v>0.56999999999999995</v>
      </c>
      <c r="BJ59">
        <v>0.44</v>
      </c>
      <c r="BK59">
        <v>0.88</v>
      </c>
      <c r="BL59">
        <v>0.6</v>
      </c>
      <c r="BM59">
        <v>0.94</v>
      </c>
      <c r="BN59">
        <v>0.26</v>
      </c>
      <c r="BO59">
        <v>0.63</v>
      </c>
      <c r="BP59">
        <v>0.41</v>
      </c>
      <c r="BQ59">
        <v>0.53</v>
      </c>
      <c r="BR59">
        <v>0.52</v>
      </c>
      <c r="BS59">
        <v>0.42</v>
      </c>
      <c r="BT59">
        <v>0.43</v>
      </c>
      <c r="BU59">
        <v>0.66</v>
      </c>
      <c r="BV59">
        <v>0.72</v>
      </c>
      <c r="BW59">
        <v>0.44</v>
      </c>
      <c r="BX59">
        <v>0.6</v>
      </c>
      <c r="BY59">
        <v>0.56000000000000005</v>
      </c>
      <c r="BZ59">
        <v>1.1599999999999999</v>
      </c>
      <c r="CA59">
        <v>0.72</v>
      </c>
      <c r="CB59">
        <v>0.2</v>
      </c>
      <c r="CC59">
        <v>0.87</v>
      </c>
      <c r="CD59">
        <v>0.89</v>
      </c>
      <c r="CE59">
        <v>0.41</v>
      </c>
      <c r="CF59">
        <v>0.3</v>
      </c>
      <c r="CG59">
        <v>0.38</v>
      </c>
      <c r="CH59">
        <v>0.53</v>
      </c>
      <c r="CI59">
        <v>0.17</v>
      </c>
      <c r="CJ59">
        <v>0.69</v>
      </c>
      <c r="CK59">
        <v>0.41</v>
      </c>
    </row>
    <row r="61" spans="1:89" x14ac:dyDescent="0.25">
      <c r="A61" t="s">
        <v>258</v>
      </c>
      <c r="B61">
        <v>0.68</v>
      </c>
      <c r="C61">
        <v>0.83</v>
      </c>
      <c r="D61">
        <v>1.01</v>
      </c>
      <c r="E61">
        <v>0.69</v>
      </c>
      <c r="F61">
        <v>0.93</v>
      </c>
      <c r="G61">
        <v>0.6</v>
      </c>
      <c r="H61">
        <v>0.74</v>
      </c>
      <c r="I61">
        <v>0.61</v>
      </c>
      <c r="J61">
        <v>0.61</v>
      </c>
      <c r="K61">
        <v>0.72</v>
      </c>
      <c r="L61">
        <v>1.34</v>
      </c>
      <c r="M61">
        <v>1.46</v>
      </c>
      <c r="N61">
        <v>0.49</v>
      </c>
      <c r="O61">
        <v>0.99</v>
      </c>
      <c r="P61">
        <v>0.56999999999999995</v>
      </c>
      <c r="Q61">
        <v>0.65</v>
      </c>
      <c r="R61">
        <v>0.83</v>
      </c>
      <c r="S61">
        <v>0.55000000000000004</v>
      </c>
      <c r="T61">
        <v>0.56999999999999995</v>
      </c>
      <c r="U61">
        <v>0.76</v>
      </c>
      <c r="V61">
        <v>0.37</v>
      </c>
      <c r="W61">
        <v>0.53</v>
      </c>
      <c r="X61">
        <v>0.96</v>
      </c>
      <c r="Y61">
        <v>0.56000000000000005</v>
      </c>
      <c r="Z61">
        <v>0.67</v>
      </c>
      <c r="AA61">
        <v>0.92</v>
      </c>
      <c r="AB61">
        <v>0.56000000000000005</v>
      </c>
      <c r="AC61">
        <v>0.89</v>
      </c>
      <c r="AD61">
        <v>1.01</v>
      </c>
      <c r="AE61">
        <v>0.71</v>
      </c>
      <c r="AF61">
        <v>0.6</v>
      </c>
      <c r="AG61">
        <v>1.04</v>
      </c>
      <c r="AH61">
        <v>1.24</v>
      </c>
      <c r="AI61">
        <v>36</v>
      </c>
      <c r="AJ61">
        <v>0.46</v>
      </c>
      <c r="AK61">
        <v>0.9</v>
      </c>
      <c r="AL61">
        <v>1.02</v>
      </c>
      <c r="AM61">
        <v>0.97</v>
      </c>
      <c r="AN61">
        <v>0.8</v>
      </c>
      <c r="AO61">
        <v>1.1000000000000001</v>
      </c>
      <c r="AP61">
        <v>0.47</v>
      </c>
      <c r="AQ61">
        <v>0.28999999999999998</v>
      </c>
      <c r="AR61">
        <v>1.1000000000000001</v>
      </c>
      <c r="AS61">
        <v>0.83</v>
      </c>
      <c r="AT61">
        <v>0.78</v>
      </c>
      <c r="AU61">
        <v>1.04</v>
      </c>
      <c r="AV61">
        <v>1.23</v>
      </c>
      <c r="AW61">
        <v>0.85</v>
      </c>
      <c r="AX61">
        <v>0.93</v>
      </c>
      <c r="AY61">
        <v>1.05</v>
      </c>
      <c r="AZ61">
        <v>0.61</v>
      </c>
      <c r="BA61">
        <v>0.93</v>
      </c>
      <c r="BB61">
        <v>0.68</v>
      </c>
      <c r="BC61">
        <v>0.28999999999999998</v>
      </c>
      <c r="BD61">
        <v>0.39</v>
      </c>
      <c r="BE61">
        <v>0.28999999999999998</v>
      </c>
      <c r="BF61">
        <v>1.04</v>
      </c>
      <c r="BG61">
        <v>0.86</v>
      </c>
      <c r="BH61">
        <v>0.99</v>
      </c>
      <c r="BI61">
        <v>0.94</v>
      </c>
      <c r="BJ61">
        <v>0.72</v>
      </c>
      <c r="BK61">
        <v>0.88</v>
      </c>
      <c r="BL61">
        <v>1.23</v>
      </c>
      <c r="BM61">
        <v>1.1200000000000001</v>
      </c>
      <c r="BN61">
        <v>0.47</v>
      </c>
      <c r="BO61">
        <v>0.89</v>
      </c>
      <c r="BP61">
        <v>0.52</v>
      </c>
      <c r="BQ61">
        <v>1.04</v>
      </c>
      <c r="BR61">
        <v>0.75</v>
      </c>
      <c r="BS61">
        <v>0.75</v>
      </c>
      <c r="BT61">
        <v>0.43</v>
      </c>
      <c r="BU61">
        <v>0.69</v>
      </c>
      <c r="BV61">
        <v>0.96</v>
      </c>
      <c r="BW61">
        <v>0.45</v>
      </c>
      <c r="BX61">
        <v>0.6</v>
      </c>
      <c r="BY61">
        <v>0.56000000000000005</v>
      </c>
      <c r="BZ61">
        <v>1.1599999999999999</v>
      </c>
      <c r="CA61">
        <v>1.03</v>
      </c>
      <c r="CB61">
        <v>0.2</v>
      </c>
      <c r="CC61">
        <v>0.87</v>
      </c>
      <c r="CD61">
        <v>0.89</v>
      </c>
      <c r="CE61">
        <v>0.69</v>
      </c>
      <c r="CF61">
        <v>0.62</v>
      </c>
      <c r="CG61">
        <v>0.39</v>
      </c>
      <c r="CH61">
        <v>0.56999999999999995</v>
      </c>
      <c r="CI61">
        <v>0.57999999999999996</v>
      </c>
      <c r="CJ61">
        <v>0.69</v>
      </c>
      <c r="CK61">
        <v>0.78</v>
      </c>
    </row>
    <row r="63" spans="1:89" x14ac:dyDescent="0.25">
      <c r="A63" t="s">
        <v>198</v>
      </c>
      <c r="B63">
        <v>50</v>
      </c>
      <c r="C63">
        <v>20.833333333333336</v>
      </c>
      <c r="D63">
        <v>4.1666666666666661</v>
      </c>
      <c r="E63">
        <v>83.333333333333343</v>
      </c>
      <c r="F63">
        <v>41.666666666666671</v>
      </c>
      <c r="G63">
        <v>25</v>
      </c>
      <c r="H63">
        <v>29.166666666666668</v>
      </c>
      <c r="I63">
        <v>12.5</v>
      </c>
      <c r="J63">
        <v>29.166666666666668</v>
      </c>
      <c r="K63">
        <v>37.5</v>
      </c>
      <c r="L63">
        <v>29.166666666666668</v>
      </c>
      <c r="M63">
        <v>16.666666666666664</v>
      </c>
      <c r="N63">
        <v>29.166666666666668</v>
      </c>
      <c r="O63">
        <v>20.833333333333336</v>
      </c>
      <c r="P63">
        <v>16.666666666666664</v>
      </c>
      <c r="Q63">
        <v>29.166666666666668</v>
      </c>
      <c r="R63">
        <v>12.5</v>
      </c>
      <c r="S63">
        <v>8.3333333333333321</v>
      </c>
      <c r="T63">
        <v>16.666666666666664</v>
      </c>
      <c r="U63">
        <v>41.666666666666671</v>
      </c>
      <c r="V63">
        <v>8.3333333333333321</v>
      </c>
      <c r="W63">
        <v>66.666666666666657</v>
      </c>
      <c r="X63">
        <v>12.5</v>
      </c>
      <c r="Y63">
        <v>8.3333333333333321</v>
      </c>
      <c r="Z63">
        <v>54.166666666666664</v>
      </c>
      <c r="AA63">
        <v>37.5</v>
      </c>
      <c r="AB63">
        <v>29.166666666666668</v>
      </c>
      <c r="AC63">
        <v>33.333333333333329</v>
      </c>
      <c r="AD63">
        <v>25</v>
      </c>
      <c r="AE63">
        <v>33.333333333333329</v>
      </c>
      <c r="AF63">
        <v>29.166666666666668</v>
      </c>
      <c r="AG63">
        <v>16.666666666666664</v>
      </c>
      <c r="AH63">
        <v>29.166666666666668</v>
      </c>
      <c r="AI63">
        <v>4.1666666666666661</v>
      </c>
      <c r="AJ63">
        <v>16.666666666666664</v>
      </c>
      <c r="AK63">
        <v>20.833333333333336</v>
      </c>
      <c r="AL63">
        <v>33.333333333333329</v>
      </c>
      <c r="AM63">
        <v>41.666666666666671</v>
      </c>
      <c r="AN63">
        <v>62.5</v>
      </c>
      <c r="AO63">
        <v>8.3333333333333321</v>
      </c>
      <c r="AP63">
        <v>25</v>
      </c>
      <c r="AQ63">
        <v>0</v>
      </c>
      <c r="AR63">
        <v>25</v>
      </c>
      <c r="AS63">
        <v>8.3333333333333321</v>
      </c>
      <c r="AT63">
        <v>12.5</v>
      </c>
      <c r="AU63">
        <v>45.833333333333329</v>
      </c>
      <c r="AV63">
        <v>66.666666666666657</v>
      </c>
      <c r="AW63">
        <v>29.166666666666668</v>
      </c>
      <c r="AX63">
        <v>50</v>
      </c>
      <c r="AY63">
        <v>4.1666666666666661</v>
      </c>
      <c r="AZ63">
        <v>54.166666666666664</v>
      </c>
      <c r="BA63">
        <v>20.833333333333336</v>
      </c>
      <c r="BB63">
        <v>25</v>
      </c>
      <c r="BC63">
        <v>41.666666666666671</v>
      </c>
      <c r="BD63">
        <v>29.166666666666668</v>
      </c>
      <c r="BE63">
        <v>0</v>
      </c>
      <c r="BF63">
        <v>50</v>
      </c>
      <c r="BG63">
        <v>37.5</v>
      </c>
      <c r="BH63">
        <v>29.166666666666668</v>
      </c>
      <c r="BI63">
        <v>33.333333333333329</v>
      </c>
      <c r="BJ63">
        <v>16.666666666666664</v>
      </c>
      <c r="BK63">
        <v>37.5</v>
      </c>
      <c r="BL63">
        <v>8.3333333333333321</v>
      </c>
      <c r="BM63">
        <v>45.833333333333329</v>
      </c>
      <c r="BN63">
        <v>16.666666666666664</v>
      </c>
      <c r="BO63">
        <v>41.666666666666671</v>
      </c>
      <c r="BP63">
        <v>33.333333333333329</v>
      </c>
      <c r="BQ63">
        <v>33.333333333333329</v>
      </c>
      <c r="BR63">
        <v>66.666666666666657</v>
      </c>
      <c r="BS63">
        <v>25</v>
      </c>
      <c r="BT63">
        <v>8.3333333333333321</v>
      </c>
      <c r="BU63">
        <v>25</v>
      </c>
      <c r="BV63">
        <v>8.3333333333333321</v>
      </c>
      <c r="BW63">
        <v>41.666666666666671</v>
      </c>
      <c r="BX63">
        <v>25</v>
      </c>
      <c r="BY63">
        <v>20.833333333333336</v>
      </c>
      <c r="BZ63">
        <v>41.666666666666671</v>
      </c>
      <c r="CA63">
        <v>20.833333333333336</v>
      </c>
      <c r="CB63">
        <v>12.5</v>
      </c>
      <c r="CC63">
        <v>45.833333333333329</v>
      </c>
      <c r="CD63">
        <v>20.833333333333336</v>
      </c>
      <c r="CE63">
        <v>20.833333333333336</v>
      </c>
      <c r="CF63">
        <v>66.666666666666657</v>
      </c>
      <c r="CG63">
        <v>50</v>
      </c>
      <c r="CH63">
        <v>41.666666666666671</v>
      </c>
      <c r="CI63">
        <v>8.3333333333333321</v>
      </c>
      <c r="CJ63">
        <v>29.166666666666668</v>
      </c>
      <c r="CK63">
        <v>25</v>
      </c>
    </row>
    <row r="65" spans="1:150" x14ac:dyDescent="0.25">
      <c r="A65">
        <v>0</v>
      </c>
      <c r="B65">
        <v>25</v>
      </c>
      <c r="C65">
        <v>0</v>
      </c>
      <c r="D65">
        <v>0</v>
      </c>
      <c r="E65">
        <v>0</v>
      </c>
      <c r="F65">
        <v>62.5</v>
      </c>
      <c r="G65">
        <v>0</v>
      </c>
      <c r="H65">
        <v>12.5</v>
      </c>
      <c r="I65">
        <v>50</v>
      </c>
      <c r="J65">
        <v>0</v>
      </c>
      <c r="K65">
        <v>12.5</v>
      </c>
      <c r="L65">
        <v>12.5</v>
      </c>
      <c r="M65">
        <v>62.5</v>
      </c>
      <c r="N65">
        <v>0</v>
      </c>
      <c r="O65">
        <v>50</v>
      </c>
      <c r="P65">
        <v>37.5</v>
      </c>
      <c r="Q65">
        <v>0</v>
      </c>
      <c r="R65">
        <v>0</v>
      </c>
      <c r="S65">
        <v>50</v>
      </c>
      <c r="T65">
        <v>0</v>
      </c>
      <c r="U65">
        <v>37.5</v>
      </c>
      <c r="V65">
        <v>50</v>
      </c>
      <c r="W65">
        <v>0</v>
      </c>
      <c r="X65">
        <v>25</v>
      </c>
      <c r="Y65">
        <v>37.5</v>
      </c>
      <c r="Z65">
        <v>37.5</v>
      </c>
      <c r="AA65">
        <v>0</v>
      </c>
      <c r="AB65">
        <v>37.5</v>
      </c>
      <c r="AC65">
        <v>12.5</v>
      </c>
      <c r="AD65">
        <v>12.5</v>
      </c>
      <c r="AE65">
        <v>62.5</v>
      </c>
      <c r="AF65">
        <v>0</v>
      </c>
      <c r="AG65">
        <v>12.5</v>
      </c>
      <c r="AH65">
        <v>50</v>
      </c>
      <c r="AI65">
        <v>87.5</v>
      </c>
      <c r="AJ65">
        <v>37.5</v>
      </c>
      <c r="AK65">
        <v>37.5</v>
      </c>
      <c r="AL65">
        <v>50</v>
      </c>
      <c r="AM65">
        <v>25</v>
      </c>
      <c r="AN65">
        <v>12.5</v>
      </c>
      <c r="AO65">
        <v>62.5</v>
      </c>
      <c r="AP65">
        <v>75</v>
      </c>
      <c r="AQ65">
        <v>0</v>
      </c>
      <c r="AR65">
        <v>0</v>
      </c>
      <c r="AS65">
        <v>12.5</v>
      </c>
      <c r="AT65">
        <v>25</v>
      </c>
      <c r="AU65">
        <v>0</v>
      </c>
      <c r="AV65">
        <v>0</v>
      </c>
      <c r="AW65">
        <v>0</v>
      </c>
      <c r="AX65">
        <v>0</v>
      </c>
      <c r="AY65">
        <v>25</v>
      </c>
      <c r="AZ65">
        <v>25</v>
      </c>
      <c r="BA65">
        <v>25</v>
      </c>
      <c r="BB65">
        <v>37.5</v>
      </c>
      <c r="BC65">
        <v>0</v>
      </c>
      <c r="BD65">
        <v>50</v>
      </c>
      <c r="BE65">
        <v>0</v>
      </c>
      <c r="BF65">
        <v>12.5</v>
      </c>
      <c r="BG65">
        <v>0</v>
      </c>
      <c r="BH65">
        <v>50</v>
      </c>
      <c r="BI65">
        <v>0</v>
      </c>
      <c r="BJ65">
        <v>12.5</v>
      </c>
      <c r="BK65">
        <v>0</v>
      </c>
      <c r="BL65">
        <v>12.5</v>
      </c>
      <c r="BM65">
        <v>62.5</v>
      </c>
      <c r="BN65">
        <v>62.5</v>
      </c>
      <c r="BO65">
        <v>0</v>
      </c>
      <c r="BP65">
        <v>25</v>
      </c>
      <c r="BQ65">
        <v>0</v>
      </c>
      <c r="BR65">
        <v>0</v>
      </c>
      <c r="BS65">
        <v>0</v>
      </c>
      <c r="BT65">
        <v>25</v>
      </c>
      <c r="BU65">
        <v>12.5</v>
      </c>
      <c r="BV65">
        <v>0</v>
      </c>
      <c r="BW65">
        <v>12.5</v>
      </c>
      <c r="BX65">
        <v>25</v>
      </c>
      <c r="BY65">
        <v>50</v>
      </c>
      <c r="BZ65">
        <v>62.5</v>
      </c>
      <c r="CA65">
        <v>62.5</v>
      </c>
      <c r="CB65">
        <v>0</v>
      </c>
      <c r="CC65">
        <v>37.5</v>
      </c>
      <c r="CD65">
        <v>37.5</v>
      </c>
      <c r="CE65">
        <v>25</v>
      </c>
      <c r="CF65">
        <v>37.5</v>
      </c>
      <c r="CG65">
        <v>37.5</v>
      </c>
      <c r="CH65">
        <v>37.5</v>
      </c>
      <c r="CI65">
        <v>50</v>
      </c>
      <c r="CJ65">
        <v>25</v>
      </c>
    </row>
    <row r="66" spans="1:150" x14ac:dyDescent="0.25">
      <c r="A66">
        <v>50</v>
      </c>
      <c r="B66">
        <v>0</v>
      </c>
      <c r="C66">
        <v>50</v>
      </c>
      <c r="D66">
        <v>0</v>
      </c>
      <c r="E66">
        <v>37.5</v>
      </c>
      <c r="F66">
        <v>12.5</v>
      </c>
      <c r="G66">
        <v>37.5</v>
      </c>
      <c r="H66">
        <v>0</v>
      </c>
      <c r="I66">
        <v>37.5</v>
      </c>
      <c r="J66">
        <v>12.5</v>
      </c>
      <c r="K66">
        <v>25</v>
      </c>
      <c r="L66">
        <v>0</v>
      </c>
      <c r="M66">
        <v>50</v>
      </c>
      <c r="N66">
        <v>0</v>
      </c>
      <c r="O66">
        <v>50</v>
      </c>
      <c r="P66">
        <v>37.5</v>
      </c>
      <c r="Q66">
        <v>25</v>
      </c>
      <c r="R66">
        <v>25</v>
      </c>
      <c r="S66">
        <v>25</v>
      </c>
      <c r="T66">
        <v>25</v>
      </c>
      <c r="U66">
        <v>25</v>
      </c>
      <c r="V66">
        <v>0</v>
      </c>
      <c r="W66">
        <v>0</v>
      </c>
      <c r="X66">
        <v>25</v>
      </c>
      <c r="Y66">
        <v>50</v>
      </c>
      <c r="Z66">
        <v>37.5</v>
      </c>
      <c r="AA66">
        <v>25</v>
      </c>
      <c r="AB66">
        <v>25</v>
      </c>
      <c r="AC66">
        <v>50</v>
      </c>
      <c r="AD66">
        <v>12.5</v>
      </c>
      <c r="AE66">
        <v>25</v>
      </c>
      <c r="AF66">
        <v>0</v>
      </c>
      <c r="AG66">
        <v>25</v>
      </c>
      <c r="AH66">
        <v>0</v>
      </c>
      <c r="AI66">
        <v>37.5</v>
      </c>
      <c r="AJ66">
        <v>62.5</v>
      </c>
      <c r="AK66">
        <v>12.5</v>
      </c>
      <c r="AL66">
        <v>12.5</v>
      </c>
      <c r="AM66">
        <v>12.5</v>
      </c>
      <c r="AN66">
        <v>12.5</v>
      </c>
      <c r="AO66">
        <v>0</v>
      </c>
      <c r="AP66">
        <v>50</v>
      </c>
      <c r="AQ66">
        <v>0</v>
      </c>
      <c r="AR66">
        <v>0</v>
      </c>
      <c r="AS66">
        <v>62.5</v>
      </c>
      <c r="AT66">
        <v>25</v>
      </c>
      <c r="AU66">
        <v>0</v>
      </c>
      <c r="AV66">
        <v>37.5</v>
      </c>
      <c r="AW66">
        <v>0</v>
      </c>
      <c r="AX66">
        <v>0</v>
      </c>
      <c r="AY66">
        <v>37.5</v>
      </c>
      <c r="AZ66">
        <v>0</v>
      </c>
      <c r="BA66">
        <v>75</v>
      </c>
      <c r="BB66">
        <v>12.5</v>
      </c>
      <c r="BC66">
        <v>25</v>
      </c>
      <c r="BD66">
        <v>100</v>
      </c>
      <c r="BE66">
        <v>12.5</v>
      </c>
      <c r="BF66">
        <v>37.5</v>
      </c>
      <c r="BG66">
        <v>0</v>
      </c>
      <c r="BH66">
        <v>0</v>
      </c>
      <c r="BI66">
        <v>0</v>
      </c>
      <c r="BJ66">
        <v>0</v>
      </c>
      <c r="BK66">
        <v>0</v>
      </c>
      <c r="BL66">
        <v>37.5</v>
      </c>
      <c r="BM66">
        <v>62.5</v>
      </c>
      <c r="BN66">
        <v>12.5</v>
      </c>
      <c r="BO66">
        <v>50</v>
      </c>
      <c r="BP66">
        <v>37.5</v>
      </c>
      <c r="BQ66">
        <v>0</v>
      </c>
      <c r="BR66">
        <v>0</v>
      </c>
      <c r="BS66">
        <v>37.5</v>
      </c>
      <c r="BT66">
        <v>25</v>
      </c>
      <c r="BU66">
        <v>12.5</v>
      </c>
      <c r="BV66">
        <v>25</v>
      </c>
      <c r="BW66">
        <v>25</v>
      </c>
      <c r="BX66">
        <v>37.5</v>
      </c>
      <c r="BY66">
        <v>25</v>
      </c>
      <c r="BZ66">
        <v>25</v>
      </c>
      <c r="CA66">
        <v>87.5</v>
      </c>
      <c r="CB66">
        <v>12.5</v>
      </c>
      <c r="CC66">
        <v>62.5</v>
      </c>
      <c r="CD66">
        <v>75</v>
      </c>
      <c r="CE66">
        <v>12.5</v>
      </c>
      <c r="CF66">
        <v>0</v>
      </c>
      <c r="CG66">
        <v>37.5</v>
      </c>
      <c r="CH66">
        <v>37.5</v>
      </c>
      <c r="CI66">
        <v>0</v>
      </c>
      <c r="CJ66">
        <v>12.5</v>
      </c>
    </row>
    <row r="67" spans="1:150" x14ac:dyDescent="0.25">
      <c r="A67">
        <v>62.5</v>
      </c>
      <c r="B67">
        <v>0</v>
      </c>
      <c r="C67">
        <v>0</v>
      </c>
      <c r="D67">
        <v>0</v>
      </c>
      <c r="E67">
        <v>37.5</v>
      </c>
      <c r="F67">
        <v>62.5</v>
      </c>
      <c r="G67">
        <v>0</v>
      </c>
      <c r="H67">
        <v>0</v>
      </c>
      <c r="I67">
        <v>87.5</v>
      </c>
      <c r="J67">
        <v>37.5</v>
      </c>
      <c r="K67">
        <v>37.5</v>
      </c>
      <c r="L67">
        <v>12.5</v>
      </c>
      <c r="M67">
        <v>0</v>
      </c>
      <c r="N67">
        <v>0</v>
      </c>
      <c r="O67">
        <v>50</v>
      </c>
      <c r="P67">
        <v>25</v>
      </c>
      <c r="Q67">
        <v>0</v>
      </c>
      <c r="R67">
        <v>0</v>
      </c>
      <c r="S67">
        <v>87.5</v>
      </c>
      <c r="T67">
        <v>12.5</v>
      </c>
      <c r="U67">
        <v>37.5</v>
      </c>
      <c r="V67">
        <v>25</v>
      </c>
      <c r="W67">
        <v>25</v>
      </c>
      <c r="X67">
        <v>0</v>
      </c>
      <c r="Y67">
        <v>0</v>
      </c>
      <c r="Z67">
        <v>12.5</v>
      </c>
      <c r="AA67">
        <v>50</v>
      </c>
      <c r="AB67">
        <v>0</v>
      </c>
      <c r="AC67">
        <v>37.5</v>
      </c>
      <c r="AD67">
        <v>25</v>
      </c>
      <c r="AE67">
        <v>25</v>
      </c>
      <c r="AF67">
        <v>12.5</v>
      </c>
      <c r="AG67">
        <v>12.5</v>
      </c>
      <c r="AH67">
        <v>0</v>
      </c>
      <c r="AI67">
        <v>62.5</v>
      </c>
      <c r="AJ67">
        <v>12.5</v>
      </c>
      <c r="AK67">
        <v>100</v>
      </c>
      <c r="AL67">
        <v>50</v>
      </c>
      <c r="AM67">
        <v>0</v>
      </c>
      <c r="AN67">
        <v>87.5</v>
      </c>
      <c r="AO67">
        <v>50</v>
      </c>
      <c r="AP67">
        <v>37.5</v>
      </c>
      <c r="AQ67">
        <v>100</v>
      </c>
      <c r="AR67">
        <v>0</v>
      </c>
      <c r="AS67">
        <v>100</v>
      </c>
      <c r="AT67">
        <v>25</v>
      </c>
      <c r="AU67">
        <v>0</v>
      </c>
      <c r="AV67">
        <v>0</v>
      </c>
      <c r="AW67">
        <v>0</v>
      </c>
      <c r="AX67">
        <v>12.5</v>
      </c>
      <c r="AY67">
        <v>25</v>
      </c>
      <c r="AZ67">
        <v>0</v>
      </c>
      <c r="BA67">
        <v>12.5</v>
      </c>
      <c r="BB67">
        <v>37.5</v>
      </c>
      <c r="BC67">
        <v>12.5</v>
      </c>
      <c r="BD67">
        <v>87.5</v>
      </c>
      <c r="BE67">
        <v>12.5</v>
      </c>
      <c r="BF67">
        <v>12.5</v>
      </c>
      <c r="BG67">
        <v>0</v>
      </c>
      <c r="BH67">
        <v>12.5</v>
      </c>
      <c r="BI67">
        <v>25</v>
      </c>
      <c r="BJ67">
        <v>0</v>
      </c>
      <c r="BK67">
        <v>0</v>
      </c>
      <c r="BL67">
        <v>0</v>
      </c>
      <c r="BM67">
        <v>37.5</v>
      </c>
      <c r="BN67">
        <v>12.5</v>
      </c>
      <c r="BO67">
        <v>50</v>
      </c>
      <c r="BP67">
        <v>0</v>
      </c>
      <c r="BQ67">
        <v>0</v>
      </c>
      <c r="BR67">
        <v>0</v>
      </c>
      <c r="BS67">
        <v>25</v>
      </c>
      <c r="BT67">
        <v>25</v>
      </c>
      <c r="BU67">
        <v>0</v>
      </c>
      <c r="BV67">
        <v>25</v>
      </c>
      <c r="BW67">
        <v>50</v>
      </c>
      <c r="BX67">
        <v>25</v>
      </c>
      <c r="BY67">
        <v>12.5</v>
      </c>
      <c r="BZ67">
        <v>25</v>
      </c>
      <c r="CA67">
        <v>62.5</v>
      </c>
      <c r="CB67">
        <v>0</v>
      </c>
      <c r="CC67">
        <v>62.5</v>
      </c>
      <c r="CD67">
        <v>62.5</v>
      </c>
      <c r="CE67">
        <v>12.5</v>
      </c>
      <c r="CF67">
        <v>25</v>
      </c>
      <c r="CG67">
        <v>37.5</v>
      </c>
      <c r="CH67">
        <v>75</v>
      </c>
      <c r="CI67">
        <v>62.5</v>
      </c>
      <c r="CJ67">
        <v>62.5</v>
      </c>
    </row>
    <row r="68" spans="1:150" x14ac:dyDescent="0.25">
      <c r="A68">
        <v>37.5</v>
      </c>
      <c r="B68">
        <v>8.3333333333333321</v>
      </c>
      <c r="C68">
        <v>16.666666666666664</v>
      </c>
      <c r="D68">
        <v>0</v>
      </c>
      <c r="E68">
        <v>25</v>
      </c>
      <c r="F68">
        <v>45.833333333333329</v>
      </c>
      <c r="G68">
        <v>12.5</v>
      </c>
      <c r="H68">
        <v>4.1666666666666661</v>
      </c>
      <c r="I68">
        <v>58.333333333333336</v>
      </c>
      <c r="J68">
        <v>16.666666666666664</v>
      </c>
      <c r="K68">
        <v>25</v>
      </c>
      <c r="L68">
        <v>8.3333333333333321</v>
      </c>
      <c r="M68">
        <v>37.5</v>
      </c>
      <c r="N68">
        <v>0</v>
      </c>
      <c r="O68">
        <v>50</v>
      </c>
      <c r="P68">
        <v>33.333333333333329</v>
      </c>
      <c r="Q68">
        <v>8.3333333333333321</v>
      </c>
      <c r="R68">
        <v>8.3333333333333321</v>
      </c>
      <c r="S68">
        <v>54.166666666666664</v>
      </c>
      <c r="T68">
        <v>12.5</v>
      </c>
      <c r="U68">
        <v>33.333333333333329</v>
      </c>
      <c r="V68">
        <v>25</v>
      </c>
      <c r="W68">
        <v>8.3333333333333321</v>
      </c>
      <c r="X68">
        <v>16.666666666666664</v>
      </c>
      <c r="Y68">
        <v>29.166666666666668</v>
      </c>
      <c r="Z68">
        <v>29.166666666666668</v>
      </c>
      <c r="AA68">
        <v>25</v>
      </c>
      <c r="AB68">
        <v>20.833333333333336</v>
      </c>
      <c r="AC68">
        <v>33.333333333333329</v>
      </c>
      <c r="AD68">
        <v>16.666666666666664</v>
      </c>
      <c r="AE68">
        <v>37.5</v>
      </c>
      <c r="AF68">
        <v>4.1666666666666661</v>
      </c>
      <c r="AG68">
        <v>16.666666666666664</v>
      </c>
      <c r="AH68">
        <v>16.666666666666664</v>
      </c>
      <c r="AI68">
        <v>62.5</v>
      </c>
      <c r="AJ68">
        <v>37.5</v>
      </c>
      <c r="AK68">
        <v>50</v>
      </c>
      <c r="AL68">
        <v>37.5</v>
      </c>
      <c r="AM68">
        <v>12.5</v>
      </c>
      <c r="AN68">
        <v>37.5</v>
      </c>
      <c r="AO68">
        <v>37.5</v>
      </c>
      <c r="AP68">
        <v>54.166666666666664</v>
      </c>
      <c r="AQ68">
        <v>33.333333333333329</v>
      </c>
      <c r="AR68">
        <v>0</v>
      </c>
      <c r="AS68">
        <v>58.333333333333336</v>
      </c>
      <c r="AT68">
        <v>25</v>
      </c>
      <c r="AU68">
        <v>0</v>
      </c>
      <c r="AV68">
        <v>12.5</v>
      </c>
      <c r="AW68">
        <v>0</v>
      </c>
      <c r="AX68">
        <v>4.1666666666666661</v>
      </c>
      <c r="AY68">
        <v>29.166666666666668</v>
      </c>
      <c r="AZ68">
        <v>8.3333333333333321</v>
      </c>
      <c r="BA68">
        <v>37.5</v>
      </c>
      <c r="BB68">
        <v>29.166666666666668</v>
      </c>
      <c r="BC68">
        <v>12.5</v>
      </c>
      <c r="BD68">
        <v>79.166666666666657</v>
      </c>
      <c r="BE68">
        <v>8.3333333333333321</v>
      </c>
      <c r="BF68">
        <v>20.833333333333336</v>
      </c>
      <c r="BG68">
        <v>0</v>
      </c>
      <c r="BH68">
        <v>20.833333333333336</v>
      </c>
      <c r="BI68">
        <v>8.3333333333333321</v>
      </c>
      <c r="BJ68">
        <v>4.1666666666666661</v>
      </c>
      <c r="BK68">
        <v>0</v>
      </c>
      <c r="BL68">
        <v>16.666666666666664</v>
      </c>
      <c r="BM68">
        <v>54.166666666666664</v>
      </c>
      <c r="BN68">
        <v>29.166666666666668</v>
      </c>
      <c r="BO68">
        <v>33.333333333333329</v>
      </c>
      <c r="BP68">
        <v>20.833333333333336</v>
      </c>
      <c r="BQ68">
        <v>0</v>
      </c>
      <c r="BR68">
        <v>0</v>
      </c>
      <c r="BS68">
        <v>20.833333333333336</v>
      </c>
      <c r="BT68">
        <v>25</v>
      </c>
      <c r="BU68">
        <v>8.3333333333333321</v>
      </c>
      <c r="BV68">
        <v>16.666666666666664</v>
      </c>
      <c r="BW68">
        <v>29.166666666666668</v>
      </c>
      <c r="BX68">
        <v>29.166666666666668</v>
      </c>
      <c r="BY68">
        <v>29.166666666666668</v>
      </c>
      <c r="BZ68">
        <v>37.5</v>
      </c>
      <c r="CA68">
        <v>70.833333333333343</v>
      </c>
      <c r="CB68">
        <v>4.1666666666666661</v>
      </c>
      <c r="CC68">
        <v>54.166666666666664</v>
      </c>
      <c r="CD68">
        <v>58.333333333333336</v>
      </c>
      <c r="CE68">
        <v>16.666666666666664</v>
      </c>
      <c r="CF68">
        <v>20.833333333333336</v>
      </c>
      <c r="CG68">
        <v>37.5</v>
      </c>
      <c r="CH68">
        <v>50</v>
      </c>
      <c r="CI68">
        <v>37.5</v>
      </c>
      <c r="CJ68">
        <v>33.333333333333329</v>
      </c>
    </row>
    <row r="70" spans="1:150" x14ac:dyDescent="0.25">
      <c r="BJ70">
        <v>0.83333333333333337</v>
      </c>
      <c r="BK70">
        <v>0.66666666666666663</v>
      </c>
      <c r="BL70">
        <v>0</v>
      </c>
      <c r="BM70">
        <v>0.58333333333333337</v>
      </c>
      <c r="BN70">
        <v>1.5</v>
      </c>
      <c r="BO70">
        <v>0.75</v>
      </c>
      <c r="BP70">
        <v>0.75</v>
      </c>
      <c r="BQ70">
        <v>1.3333333333333333</v>
      </c>
      <c r="BR70">
        <v>0.66666666666666663</v>
      </c>
      <c r="BS70">
        <v>0.83333333333333337</v>
      </c>
      <c r="BT70">
        <v>0.83333333333333337</v>
      </c>
      <c r="BU70">
        <v>1.1666666666666667</v>
      </c>
      <c r="BV70">
        <v>1.75</v>
      </c>
      <c r="BW70">
        <v>1.4166666666666667</v>
      </c>
      <c r="BX70">
        <v>1.0833333333333333</v>
      </c>
      <c r="BY70">
        <v>1.1666666666666667</v>
      </c>
      <c r="BZ70">
        <v>0.5</v>
      </c>
      <c r="CA70">
        <v>0.33333333333333331</v>
      </c>
      <c r="CB70">
        <v>0.75</v>
      </c>
      <c r="CC70">
        <v>1.6666666666666667</v>
      </c>
      <c r="CD70">
        <v>0.41666666666666669</v>
      </c>
      <c r="CE70">
        <v>0.5</v>
      </c>
      <c r="CF70">
        <v>1.3333333333333333</v>
      </c>
      <c r="CG70">
        <v>0.25</v>
      </c>
      <c r="CH70">
        <v>1</v>
      </c>
      <c r="CI70">
        <v>1.75</v>
      </c>
      <c r="CJ70">
        <v>1.3333333333333333</v>
      </c>
      <c r="CK70">
        <v>1</v>
      </c>
      <c r="CL70">
        <v>1.4166666666666667</v>
      </c>
      <c r="CM70">
        <v>1.0833333333333333</v>
      </c>
      <c r="CN70">
        <v>1.25</v>
      </c>
      <c r="CO70">
        <v>1.1000000000000001</v>
      </c>
      <c r="CP70">
        <v>1.75</v>
      </c>
      <c r="CQ70">
        <v>0.33333333333333331</v>
      </c>
      <c r="CR70">
        <v>1.3333333333333333</v>
      </c>
      <c r="CS70">
        <v>0.58333333333333337</v>
      </c>
      <c r="CT70">
        <v>0.41666666666666669</v>
      </c>
      <c r="CU70">
        <v>0.75</v>
      </c>
      <c r="CV70">
        <v>0.83333333333333337</v>
      </c>
      <c r="CW70">
        <v>0.66666666666666663</v>
      </c>
      <c r="CX70">
        <v>1.9166666666666667</v>
      </c>
      <c r="CY70">
        <v>0.83333333333333337</v>
      </c>
      <c r="CZ70">
        <v>0.41666666666666669</v>
      </c>
      <c r="DA70">
        <v>1.1666666666666667</v>
      </c>
      <c r="DB70">
        <v>0.16666666666666666</v>
      </c>
      <c r="DC70">
        <v>0.83333333333333337</v>
      </c>
      <c r="DD70">
        <v>1.75</v>
      </c>
      <c r="DE70">
        <v>0.5</v>
      </c>
      <c r="DF70">
        <v>1.8333333333333333</v>
      </c>
      <c r="DG70">
        <v>0.91666666666666663</v>
      </c>
      <c r="DH70">
        <v>0.83333333333333337</v>
      </c>
      <c r="DI70">
        <v>0.58333333333333337</v>
      </c>
      <c r="DJ70">
        <v>1.25</v>
      </c>
      <c r="DK70">
        <v>1.75</v>
      </c>
      <c r="DL70">
        <v>1.8333333333333333</v>
      </c>
      <c r="DM70">
        <v>0</v>
      </c>
      <c r="DN70">
        <v>1.1666666666666667</v>
      </c>
      <c r="DO70">
        <v>2</v>
      </c>
      <c r="DP70">
        <v>2.5454545454545454</v>
      </c>
      <c r="DQ70">
        <v>1.5</v>
      </c>
      <c r="DR70">
        <v>1</v>
      </c>
      <c r="DS70">
        <v>1.6</v>
      </c>
      <c r="DT70">
        <v>1.3333333333333333</v>
      </c>
      <c r="DU70">
        <v>0.91666666666666663</v>
      </c>
      <c r="DV70">
        <v>0.58333333333333337</v>
      </c>
      <c r="DW70">
        <v>1</v>
      </c>
      <c r="DX70">
        <v>1.5833333333333333</v>
      </c>
      <c r="DY70">
        <v>1</v>
      </c>
      <c r="DZ70">
        <v>1.1666666666666667</v>
      </c>
      <c r="EA70">
        <v>0.83333333333333337</v>
      </c>
      <c r="EB70">
        <v>0.33333333333333331</v>
      </c>
      <c r="EC70">
        <v>1.25</v>
      </c>
      <c r="ED70">
        <v>0.75</v>
      </c>
      <c r="EE70">
        <v>1.5833333333333333</v>
      </c>
      <c r="EF70">
        <v>0.75</v>
      </c>
      <c r="EG70">
        <v>1</v>
      </c>
      <c r="EH70">
        <v>0.5</v>
      </c>
      <c r="EI70">
        <v>0.91666666666666663</v>
      </c>
      <c r="EJ70">
        <v>0.41666666666666669</v>
      </c>
      <c r="EK70">
        <v>1.5</v>
      </c>
      <c r="EL70">
        <v>0.58333333333333337</v>
      </c>
      <c r="EM70">
        <v>1</v>
      </c>
      <c r="EN70">
        <v>0.83333333333333337</v>
      </c>
      <c r="EO70">
        <v>1</v>
      </c>
      <c r="EP70">
        <v>1</v>
      </c>
      <c r="EQ70">
        <v>0.16666666666666666</v>
      </c>
      <c r="ER70">
        <v>1.25</v>
      </c>
      <c r="ES70">
        <v>2.3333333333333335</v>
      </c>
    </row>
    <row r="71" spans="1:150" x14ac:dyDescent="0.25">
      <c r="BJ71">
        <v>25</v>
      </c>
      <c r="BK71">
        <v>16.666666666666664</v>
      </c>
      <c r="BL71">
        <v>0</v>
      </c>
      <c r="BM71">
        <v>8.3333333333333321</v>
      </c>
      <c r="BN71">
        <v>41.666666666666671</v>
      </c>
      <c r="BO71">
        <v>16.666666666666664</v>
      </c>
      <c r="BP71">
        <v>25</v>
      </c>
      <c r="BQ71">
        <v>33.333333333333329</v>
      </c>
      <c r="BR71">
        <v>25</v>
      </c>
      <c r="BS71">
        <v>25</v>
      </c>
      <c r="BT71">
        <v>16.666666666666664</v>
      </c>
      <c r="BU71">
        <v>33.333333333333329</v>
      </c>
      <c r="BV71">
        <v>58.333333333333336</v>
      </c>
      <c r="BW71">
        <v>41.666666666666671</v>
      </c>
      <c r="BX71">
        <v>25</v>
      </c>
      <c r="BY71">
        <v>25</v>
      </c>
      <c r="BZ71">
        <v>25</v>
      </c>
      <c r="CA71">
        <v>16.666666666666664</v>
      </c>
      <c r="CB71">
        <v>25</v>
      </c>
      <c r="CC71">
        <v>50</v>
      </c>
      <c r="CD71">
        <v>8.3333333333333321</v>
      </c>
      <c r="CE71">
        <v>25</v>
      </c>
      <c r="CF71">
        <v>33.333333333333329</v>
      </c>
      <c r="CG71">
        <v>8.3333333333333321</v>
      </c>
      <c r="CH71">
        <v>33.333333333333329</v>
      </c>
      <c r="CI71">
        <v>58.333333333333336</v>
      </c>
      <c r="CJ71">
        <v>50</v>
      </c>
      <c r="CK71">
        <v>41.666666666666671</v>
      </c>
      <c r="CL71">
        <v>41.666666666666671</v>
      </c>
      <c r="CM71">
        <v>25</v>
      </c>
      <c r="CN71">
        <v>33.333333333333329</v>
      </c>
      <c r="CO71">
        <v>8.3333333333333321</v>
      </c>
      <c r="CP71">
        <v>66.666666666666657</v>
      </c>
      <c r="CQ71">
        <v>8.3333333333333321</v>
      </c>
      <c r="CR71">
        <v>41.666666666666671</v>
      </c>
      <c r="CS71">
        <v>25</v>
      </c>
      <c r="CT71">
        <v>8.3333333333333321</v>
      </c>
      <c r="CU71">
        <v>8.3333333333333321</v>
      </c>
      <c r="CV71">
        <v>16.666666666666664</v>
      </c>
      <c r="CW71">
        <v>25</v>
      </c>
      <c r="CX71">
        <v>58.333333333333336</v>
      </c>
      <c r="CY71">
        <v>33.333333333333329</v>
      </c>
      <c r="CZ71">
        <v>8.3333333333333321</v>
      </c>
      <c r="DA71">
        <v>25</v>
      </c>
      <c r="DB71">
        <v>8.3333333333333321</v>
      </c>
      <c r="DC71">
        <v>0</v>
      </c>
      <c r="DD71">
        <v>50</v>
      </c>
      <c r="DE71">
        <v>8.3333333333333321</v>
      </c>
      <c r="DF71">
        <v>58.333333333333336</v>
      </c>
      <c r="DG71">
        <v>16.666666666666664</v>
      </c>
      <c r="DH71">
        <v>25</v>
      </c>
      <c r="DI71">
        <v>16.666666666666664</v>
      </c>
      <c r="DJ71">
        <v>41.666666666666671</v>
      </c>
      <c r="DK71">
        <v>58.333333333333336</v>
      </c>
      <c r="DL71">
        <v>75</v>
      </c>
      <c r="DM71">
        <v>0</v>
      </c>
      <c r="DN71">
        <v>41.666666666666671</v>
      </c>
      <c r="DO71">
        <v>75</v>
      </c>
      <c r="DP71">
        <v>75</v>
      </c>
      <c r="DQ71">
        <v>50</v>
      </c>
      <c r="DR71">
        <v>33.333333333333329</v>
      </c>
      <c r="DS71">
        <v>33.333333333333329</v>
      </c>
      <c r="DT71">
        <v>41.666666666666671</v>
      </c>
      <c r="DU71">
        <v>25</v>
      </c>
      <c r="DV71">
        <v>16.666666666666664</v>
      </c>
      <c r="DW71">
        <v>25</v>
      </c>
      <c r="DX71">
        <v>58.333333333333336</v>
      </c>
      <c r="DY71">
        <v>25</v>
      </c>
      <c r="DZ71">
        <v>16.666666666666664</v>
      </c>
      <c r="EA71">
        <v>16.666666666666664</v>
      </c>
      <c r="EB71">
        <v>8.3333333333333321</v>
      </c>
      <c r="EC71">
        <v>41.666666666666671</v>
      </c>
      <c r="ED71">
        <v>16.666666666666664</v>
      </c>
      <c r="EE71">
        <v>58.333333333333336</v>
      </c>
      <c r="EF71">
        <v>16.666666666666664</v>
      </c>
      <c r="EG71">
        <v>41.666666666666671</v>
      </c>
      <c r="EH71">
        <v>16.666666666666664</v>
      </c>
      <c r="EI71">
        <v>33.333333333333329</v>
      </c>
      <c r="EJ71">
        <v>16.666666666666664</v>
      </c>
      <c r="EK71">
        <v>50</v>
      </c>
      <c r="EL71">
        <v>25</v>
      </c>
      <c r="EM71">
        <v>16.666666666666664</v>
      </c>
      <c r="EN71">
        <v>16.666666666666664</v>
      </c>
      <c r="EO71">
        <v>8.3333333333333321</v>
      </c>
      <c r="EP71">
        <v>25</v>
      </c>
      <c r="EQ71">
        <v>8.3333333333333321</v>
      </c>
      <c r="ER71">
        <v>41.666666666666671</v>
      </c>
      <c r="ES71">
        <v>66.666666666666657</v>
      </c>
    </row>
    <row r="73" spans="1:150" x14ac:dyDescent="0.25">
      <c r="BJ73" t="s">
        <v>493</v>
      </c>
      <c r="BK73">
        <v>0</v>
      </c>
      <c r="BL73">
        <v>0.75</v>
      </c>
      <c r="BM73">
        <v>0</v>
      </c>
      <c r="BN73">
        <v>0.375</v>
      </c>
      <c r="BO73">
        <v>0</v>
      </c>
      <c r="BP73">
        <v>0.75</v>
      </c>
      <c r="BQ73">
        <v>0</v>
      </c>
      <c r="BR73">
        <v>0.125</v>
      </c>
      <c r="BS73">
        <v>0.5</v>
      </c>
      <c r="BT73">
        <v>0.375</v>
      </c>
      <c r="BU73">
        <v>0.125</v>
      </c>
      <c r="BV73">
        <v>0.125</v>
      </c>
      <c r="BW73">
        <v>0.375</v>
      </c>
      <c r="BX73">
        <v>0.625</v>
      </c>
      <c r="BY73">
        <v>0.25</v>
      </c>
      <c r="BZ73">
        <v>0</v>
      </c>
      <c r="CA73">
        <v>0</v>
      </c>
      <c r="CB73">
        <v>0.125</v>
      </c>
      <c r="CC73">
        <v>0</v>
      </c>
      <c r="CD73">
        <v>0.625</v>
      </c>
      <c r="CE73">
        <v>0</v>
      </c>
      <c r="CF73">
        <v>0.375</v>
      </c>
      <c r="CG73">
        <v>0</v>
      </c>
      <c r="CH73">
        <v>1</v>
      </c>
      <c r="CI73">
        <v>0.25</v>
      </c>
      <c r="CJ73">
        <v>0</v>
      </c>
      <c r="CK73">
        <v>0</v>
      </c>
      <c r="CL73">
        <v>0</v>
      </c>
      <c r="CM73">
        <v>0</v>
      </c>
      <c r="CN73">
        <v>0</v>
      </c>
      <c r="CO73">
        <v>0</v>
      </c>
      <c r="CP73">
        <v>0</v>
      </c>
      <c r="CQ73">
        <v>0</v>
      </c>
      <c r="CR73">
        <v>0.625</v>
      </c>
      <c r="CS73">
        <v>0.25</v>
      </c>
      <c r="CT73">
        <v>0.375</v>
      </c>
      <c r="CU73">
        <v>0.5</v>
      </c>
      <c r="CV73">
        <v>0</v>
      </c>
      <c r="CW73">
        <v>1.25</v>
      </c>
      <c r="CX73">
        <v>0</v>
      </c>
      <c r="CY73">
        <v>0</v>
      </c>
      <c r="CZ73">
        <v>0.5</v>
      </c>
      <c r="DA73">
        <v>0</v>
      </c>
      <c r="DB73">
        <v>0</v>
      </c>
      <c r="DC73">
        <v>0.375</v>
      </c>
      <c r="DD73">
        <v>0</v>
      </c>
      <c r="DE73">
        <v>0</v>
      </c>
      <c r="DF73">
        <v>0.625</v>
      </c>
      <c r="DG73">
        <v>0.375</v>
      </c>
      <c r="DH73">
        <v>0.125</v>
      </c>
      <c r="DI73">
        <v>0.125</v>
      </c>
      <c r="DJ73">
        <v>0</v>
      </c>
      <c r="DK73">
        <v>0</v>
      </c>
      <c r="DL73">
        <v>0.375</v>
      </c>
      <c r="DM73">
        <v>0.125</v>
      </c>
      <c r="DN73">
        <v>0</v>
      </c>
      <c r="DO73">
        <v>0</v>
      </c>
      <c r="DP73">
        <v>0.125</v>
      </c>
      <c r="DQ73">
        <v>0.5</v>
      </c>
      <c r="DR73">
        <v>0.125</v>
      </c>
      <c r="DS73">
        <v>0</v>
      </c>
      <c r="DT73">
        <v>0</v>
      </c>
      <c r="DU73">
        <v>0</v>
      </c>
      <c r="DV73">
        <v>0.125</v>
      </c>
      <c r="DW73">
        <v>0.625</v>
      </c>
      <c r="DX73">
        <v>0.25</v>
      </c>
      <c r="DY73">
        <v>0</v>
      </c>
      <c r="DZ73">
        <v>0.375</v>
      </c>
      <c r="EA73">
        <v>0.125</v>
      </c>
      <c r="EB73">
        <v>0.125</v>
      </c>
      <c r="EC73">
        <v>0</v>
      </c>
      <c r="ED73">
        <v>1.25</v>
      </c>
      <c r="EE73">
        <v>0</v>
      </c>
      <c r="EF73">
        <v>0</v>
      </c>
      <c r="EG73">
        <v>0</v>
      </c>
      <c r="EH73">
        <v>0.125</v>
      </c>
      <c r="EI73">
        <v>0</v>
      </c>
      <c r="EJ73">
        <v>0.125</v>
      </c>
      <c r="EK73">
        <v>0</v>
      </c>
      <c r="EL73">
        <v>1.25</v>
      </c>
      <c r="EM73">
        <v>0.125</v>
      </c>
      <c r="EN73">
        <v>0.5</v>
      </c>
      <c r="EO73">
        <v>0.25</v>
      </c>
      <c r="EP73">
        <v>0.125</v>
      </c>
      <c r="EQ73">
        <v>0.625</v>
      </c>
      <c r="ER73">
        <v>0.125</v>
      </c>
      <c r="ES73">
        <v>0.125</v>
      </c>
      <c r="ET73">
        <v>0.125</v>
      </c>
    </row>
    <row r="74" spans="1:150" x14ac:dyDescent="0.25">
      <c r="BJ74" t="s">
        <v>494</v>
      </c>
      <c r="BK74">
        <v>0.375</v>
      </c>
      <c r="BL74">
        <v>0</v>
      </c>
      <c r="BM74">
        <v>0</v>
      </c>
      <c r="BN74">
        <v>1</v>
      </c>
      <c r="BO74">
        <v>0</v>
      </c>
      <c r="BP74">
        <v>0</v>
      </c>
      <c r="BQ74">
        <v>0</v>
      </c>
      <c r="BR74">
        <v>0</v>
      </c>
      <c r="BS74">
        <v>0.125</v>
      </c>
      <c r="BT74">
        <v>0.125</v>
      </c>
      <c r="BU74">
        <v>0.25</v>
      </c>
      <c r="BV74">
        <v>0.125</v>
      </c>
      <c r="BW74">
        <v>0.125</v>
      </c>
      <c r="BX74">
        <v>0.125</v>
      </c>
      <c r="BY74">
        <v>0.375</v>
      </c>
      <c r="BZ74">
        <v>0.25</v>
      </c>
      <c r="CA74">
        <v>0</v>
      </c>
      <c r="CB74">
        <v>0.125</v>
      </c>
      <c r="CC74">
        <v>0</v>
      </c>
      <c r="CD74">
        <v>0.75</v>
      </c>
      <c r="CE74">
        <v>0</v>
      </c>
      <c r="CF74">
        <v>0.375</v>
      </c>
      <c r="CG74">
        <v>0</v>
      </c>
      <c r="CH74">
        <v>0.5</v>
      </c>
      <c r="CI74">
        <v>0.25</v>
      </c>
      <c r="CJ74">
        <v>0</v>
      </c>
      <c r="CK74">
        <v>0.125</v>
      </c>
      <c r="CL74">
        <v>0</v>
      </c>
      <c r="CM74">
        <v>0.25</v>
      </c>
      <c r="CN74">
        <v>0</v>
      </c>
      <c r="CO74">
        <v>0.125</v>
      </c>
      <c r="CP74">
        <v>0.625</v>
      </c>
      <c r="CQ74">
        <v>0.375</v>
      </c>
      <c r="CR74">
        <v>0</v>
      </c>
      <c r="CS74">
        <v>0.5</v>
      </c>
      <c r="CT74">
        <v>0</v>
      </c>
      <c r="CU74">
        <v>0.25</v>
      </c>
      <c r="CV74">
        <v>0</v>
      </c>
      <c r="CW74">
        <v>0</v>
      </c>
      <c r="CX74">
        <v>0.25</v>
      </c>
      <c r="CY74">
        <v>0.375</v>
      </c>
      <c r="CZ74">
        <v>0.625</v>
      </c>
      <c r="DA74">
        <v>0</v>
      </c>
      <c r="DB74">
        <v>0</v>
      </c>
      <c r="DC74">
        <v>0.625</v>
      </c>
      <c r="DD74">
        <v>0</v>
      </c>
      <c r="DE74">
        <v>0.25</v>
      </c>
      <c r="DF74">
        <v>0.25</v>
      </c>
      <c r="DG74">
        <v>0.125</v>
      </c>
      <c r="DH74">
        <v>0</v>
      </c>
      <c r="DI74">
        <v>0.25</v>
      </c>
      <c r="DJ74">
        <v>0</v>
      </c>
      <c r="DK74">
        <v>0</v>
      </c>
      <c r="DL74">
        <v>0.625</v>
      </c>
      <c r="DM74">
        <v>0.25</v>
      </c>
      <c r="DN74">
        <v>0</v>
      </c>
      <c r="DO74">
        <v>0</v>
      </c>
      <c r="DP74">
        <v>0</v>
      </c>
      <c r="DQ74">
        <v>0.75</v>
      </c>
      <c r="DR74">
        <v>0.25</v>
      </c>
      <c r="DS74">
        <v>0</v>
      </c>
      <c r="DT74">
        <v>0</v>
      </c>
      <c r="DU74">
        <v>0.125</v>
      </c>
      <c r="DV74">
        <v>0</v>
      </c>
      <c r="DW74">
        <v>0.75</v>
      </c>
      <c r="DX74">
        <v>0</v>
      </c>
      <c r="DY74">
        <v>0</v>
      </c>
      <c r="DZ74">
        <v>0.75</v>
      </c>
      <c r="EA74">
        <v>0</v>
      </c>
      <c r="EB74">
        <v>1.125</v>
      </c>
      <c r="EC74">
        <v>0</v>
      </c>
      <c r="ED74">
        <v>0.75</v>
      </c>
      <c r="EE74">
        <v>0</v>
      </c>
      <c r="EF74">
        <v>0</v>
      </c>
      <c r="EG74">
        <v>0</v>
      </c>
      <c r="EH74">
        <v>0.75</v>
      </c>
      <c r="EI74">
        <v>0.25</v>
      </c>
      <c r="EJ74">
        <v>0</v>
      </c>
      <c r="EK74">
        <v>0</v>
      </c>
      <c r="EL74">
        <v>0.375</v>
      </c>
      <c r="EM74">
        <v>0.125</v>
      </c>
      <c r="EN74">
        <v>0.625</v>
      </c>
      <c r="EO74">
        <v>0.25</v>
      </c>
      <c r="EP74">
        <v>0</v>
      </c>
      <c r="EQ74">
        <v>0.625</v>
      </c>
      <c r="ER74">
        <v>0.125</v>
      </c>
      <c r="ES74">
        <v>0</v>
      </c>
      <c r="ET74">
        <v>0.25</v>
      </c>
    </row>
    <row r="75" spans="1:150" x14ac:dyDescent="0.25">
      <c r="BJ75" t="s">
        <v>495</v>
      </c>
      <c r="BK75">
        <v>0</v>
      </c>
      <c r="BL75">
        <v>0.25</v>
      </c>
      <c r="BM75">
        <v>0</v>
      </c>
      <c r="BN75">
        <v>0.5</v>
      </c>
      <c r="BO75">
        <v>0</v>
      </c>
      <c r="BP75">
        <v>0</v>
      </c>
      <c r="BQ75">
        <v>0</v>
      </c>
      <c r="BR75">
        <v>0</v>
      </c>
      <c r="BS75">
        <v>0</v>
      </c>
      <c r="BT75">
        <v>0</v>
      </c>
      <c r="BU75">
        <v>0.125</v>
      </c>
      <c r="BV75">
        <v>1</v>
      </c>
      <c r="BW75">
        <v>0</v>
      </c>
      <c r="BX75">
        <v>0.375</v>
      </c>
      <c r="BY75">
        <v>0.125</v>
      </c>
      <c r="BZ75">
        <v>0</v>
      </c>
      <c r="CA75">
        <v>0</v>
      </c>
      <c r="CB75">
        <v>0</v>
      </c>
      <c r="CC75">
        <v>0</v>
      </c>
      <c r="CD75">
        <v>0.125</v>
      </c>
      <c r="CE75">
        <v>0.375</v>
      </c>
      <c r="CF75">
        <v>0.125</v>
      </c>
      <c r="CG75">
        <v>0.75</v>
      </c>
      <c r="CH75">
        <v>0.875</v>
      </c>
      <c r="CI75">
        <v>0.14285714285714285</v>
      </c>
      <c r="CJ75">
        <v>0</v>
      </c>
      <c r="CK75">
        <v>0</v>
      </c>
      <c r="CL75">
        <v>0.875</v>
      </c>
      <c r="CM75">
        <v>0</v>
      </c>
      <c r="CN75">
        <v>0</v>
      </c>
      <c r="CO75">
        <v>0.125</v>
      </c>
      <c r="CP75">
        <v>0.2857142857142857</v>
      </c>
      <c r="CQ75">
        <v>0.25</v>
      </c>
      <c r="CR75">
        <v>0</v>
      </c>
      <c r="CS75">
        <v>1</v>
      </c>
      <c r="CT75">
        <v>0.25</v>
      </c>
      <c r="CU75">
        <v>0</v>
      </c>
      <c r="CV75">
        <v>0</v>
      </c>
      <c r="CW75">
        <v>0.75</v>
      </c>
      <c r="CX75">
        <v>0</v>
      </c>
      <c r="CY75">
        <v>0</v>
      </c>
      <c r="CZ75">
        <v>0.5</v>
      </c>
      <c r="DA75">
        <v>0.25</v>
      </c>
      <c r="DB75">
        <v>0</v>
      </c>
      <c r="DC75">
        <v>0.25</v>
      </c>
      <c r="DD75">
        <v>0</v>
      </c>
      <c r="DE75">
        <v>0.5</v>
      </c>
      <c r="DF75">
        <v>1</v>
      </c>
      <c r="DG75">
        <v>0</v>
      </c>
      <c r="DH75">
        <v>0</v>
      </c>
      <c r="DI75">
        <v>0.25</v>
      </c>
      <c r="DJ75">
        <v>0</v>
      </c>
      <c r="DK75">
        <v>0.125</v>
      </c>
      <c r="DL75">
        <v>0.5</v>
      </c>
      <c r="DM75">
        <v>0</v>
      </c>
      <c r="DN75">
        <v>0</v>
      </c>
      <c r="DO75">
        <v>0.25</v>
      </c>
      <c r="DP75">
        <v>0</v>
      </c>
      <c r="DQ75">
        <v>0.875</v>
      </c>
      <c r="DR75">
        <v>0.375</v>
      </c>
      <c r="DS75">
        <v>0</v>
      </c>
      <c r="DT75">
        <v>0</v>
      </c>
      <c r="DU75">
        <v>0</v>
      </c>
      <c r="DV75">
        <v>0</v>
      </c>
      <c r="DW75">
        <v>0.125</v>
      </c>
      <c r="DX75">
        <v>0</v>
      </c>
      <c r="DY75">
        <v>0</v>
      </c>
      <c r="DZ75">
        <v>0</v>
      </c>
      <c r="EA75">
        <v>0</v>
      </c>
      <c r="EB75">
        <v>0.75</v>
      </c>
      <c r="EC75">
        <v>0.25</v>
      </c>
      <c r="ED75">
        <v>0.25</v>
      </c>
      <c r="EE75">
        <v>0.125</v>
      </c>
      <c r="EF75">
        <v>0</v>
      </c>
      <c r="EG75">
        <v>0</v>
      </c>
      <c r="EH75">
        <v>0.5</v>
      </c>
      <c r="EI75">
        <v>0</v>
      </c>
      <c r="EJ75">
        <v>0.25</v>
      </c>
      <c r="EK75">
        <v>0</v>
      </c>
      <c r="EL75">
        <v>0.25</v>
      </c>
      <c r="EM75">
        <v>0.125</v>
      </c>
      <c r="EN75">
        <v>0.75</v>
      </c>
      <c r="EO75">
        <v>0.25</v>
      </c>
      <c r="EP75">
        <v>0.25</v>
      </c>
      <c r="EQ75">
        <v>0.75</v>
      </c>
      <c r="ER75">
        <v>0</v>
      </c>
      <c r="ES75">
        <v>0.375</v>
      </c>
      <c r="ET75">
        <v>0</v>
      </c>
    </row>
    <row r="76" spans="1:150" x14ac:dyDescent="0.25">
      <c r="BJ76" t="s">
        <v>496</v>
      </c>
      <c r="BK76">
        <v>0.13043478260869565</v>
      </c>
      <c r="BL76">
        <v>0.33333333333333331</v>
      </c>
      <c r="BM76">
        <v>0</v>
      </c>
      <c r="BN76">
        <v>0.625</v>
      </c>
      <c r="BO76">
        <v>0</v>
      </c>
      <c r="BP76">
        <v>0.25</v>
      </c>
      <c r="BQ76">
        <v>0</v>
      </c>
      <c r="BR76">
        <v>4.1666666666666664E-2</v>
      </c>
      <c r="BS76">
        <v>0.20833333333333334</v>
      </c>
      <c r="BT76">
        <v>0.16666666666666666</v>
      </c>
      <c r="BU76">
        <v>0.16666666666666666</v>
      </c>
      <c r="BV76">
        <v>0.41666666666666669</v>
      </c>
      <c r="BW76">
        <v>0.16666666666666666</v>
      </c>
      <c r="BX76">
        <v>0.375</v>
      </c>
      <c r="BY76">
        <v>0.25</v>
      </c>
      <c r="BZ76">
        <v>8.3333333333333329E-2</v>
      </c>
      <c r="CA76">
        <v>0</v>
      </c>
      <c r="CB76">
        <v>8.3333333333333329E-2</v>
      </c>
      <c r="CC76">
        <v>0</v>
      </c>
      <c r="CD76">
        <v>0.5</v>
      </c>
      <c r="CE76">
        <v>0.125</v>
      </c>
      <c r="CF76">
        <v>0.29166666666666669</v>
      </c>
      <c r="CG76">
        <v>0.25</v>
      </c>
      <c r="CH76">
        <v>0.79166666666666663</v>
      </c>
      <c r="CI76">
        <v>0.21739130434782608</v>
      </c>
      <c r="CJ76">
        <v>0</v>
      </c>
      <c r="CK76">
        <v>4.1666666666666664E-2</v>
      </c>
      <c r="CL76">
        <v>0.29166666666666669</v>
      </c>
      <c r="CM76">
        <v>8.3333333333333329E-2</v>
      </c>
      <c r="CN76">
        <v>0</v>
      </c>
      <c r="CO76">
        <v>8.3333333333333329E-2</v>
      </c>
      <c r="CP76">
        <v>0.31818181818181818</v>
      </c>
      <c r="CQ76">
        <v>0.20833333333333334</v>
      </c>
      <c r="CR76">
        <v>0.20833333333333334</v>
      </c>
      <c r="CS76">
        <v>0.58333333333333337</v>
      </c>
      <c r="CT76">
        <v>0.20833333333333334</v>
      </c>
      <c r="CU76">
        <v>0.25</v>
      </c>
      <c r="CV76">
        <v>0</v>
      </c>
      <c r="CW76">
        <v>0.66666666666666663</v>
      </c>
      <c r="CX76">
        <v>8.3333333333333329E-2</v>
      </c>
      <c r="CY76">
        <v>0.125</v>
      </c>
      <c r="CZ76">
        <v>0.54166666666666663</v>
      </c>
      <c r="DA76">
        <v>8.3333333333333329E-2</v>
      </c>
      <c r="DB76">
        <v>0</v>
      </c>
      <c r="DC76">
        <v>0.41666666666666669</v>
      </c>
      <c r="DD76">
        <v>0</v>
      </c>
      <c r="DE76">
        <v>0.25</v>
      </c>
      <c r="DF76">
        <v>0.625</v>
      </c>
      <c r="DG76">
        <v>0.16666666666666666</v>
      </c>
      <c r="DH76">
        <v>4.1666666666666664E-2</v>
      </c>
      <c r="DI76">
        <v>0.20833333333333334</v>
      </c>
      <c r="DJ76">
        <v>0</v>
      </c>
      <c r="DK76">
        <v>4.1666666666666664E-2</v>
      </c>
      <c r="DL76">
        <v>0.5</v>
      </c>
      <c r="DM76">
        <v>0.125</v>
      </c>
      <c r="DN76">
        <v>0</v>
      </c>
      <c r="DO76">
        <v>8.3333333333333329E-2</v>
      </c>
      <c r="DP76">
        <v>4.1666666666666664E-2</v>
      </c>
      <c r="DQ76">
        <v>0.70833333333333337</v>
      </c>
      <c r="DR76">
        <v>0.25</v>
      </c>
      <c r="DS76">
        <v>0</v>
      </c>
      <c r="DT76">
        <v>0</v>
      </c>
      <c r="DU76">
        <v>4.1666666666666664E-2</v>
      </c>
      <c r="DV76">
        <v>4.1666666666666664E-2</v>
      </c>
      <c r="DW76">
        <v>0.5</v>
      </c>
      <c r="DX76">
        <v>8.3333333333333329E-2</v>
      </c>
      <c r="DY76">
        <v>0</v>
      </c>
      <c r="DZ76">
        <v>0.375</v>
      </c>
      <c r="EA76">
        <v>4.1666666666666664E-2</v>
      </c>
      <c r="EB76">
        <v>0.66666666666666663</v>
      </c>
      <c r="EC76">
        <v>8.3333333333333329E-2</v>
      </c>
      <c r="ED76">
        <v>0.75</v>
      </c>
      <c r="EE76">
        <v>4.1666666666666664E-2</v>
      </c>
      <c r="EF76">
        <v>0</v>
      </c>
      <c r="EG76">
        <v>0</v>
      </c>
      <c r="EH76">
        <v>0.45833333333333331</v>
      </c>
      <c r="EI76">
        <v>8.3333333333333329E-2</v>
      </c>
      <c r="EJ76">
        <v>0.125</v>
      </c>
      <c r="EK76">
        <v>0</v>
      </c>
      <c r="EL76">
        <v>0.625</v>
      </c>
      <c r="EM76">
        <v>0.125</v>
      </c>
      <c r="EN76">
        <v>0.625</v>
      </c>
      <c r="EO76">
        <v>0.25</v>
      </c>
      <c r="EP76">
        <v>0.125</v>
      </c>
      <c r="EQ76">
        <v>0.66666666666666663</v>
      </c>
      <c r="ER76">
        <v>8.3333333333333329E-2</v>
      </c>
      <c r="ES76">
        <v>0.16666666666666666</v>
      </c>
      <c r="ET76">
        <v>0.125</v>
      </c>
    </row>
    <row r="77" spans="1:150" x14ac:dyDescent="0.25">
      <c r="BJ77" t="s">
        <v>497</v>
      </c>
      <c r="BK77">
        <v>0.30434782608695654</v>
      </c>
      <c r="BL77">
        <v>0.875</v>
      </c>
      <c r="BM77">
        <v>8.3333333333333329E-2</v>
      </c>
      <c r="BN77">
        <v>1.1666666666666667</v>
      </c>
      <c r="BO77">
        <v>8.3333333333333329E-2</v>
      </c>
      <c r="BP77">
        <v>0.95833333333333337</v>
      </c>
      <c r="BQ77">
        <v>0.58333333333333337</v>
      </c>
      <c r="BR77">
        <v>4.1666666666666664E-2</v>
      </c>
      <c r="BS77">
        <v>0.45833333333333331</v>
      </c>
      <c r="BT77">
        <v>0.25</v>
      </c>
      <c r="BU77">
        <v>0.54166666666666663</v>
      </c>
      <c r="BV77">
        <v>0.70833333333333337</v>
      </c>
      <c r="BW77">
        <v>0.20833333333333334</v>
      </c>
      <c r="BX77">
        <v>0.29166666666666669</v>
      </c>
      <c r="BY77">
        <v>0.54166666666666663</v>
      </c>
      <c r="BZ77">
        <v>0.5</v>
      </c>
      <c r="CA77">
        <v>0.66666666666666663</v>
      </c>
      <c r="CB77">
        <v>0.41666666666666669</v>
      </c>
      <c r="CC77">
        <v>0.125</v>
      </c>
      <c r="CD77">
        <v>0.16666666666666666</v>
      </c>
      <c r="CE77">
        <v>0.45833333333333331</v>
      </c>
      <c r="CF77">
        <v>0.41666666666666669</v>
      </c>
      <c r="CG77">
        <v>0.625</v>
      </c>
      <c r="CH77">
        <v>1.8333333333333333</v>
      </c>
      <c r="CI77">
        <v>0.65217391304347827</v>
      </c>
      <c r="CJ77">
        <v>0.375</v>
      </c>
      <c r="CK77">
        <v>0.54166666666666663</v>
      </c>
      <c r="CL77">
        <v>0.625</v>
      </c>
      <c r="CM77">
        <v>4.1666666666666664E-2</v>
      </c>
      <c r="CN77">
        <v>0.25</v>
      </c>
      <c r="CO77">
        <v>0.58333333333333337</v>
      </c>
      <c r="CP77">
        <v>0.43478260869565216</v>
      </c>
      <c r="CQ77">
        <v>0.625</v>
      </c>
      <c r="CR77">
        <v>0.70833333333333337</v>
      </c>
      <c r="CS77">
        <v>0.79166666666666663</v>
      </c>
      <c r="CT77">
        <v>0.45833333333333331</v>
      </c>
      <c r="CU77">
        <v>1.0833333333333333</v>
      </c>
      <c r="CV77">
        <v>0.20833333333333334</v>
      </c>
      <c r="CW77">
        <v>1.0833333333333333</v>
      </c>
      <c r="CX77">
        <v>0.29166666666666669</v>
      </c>
      <c r="CY77">
        <v>0.5</v>
      </c>
      <c r="CZ77">
        <v>0.5</v>
      </c>
      <c r="DA77">
        <v>0.125</v>
      </c>
      <c r="DB77">
        <v>0.16666666666666666</v>
      </c>
      <c r="DC77">
        <v>0.95833333333333337</v>
      </c>
      <c r="DD77">
        <v>0.29166666666666669</v>
      </c>
      <c r="DE77">
        <v>0.29166666666666669</v>
      </c>
      <c r="DF77">
        <v>0.875</v>
      </c>
      <c r="DG77">
        <v>0.25</v>
      </c>
      <c r="DH77">
        <v>0.625</v>
      </c>
      <c r="DI77">
        <v>0.75</v>
      </c>
      <c r="DJ77">
        <v>0.20833333333333334</v>
      </c>
      <c r="DK77">
        <v>0.625</v>
      </c>
      <c r="DL77">
        <v>1.1666666666666667</v>
      </c>
      <c r="DM77">
        <v>0.29166666666666669</v>
      </c>
      <c r="DN77">
        <v>0.125</v>
      </c>
      <c r="DO77">
        <v>0.33333333333333331</v>
      </c>
      <c r="DP77">
        <v>0</v>
      </c>
      <c r="DQ77">
        <v>0.41666666666666669</v>
      </c>
      <c r="DR77">
        <v>0.58333333333333337</v>
      </c>
      <c r="DS77">
        <v>8.3333333333333329E-2</v>
      </c>
      <c r="DT77">
        <v>4.3478260869565216E-2</v>
      </c>
      <c r="DU77">
        <v>0.45833333333333331</v>
      </c>
      <c r="DV77">
        <v>0.20833333333333334</v>
      </c>
      <c r="DW77">
        <v>0.95833333333333337</v>
      </c>
      <c r="DX77">
        <v>0.54166666666666663</v>
      </c>
      <c r="DY77">
        <v>0.16666666666666666</v>
      </c>
      <c r="DZ77">
        <v>1</v>
      </c>
      <c r="EA77">
        <v>4.1666666666666664E-2</v>
      </c>
      <c r="EB77">
        <v>1.3333333333333333</v>
      </c>
      <c r="EC77">
        <v>8.3333333333333329E-2</v>
      </c>
      <c r="ED77">
        <v>1.25</v>
      </c>
      <c r="EE77">
        <v>0.20833333333333334</v>
      </c>
      <c r="EF77">
        <v>4.1666666666666664E-2</v>
      </c>
      <c r="EG77">
        <v>0.45833333333333331</v>
      </c>
      <c r="EH77">
        <v>0.95833333333333337</v>
      </c>
      <c r="EI77">
        <v>0.33333333333333331</v>
      </c>
      <c r="EJ77">
        <v>0.33333333333333331</v>
      </c>
      <c r="EK77">
        <v>4.1666666666666664E-2</v>
      </c>
      <c r="EL77">
        <v>1</v>
      </c>
      <c r="EM77">
        <v>1</v>
      </c>
      <c r="EN77">
        <v>1.0833333333333333</v>
      </c>
      <c r="EO77">
        <v>0.625</v>
      </c>
      <c r="EP77">
        <v>0.91666666666666663</v>
      </c>
      <c r="EQ77">
        <v>1.0416666666666667</v>
      </c>
      <c r="ER77">
        <v>8.3333333333333329E-2</v>
      </c>
      <c r="ES77">
        <v>0.95833333333333337</v>
      </c>
      <c r="ET77">
        <v>0.625</v>
      </c>
    </row>
    <row r="78" spans="1:150" x14ac:dyDescent="0.25">
      <c r="BJ78" t="s">
        <v>85</v>
      </c>
      <c r="BK78">
        <v>0.5</v>
      </c>
      <c r="BL78">
        <v>1.75</v>
      </c>
      <c r="BM78">
        <v>3.5</v>
      </c>
      <c r="BN78">
        <v>0.5</v>
      </c>
      <c r="BO78">
        <v>1</v>
      </c>
      <c r="BP78">
        <v>0.25</v>
      </c>
      <c r="BQ78">
        <v>0</v>
      </c>
      <c r="BR78">
        <v>0.5</v>
      </c>
      <c r="BS78">
        <v>0.25</v>
      </c>
      <c r="BT78">
        <v>1.5</v>
      </c>
      <c r="BU78">
        <v>0</v>
      </c>
      <c r="BV78">
        <v>1</v>
      </c>
      <c r="BW78">
        <v>0</v>
      </c>
      <c r="BX78">
        <v>1.25</v>
      </c>
      <c r="BY78">
        <v>0</v>
      </c>
      <c r="BZ78">
        <v>0.75</v>
      </c>
      <c r="CA78">
        <v>0.25</v>
      </c>
      <c r="CB78">
        <v>2.5</v>
      </c>
      <c r="CC78">
        <v>0</v>
      </c>
      <c r="CD78">
        <v>0</v>
      </c>
      <c r="CE78">
        <v>2</v>
      </c>
      <c r="CF78">
        <v>0</v>
      </c>
      <c r="CG78">
        <v>0.5</v>
      </c>
      <c r="CH78">
        <v>1</v>
      </c>
      <c r="CI78">
        <v>1</v>
      </c>
      <c r="CJ78">
        <v>0</v>
      </c>
      <c r="CK78">
        <v>0</v>
      </c>
      <c r="CL78">
        <v>0</v>
      </c>
      <c r="CM78">
        <v>1.25</v>
      </c>
      <c r="CN78">
        <v>0.25</v>
      </c>
      <c r="CO78">
        <v>0.25</v>
      </c>
      <c r="CP78">
        <v>0</v>
      </c>
      <c r="CQ78">
        <v>0</v>
      </c>
      <c r="CR78">
        <v>0.25</v>
      </c>
      <c r="CS78">
        <v>0</v>
      </c>
      <c r="CT78">
        <v>1.25</v>
      </c>
      <c r="CU78">
        <v>0.75</v>
      </c>
      <c r="CV78">
        <v>0</v>
      </c>
      <c r="CW78">
        <v>0</v>
      </c>
      <c r="CX78">
        <v>0.25</v>
      </c>
      <c r="CY78">
        <v>0</v>
      </c>
      <c r="CZ78">
        <v>0.25</v>
      </c>
      <c r="DA78">
        <v>0.25</v>
      </c>
      <c r="DB78">
        <v>1</v>
      </c>
      <c r="DC78">
        <v>0</v>
      </c>
      <c r="DD78">
        <v>0</v>
      </c>
      <c r="DE78">
        <v>0.25</v>
      </c>
      <c r="DF78">
        <v>0</v>
      </c>
      <c r="DG78">
        <v>0</v>
      </c>
      <c r="DH78">
        <v>1.5</v>
      </c>
      <c r="DI78">
        <v>0</v>
      </c>
      <c r="DJ78">
        <v>1</v>
      </c>
      <c r="DK78">
        <v>1</v>
      </c>
      <c r="DL78">
        <v>0.5</v>
      </c>
      <c r="DM78">
        <v>0.25</v>
      </c>
      <c r="DN78">
        <v>0</v>
      </c>
      <c r="DO78">
        <v>0.5</v>
      </c>
      <c r="DP78">
        <v>1</v>
      </c>
      <c r="DQ78">
        <v>0.5</v>
      </c>
      <c r="DR78">
        <v>0.25</v>
      </c>
      <c r="DS78">
        <v>1</v>
      </c>
      <c r="DT78">
        <v>0.25</v>
      </c>
      <c r="DU78">
        <v>0.5</v>
      </c>
      <c r="DV78">
        <v>0</v>
      </c>
      <c r="DW78">
        <v>0.5</v>
      </c>
      <c r="DX78">
        <v>0.75</v>
      </c>
      <c r="DY78">
        <v>0</v>
      </c>
      <c r="DZ78">
        <v>0.25</v>
      </c>
      <c r="EA78">
        <v>0</v>
      </c>
      <c r="EB78">
        <v>0</v>
      </c>
      <c r="EC78">
        <v>1.75</v>
      </c>
      <c r="ED78">
        <v>0.5</v>
      </c>
      <c r="EE78">
        <v>1.75</v>
      </c>
      <c r="EF78">
        <v>0</v>
      </c>
      <c r="EG78">
        <v>0.5</v>
      </c>
      <c r="EH78">
        <v>1</v>
      </c>
      <c r="EI78">
        <v>0.5</v>
      </c>
      <c r="EJ78">
        <v>0</v>
      </c>
      <c r="EK78">
        <v>1.25</v>
      </c>
      <c r="EL78">
        <v>0.5</v>
      </c>
      <c r="EM78">
        <v>0.75</v>
      </c>
      <c r="EN78">
        <v>0.25</v>
      </c>
      <c r="EO78">
        <v>0.25</v>
      </c>
      <c r="EP78">
        <v>0.25</v>
      </c>
      <c r="EQ78">
        <v>0.5</v>
      </c>
      <c r="ER78">
        <v>1.25</v>
      </c>
      <c r="ES78">
        <v>1.25</v>
      </c>
      <c r="ET78">
        <v>0.75</v>
      </c>
    </row>
    <row r="79" spans="1:150" x14ac:dyDescent="0.25">
      <c r="BJ79" t="s">
        <v>86</v>
      </c>
      <c r="BK79">
        <v>0.5</v>
      </c>
      <c r="BL79">
        <v>0</v>
      </c>
      <c r="BM79">
        <v>2</v>
      </c>
      <c r="BN79">
        <v>0.25</v>
      </c>
      <c r="BO79">
        <v>2</v>
      </c>
      <c r="BP79">
        <v>0.5</v>
      </c>
      <c r="BQ79">
        <v>0.5</v>
      </c>
      <c r="BR79">
        <v>0.25</v>
      </c>
      <c r="BS79">
        <v>0</v>
      </c>
      <c r="BT79">
        <v>1.25</v>
      </c>
      <c r="BU79">
        <v>0</v>
      </c>
      <c r="BV79">
        <v>0.75</v>
      </c>
      <c r="BW79">
        <v>0</v>
      </c>
      <c r="BX79">
        <v>1</v>
      </c>
      <c r="BY79">
        <v>0.25</v>
      </c>
      <c r="BZ79">
        <v>0</v>
      </c>
      <c r="CA79">
        <v>0.5</v>
      </c>
      <c r="CB79">
        <v>2.75</v>
      </c>
      <c r="CC79">
        <v>0</v>
      </c>
      <c r="CD79">
        <v>0.5</v>
      </c>
      <c r="CE79">
        <v>1.75</v>
      </c>
      <c r="CF79">
        <v>0</v>
      </c>
      <c r="CG79">
        <v>0.25</v>
      </c>
      <c r="CH79">
        <v>0.5</v>
      </c>
      <c r="CI79">
        <v>0.5</v>
      </c>
      <c r="CJ79">
        <v>0</v>
      </c>
      <c r="CK79">
        <v>0</v>
      </c>
      <c r="CL79">
        <v>0</v>
      </c>
      <c r="CM79">
        <v>1.75</v>
      </c>
      <c r="CN79">
        <v>0</v>
      </c>
      <c r="CO79">
        <v>0.25</v>
      </c>
      <c r="CP79">
        <v>0</v>
      </c>
      <c r="CQ79">
        <v>0</v>
      </c>
      <c r="CR79">
        <v>0.25</v>
      </c>
      <c r="CS79">
        <v>0</v>
      </c>
      <c r="CT79">
        <v>1.25</v>
      </c>
      <c r="CU79">
        <v>0</v>
      </c>
      <c r="CV79">
        <v>1.25</v>
      </c>
      <c r="CW79">
        <v>0.25</v>
      </c>
      <c r="CX79">
        <v>0.5</v>
      </c>
      <c r="CY79">
        <v>0</v>
      </c>
      <c r="CZ79">
        <v>0</v>
      </c>
      <c r="DA79">
        <v>1.25</v>
      </c>
      <c r="DB79">
        <v>1</v>
      </c>
      <c r="DC79">
        <v>0.25</v>
      </c>
      <c r="DD79">
        <v>0</v>
      </c>
      <c r="DE79">
        <v>0</v>
      </c>
      <c r="DF79">
        <v>0</v>
      </c>
      <c r="DG79">
        <v>0.75</v>
      </c>
      <c r="DH79">
        <v>1.25</v>
      </c>
      <c r="DI79">
        <v>0</v>
      </c>
      <c r="DJ79">
        <v>1.5</v>
      </c>
      <c r="DK79">
        <v>0.5</v>
      </c>
      <c r="DL79">
        <v>0</v>
      </c>
      <c r="DM79">
        <v>0.25</v>
      </c>
      <c r="DN79">
        <v>0</v>
      </c>
      <c r="DO79">
        <v>1</v>
      </c>
      <c r="DP79">
        <v>1</v>
      </c>
      <c r="DQ79">
        <v>0</v>
      </c>
      <c r="DR79">
        <v>1</v>
      </c>
      <c r="DS79">
        <v>2</v>
      </c>
      <c r="DT79">
        <v>0.25</v>
      </c>
      <c r="DU79">
        <v>0.25</v>
      </c>
      <c r="DV79">
        <v>0</v>
      </c>
      <c r="DW79">
        <v>0.25</v>
      </c>
      <c r="DX79">
        <v>0.25</v>
      </c>
      <c r="DY79">
        <v>0</v>
      </c>
      <c r="DZ79">
        <v>0.75</v>
      </c>
      <c r="EA79">
        <v>0.25</v>
      </c>
      <c r="EB79">
        <v>0</v>
      </c>
      <c r="EC79">
        <v>1.75</v>
      </c>
      <c r="ED79">
        <v>1.25</v>
      </c>
      <c r="EE79">
        <v>1.75</v>
      </c>
      <c r="EF79">
        <v>0</v>
      </c>
      <c r="EG79">
        <v>0.25</v>
      </c>
      <c r="EH79">
        <v>0.66666666666666663</v>
      </c>
      <c r="EI79">
        <v>0</v>
      </c>
      <c r="EJ79">
        <v>0.75</v>
      </c>
      <c r="EK79">
        <v>1.5</v>
      </c>
      <c r="EL79">
        <v>1.5</v>
      </c>
      <c r="EM79">
        <v>1</v>
      </c>
      <c r="EN79">
        <v>0</v>
      </c>
      <c r="EO79">
        <v>0.5</v>
      </c>
      <c r="EP79">
        <v>0.25</v>
      </c>
      <c r="EQ79">
        <v>0.25</v>
      </c>
      <c r="ER79">
        <v>2.5</v>
      </c>
      <c r="ES79">
        <v>0.5</v>
      </c>
      <c r="ET79">
        <v>0.25</v>
      </c>
    </row>
    <row r="80" spans="1:150" x14ac:dyDescent="0.25">
      <c r="BJ80" t="s">
        <v>87</v>
      </c>
      <c r="BK80">
        <v>0.33333333333333331</v>
      </c>
      <c r="BL80">
        <v>0.25</v>
      </c>
      <c r="BM80">
        <v>1.75</v>
      </c>
      <c r="BN80">
        <v>0</v>
      </c>
      <c r="BO80">
        <v>0.5</v>
      </c>
      <c r="BP80">
        <v>0</v>
      </c>
      <c r="BQ80">
        <v>0.5</v>
      </c>
      <c r="BR80">
        <v>0.5</v>
      </c>
      <c r="BS80">
        <v>0</v>
      </c>
      <c r="BT80">
        <v>1.5</v>
      </c>
      <c r="BU80">
        <v>0.5</v>
      </c>
      <c r="BV80">
        <v>0.5</v>
      </c>
      <c r="BW80">
        <v>0</v>
      </c>
      <c r="BX80">
        <v>2</v>
      </c>
      <c r="BY80">
        <v>1</v>
      </c>
      <c r="BZ80">
        <v>0.25</v>
      </c>
      <c r="CA80">
        <v>1</v>
      </c>
      <c r="CB80">
        <v>1</v>
      </c>
      <c r="CC80">
        <v>0</v>
      </c>
      <c r="CD80">
        <v>0.25</v>
      </c>
      <c r="CE80">
        <v>1.5</v>
      </c>
      <c r="CF80">
        <v>0</v>
      </c>
      <c r="CG80">
        <v>0.25</v>
      </c>
      <c r="CH80">
        <v>0.25</v>
      </c>
      <c r="CI80">
        <v>0.75</v>
      </c>
      <c r="CJ80">
        <v>0</v>
      </c>
      <c r="CK80">
        <v>0.5</v>
      </c>
      <c r="CL80">
        <v>0</v>
      </c>
      <c r="CM80">
        <v>0.25</v>
      </c>
      <c r="CN80">
        <v>0</v>
      </c>
      <c r="CO80">
        <v>0.5</v>
      </c>
      <c r="CP80">
        <v>0</v>
      </c>
      <c r="CQ80">
        <v>0.75</v>
      </c>
      <c r="CR80">
        <v>0</v>
      </c>
      <c r="CS80">
        <v>0</v>
      </c>
      <c r="CT80">
        <v>0.75</v>
      </c>
      <c r="CU80">
        <v>1.25</v>
      </c>
      <c r="CV80">
        <v>1.75</v>
      </c>
      <c r="CW80">
        <v>0</v>
      </c>
      <c r="CX80">
        <v>1</v>
      </c>
      <c r="CY80">
        <v>0</v>
      </c>
      <c r="CZ80">
        <v>0</v>
      </c>
      <c r="DA80">
        <v>0.25</v>
      </c>
      <c r="DB80">
        <v>1</v>
      </c>
      <c r="DC80">
        <v>0</v>
      </c>
      <c r="DD80">
        <v>0</v>
      </c>
      <c r="DE80">
        <v>0</v>
      </c>
      <c r="DF80">
        <v>0.5</v>
      </c>
      <c r="DG80">
        <v>0.5</v>
      </c>
      <c r="DH80">
        <v>1.25</v>
      </c>
      <c r="DI80">
        <v>0</v>
      </c>
      <c r="DJ80">
        <v>1.25</v>
      </c>
      <c r="DK80">
        <v>1</v>
      </c>
      <c r="DL80">
        <v>0.75</v>
      </c>
      <c r="DM80">
        <v>0</v>
      </c>
      <c r="DN80">
        <v>0</v>
      </c>
      <c r="DO80">
        <v>0</v>
      </c>
      <c r="DP80">
        <v>0</v>
      </c>
      <c r="DQ80">
        <v>0</v>
      </c>
      <c r="DR80">
        <v>0.5</v>
      </c>
      <c r="DS80">
        <v>1</v>
      </c>
      <c r="DT80">
        <v>0</v>
      </c>
      <c r="DU80">
        <v>1</v>
      </c>
      <c r="DV80">
        <v>0</v>
      </c>
      <c r="DW80">
        <v>0.25</v>
      </c>
      <c r="DX80">
        <v>0</v>
      </c>
      <c r="DY80">
        <v>0.25</v>
      </c>
      <c r="DZ80">
        <v>0</v>
      </c>
      <c r="EA80">
        <v>0</v>
      </c>
      <c r="EB80">
        <v>0</v>
      </c>
      <c r="EC80">
        <v>1.5</v>
      </c>
      <c r="ED80">
        <v>0.25</v>
      </c>
      <c r="EE80">
        <v>1.75</v>
      </c>
      <c r="EF80">
        <v>0.25</v>
      </c>
      <c r="EG80">
        <v>0.25</v>
      </c>
      <c r="EH80">
        <v>0</v>
      </c>
      <c r="EI80">
        <v>0</v>
      </c>
      <c r="EJ80">
        <v>1</v>
      </c>
      <c r="EK80">
        <v>0.75</v>
      </c>
      <c r="EL80">
        <v>0.75</v>
      </c>
      <c r="EM80">
        <v>1.25</v>
      </c>
      <c r="EN80">
        <v>0</v>
      </c>
      <c r="EO80">
        <v>0</v>
      </c>
      <c r="EP80">
        <v>0.75</v>
      </c>
      <c r="EQ80">
        <v>0.75</v>
      </c>
      <c r="ER80">
        <v>1.75</v>
      </c>
      <c r="ES80">
        <v>1.5</v>
      </c>
      <c r="ET80">
        <v>0</v>
      </c>
    </row>
    <row r="81" spans="62:150" x14ac:dyDescent="0.25">
      <c r="BJ81" t="s">
        <v>88</v>
      </c>
      <c r="BK81">
        <v>0.45454545454545453</v>
      </c>
      <c r="BL81">
        <v>0.66666666666666663</v>
      </c>
      <c r="BM81">
        <v>2.4166666666666665</v>
      </c>
      <c r="BN81">
        <v>0.25</v>
      </c>
      <c r="BO81">
        <v>1.1666666666666667</v>
      </c>
      <c r="BP81">
        <v>0.25</v>
      </c>
      <c r="BQ81">
        <v>0.33333333333333331</v>
      </c>
      <c r="BR81">
        <v>0.41666666666666669</v>
      </c>
      <c r="BS81">
        <v>8.3333333333333329E-2</v>
      </c>
      <c r="BT81">
        <v>1.4166666666666667</v>
      </c>
      <c r="BU81">
        <v>0.16666666666666666</v>
      </c>
      <c r="BV81">
        <v>0.75</v>
      </c>
      <c r="BW81">
        <v>0</v>
      </c>
      <c r="BX81">
        <v>1.4166666666666667</v>
      </c>
      <c r="BY81">
        <v>0.41666666666666669</v>
      </c>
      <c r="BZ81">
        <v>0.33333333333333331</v>
      </c>
      <c r="CA81">
        <v>0.58333333333333337</v>
      </c>
      <c r="CB81">
        <v>2.0833333333333335</v>
      </c>
      <c r="CC81">
        <v>0</v>
      </c>
      <c r="CD81">
        <v>0.25</v>
      </c>
      <c r="CE81">
        <v>1.75</v>
      </c>
      <c r="CF81">
        <v>0</v>
      </c>
      <c r="CG81">
        <v>0.33333333333333331</v>
      </c>
      <c r="CH81">
        <v>0.58333333333333337</v>
      </c>
      <c r="CI81">
        <v>0.75</v>
      </c>
      <c r="CJ81">
        <v>0</v>
      </c>
      <c r="CK81">
        <v>0.16666666666666666</v>
      </c>
      <c r="CL81">
        <v>0</v>
      </c>
      <c r="CM81">
        <v>1.0833333333333333</v>
      </c>
      <c r="CN81">
        <v>8.3333333333333329E-2</v>
      </c>
      <c r="CO81">
        <v>0.33333333333333331</v>
      </c>
      <c r="CP81">
        <v>0</v>
      </c>
      <c r="CQ81">
        <v>0.25</v>
      </c>
      <c r="CR81">
        <v>0.16666666666666666</v>
      </c>
      <c r="CS81">
        <v>0</v>
      </c>
      <c r="CT81">
        <v>1.0833333333333333</v>
      </c>
      <c r="CU81">
        <v>0.66666666666666663</v>
      </c>
      <c r="CV81">
        <v>1</v>
      </c>
      <c r="CW81">
        <v>8.3333333333333329E-2</v>
      </c>
      <c r="CX81">
        <v>0.58333333333333337</v>
      </c>
      <c r="CY81">
        <v>0</v>
      </c>
      <c r="CZ81">
        <v>8.3333333333333329E-2</v>
      </c>
      <c r="DA81">
        <v>0.58333333333333337</v>
      </c>
      <c r="DB81">
        <v>1</v>
      </c>
      <c r="DC81">
        <v>8.3333333333333329E-2</v>
      </c>
      <c r="DD81">
        <v>0</v>
      </c>
      <c r="DE81">
        <v>8.3333333333333329E-2</v>
      </c>
      <c r="DF81">
        <v>0.16666666666666666</v>
      </c>
      <c r="DG81">
        <v>0.41666666666666669</v>
      </c>
      <c r="DH81">
        <v>1.3333333333333333</v>
      </c>
      <c r="DI81">
        <v>0</v>
      </c>
      <c r="DJ81">
        <v>1.25</v>
      </c>
      <c r="DK81">
        <v>0.83333333333333337</v>
      </c>
      <c r="DL81">
        <v>0.41666666666666669</v>
      </c>
      <c r="DM81">
        <v>0.16666666666666666</v>
      </c>
      <c r="DN81">
        <v>0</v>
      </c>
      <c r="DO81">
        <v>0.5</v>
      </c>
      <c r="DP81">
        <v>0.66666666666666663</v>
      </c>
      <c r="DQ81">
        <v>0.16666666666666666</v>
      </c>
      <c r="DR81">
        <v>0.58333333333333337</v>
      </c>
      <c r="DS81">
        <v>1.3333333333333333</v>
      </c>
      <c r="DT81">
        <v>0.18181818181818182</v>
      </c>
      <c r="DU81">
        <v>0.58333333333333337</v>
      </c>
      <c r="DV81">
        <v>0</v>
      </c>
      <c r="DW81">
        <v>0.33333333333333331</v>
      </c>
      <c r="DX81">
        <v>0.33333333333333331</v>
      </c>
      <c r="DY81">
        <v>8.3333333333333329E-2</v>
      </c>
      <c r="DZ81">
        <v>0.33333333333333331</v>
      </c>
      <c r="EA81">
        <v>8.3333333333333329E-2</v>
      </c>
      <c r="EB81">
        <v>0</v>
      </c>
      <c r="EC81">
        <v>1.6666666666666667</v>
      </c>
      <c r="ED81">
        <v>0.66666666666666663</v>
      </c>
      <c r="EE81">
        <v>1.75</v>
      </c>
      <c r="EF81">
        <v>8.3333333333333329E-2</v>
      </c>
      <c r="EG81">
        <v>0.33333333333333331</v>
      </c>
      <c r="EH81">
        <v>0.54545454545454541</v>
      </c>
      <c r="EI81">
        <v>0.16666666666666666</v>
      </c>
      <c r="EJ81">
        <v>0.58333333333333337</v>
      </c>
      <c r="EK81">
        <v>1.1666666666666667</v>
      </c>
      <c r="EL81">
        <v>0.91666666666666663</v>
      </c>
      <c r="EM81">
        <v>1</v>
      </c>
      <c r="EN81">
        <v>8.3333333333333329E-2</v>
      </c>
      <c r="EO81">
        <v>0.25</v>
      </c>
      <c r="EP81">
        <v>0.41666666666666669</v>
      </c>
      <c r="EQ81">
        <v>0.5</v>
      </c>
      <c r="ER81">
        <v>1.8333333333333333</v>
      </c>
      <c r="ES81">
        <v>1.0833333333333333</v>
      </c>
      <c r="ET81">
        <v>0.33333333333333331</v>
      </c>
    </row>
    <row r="82" spans="62:150" x14ac:dyDescent="0.25">
      <c r="BJ82" t="s">
        <v>89</v>
      </c>
      <c r="BK82">
        <v>0.25</v>
      </c>
      <c r="BL82">
        <v>0</v>
      </c>
      <c r="BM82">
        <v>1.25</v>
      </c>
      <c r="BN82">
        <v>0.25</v>
      </c>
      <c r="BO82">
        <v>0.25</v>
      </c>
      <c r="BP82">
        <v>0</v>
      </c>
      <c r="BQ82">
        <v>0.25</v>
      </c>
      <c r="BR82">
        <v>0</v>
      </c>
      <c r="BS82">
        <v>1.25</v>
      </c>
      <c r="BT82">
        <v>0</v>
      </c>
      <c r="BU82">
        <v>1</v>
      </c>
      <c r="BV82">
        <v>0.5</v>
      </c>
      <c r="BW82">
        <v>0.5</v>
      </c>
      <c r="BX82">
        <v>0.25</v>
      </c>
      <c r="BY82">
        <v>1.25</v>
      </c>
      <c r="BZ82">
        <v>0.5</v>
      </c>
      <c r="CA82">
        <v>0.25</v>
      </c>
      <c r="CB82">
        <v>0</v>
      </c>
      <c r="CC82">
        <v>0</v>
      </c>
      <c r="CD82">
        <v>0</v>
      </c>
      <c r="CE82">
        <v>0.25</v>
      </c>
      <c r="CF82">
        <v>0.5</v>
      </c>
      <c r="CG82">
        <v>0</v>
      </c>
      <c r="CH82">
        <v>0.5</v>
      </c>
      <c r="CI82">
        <v>1</v>
      </c>
      <c r="CJ82">
        <v>0.25</v>
      </c>
      <c r="CK82">
        <v>0</v>
      </c>
      <c r="CL82">
        <v>0.25</v>
      </c>
      <c r="CM82">
        <v>0.25</v>
      </c>
      <c r="CN82">
        <v>0.75</v>
      </c>
      <c r="CO82">
        <v>0.25</v>
      </c>
      <c r="CP82">
        <v>0</v>
      </c>
      <c r="CQ82">
        <v>0.5</v>
      </c>
      <c r="CR82">
        <v>0</v>
      </c>
      <c r="CS82">
        <v>3.5</v>
      </c>
      <c r="CT82">
        <v>0</v>
      </c>
      <c r="CU82">
        <v>0.5</v>
      </c>
      <c r="CV82">
        <v>0.25</v>
      </c>
      <c r="CW82">
        <v>0.25</v>
      </c>
      <c r="CX82">
        <v>1</v>
      </c>
      <c r="CY82">
        <v>0.75</v>
      </c>
      <c r="CZ82">
        <v>0.5</v>
      </c>
      <c r="DA82">
        <v>0</v>
      </c>
      <c r="DB82">
        <v>0.25</v>
      </c>
      <c r="DC82">
        <v>0</v>
      </c>
      <c r="DD82">
        <v>1.25</v>
      </c>
      <c r="DE82">
        <v>0</v>
      </c>
      <c r="DF82">
        <v>1.5</v>
      </c>
      <c r="DG82">
        <v>1</v>
      </c>
      <c r="DH82">
        <v>0</v>
      </c>
      <c r="DI82">
        <v>1</v>
      </c>
      <c r="DJ82">
        <v>0</v>
      </c>
      <c r="DK82">
        <v>0</v>
      </c>
      <c r="DL82">
        <v>0.75</v>
      </c>
      <c r="DM82">
        <v>0.5</v>
      </c>
      <c r="DN82">
        <v>0</v>
      </c>
      <c r="DO82">
        <v>0.75</v>
      </c>
      <c r="DP82">
        <v>0</v>
      </c>
      <c r="DQ82">
        <v>0.25</v>
      </c>
      <c r="DR82">
        <v>0.25</v>
      </c>
      <c r="DS82">
        <v>0</v>
      </c>
      <c r="DT82">
        <v>0</v>
      </c>
      <c r="DU82">
        <v>0.25</v>
      </c>
      <c r="DV82">
        <v>0</v>
      </c>
      <c r="DW82">
        <v>1.5</v>
      </c>
      <c r="DX82">
        <v>0</v>
      </c>
      <c r="DY82">
        <v>0</v>
      </c>
      <c r="DZ82">
        <v>0.5</v>
      </c>
      <c r="EA82">
        <v>0</v>
      </c>
      <c r="EB82">
        <v>0</v>
      </c>
      <c r="EC82">
        <v>0.25</v>
      </c>
      <c r="ED82">
        <v>0</v>
      </c>
      <c r="EE82">
        <v>0</v>
      </c>
      <c r="EF82">
        <v>1</v>
      </c>
      <c r="EG82">
        <v>0.25</v>
      </c>
      <c r="EH82">
        <v>0</v>
      </c>
      <c r="EI82">
        <v>0.25</v>
      </c>
      <c r="EJ82">
        <v>0</v>
      </c>
      <c r="EK82">
        <v>0</v>
      </c>
      <c r="EL82">
        <v>0</v>
      </c>
      <c r="EM82">
        <v>0.25</v>
      </c>
      <c r="EN82">
        <v>1.25</v>
      </c>
      <c r="EO82">
        <v>0.75</v>
      </c>
      <c r="EP82">
        <v>1</v>
      </c>
      <c r="EQ82">
        <v>0.75</v>
      </c>
      <c r="ER82">
        <v>0</v>
      </c>
      <c r="ES82">
        <v>0.5</v>
      </c>
      <c r="ET82">
        <v>1</v>
      </c>
    </row>
    <row r="83" spans="62:150" x14ac:dyDescent="0.25">
      <c r="BJ83" t="s">
        <v>90</v>
      </c>
      <c r="BK83">
        <v>0.25</v>
      </c>
      <c r="BL83">
        <v>0</v>
      </c>
      <c r="BM83">
        <v>0</v>
      </c>
      <c r="BN83">
        <v>0</v>
      </c>
      <c r="BO83">
        <v>0.25</v>
      </c>
      <c r="BP83">
        <v>0</v>
      </c>
      <c r="BQ83">
        <v>0</v>
      </c>
      <c r="BR83">
        <v>0</v>
      </c>
      <c r="BS83">
        <v>1.5</v>
      </c>
      <c r="BT83">
        <v>0</v>
      </c>
      <c r="BU83">
        <v>0</v>
      </c>
      <c r="BV83">
        <v>1.25</v>
      </c>
      <c r="BW83">
        <v>0</v>
      </c>
      <c r="BX83">
        <v>0</v>
      </c>
      <c r="BY83">
        <v>0.75</v>
      </c>
      <c r="BZ83">
        <v>0.75</v>
      </c>
      <c r="CA83">
        <v>0</v>
      </c>
      <c r="CB83">
        <v>0</v>
      </c>
      <c r="CC83">
        <v>0</v>
      </c>
      <c r="CD83">
        <v>0.25</v>
      </c>
      <c r="CE83">
        <v>0</v>
      </c>
      <c r="CF83">
        <v>0.25</v>
      </c>
      <c r="CG83">
        <v>0</v>
      </c>
      <c r="CH83">
        <v>0</v>
      </c>
      <c r="CI83">
        <v>0.25</v>
      </c>
      <c r="CJ83">
        <v>0</v>
      </c>
      <c r="CK83">
        <v>0</v>
      </c>
      <c r="CL83">
        <v>0.5</v>
      </c>
      <c r="CM83">
        <v>0</v>
      </c>
      <c r="CN83">
        <v>0.25</v>
      </c>
      <c r="CO83">
        <v>0.25</v>
      </c>
      <c r="CP83">
        <v>0</v>
      </c>
      <c r="CQ83">
        <v>0</v>
      </c>
      <c r="CR83">
        <v>0</v>
      </c>
      <c r="CS83">
        <v>0.5</v>
      </c>
      <c r="CT83">
        <v>0</v>
      </c>
      <c r="CU83">
        <v>0</v>
      </c>
      <c r="CV83">
        <v>0.25</v>
      </c>
      <c r="CW83">
        <v>1</v>
      </c>
      <c r="CX83">
        <v>1.25</v>
      </c>
      <c r="CY83">
        <v>1</v>
      </c>
      <c r="CZ83">
        <v>1.25</v>
      </c>
      <c r="DA83">
        <v>0</v>
      </c>
      <c r="DB83">
        <v>0</v>
      </c>
      <c r="DC83">
        <v>0</v>
      </c>
      <c r="DD83">
        <v>2.6666666666666665</v>
      </c>
      <c r="DE83">
        <v>0</v>
      </c>
      <c r="DF83">
        <v>0</v>
      </c>
      <c r="DG83">
        <v>0.25</v>
      </c>
      <c r="DH83">
        <v>0</v>
      </c>
      <c r="DI83">
        <v>1.75</v>
      </c>
      <c r="DJ83">
        <v>0</v>
      </c>
      <c r="DK83">
        <v>0</v>
      </c>
      <c r="DL83">
        <v>0.25</v>
      </c>
      <c r="DM83">
        <v>1</v>
      </c>
      <c r="DN83">
        <v>0</v>
      </c>
      <c r="DO83">
        <v>1.75</v>
      </c>
      <c r="DP83">
        <v>0</v>
      </c>
      <c r="DQ83">
        <v>1.25</v>
      </c>
      <c r="DR83">
        <v>0</v>
      </c>
      <c r="DS83">
        <v>0</v>
      </c>
      <c r="DT83">
        <v>0</v>
      </c>
      <c r="DU83">
        <v>0.75</v>
      </c>
      <c r="DV83">
        <v>0</v>
      </c>
      <c r="DW83">
        <v>1</v>
      </c>
      <c r="DX83">
        <v>0.25</v>
      </c>
      <c r="DY83">
        <v>0</v>
      </c>
      <c r="DZ83">
        <v>0.75</v>
      </c>
      <c r="EA83">
        <v>0</v>
      </c>
      <c r="EB83">
        <v>0</v>
      </c>
      <c r="EC83">
        <v>0</v>
      </c>
      <c r="ED83">
        <v>0.25</v>
      </c>
      <c r="EE83">
        <v>0</v>
      </c>
      <c r="EF83">
        <v>1.5</v>
      </c>
      <c r="EG83">
        <v>0.75</v>
      </c>
      <c r="EH83">
        <v>0</v>
      </c>
      <c r="EI83">
        <v>0.25</v>
      </c>
      <c r="EJ83">
        <v>1</v>
      </c>
      <c r="EK83">
        <v>0</v>
      </c>
      <c r="EL83">
        <v>0.5</v>
      </c>
      <c r="EM83">
        <v>0</v>
      </c>
      <c r="EN83">
        <v>0.75</v>
      </c>
      <c r="EO83">
        <v>0.75</v>
      </c>
      <c r="EP83">
        <v>2.5</v>
      </c>
      <c r="EQ83">
        <v>2</v>
      </c>
      <c r="ER83">
        <v>0</v>
      </c>
      <c r="ES83">
        <v>1</v>
      </c>
      <c r="ET83">
        <v>3</v>
      </c>
    </row>
    <row r="84" spans="62:150" x14ac:dyDescent="0.25">
      <c r="BJ84" t="s">
        <v>91</v>
      </c>
      <c r="BK84">
        <v>0</v>
      </c>
      <c r="BL84">
        <v>0.25</v>
      </c>
      <c r="BM84">
        <v>0</v>
      </c>
      <c r="BN84">
        <v>0.75</v>
      </c>
      <c r="BO84">
        <v>0</v>
      </c>
      <c r="BP84">
        <v>0</v>
      </c>
      <c r="BQ84">
        <v>0</v>
      </c>
      <c r="BR84">
        <v>0</v>
      </c>
      <c r="BS84">
        <v>0</v>
      </c>
      <c r="BT84">
        <v>0.5</v>
      </c>
      <c r="BU84">
        <v>0</v>
      </c>
      <c r="BV84">
        <v>0</v>
      </c>
      <c r="BW84">
        <v>0.25</v>
      </c>
      <c r="BX84">
        <v>0</v>
      </c>
      <c r="BY84">
        <v>0.5</v>
      </c>
      <c r="BZ84">
        <v>1.5</v>
      </c>
      <c r="CA84">
        <v>0</v>
      </c>
      <c r="CB84">
        <v>0</v>
      </c>
      <c r="CC84">
        <v>0</v>
      </c>
      <c r="CD84">
        <v>0</v>
      </c>
      <c r="CE84">
        <v>0</v>
      </c>
      <c r="CF84">
        <v>0.75</v>
      </c>
      <c r="CG84">
        <v>0</v>
      </c>
      <c r="CH84">
        <v>0</v>
      </c>
      <c r="CI84">
        <v>1</v>
      </c>
      <c r="CJ84">
        <v>1</v>
      </c>
      <c r="CK84">
        <v>0</v>
      </c>
      <c r="CL84">
        <v>0.25</v>
      </c>
      <c r="CM84">
        <v>0</v>
      </c>
      <c r="CN84">
        <v>0</v>
      </c>
      <c r="CO84">
        <v>0.75</v>
      </c>
      <c r="CP84">
        <v>0</v>
      </c>
      <c r="CQ84">
        <v>0</v>
      </c>
      <c r="CR84">
        <v>0</v>
      </c>
      <c r="CS84">
        <v>1.25</v>
      </c>
      <c r="CT84">
        <v>0</v>
      </c>
      <c r="CU84">
        <v>0.5</v>
      </c>
      <c r="CV84">
        <v>0.75</v>
      </c>
      <c r="CW84">
        <v>1</v>
      </c>
      <c r="CX84">
        <v>0</v>
      </c>
      <c r="CY84">
        <v>0.25</v>
      </c>
      <c r="CZ84">
        <v>0.75</v>
      </c>
      <c r="DA84">
        <v>0</v>
      </c>
      <c r="DB84">
        <v>0.5</v>
      </c>
      <c r="DC84">
        <v>0</v>
      </c>
      <c r="DD84">
        <v>2.5</v>
      </c>
      <c r="DE84">
        <v>0.25</v>
      </c>
      <c r="DF84">
        <v>0.25</v>
      </c>
      <c r="DG84">
        <v>0.25</v>
      </c>
      <c r="DH84">
        <v>0</v>
      </c>
      <c r="DI84">
        <v>0.5</v>
      </c>
      <c r="DJ84">
        <v>0</v>
      </c>
      <c r="DK84">
        <v>0.5</v>
      </c>
      <c r="DL84">
        <v>1.25</v>
      </c>
      <c r="DM84">
        <v>0.25</v>
      </c>
      <c r="DN84">
        <v>0</v>
      </c>
      <c r="DO84">
        <v>0.25</v>
      </c>
      <c r="DP84">
        <v>0</v>
      </c>
      <c r="DQ84">
        <v>0.25</v>
      </c>
      <c r="DR84">
        <v>0.25</v>
      </c>
      <c r="DS84">
        <v>0</v>
      </c>
      <c r="DT84">
        <v>0.33333333333333331</v>
      </c>
      <c r="DU84">
        <v>0</v>
      </c>
      <c r="DV84">
        <v>0.75</v>
      </c>
      <c r="DW84">
        <v>1</v>
      </c>
      <c r="DX84">
        <v>1</v>
      </c>
      <c r="DY84">
        <v>0.25</v>
      </c>
      <c r="DZ84">
        <v>0.25</v>
      </c>
      <c r="EA84">
        <v>1</v>
      </c>
      <c r="EB84">
        <v>0</v>
      </c>
      <c r="EC84">
        <v>0</v>
      </c>
      <c r="ED84">
        <v>0.25</v>
      </c>
      <c r="EE84">
        <v>0</v>
      </c>
      <c r="EF84">
        <v>0.75</v>
      </c>
      <c r="EG84">
        <v>0</v>
      </c>
      <c r="EH84">
        <v>0.25</v>
      </c>
      <c r="EI84">
        <v>0.25</v>
      </c>
      <c r="EJ84">
        <v>0.25</v>
      </c>
      <c r="EK84">
        <v>0</v>
      </c>
      <c r="EL84">
        <v>0.25</v>
      </c>
      <c r="EM84">
        <v>0</v>
      </c>
      <c r="EN84">
        <v>1.5</v>
      </c>
      <c r="EO84">
        <v>2.5</v>
      </c>
      <c r="EP84">
        <v>2.25</v>
      </c>
      <c r="EQ84">
        <v>1</v>
      </c>
      <c r="ER84">
        <v>0</v>
      </c>
      <c r="ES84">
        <v>0</v>
      </c>
      <c r="ET84">
        <v>1.5</v>
      </c>
    </row>
    <row r="85" spans="62:150" x14ac:dyDescent="0.25">
      <c r="BJ85" t="s">
        <v>92</v>
      </c>
      <c r="BK85">
        <v>0.18181818181818182</v>
      </c>
      <c r="BL85">
        <v>8.3333333333333329E-2</v>
      </c>
      <c r="BM85">
        <v>0.41666666666666669</v>
      </c>
      <c r="BN85">
        <v>0.33333333333333331</v>
      </c>
      <c r="BO85">
        <v>0.16666666666666666</v>
      </c>
      <c r="BP85">
        <v>0</v>
      </c>
      <c r="BQ85">
        <v>8.3333333333333329E-2</v>
      </c>
      <c r="BR85">
        <v>0</v>
      </c>
      <c r="BS85">
        <v>0.91666666666666663</v>
      </c>
      <c r="BT85">
        <v>0.16666666666666666</v>
      </c>
      <c r="BU85">
        <v>0.33333333333333331</v>
      </c>
      <c r="BV85">
        <v>0.58333333333333337</v>
      </c>
      <c r="BW85">
        <v>0.25</v>
      </c>
      <c r="BX85">
        <v>8.3333333333333329E-2</v>
      </c>
      <c r="BY85">
        <v>0.83333333333333337</v>
      </c>
      <c r="BZ85">
        <v>0.91666666666666663</v>
      </c>
      <c r="CA85">
        <v>8.3333333333333329E-2</v>
      </c>
      <c r="CB85">
        <v>0</v>
      </c>
      <c r="CC85">
        <v>0</v>
      </c>
      <c r="CD85">
        <v>8.3333333333333329E-2</v>
      </c>
      <c r="CE85">
        <v>8.3333333333333329E-2</v>
      </c>
      <c r="CF85">
        <v>0.5</v>
      </c>
      <c r="CG85">
        <v>0</v>
      </c>
      <c r="CH85">
        <v>0.16666666666666666</v>
      </c>
      <c r="CI85">
        <v>0.75</v>
      </c>
      <c r="CJ85">
        <v>0.41666666666666669</v>
      </c>
      <c r="CK85">
        <v>0</v>
      </c>
      <c r="CL85">
        <v>0.33333333333333331</v>
      </c>
      <c r="CM85">
        <v>8.3333333333333329E-2</v>
      </c>
      <c r="CN85">
        <v>0.33333333333333331</v>
      </c>
      <c r="CO85">
        <v>0.41666666666666669</v>
      </c>
      <c r="CP85">
        <v>0</v>
      </c>
      <c r="CQ85">
        <v>0.16666666666666666</v>
      </c>
      <c r="CR85">
        <v>0</v>
      </c>
      <c r="CS85">
        <v>1.75</v>
      </c>
      <c r="CT85">
        <v>0</v>
      </c>
      <c r="CU85">
        <v>0.33333333333333331</v>
      </c>
      <c r="CV85">
        <v>0.41666666666666669</v>
      </c>
      <c r="CW85">
        <v>0.75</v>
      </c>
      <c r="CX85">
        <v>0.75</v>
      </c>
      <c r="CY85">
        <v>0.66666666666666663</v>
      </c>
      <c r="CZ85">
        <v>0.83333333333333337</v>
      </c>
      <c r="DA85">
        <v>0</v>
      </c>
      <c r="DB85">
        <v>0.25</v>
      </c>
      <c r="DC85">
        <v>0</v>
      </c>
      <c r="DD85">
        <v>2.0909090909090908</v>
      </c>
      <c r="DE85">
        <v>8.3333333333333329E-2</v>
      </c>
      <c r="DF85">
        <v>0.58333333333333337</v>
      </c>
      <c r="DG85">
        <v>0.5</v>
      </c>
      <c r="DH85">
        <v>0</v>
      </c>
      <c r="DI85">
        <v>1.0833333333333333</v>
      </c>
      <c r="DJ85">
        <v>0</v>
      </c>
      <c r="DK85">
        <v>0.16666666666666666</v>
      </c>
      <c r="DL85">
        <v>0.75</v>
      </c>
      <c r="DM85">
        <v>0.58333333333333337</v>
      </c>
      <c r="DN85">
        <v>0</v>
      </c>
      <c r="DO85">
        <v>0.91666666666666663</v>
      </c>
      <c r="DP85">
        <v>0</v>
      </c>
      <c r="DQ85">
        <v>0.58333333333333337</v>
      </c>
      <c r="DR85">
        <v>0.16666666666666666</v>
      </c>
      <c r="DS85">
        <v>0</v>
      </c>
      <c r="DT85">
        <v>9.0909090909090912E-2</v>
      </c>
      <c r="DU85">
        <v>0.33333333333333331</v>
      </c>
      <c r="DV85">
        <v>0.25</v>
      </c>
      <c r="DW85">
        <v>1.1666666666666667</v>
      </c>
      <c r="DX85">
        <v>0.41666666666666669</v>
      </c>
      <c r="DY85">
        <v>8.3333333333333329E-2</v>
      </c>
      <c r="DZ85">
        <v>0.5</v>
      </c>
      <c r="EA85">
        <v>0.33333333333333331</v>
      </c>
      <c r="EB85">
        <v>0</v>
      </c>
      <c r="EC85">
        <v>8.3333333333333329E-2</v>
      </c>
      <c r="ED85">
        <v>0.16666666666666666</v>
      </c>
      <c r="EE85">
        <v>0</v>
      </c>
      <c r="EF85">
        <v>1.0833333333333333</v>
      </c>
      <c r="EG85">
        <v>0.33333333333333331</v>
      </c>
      <c r="EH85">
        <v>8.3333333333333329E-2</v>
      </c>
      <c r="EI85">
        <v>0.25</v>
      </c>
      <c r="EJ85">
        <v>0.41666666666666669</v>
      </c>
      <c r="EK85">
        <v>0</v>
      </c>
      <c r="EL85">
        <v>0.25</v>
      </c>
      <c r="EM85">
        <v>8.3333333333333329E-2</v>
      </c>
      <c r="EN85">
        <v>1.1666666666666667</v>
      </c>
      <c r="EO85">
        <v>1.3333333333333333</v>
      </c>
      <c r="EP85">
        <v>1.9166666666666667</v>
      </c>
      <c r="EQ85">
        <v>1.25</v>
      </c>
      <c r="ER85">
        <v>0</v>
      </c>
      <c r="ES85">
        <v>0.5</v>
      </c>
      <c r="ET85">
        <v>1.8333333333333333</v>
      </c>
    </row>
    <row r="86" spans="62:150" x14ac:dyDescent="0.25">
      <c r="BJ86" t="s">
        <v>93</v>
      </c>
      <c r="BK86">
        <v>0.75</v>
      </c>
      <c r="BL86">
        <v>2.25</v>
      </c>
      <c r="BM86">
        <v>3.25</v>
      </c>
      <c r="BN86">
        <v>0.25</v>
      </c>
      <c r="BO86">
        <v>0.75</v>
      </c>
      <c r="BP86">
        <v>2.5</v>
      </c>
      <c r="BQ86">
        <v>0.25</v>
      </c>
      <c r="BR86">
        <v>0.75</v>
      </c>
      <c r="BS86">
        <v>2.5</v>
      </c>
      <c r="BT86">
        <v>0</v>
      </c>
      <c r="BU86">
        <v>0.75</v>
      </c>
      <c r="BV86">
        <v>0.75</v>
      </c>
      <c r="BW86">
        <v>2</v>
      </c>
      <c r="BX86">
        <v>0</v>
      </c>
      <c r="BY86">
        <v>0.5</v>
      </c>
      <c r="BZ86">
        <v>1</v>
      </c>
      <c r="CA86">
        <v>0</v>
      </c>
      <c r="CB86">
        <v>0.75</v>
      </c>
      <c r="CC86">
        <v>0.75</v>
      </c>
      <c r="CD86">
        <v>1</v>
      </c>
      <c r="CE86">
        <v>0</v>
      </c>
      <c r="CF86">
        <v>2</v>
      </c>
      <c r="CG86">
        <v>0.25</v>
      </c>
      <c r="CH86">
        <v>1</v>
      </c>
      <c r="CI86">
        <v>1.5</v>
      </c>
      <c r="CJ86">
        <v>0.75</v>
      </c>
      <c r="CK86">
        <v>0</v>
      </c>
      <c r="CL86">
        <v>0.5</v>
      </c>
      <c r="CM86">
        <v>0.5</v>
      </c>
      <c r="CN86">
        <v>1</v>
      </c>
      <c r="CO86">
        <v>0.75</v>
      </c>
      <c r="CP86">
        <v>1.5</v>
      </c>
      <c r="CQ86">
        <v>0.25</v>
      </c>
      <c r="CR86">
        <v>4</v>
      </c>
      <c r="CS86">
        <v>0.66666666666666663</v>
      </c>
      <c r="CT86">
        <v>1.25</v>
      </c>
      <c r="CU86">
        <v>2</v>
      </c>
      <c r="CV86">
        <v>2.25</v>
      </c>
      <c r="CW86">
        <v>0.75</v>
      </c>
      <c r="CX86">
        <v>1.25</v>
      </c>
      <c r="CY86">
        <v>1.5</v>
      </c>
      <c r="CZ86">
        <v>0.75</v>
      </c>
      <c r="DA86">
        <v>0.75</v>
      </c>
      <c r="DB86">
        <v>0.5</v>
      </c>
      <c r="DC86">
        <v>1.5</v>
      </c>
      <c r="DD86">
        <v>1</v>
      </c>
      <c r="DE86">
        <v>1.25</v>
      </c>
      <c r="DF86">
        <v>0.75</v>
      </c>
      <c r="DG86">
        <v>0.25</v>
      </c>
      <c r="DH86">
        <v>0</v>
      </c>
      <c r="DI86">
        <v>0.75</v>
      </c>
      <c r="DJ86">
        <v>0</v>
      </c>
      <c r="DK86">
        <v>0.5</v>
      </c>
      <c r="DL86">
        <v>0.75</v>
      </c>
      <c r="DM86">
        <v>0.25</v>
      </c>
      <c r="DN86">
        <v>0.75</v>
      </c>
      <c r="DO86">
        <v>0.75</v>
      </c>
      <c r="DP86">
        <v>0.75</v>
      </c>
      <c r="DQ86">
        <v>0</v>
      </c>
      <c r="DR86">
        <v>1.5</v>
      </c>
      <c r="DS86">
        <v>0.25</v>
      </c>
      <c r="DT86">
        <v>1.25</v>
      </c>
      <c r="DU86">
        <v>1</v>
      </c>
      <c r="DV86">
        <v>0.75</v>
      </c>
      <c r="DW86">
        <v>1.5</v>
      </c>
      <c r="DX86">
        <v>2</v>
      </c>
      <c r="DY86">
        <v>0</v>
      </c>
      <c r="DZ86">
        <v>0.5</v>
      </c>
      <c r="EA86">
        <v>0</v>
      </c>
      <c r="EB86">
        <v>0</v>
      </c>
      <c r="EC86">
        <v>0.75</v>
      </c>
      <c r="ED86">
        <v>1.75</v>
      </c>
      <c r="EE86">
        <v>1</v>
      </c>
      <c r="EF86">
        <v>0.25</v>
      </c>
      <c r="EG86">
        <v>0</v>
      </c>
      <c r="EH86">
        <v>2</v>
      </c>
      <c r="EI86">
        <v>1.75</v>
      </c>
      <c r="EJ86">
        <v>2.5</v>
      </c>
      <c r="EK86">
        <v>2.25</v>
      </c>
      <c r="EL86">
        <v>0.75</v>
      </c>
      <c r="EM86">
        <v>3</v>
      </c>
      <c r="EN86">
        <v>0.25</v>
      </c>
      <c r="EO86">
        <v>0.5</v>
      </c>
      <c r="EP86">
        <v>0</v>
      </c>
      <c r="EQ86">
        <v>1</v>
      </c>
      <c r="ER86">
        <v>1.75</v>
      </c>
      <c r="ES86">
        <v>1.75</v>
      </c>
      <c r="ET86">
        <v>1.25</v>
      </c>
    </row>
    <row r="87" spans="62:150" x14ac:dyDescent="0.25">
      <c r="BJ87" t="s">
        <v>94</v>
      </c>
      <c r="BK87">
        <v>2.25</v>
      </c>
      <c r="BL87">
        <v>0.25</v>
      </c>
      <c r="BM87">
        <v>3.25</v>
      </c>
      <c r="BN87">
        <v>0.25</v>
      </c>
      <c r="BO87">
        <v>2.75</v>
      </c>
      <c r="BP87">
        <v>0</v>
      </c>
      <c r="BQ87">
        <v>2.25</v>
      </c>
      <c r="BR87">
        <v>0.5</v>
      </c>
      <c r="BS87">
        <v>1.5</v>
      </c>
      <c r="BT87">
        <v>0</v>
      </c>
      <c r="BU87">
        <v>1.25</v>
      </c>
      <c r="BV87">
        <v>0.25</v>
      </c>
      <c r="BW87">
        <v>0</v>
      </c>
      <c r="BX87">
        <v>0</v>
      </c>
      <c r="BY87">
        <v>0.5</v>
      </c>
      <c r="BZ87">
        <v>1</v>
      </c>
      <c r="CA87">
        <v>0.5</v>
      </c>
      <c r="CB87">
        <v>2</v>
      </c>
      <c r="CC87">
        <v>0.5</v>
      </c>
      <c r="CD87">
        <v>1</v>
      </c>
      <c r="CE87">
        <v>0.25</v>
      </c>
      <c r="CF87">
        <v>0</v>
      </c>
      <c r="CG87">
        <v>0.5</v>
      </c>
      <c r="CH87">
        <v>0.25</v>
      </c>
      <c r="CI87">
        <v>0.5</v>
      </c>
      <c r="CJ87">
        <v>0.5</v>
      </c>
      <c r="CK87">
        <v>0</v>
      </c>
      <c r="CL87">
        <v>0</v>
      </c>
      <c r="CM87">
        <v>1.75</v>
      </c>
      <c r="CN87">
        <v>0</v>
      </c>
      <c r="CO87">
        <v>0.75</v>
      </c>
      <c r="CP87">
        <v>0.5</v>
      </c>
      <c r="CQ87">
        <v>0</v>
      </c>
      <c r="CR87">
        <v>0.25</v>
      </c>
      <c r="CS87">
        <v>0.5</v>
      </c>
      <c r="CT87">
        <v>0.5</v>
      </c>
      <c r="CU87">
        <v>0</v>
      </c>
      <c r="CV87">
        <v>0.75</v>
      </c>
      <c r="CW87">
        <v>0.25</v>
      </c>
      <c r="CX87">
        <v>1</v>
      </c>
      <c r="CY87">
        <v>0.5</v>
      </c>
      <c r="CZ87">
        <v>0.5</v>
      </c>
      <c r="DA87">
        <v>0.25</v>
      </c>
      <c r="DB87">
        <v>0.5</v>
      </c>
      <c r="DC87">
        <v>2.25</v>
      </c>
      <c r="DD87">
        <v>0.5</v>
      </c>
      <c r="DE87">
        <v>0</v>
      </c>
      <c r="DF87">
        <v>1.5</v>
      </c>
      <c r="DG87">
        <v>1</v>
      </c>
      <c r="DH87">
        <v>0</v>
      </c>
      <c r="DI87">
        <v>0.75</v>
      </c>
      <c r="DJ87">
        <v>0.25</v>
      </c>
      <c r="DK87">
        <v>1.25</v>
      </c>
      <c r="DL87">
        <v>0.25</v>
      </c>
      <c r="DM87">
        <v>1</v>
      </c>
      <c r="DN87">
        <v>0</v>
      </c>
      <c r="DO87">
        <v>0.25</v>
      </c>
      <c r="DP87">
        <v>1</v>
      </c>
      <c r="DQ87">
        <v>0</v>
      </c>
      <c r="DR87">
        <v>0</v>
      </c>
      <c r="DS87">
        <v>0.25</v>
      </c>
      <c r="DT87">
        <v>1.25</v>
      </c>
      <c r="DU87">
        <v>0.75</v>
      </c>
      <c r="DV87">
        <v>1.75</v>
      </c>
      <c r="DW87">
        <v>2</v>
      </c>
      <c r="DX87">
        <v>1</v>
      </c>
      <c r="DY87">
        <v>1</v>
      </c>
      <c r="DZ87">
        <v>1.25</v>
      </c>
      <c r="EA87">
        <v>1</v>
      </c>
      <c r="EB87">
        <v>0</v>
      </c>
      <c r="EC87">
        <v>1.75</v>
      </c>
      <c r="ED87">
        <v>1.25</v>
      </c>
      <c r="EE87">
        <v>0</v>
      </c>
      <c r="EF87">
        <v>0</v>
      </c>
      <c r="EG87">
        <v>1.25</v>
      </c>
      <c r="EH87">
        <v>1.75</v>
      </c>
      <c r="EI87">
        <v>1.5</v>
      </c>
      <c r="EJ87">
        <v>0.5</v>
      </c>
      <c r="EK87">
        <v>3.25</v>
      </c>
      <c r="EL87">
        <v>0</v>
      </c>
      <c r="EM87">
        <v>2.25</v>
      </c>
      <c r="EN87">
        <v>0.5</v>
      </c>
      <c r="EO87">
        <v>0.75</v>
      </c>
      <c r="EP87">
        <v>0.5</v>
      </c>
      <c r="EQ87">
        <v>1.25</v>
      </c>
      <c r="ER87">
        <v>2.25</v>
      </c>
      <c r="ES87">
        <v>0.25</v>
      </c>
      <c r="ET87">
        <v>0.5</v>
      </c>
    </row>
    <row r="88" spans="62:150" x14ac:dyDescent="0.25">
      <c r="BJ88" t="s">
        <v>95</v>
      </c>
      <c r="BK88">
        <v>1</v>
      </c>
      <c r="BL88">
        <v>1.25</v>
      </c>
      <c r="BM88">
        <v>1.75</v>
      </c>
      <c r="BN88">
        <v>0</v>
      </c>
      <c r="BO88">
        <v>1.75</v>
      </c>
      <c r="BP88">
        <v>2.5</v>
      </c>
      <c r="BQ88">
        <v>0</v>
      </c>
      <c r="BR88">
        <v>0</v>
      </c>
      <c r="BS88">
        <v>4</v>
      </c>
      <c r="BT88">
        <v>0.5</v>
      </c>
      <c r="BU88">
        <v>1</v>
      </c>
      <c r="BV88">
        <v>2.5</v>
      </c>
      <c r="BW88">
        <v>0</v>
      </c>
      <c r="BX88">
        <v>0.25</v>
      </c>
      <c r="BY88">
        <v>2.25</v>
      </c>
      <c r="BZ88">
        <v>0.25</v>
      </c>
      <c r="CA88">
        <v>0</v>
      </c>
      <c r="CB88">
        <v>0.75</v>
      </c>
      <c r="CC88">
        <v>2</v>
      </c>
      <c r="CD88">
        <v>0.25</v>
      </c>
      <c r="CE88">
        <v>0.5</v>
      </c>
      <c r="CF88">
        <v>0.25</v>
      </c>
      <c r="CG88">
        <v>0.25</v>
      </c>
      <c r="CH88">
        <v>0.25</v>
      </c>
      <c r="CI88">
        <v>0</v>
      </c>
      <c r="CJ88">
        <v>0.75</v>
      </c>
      <c r="CK88">
        <v>1.5</v>
      </c>
      <c r="CL88">
        <v>0.5</v>
      </c>
      <c r="CM88">
        <v>0.5</v>
      </c>
      <c r="CN88">
        <v>0.75</v>
      </c>
      <c r="CO88">
        <v>0.75</v>
      </c>
      <c r="CP88">
        <v>0</v>
      </c>
      <c r="CQ88">
        <v>0.75</v>
      </c>
      <c r="CR88">
        <v>0.25</v>
      </c>
      <c r="CS88">
        <v>2</v>
      </c>
      <c r="CT88">
        <v>0</v>
      </c>
      <c r="CU88">
        <v>3.25</v>
      </c>
      <c r="CV88">
        <v>1.5</v>
      </c>
      <c r="CW88">
        <v>1</v>
      </c>
      <c r="CX88">
        <v>1.75</v>
      </c>
      <c r="CY88">
        <v>2.75</v>
      </c>
      <c r="CZ88">
        <v>0.5</v>
      </c>
      <c r="DA88">
        <v>3.75</v>
      </c>
      <c r="DB88">
        <v>0.25</v>
      </c>
      <c r="DC88">
        <v>4</v>
      </c>
      <c r="DD88">
        <v>0</v>
      </c>
      <c r="DE88">
        <v>0</v>
      </c>
      <c r="DF88">
        <v>0.5</v>
      </c>
      <c r="DG88">
        <v>0</v>
      </c>
      <c r="DH88">
        <v>0.25</v>
      </c>
      <c r="DI88">
        <v>0.75</v>
      </c>
      <c r="DJ88">
        <v>0</v>
      </c>
      <c r="DK88">
        <v>0.5</v>
      </c>
      <c r="DL88">
        <v>0.75</v>
      </c>
      <c r="DM88">
        <v>0.5</v>
      </c>
      <c r="DN88">
        <v>1</v>
      </c>
      <c r="DO88">
        <v>0</v>
      </c>
      <c r="DP88">
        <v>1</v>
      </c>
      <c r="DQ88">
        <v>0.25</v>
      </c>
      <c r="DR88">
        <v>0.75</v>
      </c>
      <c r="DS88">
        <v>0.5</v>
      </c>
      <c r="DT88">
        <v>0</v>
      </c>
      <c r="DU88">
        <v>1.75</v>
      </c>
      <c r="DV88">
        <v>0</v>
      </c>
      <c r="DW88">
        <v>0.5</v>
      </c>
      <c r="DX88">
        <v>0.75</v>
      </c>
      <c r="DY88">
        <v>1.25</v>
      </c>
      <c r="DZ88">
        <v>0.25</v>
      </c>
      <c r="EA88">
        <v>0</v>
      </c>
      <c r="EB88">
        <v>0.25</v>
      </c>
      <c r="EC88">
        <v>1.5</v>
      </c>
      <c r="ED88">
        <v>1</v>
      </c>
      <c r="EE88">
        <v>0.25</v>
      </c>
      <c r="EF88">
        <v>1.25</v>
      </c>
      <c r="EG88">
        <v>0.5</v>
      </c>
      <c r="EH88">
        <v>0.5</v>
      </c>
      <c r="EI88">
        <v>0.75</v>
      </c>
      <c r="EJ88">
        <v>0.75</v>
      </c>
      <c r="EK88">
        <v>2.5</v>
      </c>
      <c r="EL88">
        <v>1.25</v>
      </c>
      <c r="EM88">
        <v>3.25</v>
      </c>
      <c r="EN88">
        <v>1</v>
      </c>
      <c r="EO88">
        <v>0.5</v>
      </c>
      <c r="EP88">
        <v>0.75</v>
      </c>
      <c r="EQ88">
        <v>2</v>
      </c>
      <c r="ER88">
        <v>2.5</v>
      </c>
      <c r="ES88">
        <v>2.75</v>
      </c>
      <c r="ET88">
        <v>0.75</v>
      </c>
    </row>
    <row r="89" spans="62:150" x14ac:dyDescent="0.25">
      <c r="BJ89" t="s">
        <v>96</v>
      </c>
      <c r="BK89">
        <v>1.3636363636363635</v>
      </c>
      <c r="BL89">
        <v>1.25</v>
      </c>
      <c r="BM89">
        <v>2.75</v>
      </c>
      <c r="BN89">
        <v>0.16666666666666666</v>
      </c>
      <c r="BO89">
        <v>1.75</v>
      </c>
      <c r="BP89">
        <v>1.6666666666666667</v>
      </c>
      <c r="BQ89">
        <v>0.83333333333333337</v>
      </c>
      <c r="BR89">
        <v>0.41666666666666669</v>
      </c>
      <c r="BS89">
        <v>2.6666666666666665</v>
      </c>
      <c r="BT89">
        <v>0.16666666666666666</v>
      </c>
      <c r="BU89">
        <v>1</v>
      </c>
      <c r="BV89">
        <v>1.1666666666666667</v>
      </c>
      <c r="BW89">
        <v>0.66666666666666663</v>
      </c>
      <c r="BX89">
        <v>8.3333333333333329E-2</v>
      </c>
      <c r="BY89">
        <v>1.0833333333333333</v>
      </c>
      <c r="BZ89">
        <v>0.75</v>
      </c>
      <c r="CA89">
        <v>0.16666666666666666</v>
      </c>
      <c r="CB89">
        <v>1.1666666666666667</v>
      </c>
      <c r="CC89">
        <v>1.0833333333333333</v>
      </c>
      <c r="CD89">
        <v>0.75</v>
      </c>
      <c r="CE89">
        <v>0.25</v>
      </c>
      <c r="CF89">
        <v>0.75</v>
      </c>
      <c r="CG89">
        <v>0.33333333333333331</v>
      </c>
      <c r="CH89">
        <v>0.5</v>
      </c>
      <c r="CI89">
        <v>0.66666666666666663</v>
      </c>
      <c r="CJ89">
        <v>0.66666666666666663</v>
      </c>
      <c r="CK89">
        <v>0.5</v>
      </c>
      <c r="CL89">
        <v>0.33333333333333331</v>
      </c>
      <c r="CM89">
        <v>0.91666666666666663</v>
      </c>
      <c r="CN89">
        <v>0.58333333333333337</v>
      </c>
      <c r="CO89">
        <v>0.75</v>
      </c>
      <c r="CP89">
        <v>0.66666666666666663</v>
      </c>
      <c r="CQ89">
        <v>0.33333333333333331</v>
      </c>
      <c r="CR89">
        <v>1.5</v>
      </c>
      <c r="CS89">
        <v>1.0909090909090908</v>
      </c>
      <c r="CT89">
        <v>0.58333333333333337</v>
      </c>
      <c r="CU89">
        <v>1.75</v>
      </c>
      <c r="CV89">
        <v>1.5</v>
      </c>
      <c r="CW89">
        <v>0.66666666666666663</v>
      </c>
      <c r="CX89">
        <v>1.3333333333333333</v>
      </c>
      <c r="CY89">
        <v>1.5833333333333333</v>
      </c>
      <c r="CZ89">
        <v>0.58333333333333337</v>
      </c>
      <c r="DA89">
        <v>1.5833333333333333</v>
      </c>
      <c r="DB89">
        <v>0.41666666666666669</v>
      </c>
      <c r="DC89">
        <v>2.5833333333333335</v>
      </c>
      <c r="DD89">
        <v>0.54545454545454541</v>
      </c>
      <c r="DE89">
        <v>0.41666666666666669</v>
      </c>
      <c r="DF89">
        <v>0.91666666666666663</v>
      </c>
      <c r="DG89">
        <v>0.41666666666666669</v>
      </c>
      <c r="DH89">
        <v>8.3333333333333329E-2</v>
      </c>
      <c r="DI89">
        <v>0.75</v>
      </c>
      <c r="DJ89">
        <v>8.3333333333333329E-2</v>
      </c>
      <c r="DK89">
        <v>0.75</v>
      </c>
      <c r="DL89">
        <v>0.58333333333333337</v>
      </c>
      <c r="DM89">
        <v>0.58333333333333337</v>
      </c>
      <c r="DN89">
        <v>0.58333333333333337</v>
      </c>
      <c r="DO89">
        <v>0.33333333333333331</v>
      </c>
      <c r="DP89">
        <v>0.91666666666666663</v>
      </c>
      <c r="DQ89">
        <v>8.3333333333333329E-2</v>
      </c>
      <c r="DR89">
        <v>0.75</v>
      </c>
      <c r="DS89">
        <v>0.33333333333333331</v>
      </c>
      <c r="DT89">
        <v>0.90909090909090906</v>
      </c>
      <c r="DU89">
        <v>1.1666666666666667</v>
      </c>
      <c r="DV89">
        <v>0.83333333333333337</v>
      </c>
      <c r="DW89">
        <v>1.3333333333333333</v>
      </c>
      <c r="DX89">
        <v>1.25</v>
      </c>
      <c r="DY89">
        <v>0.75</v>
      </c>
      <c r="DZ89">
        <v>0.66666666666666663</v>
      </c>
      <c r="EA89">
        <v>0.33333333333333331</v>
      </c>
      <c r="EB89">
        <v>8.3333333333333329E-2</v>
      </c>
      <c r="EC89">
        <v>1.3333333333333333</v>
      </c>
      <c r="ED89">
        <v>1.3333333333333333</v>
      </c>
      <c r="EE89">
        <v>0.41666666666666669</v>
      </c>
      <c r="EF89">
        <v>0.5</v>
      </c>
      <c r="EG89">
        <v>0.58333333333333337</v>
      </c>
      <c r="EH89">
        <v>1.4166666666666667</v>
      </c>
      <c r="EI89">
        <v>1.3333333333333333</v>
      </c>
      <c r="EJ89">
        <v>1.25</v>
      </c>
      <c r="EK89">
        <v>2.6666666666666665</v>
      </c>
      <c r="EL89">
        <v>0.66666666666666663</v>
      </c>
      <c r="EM89">
        <v>2.8333333333333335</v>
      </c>
      <c r="EN89">
        <v>0.58333333333333337</v>
      </c>
      <c r="EO89">
        <v>0.58333333333333337</v>
      </c>
      <c r="EP89">
        <v>0.41666666666666669</v>
      </c>
      <c r="EQ89">
        <v>1.4166666666666667</v>
      </c>
      <c r="ER89">
        <v>2.1666666666666665</v>
      </c>
      <c r="ES89">
        <v>1.5833333333333333</v>
      </c>
      <c r="ET89">
        <v>0.83333333333333337</v>
      </c>
    </row>
    <row r="91" spans="62:150" x14ac:dyDescent="0.25">
      <c r="BJ91" t="s">
        <v>22</v>
      </c>
      <c r="BK91">
        <v>4.1666666666666661</v>
      </c>
      <c r="BL91">
        <v>4.1666666666666661</v>
      </c>
      <c r="BM91">
        <v>4.1666666666666661</v>
      </c>
      <c r="BN91">
        <v>41.666666666666671</v>
      </c>
      <c r="BO91">
        <v>20.833333333333336</v>
      </c>
      <c r="BP91">
        <v>0</v>
      </c>
      <c r="BQ91">
        <v>12.5</v>
      </c>
      <c r="BR91">
        <v>20.833333333333336</v>
      </c>
      <c r="BS91">
        <v>20.833333333333336</v>
      </c>
      <c r="BT91">
        <v>0</v>
      </c>
      <c r="BU91">
        <v>50</v>
      </c>
      <c r="BV91">
        <v>12.5</v>
      </c>
      <c r="BW91">
        <v>8.3333333333333321</v>
      </c>
      <c r="BX91">
        <v>4.1666666666666661</v>
      </c>
      <c r="BY91">
        <v>8.3333333333333321</v>
      </c>
      <c r="BZ91">
        <v>25</v>
      </c>
      <c r="CA91">
        <v>4.1666666666666661</v>
      </c>
      <c r="CB91">
        <v>0</v>
      </c>
      <c r="CC91">
        <v>8.3333333333333321</v>
      </c>
      <c r="CD91">
        <v>16.666666666666664</v>
      </c>
      <c r="CE91">
        <v>4.1666666666666661</v>
      </c>
      <c r="CF91">
        <v>33.333333333333329</v>
      </c>
      <c r="CG91">
        <v>0</v>
      </c>
      <c r="CH91">
        <v>20.833333333333336</v>
      </c>
      <c r="CI91">
        <v>33.333333333333329</v>
      </c>
      <c r="CJ91">
        <v>33.333333333333329</v>
      </c>
      <c r="CK91">
        <v>37.5</v>
      </c>
      <c r="CL91">
        <v>8.3333333333333321</v>
      </c>
      <c r="CM91">
        <v>16.666666666666664</v>
      </c>
      <c r="CN91">
        <v>37.5</v>
      </c>
      <c r="CO91">
        <v>37.5</v>
      </c>
      <c r="CP91">
        <v>0</v>
      </c>
      <c r="CQ91">
        <v>29.166666666666668</v>
      </c>
      <c r="CR91">
        <v>33.333333333333329</v>
      </c>
      <c r="CS91">
        <v>16.666666666666664</v>
      </c>
      <c r="CT91">
        <v>0</v>
      </c>
      <c r="CU91">
        <v>16.666666666666664</v>
      </c>
      <c r="CV91">
        <v>16.666666666666664</v>
      </c>
      <c r="CW91">
        <v>29.166666666666668</v>
      </c>
      <c r="CX91">
        <v>20.833333333333336</v>
      </c>
      <c r="CY91">
        <v>25</v>
      </c>
      <c r="CZ91">
        <v>33.333333333333329</v>
      </c>
      <c r="DA91">
        <v>8.3333333333333321</v>
      </c>
      <c r="DB91">
        <v>0</v>
      </c>
      <c r="DC91">
        <v>8.3333333333333321</v>
      </c>
      <c r="DD91">
        <v>45.833333333333329</v>
      </c>
      <c r="DE91">
        <v>50</v>
      </c>
      <c r="DF91">
        <v>8.3333333333333321</v>
      </c>
      <c r="DG91">
        <v>12.5</v>
      </c>
      <c r="DH91">
        <v>0</v>
      </c>
      <c r="DI91">
        <v>12.5</v>
      </c>
      <c r="DJ91">
        <v>0</v>
      </c>
      <c r="DK91">
        <v>16.666666666666664</v>
      </c>
      <c r="DL91">
        <v>37.5</v>
      </c>
      <c r="DM91">
        <v>37.5</v>
      </c>
      <c r="DN91">
        <v>8.3333333333333321</v>
      </c>
      <c r="DO91">
        <v>12.5</v>
      </c>
      <c r="DP91">
        <v>20.833333333333336</v>
      </c>
      <c r="DQ91">
        <v>4.1666666666666661</v>
      </c>
      <c r="DR91">
        <v>29.166666666666668</v>
      </c>
      <c r="DS91">
        <v>16.666666666666664</v>
      </c>
      <c r="DT91">
        <v>0</v>
      </c>
      <c r="DU91">
        <v>12.5</v>
      </c>
      <c r="DV91">
        <v>8.3333333333333321</v>
      </c>
      <c r="DW91">
        <v>37.5</v>
      </c>
      <c r="DX91">
        <v>54.166666666666664</v>
      </c>
      <c r="DY91">
        <v>12.5</v>
      </c>
      <c r="DZ91">
        <v>41.666666666666671</v>
      </c>
      <c r="EA91">
        <v>33.333333333333329</v>
      </c>
      <c r="EB91">
        <v>4.1666666666666661</v>
      </c>
      <c r="EC91">
        <v>0</v>
      </c>
      <c r="ED91">
        <v>25</v>
      </c>
      <c r="EE91">
        <v>0</v>
      </c>
      <c r="EF91">
        <v>58.333333333333336</v>
      </c>
      <c r="EG91">
        <v>16.666666666666664</v>
      </c>
      <c r="EH91">
        <v>29.166666666666668</v>
      </c>
      <c r="EI91">
        <v>45.833333333333329</v>
      </c>
      <c r="EJ91">
        <v>0</v>
      </c>
      <c r="EK91">
        <v>0</v>
      </c>
      <c r="EL91">
        <v>8.3333333333333321</v>
      </c>
      <c r="EM91">
        <v>4.1666666666666661</v>
      </c>
      <c r="EN91">
        <v>4.1666666666666661</v>
      </c>
      <c r="EO91">
        <v>16.666666666666664</v>
      </c>
      <c r="EP91">
        <v>54.166666666666664</v>
      </c>
      <c r="EQ91">
        <v>25</v>
      </c>
      <c r="ER91">
        <v>0</v>
      </c>
      <c r="ES91">
        <v>8.3333333333333321</v>
      </c>
      <c r="ET91">
        <v>33.333333333333329</v>
      </c>
    </row>
    <row r="92" spans="62:150" x14ac:dyDescent="0.25">
      <c r="BJ92" t="s">
        <v>23</v>
      </c>
      <c r="BK92">
        <v>95.833333333333343</v>
      </c>
      <c r="BL92">
        <v>58.333333333333336</v>
      </c>
      <c r="BM92">
        <v>75</v>
      </c>
      <c r="BN92">
        <v>58.333333333333336</v>
      </c>
      <c r="BO92">
        <v>45.833333333333329</v>
      </c>
      <c r="BP92">
        <v>83.333333333333343</v>
      </c>
      <c r="BQ92">
        <v>75</v>
      </c>
      <c r="BR92">
        <v>29.166666666666668</v>
      </c>
      <c r="BS92">
        <v>70.833333333333343</v>
      </c>
      <c r="BT92">
        <v>95.833333333333343</v>
      </c>
      <c r="BU92">
        <v>41.666666666666671</v>
      </c>
      <c r="BV92">
        <v>54.166666666666664</v>
      </c>
      <c r="BW92">
        <v>75</v>
      </c>
      <c r="BX92">
        <v>45.833333333333329</v>
      </c>
      <c r="BY92">
        <v>62.5</v>
      </c>
      <c r="BZ92">
        <v>66.666666666666657</v>
      </c>
      <c r="CA92">
        <v>58.333333333333336</v>
      </c>
      <c r="CB92">
        <v>75</v>
      </c>
      <c r="CC92">
        <v>75</v>
      </c>
      <c r="CD92">
        <v>33.333333333333329</v>
      </c>
      <c r="CE92">
        <v>45.833333333333329</v>
      </c>
      <c r="CF92">
        <v>62.5</v>
      </c>
      <c r="CG92">
        <v>95.833333333333343</v>
      </c>
      <c r="CH92">
        <v>50</v>
      </c>
      <c r="CI92">
        <v>50</v>
      </c>
      <c r="CJ92">
        <v>54.166666666666664</v>
      </c>
      <c r="CK92">
        <v>62.5</v>
      </c>
      <c r="CL92">
        <v>66.666666666666657</v>
      </c>
      <c r="CM92">
        <v>79.166666666666657</v>
      </c>
      <c r="CN92">
        <v>41.666666666666671</v>
      </c>
      <c r="CO92">
        <v>50</v>
      </c>
      <c r="CP92">
        <v>45.833333333333329</v>
      </c>
      <c r="CQ92">
        <v>50</v>
      </c>
      <c r="CR92">
        <v>50</v>
      </c>
      <c r="CS92">
        <v>70.833333333333343</v>
      </c>
      <c r="CT92">
        <v>66.666666666666657</v>
      </c>
      <c r="CU92">
        <v>66.666666666666657</v>
      </c>
      <c r="CV92">
        <v>62.5</v>
      </c>
      <c r="CW92">
        <v>50</v>
      </c>
      <c r="CX92">
        <v>58.333333333333336</v>
      </c>
      <c r="CY92">
        <v>54.166666666666664</v>
      </c>
      <c r="CZ92">
        <v>62.5</v>
      </c>
      <c r="DA92">
        <v>66.666666666666657</v>
      </c>
      <c r="DB92">
        <v>91.666666666666657</v>
      </c>
      <c r="DC92">
        <v>87.5</v>
      </c>
      <c r="DD92">
        <v>45.833333333333329</v>
      </c>
      <c r="DE92">
        <v>45.833333333333329</v>
      </c>
      <c r="DF92">
        <v>70.833333333333343</v>
      </c>
      <c r="DG92">
        <v>70.833333333333343</v>
      </c>
      <c r="DH92">
        <v>54.166666666666664</v>
      </c>
      <c r="DI92">
        <v>79.166666666666657</v>
      </c>
      <c r="DJ92">
        <v>70.833333333333343</v>
      </c>
      <c r="DK92">
        <v>54.166666666666664</v>
      </c>
      <c r="DL92">
        <v>54.166666666666664</v>
      </c>
      <c r="DM92">
        <v>41.666666666666671</v>
      </c>
      <c r="DN92">
        <v>91.666666666666657</v>
      </c>
      <c r="DO92">
        <v>87.5</v>
      </c>
      <c r="DP92">
        <v>58.333333333333336</v>
      </c>
      <c r="DQ92">
        <v>75</v>
      </c>
      <c r="DR92">
        <v>45.833333333333329</v>
      </c>
      <c r="DS92">
        <v>83.333333333333343</v>
      </c>
      <c r="DT92">
        <v>83.333333333333343</v>
      </c>
      <c r="DU92">
        <v>75</v>
      </c>
      <c r="DV92">
        <v>62.5</v>
      </c>
      <c r="DW92">
        <v>41.666666666666671</v>
      </c>
      <c r="DX92">
        <v>29.166666666666668</v>
      </c>
      <c r="DY92">
        <v>62.5</v>
      </c>
      <c r="DZ92">
        <v>45.833333333333329</v>
      </c>
      <c r="EA92">
        <v>58.333333333333336</v>
      </c>
      <c r="EB92">
        <v>58.333333333333336</v>
      </c>
      <c r="EC92">
        <v>100</v>
      </c>
      <c r="ED92">
        <v>75</v>
      </c>
      <c r="EE92">
        <v>37.5</v>
      </c>
      <c r="EF92">
        <v>33.333333333333329</v>
      </c>
      <c r="EG92">
        <v>79.166666666666657</v>
      </c>
      <c r="EH92">
        <v>54.166666666666664</v>
      </c>
      <c r="EI92">
        <v>16.666666666666664</v>
      </c>
      <c r="EJ92">
        <v>70.833333333333343</v>
      </c>
      <c r="EK92">
        <v>54.166666666666664</v>
      </c>
      <c r="EL92">
        <v>75</v>
      </c>
      <c r="EM92">
        <v>54.166666666666664</v>
      </c>
      <c r="EN92">
        <v>91.666666666666657</v>
      </c>
      <c r="EO92">
        <v>66.666666666666657</v>
      </c>
      <c r="EP92">
        <v>41.666666666666671</v>
      </c>
      <c r="EQ92">
        <v>58.333333333333336</v>
      </c>
      <c r="ER92">
        <v>66.666666666666657</v>
      </c>
      <c r="ES92">
        <v>62.5</v>
      </c>
      <c r="ET92">
        <v>58.333333333333336</v>
      </c>
    </row>
    <row r="93" spans="62:150" x14ac:dyDescent="0.25">
      <c r="BJ93" t="s">
        <v>24</v>
      </c>
      <c r="BK93">
        <v>0</v>
      </c>
      <c r="BL93">
        <v>33.333333333333329</v>
      </c>
      <c r="BM93">
        <v>20.833333333333336</v>
      </c>
      <c r="BN93">
        <v>0</v>
      </c>
      <c r="BO93">
        <v>33.333333333333329</v>
      </c>
      <c r="BP93">
        <v>16.666666666666664</v>
      </c>
      <c r="BQ93">
        <v>12.5</v>
      </c>
      <c r="BR93">
        <v>50</v>
      </c>
      <c r="BS93">
        <v>8.3333333333333321</v>
      </c>
      <c r="BT93">
        <v>4.1666666666666661</v>
      </c>
      <c r="BU93">
        <v>8.3333333333333321</v>
      </c>
      <c r="BV93">
        <v>33.333333333333329</v>
      </c>
      <c r="BW93">
        <v>16.666666666666664</v>
      </c>
      <c r="BX93">
        <v>50</v>
      </c>
      <c r="BY93">
        <v>29.166666666666668</v>
      </c>
      <c r="BZ93">
        <v>4.1666666666666661</v>
      </c>
      <c r="CA93">
        <v>37.5</v>
      </c>
      <c r="CB93">
        <v>25</v>
      </c>
      <c r="CC93">
        <v>16.666666666666664</v>
      </c>
      <c r="CD93">
        <v>50</v>
      </c>
      <c r="CE93">
        <v>50</v>
      </c>
      <c r="CF93">
        <v>4.1666666666666661</v>
      </c>
      <c r="CG93">
        <v>4.1666666666666661</v>
      </c>
      <c r="CH93">
        <v>29.166666666666668</v>
      </c>
      <c r="CI93">
        <v>16.666666666666664</v>
      </c>
      <c r="CJ93">
        <v>12.5</v>
      </c>
      <c r="CK93">
        <v>0</v>
      </c>
      <c r="CL93">
        <v>25</v>
      </c>
      <c r="CM93">
        <v>4.1666666666666661</v>
      </c>
      <c r="CN93">
        <v>20.833333333333336</v>
      </c>
      <c r="CO93">
        <v>12.5</v>
      </c>
      <c r="CP93">
        <v>50</v>
      </c>
      <c r="CQ93">
        <v>20.833333333333336</v>
      </c>
      <c r="CR93">
        <v>16.666666666666664</v>
      </c>
      <c r="CS93">
        <v>12.5</v>
      </c>
      <c r="CT93">
        <v>33.333333333333329</v>
      </c>
      <c r="CU93">
        <v>16.666666666666664</v>
      </c>
      <c r="CV93">
        <v>20.833333333333336</v>
      </c>
      <c r="CW93">
        <v>20.833333333333336</v>
      </c>
      <c r="CX93">
        <v>20.833333333333336</v>
      </c>
      <c r="CY93">
        <v>20.833333333333336</v>
      </c>
      <c r="CZ93">
        <v>4.1666666666666661</v>
      </c>
      <c r="DA93">
        <v>20.833333333333336</v>
      </c>
      <c r="DB93">
        <v>8.3333333333333321</v>
      </c>
      <c r="DC93">
        <v>4.1666666666666661</v>
      </c>
      <c r="DD93">
        <v>8.3333333333333321</v>
      </c>
      <c r="DE93">
        <v>4.1666666666666661</v>
      </c>
      <c r="DF93">
        <v>20.833333333333336</v>
      </c>
      <c r="DG93">
        <v>16.666666666666664</v>
      </c>
      <c r="DH93">
        <v>45.833333333333329</v>
      </c>
      <c r="DI93">
        <v>8.3333333333333321</v>
      </c>
      <c r="DJ93">
        <v>29.166666666666668</v>
      </c>
      <c r="DK93">
        <v>29.166666666666668</v>
      </c>
      <c r="DL93">
        <v>8.3333333333333321</v>
      </c>
      <c r="DM93">
        <v>20.833333333333336</v>
      </c>
      <c r="DN93">
        <v>0</v>
      </c>
      <c r="DO93">
        <v>0</v>
      </c>
      <c r="DP93">
        <v>20.833333333333336</v>
      </c>
      <c r="DQ93">
        <v>20.833333333333336</v>
      </c>
      <c r="DR93">
        <v>25</v>
      </c>
      <c r="DS93">
        <v>0</v>
      </c>
      <c r="DT93">
        <v>16.666666666666664</v>
      </c>
      <c r="DU93">
        <v>12.5</v>
      </c>
      <c r="DV93">
        <v>29.166666666666668</v>
      </c>
      <c r="DW93">
        <v>20.833333333333336</v>
      </c>
      <c r="DX93">
        <v>16.666666666666664</v>
      </c>
      <c r="DY93">
        <v>25</v>
      </c>
      <c r="DZ93">
        <v>12.5</v>
      </c>
      <c r="EA93">
        <v>8.3333333333333321</v>
      </c>
      <c r="EB93">
        <v>37.5</v>
      </c>
      <c r="EC93">
        <v>0</v>
      </c>
      <c r="ED93">
        <v>0</v>
      </c>
      <c r="EE93">
        <v>62.5</v>
      </c>
      <c r="EF93">
        <v>8.3333333333333321</v>
      </c>
      <c r="EG93">
        <v>4.1666666666666661</v>
      </c>
      <c r="EH93">
        <v>16.666666666666664</v>
      </c>
      <c r="EI93">
        <v>33.333333333333329</v>
      </c>
      <c r="EJ93">
        <v>29.166666666666668</v>
      </c>
      <c r="EK93">
        <v>45.833333333333329</v>
      </c>
      <c r="EL93">
        <v>16.666666666666664</v>
      </c>
      <c r="EM93">
        <v>41.666666666666671</v>
      </c>
      <c r="EN93">
        <v>4.1666666666666661</v>
      </c>
      <c r="EO93">
        <v>16.666666666666664</v>
      </c>
      <c r="EP93">
        <v>4.1666666666666661</v>
      </c>
      <c r="EQ93">
        <v>16.666666666666664</v>
      </c>
      <c r="ER93">
        <v>33.333333333333329</v>
      </c>
      <c r="ES93">
        <v>29.166666666666668</v>
      </c>
      <c r="ET93">
        <v>8.3333333333333321</v>
      </c>
    </row>
    <row r="94" spans="62:150" x14ac:dyDescent="0.25">
      <c r="BJ94" t="s">
        <v>498</v>
      </c>
      <c r="BK94">
        <v>37.541666666666664</v>
      </c>
      <c r="BL94">
        <v>50</v>
      </c>
      <c r="BM94">
        <v>44.583333333333336</v>
      </c>
      <c r="BN94">
        <v>21.333333333333332</v>
      </c>
      <c r="BO94">
        <v>43.333333333333336</v>
      </c>
      <c r="BP94">
        <v>44.375</v>
      </c>
      <c r="BQ94">
        <v>36.875</v>
      </c>
      <c r="BR94">
        <v>49.375</v>
      </c>
      <c r="BS94">
        <v>29.791666666666668</v>
      </c>
      <c r="BT94">
        <v>40</v>
      </c>
      <c r="BU94">
        <v>21.833333333333332</v>
      </c>
      <c r="BV94">
        <v>40.625</v>
      </c>
      <c r="BW94">
        <v>37.5</v>
      </c>
      <c r="BX94">
        <v>50.625</v>
      </c>
      <c r="BY94">
        <v>42.916666666666664</v>
      </c>
      <c r="BZ94">
        <v>28.130434782608695</v>
      </c>
      <c r="CA94">
        <v>46.875</v>
      </c>
      <c r="CB94">
        <v>46.666666666666664</v>
      </c>
      <c r="CC94">
        <v>38.958333333333336</v>
      </c>
      <c r="CD94">
        <v>45.625</v>
      </c>
      <c r="CE94">
        <v>48.916666666666664</v>
      </c>
      <c r="CF94">
        <v>25.625</v>
      </c>
      <c r="CG94">
        <v>41.666666666666664</v>
      </c>
      <c r="CH94">
        <v>36.666666666666664</v>
      </c>
      <c r="CI94">
        <v>30.416666666666668</v>
      </c>
      <c r="CJ94">
        <v>29.166666666666668</v>
      </c>
      <c r="CK94">
        <v>23.125</v>
      </c>
      <c r="CL94">
        <v>42.5</v>
      </c>
      <c r="CM94">
        <v>33.541666666666664</v>
      </c>
      <c r="CN94">
        <v>33.541666666666664</v>
      </c>
      <c r="CO94">
        <v>27.916666666666668</v>
      </c>
      <c r="CP94">
        <v>50.869565217391305</v>
      </c>
      <c r="CQ94">
        <v>34.375</v>
      </c>
      <c r="CR94">
        <v>27.916666666666668</v>
      </c>
      <c r="CS94">
        <v>32.083333333333336</v>
      </c>
      <c r="CT94">
        <v>42.708333333333336</v>
      </c>
      <c r="CU94">
        <v>37.708333333333336</v>
      </c>
      <c r="CV94">
        <v>38.75</v>
      </c>
      <c r="CW94">
        <v>30</v>
      </c>
      <c r="CX94">
        <v>37.5</v>
      </c>
      <c r="CY94">
        <v>32.708333333333336</v>
      </c>
      <c r="CZ94">
        <v>26.25</v>
      </c>
      <c r="DA94">
        <v>37.826086956521742</v>
      </c>
      <c r="DB94">
        <v>39.791666666666664</v>
      </c>
      <c r="DC94">
        <v>38.333333333333336</v>
      </c>
      <c r="DD94">
        <v>25.625</v>
      </c>
      <c r="DE94">
        <v>24.583333333333332</v>
      </c>
      <c r="DF94">
        <v>41.041666666666664</v>
      </c>
      <c r="DG94">
        <v>40</v>
      </c>
      <c r="DH94">
        <v>51.666666666666664</v>
      </c>
      <c r="DI94">
        <v>33.541666666666664</v>
      </c>
      <c r="DJ94">
        <v>47.5</v>
      </c>
      <c r="DK94">
        <v>36.25</v>
      </c>
      <c r="DL94">
        <v>25.416666666666668</v>
      </c>
      <c r="DM94">
        <v>30.833333333333332</v>
      </c>
      <c r="DN94">
        <v>32.708333333333336</v>
      </c>
      <c r="DO94">
        <v>33.333333333333336</v>
      </c>
      <c r="DP94">
        <v>34.791666666666664</v>
      </c>
      <c r="DQ94">
        <v>39.125</v>
      </c>
      <c r="DR94">
        <v>31.875</v>
      </c>
      <c r="DS94">
        <v>25.416666666666668</v>
      </c>
      <c r="DT94">
        <v>41.458333333333336</v>
      </c>
      <c r="DU94">
        <v>36.875</v>
      </c>
      <c r="DV94">
        <v>48.75</v>
      </c>
      <c r="DW94">
        <v>32.291666666666664</v>
      </c>
      <c r="DX94">
        <v>24.875</v>
      </c>
      <c r="DY94">
        <v>36.875</v>
      </c>
      <c r="DZ94">
        <v>25.833333333333332</v>
      </c>
      <c r="EA94">
        <v>24.791666666666668</v>
      </c>
      <c r="EB94">
        <v>45.208333333333336</v>
      </c>
      <c r="EC94">
        <v>35.208333333333336</v>
      </c>
      <c r="ED94">
        <v>30.833333333333332</v>
      </c>
      <c r="EE94">
        <v>55.625</v>
      </c>
      <c r="EF94">
        <v>21.666666666666668</v>
      </c>
      <c r="EG94">
        <v>27.916666666666668</v>
      </c>
      <c r="EH94">
        <v>31.875</v>
      </c>
      <c r="EI94">
        <v>33.043478260869563</v>
      </c>
      <c r="EJ94">
        <v>44.583333333333336</v>
      </c>
      <c r="EK94">
        <v>47.291666666666664</v>
      </c>
      <c r="EL94">
        <v>40.625</v>
      </c>
      <c r="EM94">
        <v>48.75</v>
      </c>
      <c r="EN94">
        <v>32.5</v>
      </c>
      <c r="EO94">
        <v>33.958333333333336</v>
      </c>
      <c r="EP94">
        <v>20.583333333333332</v>
      </c>
      <c r="EQ94">
        <v>32.083333333333336</v>
      </c>
      <c r="ER94">
        <v>47.083333333333336</v>
      </c>
      <c r="ES94">
        <v>37.708333333333336</v>
      </c>
      <c r="ET94">
        <v>29.166666666666668</v>
      </c>
    </row>
    <row r="95" spans="62:150" x14ac:dyDescent="0.25">
      <c r="BJ95" t="s">
        <v>25</v>
      </c>
      <c r="BK95">
        <v>1.3333333333333333</v>
      </c>
      <c r="BL95">
        <v>1.75</v>
      </c>
      <c r="BM95">
        <v>1.875</v>
      </c>
      <c r="BN95">
        <v>0.41666666666666669</v>
      </c>
      <c r="BO95">
        <v>1.4166666666666667</v>
      </c>
      <c r="BP95">
        <v>2.7083333333333335</v>
      </c>
      <c r="BQ95">
        <v>0.58333333333333337</v>
      </c>
      <c r="BR95">
        <v>1.375</v>
      </c>
      <c r="BS95">
        <v>1.625</v>
      </c>
      <c r="BT95">
        <v>0.79166666666666663</v>
      </c>
      <c r="BU95">
        <v>0.91666666666666663</v>
      </c>
      <c r="BV95">
        <v>1.2916666666666667</v>
      </c>
      <c r="BW95">
        <v>0.58333333333333337</v>
      </c>
      <c r="BX95">
        <v>0.29166666666666669</v>
      </c>
      <c r="BY95">
        <v>1.0416666666666667</v>
      </c>
      <c r="BZ95">
        <v>0.625</v>
      </c>
      <c r="CA95">
        <v>0.91666666666666663</v>
      </c>
      <c r="CB95">
        <v>0.83333333333333337</v>
      </c>
      <c r="CC95">
        <v>1.7083333333333333</v>
      </c>
      <c r="CD95">
        <v>1.0833333333333333</v>
      </c>
      <c r="CE95">
        <v>0.25</v>
      </c>
      <c r="CF95">
        <v>0.33333333333333331</v>
      </c>
      <c r="CG95">
        <v>0.20833333333333334</v>
      </c>
      <c r="CH95">
        <v>0.79166666666666663</v>
      </c>
      <c r="CI95">
        <v>0.625</v>
      </c>
      <c r="CJ95">
        <v>1.6666666666666667</v>
      </c>
      <c r="CK95">
        <v>4.5454545454545456E-2</v>
      </c>
      <c r="CL95">
        <v>1.7916666666666667</v>
      </c>
      <c r="CM95">
        <v>0.91666666666666663</v>
      </c>
      <c r="CN95">
        <v>0.625</v>
      </c>
      <c r="CO95">
        <v>0.29166666666666669</v>
      </c>
      <c r="CP95">
        <v>1.1666666666666667</v>
      </c>
      <c r="CQ95">
        <v>1.0833333333333333</v>
      </c>
      <c r="CR95">
        <v>1.25</v>
      </c>
      <c r="CS95">
        <v>0.41666666666666669</v>
      </c>
      <c r="CT95">
        <v>0.58333333333333337</v>
      </c>
      <c r="CU95">
        <v>0.45833333333333331</v>
      </c>
      <c r="CV95">
        <v>0.25</v>
      </c>
      <c r="CW95">
        <v>0.58333333333333337</v>
      </c>
      <c r="CX95">
        <v>0.41666666666666669</v>
      </c>
      <c r="CY95">
        <v>0.5</v>
      </c>
      <c r="CZ95">
        <v>0.625</v>
      </c>
      <c r="DA95">
        <v>0</v>
      </c>
      <c r="DB95">
        <v>0.41666666666666669</v>
      </c>
      <c r="DC95">
        <v>3.1666666666666665</v>
      </c>
      <c r="DD95">
        <v>0</v>
      </c>
      <c r="DE95">
        <v>0.35</v>
      </c>
      <c r="DF95">
        <v>0.91666666666666663</v>
      </c>
      <c r="DG95">
        <v>0.16666666666666666</v>
      </c>
      <c r="DH95">
        <v>0.16666666666666666</v>
      </c>
      <c r="DI95">
        <v>0.70833333333333337</v>
      </c>
      <c r="DJ95">
        <v>0</v>
      </c>
      <c r="DK95">
        <v>0.16666666666666666</v>
      </c>
      <c r="DL95">
        <v>1.2083333333333333</v>
      </c>
      <c r="DM95">
        <v>0.75</v>
      </c>
      <c r="DN95">
        <v>0.54166666666666663</v>
      </c>
      <c r="DO95">
        <v>0.20833333333333334</v>
      </c>
      <c r="DP95">
        <v>1.7083333333333333</v>
      </c>
      <c r="DQ95">
        <v>0.83333333333333337</v>
      </c>
      <c r="DR95">
        <v>0.83333333333333337</v>
      </c>
      <c r="DS95">
        <v>0.33333333333333331</v>
      </c>
      <c r="DT95">
        <v>1</v>
      </c>
      <c r="DU95">
        <v>0.41666666666666669</v>
      </c>
      <c r="DV95">
        <v>0.5</v>
      </c>
      <c r="DW95">
        <v>0.66666666666666663</v>
      </c>
      <c r="DX95">
        <v>0.20833333333333334</v>
      </c>
      <c r="DY95">
        <v>1.3913043478260869</v>
      </c>
      <c r="DZ95">
        <v>0.5</v>
      </c>
      <c r="EA95">
        <v>0</v>
      </c>
      <c r="EB95">
        <v>1.6666666666666667</v>
      </c>
      <c r="EC95">
        <v>0.83333333333333337</v>
      </c>
      <c r="ED95">
        <v>1.2083333333333333</v>
      </c>
      <c r="EE95">
        <v>4.1666666666666664E-2</v>
      </c>
      <c r="EF95">
        <v>0.58333333333333337</v>
      </c>
      <c r="EG95">
        <v>0.91666666666666663</v>
      </c>
      <c r="EH95">
        <v>0.5</v>
      </c>
      <c r="EI95">
        <v>0.79166666666666663</v>
      </c>
      <c r="EJ95">
        <v>0.625</v>
      </c>
      <c r="EK95">
        <v>0.58333333333333337</v>
      </c>
      <c r="EL95">
        <v>1.4583333333333333</v>
      </c>
      <c r="EM95">
        <v>0.91666666666666663</v>
      </c>
      <c r="EN95">
        <v>1.25</v>
      </c>
      <c r="EO95">
        <v>1.125</v>
      </c>
      <c r="EP95">
        <v>1.3333333333333333</v>
      </c>
      <c r="EQ95">
        <v>0.41666666666666669</v>
      </c>
      <c r="ER95">
        <v>0.41666666666666669</v>
      </c>
      <c r="ES95">
        <v>0.83333333333333337</v>
      </c>
      <c r="ET95">
        <v>0.625</v>
      </c>
    </row>
    <row r="96" spans="62:150" x14ac:dyDescent="0.25">
      <c r="BJ96" t="s">
        <v>502</v>
      </c>
      <c r="BK96">
        <v>72.178060413354544</v>
      </c>
      <c r="BL96">
        <v>78.528528528528525</v>
      </c>
      <c r="BM96">
        <v>97.297297297297305</v>
      </c>
      <c r="BN96">
        <v>11.036036036036036</v>
      </c>
      <c r="BO96">
        <v>68.693693693693689</v>
      </c>
      <c r="BP96">
        <v>37.537537537537538</v>
      </c>
      <c r="BQ96">
        <v>81.681681681681681</v>
      </c>
      <c r="BR96">
        <v>78.571428571428584</v>
      </c>
      <c r="BS96">
        <v>33.258258258258252</v>
      </c>
      <c r="BT96">
        <v>96.396396396396383</v>
      </c>
      <c r="BU96">
        <v>41.516516516516518</v>
      </c>
      <c r="BV96">
        <v>35.285285285285283</v>
      </c>
      <c r="BW96">
        <v>52.027027027027032</v>
      </c>
      <c r="BX96">
        <v>58.333333333333329</v>
      </c>
      <c r="BY96">
        <v>28.153153153153156</v>
      </c>
      <c r="BZ96">
        <v>71.939586645469006</v>
      </c>
      <c r="CA96">
        <v>89.114114114114102</v>
      </c>
      <c r="CB96">
        <v>95.030514385353101</v>
      </c>
      <c r="CC96">
        <v>57.507507507507505</v>
      </c>
      <c r="CD96">
        <v>33.933933933933936</v>
      </c>
      <c r="CE96">
        <v>85.585585585585591</v>
      </c>
      <c r="CF96">
        <v>10.18018018018018</v>
      </c>
      <c r="CG96">
        <v>97.972972972972968</v>
      </c>
      <c r="CH96">
        <v>35.472972972972968</v>
      </c>
      <c r="CI96">
        <v>8.9189189189189175</v>
      </c>
      <c r="CJ96">
        <v>64.26426426426427</v>
      </c>
      <c r="CK96">
        <v>34.45945945945946</v>
      </c>
      <c r="CL96">
        <v>40.015015015015017</v>
      </c>
      <c r="CM96">
        <v>100</v>
      </c>
      <c r="CN96">
        <v>53.378378378378379</v>
      </c>
      <c r="CO96">
        <v>67.329093799682028</v>
      </c>
      <c r="CP96">
        <v>38.438438438438439</v>
      </c>
      <c r="CQ96">
        <v>11.208267090620033</v>
      </c>
      <c r="CR96">
        <v>52.648648648648653</v>
      </c>
      <c r="CS96">
        <v>9.0090090090090094</v>
      </c>
      <c r="CT96">
        <v>94.14414414414415</v>
      </c>
      <c r="CU96">
        <v>53.753753753753756</v>
      </c>
      <c r="CV96">
        <v>89.348171701112889</v>
      </c>
      <c r="CW96">
        <v>2.7777777777777777</v>
      </c>
      <c r="CX96">
        <v>64.86486486486487</v>
      </c>
      <c r="CY96">
        <v>27.181467181467177</v>
      </c>
      <c r="CZ96">
        <v>4.5045045045045047</v>
      </c>
      <c r="DA96">
        <v>100</v>
      </c>
      <c r="DB96">
        <v>92.942942942942935</v>
      </c>
      <c r="DC96">
        <v>60.585585585585591</v>
      </c>
      <c r="DD96">
        <v>31.006006006006004</v>
      </c>
      <c r="DE96">
        <v>32.618825722273996</v>
      </c>
      <c r="DF96">
        <v>19.51951951951952</v>
      </c>
      <c r="DG96">
        <v>45.67567567567567</v>
      </c>
      <c r="DH96">
        <v>81.531531531531527</v>
      </c>
      <c r="DI96">
        <v>6.563706563706563</v>
      </c>
      <c r="DJ96">
        <v>98.198198198198199</v>
      </c>
      <c r="DK96">
        <v>42.117117117117118</v>
      </c>
      <c r="DL96">
        <v>7.8078078078078077</v>
      </c>
      <c r="DM96">
        <v>55.067567567567565</v>
      </c>
      <c r="DN96">
        <v>80.180180180180187</v>
      </c>
      <c r="DO96">
        <v>61.636636636636645</v>
      </c>
      <c r="DP96">
        <v>100</v>
      </c>
      <c r="DQ96">
        <v>7.4324324324324325</v>
      </c>
      <c r="DR96">
        <v>53.753753753753756</v>
      </c>
      <c r="DS96">
        <v>74.324324324324323</v>
      </c>
      <c r="DT96">
        <v>100</v>
      </c>
      <c r="DU96">
        <v>92.342342342342334</v>
      </c>
      <c r="DV96">
        <v>94.069069069069073</v>
      </c>
      <c r="DW96">
        <v>9.7774244833068362</v>
      </c>
      <c r="DX96">
        <v>33.38632750397457</v>
      </c>
      <c r="DY96">
        <v>98.198198198198199</v>
      </c>
      <c r="DZ96">
        <v>24.662162162162161</v>
      </c>
      <c r="EA96">
        <v>23.501762632197416</v>
      </c>
      <c r="EB96">
        <v>1.8018018018018018</v>
      </c>
      <c r="EC96">
        <v>99.699699699699693</v>
      </c>
      <c r="ED96">
        <v>36.561561561561561</v>
      </c>
      <c r="EE96">
        <v>84.009009009009006</v>
      </c>
      <c r="EF96">
        <v>62.93436293436293</v>
      </c>
      <c r="EG96">
        <v>93.018018018018012</v>
      </c>
      <c r="EH96">
        <v>55.200655200655206</v>
      </c>
      <c r="EI96">
        <v>59.534534534534536</v>
      </c>
      <c r="EJ96">
        <v>89.268680445151034</v>
      </c>
      <c r="EK96">
        <v>88.513513513513516</v>
      </c>
      <c r="EL96">
        <v>60.810810810810814</v>
      </c>
      <c r="EM96">
        <v>34.384384384384383</v>
      </c>
      <c r="EN96">
        <v>9.9849849849849868</v>
      </c>
      <c r="EO96">
        <v>16.816816816816818</v>
      </c>
      <c r="EP96">
        <v>3.1531531531531534</v>
      </c>
      <c r="EQ96">
        <v>18.918918918918919</v>
      </c>
      <c r="ER96">
        <v>43.693693693693696</v>
      </c>
      <c r="ES96">
        <v>7.8828828828828827</v>
      </c>
      <c r="ET96">
        <v>33.108108108108105</v>
      </c>
    </row>
    <row r="97" spans="62:150" x14ac:dyDescent="0.25">
      <c r="BJ97" t="s">
        <v>519</v>
      </c>
      <c r="BK97">
        <v>12.922916951338593</v>
      </c>
      <c r="BL97">
        <v>11.449128337237719</v>
      </c>
      <c r="BM97">
        <v>3.56971387408811</v>
      </c>
      <c r="BN97">
        <v>9.772775596377052</v>
      </c>
      <c r="BO97">
        <v>13.51903420049989</v>
      </c>
      <c r="BP97">
        <v>15.665754786025248</v>
      </c>
      <c r="BQ97">
        <v>12.106930980962009</v>
      </c>
      <c r="BR97">
        <v>15.755166604173841</v>
      </c>
      <c r="BS97">
        <v>14.392099905244534</v>
      </c>
      <c r="BT97">
        <v>2.9949452365105058</v>
      </c>
      <c r="BU97">
        <v>14.483789515529377</v>
      </c>
      <c r="BV97">
        <v>13.829460157720122</v>
      </c>
      <c r="BW97">
        <v>13.478096709442729</v>
      </c>
      <c r="BX97">
        <v>15.894300484097686</v>
      </c>
      <c r="BY97">
        <v>13.196049192304274</v>
      </c>
      <c r="BZ97">
        <v>14.004360156280232</v>
      </c>
      <c r="CA97">
        <v>10.349564824836452</v>
      </c>
      <c r="CB97">
        <v>2.8413233324579394</v>
      </c>
      <c r="CC97">
        <v>14.631977694140668</v>
      </c>
      <c r="CD97">
        <v>17.048576722236032</v>
      </c>
      <c r="CE97">
        <v>10.342615576811163</v>
      </c>
      <c r="CF97">
        <v>7.2191475919268333</v>
      </c>
      <c r="CG97">
        <v>2.598076211353316</v>
      </c>
      <c r="CH97">
        <v>13.666869917187817</v>
      </c>
      <c r="CI97">
        <v>4.7354131742683743</v>
      </c>
      <c r="CJ97">
        <v>16.030526434829824</v>
      </c>
      <c r="CK97">
        <v>14.065593094175201</v>
      </c>
      <c r="CL97">
        <v>14.583394557694612</v>
      </c>
      <c r="CM97">
        <v>0</v>
      </c>
      <c r="CN97">
        <v>12.880494666632289</v>
      </c>
      <c r="CO97">
        <v>11.029897790836158</v>
      </c>
      <c r="CP97">
        <v>14.658222677510807</v>
      </c>
      <c r="CQ97">
        <v>7.2200577221782964</v>
      </c>
      <c r="CR97">
        <v>16.69610733075228</v>
      </c>
      <c r="CS97">
        <v>5.1301891368360035</v>
      </c>
      <c r="CT97">
        <v>5.4116276928216598</v>
      </c>
      <c r="CU97">
        <v>11.997089594154021</v>
      </c>
      <c r="CV97">
        <v>10.741991171638094</v>
      </c>
      <c r="CW97">
        <v>2.1710578213147764</v>
      </c>
      <c r="CX97">
        <v>15.831776946708244</v>
      </c>
      <c r="CY97">
        <v>13.370166212048941</v>
      </c>
      <c r="CZ97">
        <v>3.4465617474213164</v>
      </c>
      <c r="DA97">
        <v>0</v>
      </c>
      <c r="DB97">
        <v>6.0889377890312515</v>
      </c>
      <c r="DC97">
        <v>15.921907638758078</v>
      </c>
      <c r="DD97">
        <v>12.916182786635446</v>
      </c>
      <c r="DE97">
        <v>13.863959016309567</v>
      </c>
      <c r="DF97">
        <v>11.878218026794404</v>
      </c>
      <c r="DG97">
        <v>16.07842621258947</v>
      </c>
      <c r="DH97">
        <v>12.074265144839197</v>
      </c>
      <c r="DI97">
        <v>4.7544759981313103</v>
      </c>
      <c r="DJ97">
        <v>1.7752507291971895</v>
      </c>
      <c r="DK97">
        <v>12.078969954077836</v>
      </c>
      <c r="DL97">
        <v>6.1865188816503158</v>
      </c>
      <c r="DM97">
        <v>15.759789584316648</v>
      </c>
      <c r="DN97">
        <v>11.260012379561523</v>
      </c>
      <c r="DO97">
        <v>15.105002850417181</v>
      </c>
      <c r="DP97">
        <v>0</v>
      </c>
      <c r="DQ97">
        <v>5.1190375515857918</v>
      </c>
      <c r="DR97">
        <v>15.920835903714849</v>
      </c>
      <c r="DS97">
        <v>12.957974027952476</v>
      </c>
      <c r="DT97">
        <v>0</v>
      </c>
      <c r="DU97">
        <v>8.3212032929393214</v>
      </c>
      <c r="DV97">
        <v>7.9384037418270692</v>
      </c>
      <c r="DW97">
        <v>8.2020496547097554</v>
      </c>
      <c r="DX97">
        <v>12.389835406105052</v>
      </c>
      <c r="DY97">
        <v>1.6143297699232979</v>
      </c>
      <c r="DZ97">
        <v>13.727180477831846</v>
      </c>
      <c r="EA97">
        <v>9.3099886857108061</v>
      </c>
      <c r="EB97">
        <v>2.3094010767585029</v>
      </c>
      <c r="EC97">
        <v>0.46462136829144618</v>
      </c>
      <c r="ED97">
        <v>15.738008788754716</v>
      </c>
      <c r="EE97">
        <v>11.54011448921727</v>
      </c>
      <c r="EF97">
        <v>16.967972416057492</v>
      </c>
      <c r="EG97">
        <v>8.9837154260997636</v>
      </c>
      <c r="EH97">
        <v>12.673866574151472</v>
      </c>
      <c r="EI97">
        <v>16.185506940489535</v>
      </c>
      <c r="EJ97">
        <v>9.586876427882741</v>
      </c>
      <c r="EK97">
        <v>10.872191382354591</v>
      </c>
      <c r="EL97">
        <v>14.531738663058476</v>
      </c>
      <c r="EM97">
        <v>14.290078698395934</v>
      </c>
      <c r="EN97">
        <v>6.9644790367958072</v>
      </c>
      <c r="EO97">
        <v>6.3835105035713964</v>
      </c>
      <c r="EP97">
        <v>2.1509153357603816</v>
      </c>
      <c r="EQ97">
        <v>6.2335497797918364</v>
      </c>
      <c r="ER97">
        <v>10.294222384073194</v>
      </c>
      <c r="ES97">
        <v>8.0191734522419988</v>
      </c>
      <c r="ET97">
        <v>15.224744895821971</v>
      </c>
    </row>
    <row r="98" spans="62:150" x14ac:dyDescent="0.25">
      <c r="BJ98" t="s">
        <v>506</v>
      </c>
      <c r="BK98">
        <v>27.821939586645456</v>
      </c>
      <c r="BL98">
        <v>21.471471471471475</v>
      </c>
      <c r="BM98">
        <v>2.7027027027026946</v>
      </c>
      <c r="BN98">
        <v>88.963963963963963</v>
      </c>
      <c r="BO98">
        <v>31.306306306306311</v>
      </c>
      <c r="BP98">
        <v>62.462462462462462</v>
      </c>
      <c r="BQ98">
        <v>18.318318318318319</v>
      </c>
      <c r="BR98">
        <v>21.428571428571416</v>
      </c>
      <c r="BS98">
        <v>66.741741741741748</v>
      </c>
      <c r="BT98">
        <v>3.6036036036036165</v>
      </c>
      <c r="BU98">
        <v>58.483483483483482</v>
      </c>
      <c r="BV98">
        <v>64.714714714714717</v>
      </c>
      <c r="BW98">
        <v>47.972972972972968</v>
      </c>
      <c r="BX98">
        <v>41.666666666666671</v>
      </c>
      <c r="BY98">
        <v>71.846846846846844</v>
      </c>
      <c r="BZ98">
        <v>28.060413354530994</v>
      </c>
      <c r="CA98">
        <v>10.885885885885898</v>
      </c>
      <c r="CB98">
        <v>4.9694856146468993</v>
      </c>
      <c r="CC98">
        <v>42.492492492492495</v>
      </c>
      <c r="CD98">
        <v>66.066066066066071</v>
      </c>
      <c r="CE98">
        <v>14.414414414414409</v>
      </c>
      <c r="CF98">
        <v>89.819819819819827</v>
      </c>
      <c r="CG98">
        <v>2.0270270270270316</v>
      </c>
      <c r="CH98">
        <v>64.527027027027032</v>
      </c>
      <c r="CI98">
        <v>91.081081081081081</v>
      </c>
      <c r="CJ98">
        <v>35.73573573573573</v>
      </c>
      <c r="CK98">
        <v>65.540540540540547</v>
      </c>
      <c r="CL98">
        <v>59.984984984984983</v>
      </c>
      <c r="CM98">
        <v>0</v>
      </c>
      <c r="CN98">
        <v>46.621621621621621</v>
      </c>
      <c r="CO98">
        <v>32.670906200317972</v>
      </c>
      <c r="CP98">
        <v>61.561561561561561</v>
      </c>
      <c r="CQ98">
        <v>88.791732909379959</v>
      </c>
      <c r="CR98">
        <v>47.351351351351347</v>
      </c>
      <c r="CS98">
        <v>90.990990990990994</v>
      </c>
      <c r="CT98">
        <v>5.8558558558558502</v>
      </c>
      <c r="CU98">
        <v>46.246246246246244</v>
      </c>
      <c r="CV98">
        <v>10.651828298887111</v>
      </c>
      <c r="CW98">
        <v>97.222222222222229</v>
      </c>
      <c r="CX98">
        <v>35.13513513513513</v>
      </c>
      <c r="CY98">
        <v>72.818532818532816</v>
      </c>
      <c r="CZ98">
        <v>95.49549549549549</v>
      </c>
      <c r="DA98">
        <v>0</v>
      </c>
      <c r="DB98">
        <v>7.0570570570570652</v>
      </c>
      <c r="DC98">
        <v>39.414414414414409</v>
      </c>
      <c r="DD98">
        <v>68.993993993993996</v>
      </c>
      <c r="DE98">
        <v>67.381174277726004</v>
      </c>
      <c r="DF98">
        <v>80.48048048048048</v>
      </c>
      <c r="DG98">
        <v>54.32432432432433</v>
      </c>
      <c r="DH98">
        <v>18.468468468468473</v>
      </c>
      <c r="DI98">
        <v>93.43629343629344</v>
      </c>
      <c r="DJ98">
        <v>1.8018018018018012</v>
      </c>
      <c r="DK98">
        <v>57.882882882882882</v>
      </c>
      <c r="DL98">
        <v>92.192192192192195</v>
      </c>
      <c r="DM98">
        <v>44.932432432432435</v>
      </c>
      <c r="DN98">
        <v>19.819819819819813</v>
      </c>
      <c r="DO98">
        <v>38.363363363363355</v>
      </c>
      <c r="DP98">
        <v>0</v>
      </c>
      <c r="DQ98">
        <v>92.567567567567565</v>
      </c>
      <c r="DR98">
        <v>46.246246246246244</v>
      </c>
      <c r="DS98">
        <v>25.675675675675677</v>
      </c>
      <c r="DT98">
        <v>0</v>
      </c>
      <c r="DU98">
        <v>7.6576576576576656</v>
      </c>
      <c r="DV98">
        <v>5.930930930930927</v>
      </c>
      <c r="DW98">
        <v>90.222575516693169</v>
      </c>
      <c r="DX98">
        <v>66.61367249602543</v>
      </c>
      <c r="DY98">
        <v>1.8018018018018012</v>
      </c>
      <c r="DZ98">
        <v>75.337837837837839</v>
      </c>
      <c r="EA98">
        <v>76.498237367802588</v>
      </c>
      <c r="EB98">
        <v>98.198198198198199</v>
      </c>
      <c r="EC98">
        <v>0.3003003003003073</v>
      </c>
      <c r="ED98">
        <v>63.438438438438439</v>
      </c>
      <c r="EE98">
        <v>15.990990990990994</v>
      </c>
      <c r="EF98">
        <v>37.06563706563707</v>
      </c>
      <c r="EG98">
        <v>6.9819819819819884</v>
      </c>
      <c r="EH98">
        <v>44.799344799344794</v>
      </c>
      <c r="EI98">
        <v>40.465465465465464</v>
      </c>
      <c r="EJ98">
        <v>10.731319554848966</v>
      </c>
      <c r="EK98">
        <v>11.486486486486484</v>
      </c>
      <c r="EL98">
        <v>39.189189189189186</v>
      </c>
      <c r="EM98">
        <v>65.61561561561561</v>
      </c>
      <c r="EN98">
        <v>90.01501501501501</v>
      </c>
      <c r="EO98">
        <v>83.183183183183189</v>
      </c>
      <c r="EP98">
        <v>96.846846846846844</v>
      </c>
      <c r="EQ98">
        <v>81.081081081081081</v>
      </c>
      <c r="ER98">
        <v>56.306306306306304</v>
      </c>
      <c r="ES98">
        <v>92.117117117117118</v>
      </c>
      <c r="ET98">
        <v>66.891891891891902</v>
      </c>
    </row>
    <row r="100" spans="62:150" x14ac:dyDescent="0.25">
      <c r="BJ100">
        <v>2.7874999999999996</v>
      </c>
      <c r="BK100">
        <v>6.9375000000000009</v>
      </c>
      <c r="BL100">
        <v>3.9624999999999995</v>
      </c>
      <c r="BM100">
        <v>1.7875000000000001</v>
      </c>
      <c r="BN100">
        <v>1.65</v>
      </c>
      <c r="BO100">
        <v>4.8250000000000002</v>
      </c>
      <c r="BP100">
        <v>2.5874999999999995</v>
      </c>
      <c r="BQ100">
        <v>1.8124999999999998</v>
      </c>
      <c r="BR100">
        <v>2.9874999999999998</v>
      </c>
      <c r="BS100">
        <v>1.9125000000000001</v>
      </c>
      <c r="BT100">
        <v>6.0124999999999993</v>
      </c>
      <c r="BU100">
        <v>3.9499999999999997</v>
      </c>
      <c r="BV100">
        <v>1.5750000000000002</v>
      </c>
      <c r="BW100">
        <v>1.875</v>
      </c>
      <c r="BX100">
        <v>2.5124999999999997</v>
      </c>
      <c r="BY100">
        <v>8.2874999999999996</v>
      </c>
      <c r="BZ100">
        <v>2.3374999999999999</v>
      </c>
      <c r="CA100">
        <v>2.6625000000000005</v>
      </c>
      <c r="CB100">
        <v>2.85</v>
      </c>
      <c r="CC100">
        <v>4.0625</v>
      </c>
      <c r="CD100">
        <v>0.91250000000000009</v>
      </c>
      <c r="CE100">
        <v>2.6625000000000001</v>
      </c>
      <c r="CF100">
        <v>1.5875000000000001</v>
      </c>
      <c r="CG100">
        <v>1.9</v>
      </c>
      <c r="CH100">
        <v>2.8624999999999998</v>
      </c>
      <c r="CI100">
        <v>2.6750000000000003</v>
      </c>
      <c r="CJ100">
        <v>1.4</v>
      </c>
      <c r="CK100">
        <v>5.0999999999999996</v>
      </c>
      <c r="CL100">
        <v>3.4249999999999998</v>
      </c>
      <c r="CM100">
        <v>3.7499999999999996</v>
      </c>
      <c r="CN100">
        <v>3.9499999999999997</v>
      </c>
      <c r="CO100">
        <v>5.5875000000000004</v>
      </c>
      <c r="CP100">
        <v>4.4625000000000004</v>
      </c>
      <c r="CQ100">
        <v>3.3874999999999997</v>
      </c>
      <c r="CR100">
        <v>3.2749999999999999</v>
      </c>
      <c r="CS100">
        <v>1.3624999999999998</v>
      </c>
      <c r="CT100">
        <v>4.6125000000000007</v>
      </c>
      <c r="CU100">
        <v>4.1500000000000004</v>
      </c>
      <c r="CV100">
        <v>4.3999999999999995</v>
      </c>
      <c r="CW100">
        <v>7.65</v>
      </c>
      <c r="CX100">
        <v>4.0875000000000004</v>
      </c>
      <c r="CY100">
        <v>1.85</v>
      </c>
      <c r="CZ100">
        <v>1.85</v>
      </c>
      <c r="DA100">
        <v>2.0125000000000002</v>
      </c>
      <c r="DB100">
        <v>2.3874999999999997</v>
      </c>
      <c r="DC100">
        <v>4.7374999999999998</v>
      </c>
      <c r="DD100">
        <v>3.5124999999999997</v>
      </c>
      <c r="DE100">
        <v>5.6875</v>
      </c>
      <c r="DF100">
        <v>3.2374999999999998</v>
      </c>
      <c r="DG100">
        <v>2.0625</v>
      </c>
      <c r="DH100">
        <v>4.3874999999999993</v>
      </c>
      <c r="DI100">
        <v>1.0375000000000001</v>
      </c>
      <c r="DJ100">
        <v>1.5750000000000002</v>
      </c>
      <c r="DK100">
        <v>1.9624999999999999</v>
      </c>
      <c r="DL100">
        <v>2.0374999999999996</v>
      </c>
      <c r="DM100">
        <v>0.95</v>
      </c>
      <c r="DN100">
        <v>7.5625</v>
      </c>
      <c r="DO100">
        <v>3.0750000000000002</v>
      </c>
      <c r="DP100">
        <v>1.4125000000000001</v>
      </c>
      <c r="DQ100">
        <v>3.8124999999999996</v>
      </c>
      <c r="DR100">
        <v>1.5375000000000001</v>
      </c>
      <c r="DS100">
        <v>2</v>
      </c>
      <c r="DT100">
        <v>3.2250000000000001</v>
      </c>
      <c r="DU100">
        <v>2.5125000000000002</v>
      </c>
      <c r="DV100">
        <v>4.0375000000000005</v>
      </c>
      <c r="DW100">
        <v>3.6124999999999998</v>
      </c>
      <c r="DX100">
        <v>2</v>
      </c>
      <c r="DY100">
        <v>2.4750000000000001</v>
      </c>
      <c r="DZ100">
        <v>2.6625000000000001</v>
      </c>
      <c r="EA100">
        <v>1.1875</v>
      </c>
      <c r="EB100">
        <v>2.6375000000000002</v>
      </c>
      <c r="EC100">
        <v>5.4</v>
      </c>
      <c r="ED100">
        <v>1.35</v>
      </c>
      <c r="EE100">
        <v>1.7249999999999999</v>
      </c>
      <c r="EF100">
        <v>2.6499999999999995</v>
      </c>
      <c r="EG100">
        <v>4.2374999999999998</v>
      </c>
      <c r="EH100">
        <v>7.416666666666667</v>
      </c>
      <c r="EI100">
        <v>3.25</v>
      </c>
      <c r="EJ100">
        <v>1.3250000000000002</v>
      </c>
      <c r="EK100">
        <v>6.8250000000000011</v>
      </c>
      <c r="EL100">
        <v>4.9999999999999991</v>
      </c>
      <c r="EM100">
        <v>2.4499999999999997</v>
      </c>
      <c r="EN100">
        <v>2.7500000000000004</v>
      </c>
      <c r="EO100">
        <v>3.1124999999999994</v>
      </c>
      <c r="EP100">
        <v>5.2874999999999996</v>
      </c>
      <c r="EQ100">
        <v>1.675</v>
      </c>
      <c r="ER100">
        <v>3.2875000000000001</v>
      </c>
      <c r="ES100">
        <v>3.2124999999999999</v>
      </c>
    </row>
    <row r="101" spans="62:150" x14ac:dyDescent="0.25">
      <c r="BJ101">
        <v>3.2875000000000001</v>
      </c>
      <c r="BK101">
        <v>7.0125000000000002</v>
      </c>
      <c r="BL101">
        <v>3.95</v>
      </c>
      <c r="BM101">
        <v>1.9375</v>
      </c>
      <c r="BN101">
        <v>2.1874999999999996</v>
      </c>
      <c r="BO101">
        <v>2.3874999999999997</v>
      </c>
      <c r="BP101">
        <v>2.8124999999999996</v>
      </c>
      <c r="BQ101">
        <v>1.5750000000000002</v>
      </c>
      <c r="BR101">
        <v>2.7374999999999998</v>
      </c>
      <c r="BS101">
        <v>2.4500000000000002</v>
      </c>
      <c r="BT101">
        <v>4.9249999999999998</v>
      </c>
      <c r="BU101">
        <v>3.8962499999999998</v>
      </c>
      <c r="BV101">
        <v>1.7625</v>
      </c>
      <c r="BW101">
        <v>1.8125000000000002</v>
      </c>
      <c r="BX101">
        <v>2.95</v>
      </c>
      <c r="BY101">
        <v>3.9125000000000005</v>
      </c>
      <c r="BZ101">
        <v>2.8874999999999997</v>
      </c>
      <c r="CA101">
        <v>2.3249999999999997</v>
      </c>
      <c r="CB101">
        <v>2.125</v>
      </c>
      <c r="CC101">
        <v>3.5124999999999997</v>
      </c>
      <c r="CD101">
        <v>1.0249999999999999</v>
      </c>
      <c r="CE101">
        <v>2.1374999999999997</v>
      </c>
      <c r="CF101">
        <v>1.5125000000000002</v>
      </c>
      <c r="CG101">
        <v>2.2374999999999998</v>
      </c>
      <c r="CH101">
        <v>3.5750000000000002</v>
      </c>
      <c r="CI101">
        <v>3.1374999999999997</v>
      </c>
      <c r="CJ101">
        <v>1.5625</v>
      </c>
      <c r="CK101">
        <v>4.7749999999999995</v>
      </c>
      <c r="CL101">
        <v>2.5874999999999999</v>
      </c>
      <c r="CM101">
        <v>4.3375000000000004</v>
      </c>
      <c r="CN101">
        <v>3.4499999999999997</v>
      </c>
      <c r="CO101">
        <v>5.3624999999999998</v>
      </c>
      <c r="CP101">
        <v>4.2374999999999998</v>
      </c>
      <c r="CQ101">
        <v>3.5874999999999999</v>
      </c>
      <c r="CR101">
        <v>2.3374999999999999</v>
      </c>
      <c r="CS101">
        <v>1.4249999999999998</v>
      </c>
      <c r="CT101">
        <v>4.3187500000000005</v>
      </c>
      <c r="CU101">
        <v>3.375</v>
      </c>
      <c r="CV101">
        <v>3.1124999999999994</v>
      </c>
      <c r="CW101">
        <v>5.7</v>
      </c>
      <c r="CX101">
        <v>4.5375000000000005</v>
      </c>
      <c r="CY101">
        <v>1.7000000000000002</v>
      </c>
      <c r="CZ101">
        <v>1.85</v>
      </c>
      <c r="DA101">
        <v>2.0875000000000004</v>
      </c>
      <c r="DB101">
        <v>3.1124999999999998</v>
      </c>
      <c r="DC101">
        <v>4.1500000000000004</v>
      </c>
      <c r="DD101">
        <v>2.8125</v>
      </c>
      <c r="DE101">
        <v>5.9249999999999998</v>
      </c>
      <c r="DF101">
        <v>2.1875</v>
      </c>
      <c r="DG101">
        <v>1.95</v>
      </c>
      <c r="DH101">
        <v>4.8375000000000004</v>
      </c>
      <c r="DI101">
        <v>0.92499999999999993</v>
      </c>
      <c r="DJ101">
        <v>3.6749999999999998</v>
      </c>
      <c r="DK101">
        <v>2.0625</v>
      </c>
      <c r="DL101">
        <v>1.6124999999999998</v>
      </c>
      <c r="DM101">
        <v>0.68749999999999989</v>
      </c>
      <c r="DN101">
        <v>5.1500000000000012</v>
      </c>
      <c r="DO101">
        <v>2.6999999999999997</v>
      </c>
      <c r="DP101">
        <v>1.9625000000000001</v>
      </c>
      <c r="DQ101">
        <v>2.6875</v>
      </c>
      <c r="DR101">
        <v>1.5249999999999999</v>
      </c>
      <c r="DS101">
        <v>1.7000000000000002</v>
      </c>
      <c r="DT101">
        <v>2.5750000000000002</v>
      </c>
      <c r="DU101">
        <v>3.3499999999999996</v>
      </c>
      <c r="DV101">
        <v>3.2124999999999995</v>
      </c>
      <c r="DW101">
        <v>3.9624999999999999</v>
      </c>
      <c r="DX101">
        <v>2.1625000000000001</v>
      </c>
      <c r="DY101">
        <v>2.625</v>
      </c>
      <c r="DZ101">
        <v>2.3624999999999998</v>
      </c>
      <c r="EA101">
        <v>1.3875000000000002</v>
      </c>
      <c r="EB101">
        <v>3.3625000000000003</v>
      </c>
      <c r="EC101">
        <v>4.1375000000000002</v>
      </c>
      <c r="ED101">
        <v>1.35</v>
      </c>
      <c r="EE101">
        <v>2.3250000000000002</v>
      </c>
      <c r="EF101">
        <v>3.9</v>
      </c>
      <c r="EG101">
        <v>4.6499999999999995</v>
      </c>
      <c r="EH101">
        <v>7.2624999999999993</v>
      </c>
      <c r="EI101">
        <v>3.0625</v>
      </c>
      <c r="EJ101">
        <v>1.2749999999999999</v>
      </c>
      <c r="EK101">
        <v>6.2</v>
      </c>
      <c r="EL101">
        <v>4.3624999999999998</v>
      </c>
      <c r="EM101">
        <v>2.6999999999999997</v>
      </c>
      <c r="EN101">
        <v>2.5</v>
      </c>
      <c r="EO101">
        <v>2.7125000000000004</v>
      </c>
      <c r="EP101">
        <v>4.9124999999999996</v>
      </c>
      <c r="EQ101">
        <v>1.6749999999999998</v>
      </c>
      <c r="ER101">
        <v>3.7</v>
      </c>
      <c r="ES101">
        <v>4.9750000000000005</v>
      </c>
    </row>
    <row r="102" spans="62:150" x14ac:dyDescent="0.25">
      <c r="BJ102">
        <v>3.3000000000000003</v>
      </c>
      <c r="BK102">
        <v>6.8</v>
      </c>
      <c r="BL102">
        <v>3.5625000000000004</v>
      </c>
      <c r="BM102">
        <v>2.5874999999999999</v>
      </c>
      <c r="BN102">
        <v>2.3374999999999999</v>
      </c>
      <c r="BO102">
        <v>3.7625000000000002</v>
      </c>
      <c r="BP102">
        <v>2.3250000000000002</v>
      </c>
      <c r="BQ102">
        <v>1.2250000000000001</v>
      </c>
      <c r="BR102">
        <v>2.9750000000000001</v>
      </c>
      <c r="BS102">
        <v>2.1875</v>
      </c>
      <c r="BT102">
        <v>6.2500000000000009</v>
      </c>
      <c r="BU102">
        <v>4.2874999999999996</v>
      </c>
      <c r="BV102">
        <v>1.1625000000000001</v>
      </c>
      <c r="BW102">
        <v>2.0375000000000001</v>
      </c>
      <c r="BX102">
        <v>4.3249999999999993</v>
      </c>
      <c r="BY102">
        <v>5.5749999999999993</v>
      </c>
      <c r="BZ102">
        <v>1.9000000000000001</v>
      </c>
      <c r="CA102">
        <v>2.0249999999999999</v>
      </c>
      <c r="CB102">
        <v>3.1875000000000004</v>
      </c>
      <c r="CC102">
        <v>2.8125</v>
      </c>
      <c r="CD102">
        <v>0.91249999999999998</v>
      </c>
      <c r="CE102">
        <v>1.9499999999999997</v>
      </c>
      <c r="CF102">
        <v>2</v>
      </c>
      <c r="CG102">
        <v>2.2124999999999999</v>
      </c>
      <c r="CH102">
        <v>4.242857142857142</v>
      </c>
      <c r="CI102">
        <v>2.7624999999999997</v>
      </c>
      <c r="CJ102">
        <v>1.9375</v>
      </c>
      <c r="CK102">
        <v>4.6375000000000002</v>
      </c>
      <c r="CL102">
        <v>2.8875000000000002</v>
      </c>
      <c r="CM102">
        <v>3.2249999999999996</v>
      </c>
      <c r="CN102">
        <v>3.1624999999999996</v>
      </c>
      <c r="CO102">
        <v>5.3624999999999989</v>
      </c>
      <c r="CP102">
        <v>4.6625000000000005</v>
      </c>
      <c r="CQ102">
        <v>2.5374999999999996</v>
      </c>
      <c r="CR102">
        <v>3.1625000000000001</v>
      </c>
      <c r="CS102">
        <v>1.4375</v>
      </c>
      <c r="CT102">
        <v>7.3687500000000004</v>
      </c>
      <c r="CU102">
        <v>4.2375000000000007</v>
      </c>
      <c r="CV102">
        <v>2.4874999999999998</v>
      </c>
      <c r="CW102">
        <v>3.8874999999999997</v>
      </c>
      <c r="CX102">
        <v>4.4124999999999996</v>
      </c>
      <c r="CY102">
        <v>1.9874999999999998</v>
      </c>
      <c r="CZ102">
        <v>4.0125000000000002</v>
      </c>
      <c r="DA102">
        <v>1.85</v>
      </c>
      <c r="DB102">
        <v>3.5250000000000008</v>
      </c>
      <c r="DC102">
        <v>4.9874999999999998</v>
      </c>
      <c r="DD102">
        <v>2.2249999999999996</v>
      </c>
      <c r="DE102">
        <v>6.375</v>
      </c>
      <c r="DF102">
        <v>1.7749999999999999</v>
      </c>
      <c r="DG102">
        <v>2.5187500000000003</v>
      </c>
      <c r="DH102">
        <v>3.9375</v>
      </c>
      <c r="DI102">
        <v>0.95</v>
      </c>
      <c r="DJ102">
        <v>2.7</v>
      </c>
      <c r="DK102">
        <v>1.8875</v>
      </c>
      <c r="DL102">
        <v>1.9375</v>
      </c>
      <c r="DM102">
        <v>1.1000000000000001</v>
      </c>
      <c r="DN102">
        <v>5.7249999999999996</v>
      </c>
      <c r="DO102">
        <v>3.1857142857142859</v>
      </c>
      <c r="DP102">
        <v>2.3000000000000003</v>
      </c>
      <c r="DQ102">
        <v>2.7375000000000003</v>
      </c>
      <c r="DR102">
        <v>1.125</v>
      </c>
      <c r="DS102">
        <v>1.6875</v>
      </c>
      <c r="DT102">
        <v>2.9499999999999997</v>
      </c>
      <c r="DU102">
        <v>2.65</v>
      </c>
      <c r="DV102">
        <v>2.8250000000000002</v>
      </c>
      <c r="DW102">
        <v>3.9250000000000003</v>
      </c>
      <c r="DX102">
        <v>2.1250000000000004</v>
      </c>
      <c r="DY102">
        <v>2.7250000000000001</v>
      </c>
      <c r="DZ102">
        <v>2.5999999999999996</v>
      </c>
      <c r="EA102">
        <v>1.4124999999999999</v>
      </c>
      <c r="EB102">
        <v>2.8875000000000002</v>
      </c>
      <c r="EC102">
        <v>3.9999999999999996</v>
      </c>
      <c r="ED102">
        <v>0.97499999999999998</v>
      </c>
      <c r="EE102">
        <v>1.4125000000000001</v>
      </c>
      <c r="EF102">
        <v>3.2</v>
      </c>
      <c r="EG102">
        <v>5</v>
      </c>
      <c r="EH102">
        <v>7.7999999999999989</v>
      </c>
      <c r="EI102">
        <v>2.4249999999999998</v>
      </c>
      <c r="EJ102">
        <v>1.6499999999999997</v>
      </c>
      <c r="EK102">
        <v>6.2750000000000012</v>
      </c>
      <c r="EL102">
        <v>4.2750000000000004</v>
      </c>
      <c r="EM102">
        <v>3.4999999999999996</v>
      </c>
      <c r="EN102">
        <v>3.4250000000000003</v>
      </c>
      <c r="EO102">
        <v>2.875</v>
      </c>
      <c r="EP102">
        <v>4.1999999999999993</v>
      </c>
      <c r="EQ102">
        <v>2.375</v>
      </c>
      <c r="ER102">
        <v>3.45</v>
      </c>
      <c r="ES102">
        <v>8.7249999999999996</v>
      </c>
    </row>
    <row r="104" spans="62:150" x14ac:dyDescent="0.25">
      <c r="BJ104">
        <v>9.3937875751503004</v>
      </c>
      <c r="BK104">
        <v>19.185397736330305</v>
      </c>
      <c r="BL104">
        <v>8.2777276825969359</v>
      </c>
      <c r="BM104">
        <v>19.504915730337071</v>
      </c>
      <c r="BN104">
        <v>11.21452894438139</v>
      </c>
      <c r="BO104">
        <v>8.3262209577999062</v>
      </c>
      <c r="BP104">
        <v>10.719663418954825</v>
      </c>
      <c r="BQ104">
        <v>5.4478346456692917</v>
      </c>
      <c r="BR104">
        <v>18.219895287958114</v>
      </c>
      <c r="BS104">
        <v>8.3870301528294089</v>
      </c>
      <c r="BT104">
        <v>20.355292376017765</v>
      </c>
      <c r="BU104">
        <v>10.370726495726496</v>
      </c>
      <c r="BV104">
        <v>8.2278481012658222</v>
      </c>
      <c r="BW104">
        <v>6.580459770114941</v>
      </c>
      <c r="BX104">
        <v>10.854898336414044</v>
      </c>
      <c r="BY104">
        <v>17.072691552062867</v>
      </c>
      <c r="BZ104">
        <v>9.4776995305164302</v>
      </c>
      <c r="CA104">
        <v>5.773531375166888</v>
      </c>
      <c r="CB104">
        <v>10.724005255255255</v>
      </c>
      <c r="CC104">
        <v>15.706905241935486</v>
      </c>
      <c r="CD104">
        <v>4.4100580270793053</v>
      </c>
      <c r="CE104">
        <v>11.688311688311694</v>
      </c>
      <c r="CF104">
        <v>5.8369098712446315</v>
      </c>
      <c r="CG104">
        <v>12.929028504944732</v>
      </c>
      <c r="CH104">
        <v>14.235624123422157</v>
      </c>
      <c r="CI104">
        <v>12.782608695652176</v>
      </c>
      <c r="CJ104">
        <v>9.3241469816272957</v>
      </c>
      <c r="CK104">
        <v>17.212750185322459</v>
      </c>
      <c r="CL104">
        <v>8.2469321312296522</v>
      </c>
      <c r="CM104">
        <v>16.444235588972433</v>
      </c>
      <c r="CN104">
        <v>14.626607319485661</v>
      </c>
      <c r="CO104">
        <v>15.516439205955335</v>
      </c>
      <c r="CP104">
        <v>14.582093253968258</v>
      </c>
      <c r="CQ104">
        <v>10.598087925323702</v>
      </c>
      <c r="CR104">
        <v>10.234806629834255</v>
      </c>
      <c r="CS104">
        <v>6.4405487804878048</v>
      </c>
      <c r="CT104">
        <v>13.736776044468353</v>
      </c>
      <c r="CU104">
        <v>12.61485507246377</v>
      </c>
      <c r="CV104">
        <v>16.920473773265652</v>
      </c>
      <c r="CW104">
        <v>13.297974927675989</v>
      </c>
      <c r="CX104">
        <v>17.554982046678639</v>
      </c>
      <c r="CY104">
        <v>15.821428571428568</v>
      </c>
      <c r="CZ104">
        <v>7.575199508901167</v>
      </c>
      <c r="DA104">
        <v>6.5365712633709148</v>
      </c>
      <c r="DB104">
        <v>8.2553134248049513</v>
      </c>
      <c r="DC104">
        <v>27.029220779220775</v>
      </c>
      <c r="DD104">
        <v>14.079341317365268</v>
      </c>
      <c r="DE104">
        <v>18.484264611432234</v>
      </c>
      <c r="DF104">
        <v>14.432989690721648</v>
      </c>
      <c r="DG104">
        <v>6.8634405212274077</v>
      </c>
      <c r="DH104">
        <v>19.5</v>
      </c>
      <c r="DI104">
        <v>4.6230158730158726</v>
      </c>
      <c r="DJ104">
        <v>11.42559109874826</v>
      </c>
      <c r="DK104">
        <v>8.7592592592592577</v>
      </c>
      <c r="DL104">
        <v>10.832551594746718</v>
      </c>
      <c r="DM104">
        <v>2.6133651551312651</v>
      </c>
      <c r="DN104">
        <v>24.831649831649834</v>
      </c>
      <c r="DO104">
        <v>12.712089077412514</v>
      </c>
      <c r="DP104">
        <v>8.3361581920903927</v>
      </c>
      <c r="DQ104">
        <v>12.288578487267198</v>
      </c>
      <c r="DR104">
        <v>4.9264705882352944</v>
      </c>
      <c r="DS104">
        <v>9.2357142857142822</v>
      </c>
      <c r="DT104">
        <v>6.606543624161076</v>
      </c>
      <c r="DU104">
        <v>9.073401162790697</v>
      </c>
      <c r="DV104">
        <v>15.969696969696967</v>
      </c>
      <c r="DW104">
        <v>12.558947629684788</v>
      </c>
      <c r="DX104">
        <v>11.213868388683888</v>
      </c>
      <c r="DY104">
        <v>16.531690140845068</v>
      </c>
      <c r="DZ104">
        <v>21.231105807478119</v>
      </c>
      <c r="EA104">
        <v>8.3700671704450027</v>
      </c>
      <c r="EB104">
        <v>8.3375748502993989</v>
      </c>
      <c r="EC104">
        <v>19.276699029126217</v>
      </c>
      <c r="ED104">
        <v>3.1768672199170123</v>
      </c>
      <c r="EE104">
        <v>11.762489233419464</v>
      </c>
      <c r="EF104">
        <v>12.888531618435156</v>
      </c>
      <c r="EG104">
        <v>15.233089579524677</v>
      </c>
      <c r="EH104">
        <v>19.994075829383885</v>
      </c>
      <c r="EI104">
        <v>8.8394941634241242</v>
      </c>
      <c r="EJ104">
        <v>5.0520059435364058</v>
      </c>
      <c r="EK104">
        <v>15.556675062972296</v>
      </c>
      <c r="EL104">
        <v>10.844930417495034</v>
      </c>
      <c r="EM104">
        <v>19.733840304182511</v>
      </c>
      <c r="EN104">
        <v>19.206642066420653</v>
      </c>
      <c r="EO104">
        <v>22.015706806282715</v>
      </c>
      <c r="EP104">
        <v>20.233183856502247</v>
      </c>
      <c r="EQ104">
        <v>7.9709254709254695</v>
      </c>
      <c r="ER104">
        <v>14.214494163424124</v>
      </c>
      <c r="ES104">
        <v>19.026045487894347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F94"/>
  <sheetViews>
    <sheetView zoomScale="90" zoomScaleNormal="90" workbookViewId="0"/>
  </sheetViews>
  <sheetFormatPr defaultRowHeight="15" x14ac:dyDescent="0.25"/>
  <cols>
    <col min="2" max="2" width="19.140625" customWidth="1"/>
    <col min="4" max="4" width="10.28515625" customWidth="1"/>
    <col min="5" max="5" width="10.5703125" customWidth="1"/>
    <col min="7" max="7" width="10" customWidth="1"/>
    <col min="8" max="8" width="2.140625" customWidth="1"/>
    <col min="9" max="9" width="10.28515625" customWidth="1"/>
    <col min="11" max="11" width="1.42578125" customWidth="1"/>
    <col min="12" max="12" width="11" customWidth="1"/>
    <col min="17" max="17" width="9.85546875" customWidth="1"/>
    <col min="19" max="19" width="2.140625" customWidth="1"/>
    <col min="22" max="22" width="11.5703125" customWidth="1"/>
    <col min="23" max="23" width="2.85546875" customWidth="1"/>
    <col min="24" max="24" width="10.85546875" customWidth="1"/>
    <col min="26" max="26" width="2.28515625" customWidth="1"/>
    <col min="29" max="29" width="10.5703125" customWidth="1"/>
  </cols>
  <sheetData>
    <row r="1" spans="1:32" x14ac:dyDescent="0.25">
      <c r="D1" s="37" t="s">
        <v>21</v>
      </c>
      <c r="E1" s="37"/>
      <c r="F1" s="37"/>
      <c r="G1" s="37"/>
      <c r="H1" s="2"/>
      <c r="I1" s="37" t="s">
        <v>26</v>
      </c>
      <c r="J1" s="37"/>
      <c r="K1" s="2"/>
      <c r="L1" s="37" t="s">
        <v>29</v>
      </c>
      <c r="M1" s="37"/>
      <c r="N1" s="37"/>
      <c r="O1" s="37"/>
      <c r="P1" s="37"/>
      <c r="Q1" s="37"/>
      <c r="R1" s="37"/>
      <c r="S1" s="2"/>
      <c r="T1" s="37" t="s">
        <v>37</v>
      </c>
      <c r="U1" s="37"/>
      <c r="V1" s="37"/>
      <c r="W1" s="2"/>
      <c r="X1" s="37" t="s">
        <v>12</v>
      </c>
      <c r="Y1" s="37"/>
      <c r="Z1" s="2"/>
      <c r="AA1" s="37" t="s">
        <v>43</v>
      </c>
      <c r="AB1" s="37"/>
      <c r="AC1" s="37"/>
      <c r="AD1" s="37"/>
      <c r="AE1" s="37"/>
      <c r="AF1" s="37"/>
    </row>
    <row r="2" spans="1:32" ht="15.75" thickBot="1" x14ac:dyDescent="0.3">
      <c r="A2" s="1" t="s">
        <v>0</v>
      </c>
      <c r="B2" s="1" t="s">
        <v>1</v>
      </c>
      <c r="C2" s="1" t="s">
        <v>2</v>
      </c>
      <c r="D2" s="5" t="s">
        <v>22</v>
      </c>
      <c r="E2" s="5" t="s">
        <v>23</v>
      </c>
      <c r="F2" s="5" t="s">
        <v>24</v>
      </c>
      <c r="G2" s="5" t="s">
        <v>25</v>
      </c>
      <c r="H2" s="5"/>
      <c r="I2" s="5" t="s">
        <v>27</v>
      </c>
      <c r="J2" s="5" t="s">
        <v>28</v>
      </c>
      <c r="K2" s="5"/>
      <c r="L2" s="5" t="s">
        <v>30</v>
      </c>
      <c r="M2" s="5" t="s">
        <v>31</v>
      </c>
      <c r="N2" s="5" t="s">
        <v>32</v>
      </c>
      <c r="O2" s="5" t="s">
        <v>33</v>
      </c>
      <c r="P2" s="5" t="s">
        <v>34</v>
      </c>
      <c r="Q2" s="5" t="s">
        <v>35</v>
      </c>
      <c r="R2" s="5" t="s">
        <v>36</v>
      </c>
      <c r="S2" s="5"/>
      <c r="T2" s="5" t="s">
        <v>38</v>
      </c>
      <c r="U2" s="5" t="s">
        <v>39</v>
      </c>
      <c r="V2" s="5" t="s">
        <v>40</v>
      </c>
      <c r="W2" s="5"/>
      <c r="X2" s="5" t="s">
        <v>41</v>
      </c>
      <c r="Y2" s="5" t="s">
        <v>42</v>
      </c>
      <c r="Z2" s="5"/>
      <c r="AA2" s="5" t="s">
        <v>44</v>
      </c>
      <c r="AB2" s="5" t="s">
        <v>45</v>
      </c>
      <c r="AC2" s="5" t="s">
        <v>46</v>
      </c>
      <c r="AD2" s="5" t="s">
        <v>47</v>
      </c>
      <c r="AE2" s="5" t="s">
        <v>48</v>
      </c>
      <c r="AF2" s="5" t="s">
        <v>49</v>
      </c>
    </row>
    <row r="3" spans="1:32" x14ac:dyDescent="0.25">
      <c r="A3" s="2">
        <v>1</v>
      </c>
      <c r="B3" s="2" t="s">
        <v>3</v>
      </c>
      <c r="C3" s="2">
        <v>1</v>
      </c>
    </row>
    <row r="4" spans="1:32" x14ac:dyDescent="0.25">
      <c r="A4" s="2">
        <v>2</v>
      </c>
      <c r="B4" s="2" t="s">
        <v>3</v>
      </c>
      <c r="C4" s="2">
        <v>8</v>
      </c>
    </row>
    <row r="5" spans="1:32" x14ac:dyDescent="0.25">
      <c r="A5" s="2">
        <v>3</v>
      </c>
      <c r="B5" s="2" t="s">
        <v>3</v>
      </c>
      <c r="C5" s="2">
        <v>10</v>
      </c>
    </row>
    <row r="6" spans="1:32" x14ac:dyDescent="0.25">
      <c r="A6" s="2">
        <v>4</v>
      </c>
      <c r="B6" s="2" t="s">
        <v>3</v>
      </c>
      <c r="C6" s="2">
        <v>11</v>
      </c>
    </row>
    <row r="7" spans="1:32" x14ac:dyDescent="0.25">
      <c r="A7" s="2">
        <v>5</v>
      </c>
      <c r="B7" s="2" t="s">
        <v>3</v>
      </c>
      <c r="C7" s="2">
        <v>12</v>
      </c>
    </row>
    <row r="8" spans="1:32" x14ac:dyDescent="0.25">
      <c r="A8" s="2">
        <v>6</v>
      </c>
      <c r="B8" s="2" t="s">
        <v>3</v>
      </c>
      <c r="C8" s="2">
        <v>13</v>
      </c>
    </row>
    <row r="9" spans="1:32" x14ac:dyDescent="0.25">
      <c r="A9" s="2">
        <v>7</v>
      </c>
      <c r="B9" s="2" t="s">
        <v>3</v>
      </c>
      <c r="C9" s="2">
        <v>14</v>
      </c>
    </row>
    <row r="10" spans="1:32" x14ac:dyDescent="0.25">
      <c r="A10" s="2">
        <v>8</v>
      </c>
      <c r="B10" s="2" t="s">
        <v>3</v>
      </c>
      <c r="C10" s="2">
        <v>16</v>
      </c>
    </row>
    <row r="11" spans="1:32" x14ac:dyDescent="0.25">
      <c r="A11" s="2">
        <v>9</v>
      </c>
      <c r="B11" s="2" t="s">
        <v>3</v>
      </c>
      <c r="C11" s="2">
        <v>18</v>
      </c>
    </row>
    <row r="12" spans="1:32" x14ac:dyDescent="0.25">
      <c r="A12" s="2">
        <v>10</v>
      </c>
      <c r="B12" s="2" t="s">
        <v>3</v>
      </c>
      <c r="C12" s="2">
        <v>22</v>
      </c>
    </row>
    <row r="13" spans="1:32" x14ac:dyDescent="0.25">
      <c r="A13" s="2">
        <v>11</v>
      </c>
      <c r="B13" s="2" t="s">
        <v>3</v>
      </c>
      <c r="C13" s="2">
        <v>26</v>
      </c>
    </row>
    <row r="14" spans="1:32" x14ac:dyDescent="0.25">
      <c r="A14" s="2">
        <v>12</v>
      </c>
      <c r="B14" s="2" t="s">
        <v>3</v>
      </c>
      <c r="C14" s="2">
        <v>27</v>
      </c>
    </row>
    <row r="15" spans="1:32" x14ac:dyDescent="0.25">
      <c r="A15" s="3">
        <v>13</v>
      </c>
      <c r="B15" s="3" t="s">
        <v>3</v>
      </c>
      <c r="C15" s="3">
        <v>29</v>
      </c>
    </row>
    <row r="16" spans="1:32" x14ac:dyDescent="0.25">
      <c r="A16" s="4">
        <v>14</v>
      </c>
      <c r="B16" s="2" t="s">
        <v>3</v>
      </c>
      <c r="C16" s="2">
        <v>32</v>
      </c>
    </row>
    <row r="17" spans="1:3" x14ac:dyDescent="0.25">
      <c r="A17" s="2">
        <v>15</v>
      </c>
      <c r="B17" s="2" t="s">
        <v>3</v>
      </c>
      <c r="C17" s="2">
        <v>34</v>
      </c>
    </row>
    <row r="18" spans="1:3" x14ac:dyDescent="0.25">
      <c r="A18" s="2">
        <v>16</v>
      </c>
      <c r="B18" s="2" t="s">
        <v>3</v>
      </c>
      <c r="C18" s="2">
        <v>35</v>
      </c>
    </row>
    <row r="19" spans="1:3" x14ac:dyDescent="0.25">
      <c r="A19" s="2">
        <v>17</v>
      </c>
      <c r="B19" s="2" t="s">
        <v>3</v>
      </c>
      <c r="C19" s="2">
        <v>36</v>
      </c>
    </row>
    <row r="20" spans="1:3" x14ac:dyDescent="0.25">
      <c r="A20" s="2">
        <v>18</v>
      </c>
      <c r="B20" s="2" t="s">
        <v>3</v>
      </c>
      <c r="C20" s="2">
        <v>38</v>
      </c>
    </row>
    <row r="21" spans="1:3" x14ac:dyDescent="0.25">
      <c r="A21" s="2">
        <v>19</v>
      </c>
      <c r="B21" s="2" t="s">
        <v>3</v>
      </c>
      <c r="C21" s="2">
        <v>41</v>
      </c>
    </row>
    <row r="22" spans="1:3" x14ac:dyDescent="0.25">
      <c r="A22" s="2">
        <v>20</v>
      </c>
      <c r="B22" s="2" t="s">
        <v>3</v>
      </c>
      <c r="C22" s="2">
        <v>48</v>
      </c>
    </row>
    <row r="23" spans="1:3" x14ac:dyDescent="0.25">
      <c r="A23" s="2">
        <v>21</v>
      </c>
      <c r="B23" s="2" t="s">
        <v>3</v>
      </c>
      <c r="C23" s="2">
        <v>57</v>
      </c>
    </row>
    <row r="24" spans="1:3" x14ac:dyDescent="0.25">
      <c r="A24" s="2">
        <v>22</v>
      </c>
      <c r="B24" s="2" t="s">
        <v>3</v>
      </c>
      <c r="C24" s="2">
        <v>61</v>
      </c>
    </row>
    <row r="25" spans="1:3" x14ac:dyDescent="0.25">
      <c r="A25" s="2">
        <v>23</v>
      </c>
      <c r="B25" s="2" t="s">
        <v>3</v>
      </c>
      <c r="C25" s="2">
        <v>75</v>
      </c>
    </row>
    <row r="26" spans="1:3" x14ac:dyDescent="0.25">
      <c r="A26" s="2">
        <v>24</v>
      </c>
      <c r="B26" s="2" t="s">
        <v>3</v>
      </c>
      <c r="C26" s="2">
        <v>84</v>
      </c>
    </row>
    <row r="27" spans="1:3" x14ac:dyDescent="0.25">
      <c r="A27" s="2">
        <v>25</v>
      </c>
      <c r="B27" s="2" t="s">
        <v>3</v>
      </c>
      <c r="C27" s="2">
        <v>85</v>
      </c>
    </row>
    <row r="28" spans="1:3" x14ac:dyDescent="0.25">
      <c r="A28" s="2">
        <v>26</v>
      </c>
      <c r="B28" s="2" t="s">
        <v>3</v>
      </c>
      <c r="C28" s="2">
        <v>86</v>
      </c>
    </row>
    <row r="29" spans="1:3" x14ac:dyDescent="0.25">
      <c r="A29" s="2">
        <v>27</v>
      </c>
      <c r="B29" s="2" t="s">
        <v>3</v>
      </c>
      <c r="C29" s="2">
        <v>93</v>
      </c>
    </row>
    <row r="30" spans="1:3" x14ac:dyDescent="0.25">
      <c r="A30" s="2">
        <v>28</v>
      </c>
      <c r="B30" s="2" t="s">
        <v>3</v>
      </c>
      <c r="C30" s="2">
        <v>96</v>
      </c>
    </row>
    <row r="31" spans="1:3" x14ac:dyDescent="0.25">
      <c r="A31" s="2">
        <v>29</v>
      </c>
      <c r="B31" s="2" t="s">
        <v>3</v>
      </c>
      <c r="C31" s="2">
        <v>108</v>
      </c>
    </row>
    <row r="32" spans="1:3" x14ac:dyDescent="0.25">
      <c r="A32" s="2">
        <v>30</v>
      </c>
      <c r="B32" s="2" t="s">
        <v>3</v>
      </c>
      <c r="C32" s="2">
        <v>109</v>
      </c>
    </row>
    <row r="33" spans="1:3" x14ac:dyDescent="0.25">
      <c r="A33" s="2">
        <v>31</v>
      </c>
      <c r="B33" s="2" t="s">
        <v>3</v>
      </c>
      <c r="C33" s="2">
        <v>117</v>
      </c>
    </row>
    <row r="34" spans="1:3" x14ac:dyDescent="0.25">
      <c r="A34" s="2">
        <v>32</v>
      </c>
      <c r="B34" s="2" t="s">
        <v>3</v>
      </c>
      <c r="C34" s="2">
        <v>118</v>
      </c>
    </row>
    <row r="35" spans="1:3" x14ac:dyDescent="0.25">
      <c r="A35" s="2">
        <v>33</v>
      </c>
      <c r="B35" s="2" t="s">
        <v>3</v>
      </c>
      <c r="C35" s="2">
        <v>123</v>
      </c>
    </row>
    <row r="36" spans="1:3" x14ac:dyDescent="0.25">
      <c r="A36" s="2">
        <v>34</v>
      </c>
      <c r="B36" s="2" t="s">
        <v>3</v>
      </c>
      <c r="C36" s="2">
        <v>128</v>
      </c>
    </row>
    <row r="37" spans="1:3" x14ac:dyDescent="0.25">
      <c r="A37" s="2">
        <v>35</v>
      </c>
      <c r="B37" s="2" t="s">
        <v>3</v>
      </c>
      <c r="C37" s="2">
        <v>130</v>
      </c>
    </row>
    <row r="38" spans="1:3" x14ac:dyDescent="0.25">
      <c r="A38" s="2">
        <v>36</v>
      </c>
      <c r="B38" s="2" t="s">
        <v>3</v>
      </c>
      <c r="C38" s="2">
        <v>135</v>
      </c>
    </row>
    <row r="39" spans="1:3" x14ac:dyDescent="0.25">
      <c r="A39" s="2">
        <v>37</v>
      </c>
      <c r="B39" s="2" t="s">
        <v>3</v>
      </c>
      <c r="C39" s="2">
        <v>149</v>
      </c>
    </row>
    <row r="40" spans="1:3" x14ac:dyDescent="0.25">
      <c r="A40" s="2">
        <v>38</v>
      </c>
      <c r="B40" s="2" t="s">
        <v>3</v>
      </c>
      <c r="C40" s="2">
        <v>154</v>
      </c>
    </row>
    <row r="41" spans="1:3" x14ac:dyDescent="0.25">
      <c r="A41" s="2">
        <v>39</v>
      </c>
      <c r="B41" s="2" t="s">
        <v>3</v>
      </c>
      <c r="C41" s="2">
        <v>156</v>
      </c>
    </row>
    <row r="42" spans="1:3" x14ac:dyDescent="0.25">
      <c r="A42" s="2">
        <v>40</v>
      </c>
      <c r="B42" s="2" t="s">
        <v>3</v>
      </c>
      <c r="C42" s="2">
        <v>157</v>
      </c>
    </row>
    <row r="43" spans="1:3" x14ac:dyDescent="0.25">
      <c r="A43" s="2">
        <v>41</v>
      </c>
      <c r="B43" s="2" t="s">
        <v>3</v>
      </c>
      <c r="C43" s="2">
        <v>163</v>
      </c>
    </row>
    <row r="44" spans="1:3" x14ac:dyDescent="0.25">
      <c r="A44" s="2">
        <v>42</v>
      </c>
      <c r="B44" s="2" t="s">
        <v>3</v>
      </c>
      <c r="C44" s="2">
        <v>170</v>
      </c>
    </row>
    <row r="45" spans="1:3" x14ac:dyDescent="0.25">
      <c r="A45" s="2">
        <v>43</v>
      </c>
      <c r="B45" s="2" t="s">
        <v>3</v>
      </c>
      <c r="C45" s="2" t="s">
        <v>4</v>
      </c>
    </row>
    <row r="46" spans="1:3" x14ac:dyDescent="0.25">
      <c r="A46" s="2">
        <v>44</v>
      </c>
      <c r="B46" s="2" t="s">
        <v>3</v>
      </c>
      <c r="C46" s="2" t="s">
        <v>5</v>
      </c>
    </row>
    <row r="47" spans="1:3" x14ac:dyDescent="0.25">
      <c r="A47" s="2">
        <v>45</v>
      </c>
      <c r="B47" s="2" t="s">
        <v>3</v>
      </c>
      <c r="C47" s="2" t="s">
        <v>6</v>
      </c>
    </row>
    <row r="48" spans="1:3" x14ac:dyDescent="0.25">
      <c r="A48" s="2">
        <v>46</v>
      </c>
      <c r="B48" s="2" t="s">
        <v>3</v>
      </c>
      <c r="C48" s="2" t="s">
        <v>7</v>
      </c>
    </row>
    <row r="49" spans="1:3" x14ac:dyDescent="0.25">
      <c r="A49" s="2">
        <v>47</v>
      </c>
      <c r="B49" s="2" t="s">
        <v>3</v>
      </c>
      <c r="C49" s="2" t="s">
        <v>8</v>
      </c>
    </row>
    <row r="50" spans="1:3" x14ac:dyDescent="0.25">
      <c r="A50" s="2">
        <v>48</v>
      </c>
      <c r="B50" s="2" t="s">
        <v>9</v>
      </c>
      <c r="C50" s="2">
        <v>1</v>
      </c>
    </row>
    <row r="51" spans="1:3" x14ac:dyDescent="0.25">
      <c r="A51" s="2">
        <v>49</v>
      </c>
      <c r="B51" s="2" t="s">
        <v>9</v>
      </c>
      <c r="C51" s="2">
        <v>4</v>
      </c>
    </row>
    <row r="52" spans="1:3" x14ac:dyDescent="0.25">
      <c r="A52" s="2">
        <v>50</v>
      </c>
      <c r="B52" s="2" t="s">
        <v>9</v>
      </c>
      <c r="C52" s="2">
        <v>17</v>
      </c>
    </row>
    <row r="53" spans="1:3" x14ac:dyDescent="0.25">
      <c r="A53" s="2">
        <v>51</v>
      </c>
      <c r="B53" s="2" t="s">
        <v>9</v>
      </c>
      <c r="C53" s="2">
        <v>20</v>
      </c>
    </row>
    <row r="54" spans="1:3" x14ac:dyDescent="0.25">
      <c r="A54" s="2">
        <v>52</v>
      </c>
      <c r="B54" s="2" t="s">
        <v>9</v>
      </c>
      <c r="C54" s="2">
        <v>25</v>
      </c>
    </row>
    <row r="55" spans="1:3" x14ac:dyDescent="0.25">
      <c r="A55" s="2">
        <v>53</v>
      </c>
      <c r="B55" s="2" t="s">
        <v>9</v>
      </c>
      <c r="C55" s="2">
        <v>29</v>
      </c>
    </row>
    <row r="56" spans="1:3" x14ac:dyDescent="0.25">
      <c r="A56" s="3">
        <v>54</v>
      </c>
      <c r="B56" s="3" t="s">
        <v>9</v>
      </c>
      <c r="C56" s="3">
        <v>33</v>
      </c>
    </row>
    <row r="57" spans="1:3" x14ac:dyDescent="0.25">
      <c r="A57" s="2">
        <v>55</v>
      </c>
      <c r="B57" s="2" t="s">
        <v>9</v>
      </c>
      <c r="C57" s="2">
        <v>36</v>
      </c>
    </row>
    <row r="58" spans="1:3" x14ac:dyDescent="0.25">
      <c r="A58" s="2">
        <v>56</v>
      </c>
      <c r="B58" s="2" t="s">
        <v>9</v>
      </c>
      <c r="C58" s="2">
        <v>39</v>
      </c>
    </row>
    <row r="59" spans="1:3" x14ac:dyDescent="0.25">
      <c r="A59" s="2">
        <v>57</v>
      </c>
      <c r="B59" s="2" t="s">
        <v>9</v>
      </c>
      <c r="C59" s="2">
        <v>40</v>
      </c>
    </row>
    <row r="60" spans="1:3" x14ac:dyDescent="0.25">
      <c r="A60" s="2">
        <v>58</v>
      </c>
      <c r="B60" s="2" t="s">
        <v>9</v>
      </c>
      <c r="C60" s="2">
        <v>41</v>
      </c>
    </row>
    <row r="61" spans="1:3" x14ac:dyDescent="0.25">
      <c r="A61" s="2">
        <v>59</v>
      </c>
      <c r="B61" s="2" t="s">
        <v>9</v>
      </c>
      <c r="C61" s="2">
        <v>52</v>
      </c>
    </row>
    <row r="62" spans="1:3" x14ac:dyDescent="0.25">
      <c r="A62" s="2">
        <v>60</v>
      </c>
      <c r="B62" s="2" t="s">
        <v>9</v>
      </c>
      <c r="C62" s="2">
        <v>56</v>
      </c>
    </row>
    <row r="63" spans="1:3" x14ac:dyDescent="0.25">
      <c r="A63" s="2">
        <v>61</v>
      </c>
      <c r="B63" s="2" t="s">
        <v>9</v>
      </c>
      <c r="C63" s="2">
        <v>57</v>
      </c>
    </row>
    <row r="64" spans="1:3" x14ac:dyDescent="0.25">
      <c r="A64" s="2">
        <v>62</v>
      </c>
      <c r="B64" s="2" t="s">
        <v>9</v>
      </c>
      <c r="C64" s="2">
        <v>65</v>
      </c>
    </row>
    <row r="65" spans="1:3" x14ac:dyDescent="0.25">
      <c r="A65" s="2">
        <v>63</v>
      </c>
      <c r="B65" s="2" t="s">
        <v>9</v>
      </c>
      <c r="C65" s="2">
        <v>73</v>
      </c>
    </row>
    <row r="66" spans="1:3" x14ac:dyDescent="0.25">
      <c r="A66" s="2">
        <v>64</v>
      </c>
      <c r="B66" s="2" t="s">
        <v>9</v>
      </c>
      <c r="C66" s="2">
        <v>77</v>
      </c>
    </row>
    <row r="67" spans="1:3" x14ac:dyDescent="0.25">
      <c r="A67" s="2">
        <v>65</v>
      </c>
      <c r="B67" s="2" t="s">
        <v>9</v>
      </c>
      <c r="C67" s="2">
        <v>80</v>
      </c>
    </row>
    <row r="68" spans="1:3" x14ac:dyDescent="0.25">
      <c r="A68" s="2">
        <v>66</v>
      </c>
      <c r="B68" s="2" t="s">
        <v>9</v>
      </c>
      <c r="C68" s="2">
        <v>82</v>
      </c>
    </row>
    <row r="69" spans="1:3" x14ac:dyDescent="0.25">
      <c r="A69" s="2">
        <v>67</v>
      </c>
      <c r="B69" s="2" t="s">
        <v>9</v>
      </c>
      <c r="C69" s="2">
        <v>101</v>
      </c>
    </row>
    <row r="70" spans="1:3" x14ac:dyDescent="0.25">
      <c r="A70" s="2">
        <v>68</v>
      </c>
      <c r="B70" s="2" t="s">
        <v>9</v>
      </c>
      <c r="C70" s="2">
        <v>103</v>
      </c>
    </row>
    <row r="71" spans="1:3" x14ac:dyDescent="0.25">
      <c r="A71" s="2">
        <v>69</v>
      </c>
      <c r="B71" s="2" t="s">
        <v>9</v>
      </c>
      <c r="C71" s="2">
        <v>105</v>
      </c>
    </row>
    <row r="72" spans="1:3" x14ac:dyDescent="0.25">
      <c r="A72" s="2">
        <v>70</v>
      </c>
      <c r="B72" s="2" t="s">
        <v>9</v>
      </c>
      <c r="C72" s="2">
        <v>113</v>
      </c>
    </row>
    <row r="73" spans="1:3" x14ac:dyDescent="0.25">
      <c r="A73" s="2">
        <v>71</v>
      </c>
      <c r="B73" s="2" t="s">
        <v>9</v>
      </c>
      <c r="C73" s="2">
        <v>119</v>
      </c>
    </row>
    <row r="74" spans="1:3" x14ac:dyDescent="0.25">
      <c r="A74" s="2">
        <v>72</v>
      </c>
      <c r="B74" s="2" t="s">
        <v>9</v>
      </c>
      <c r="C74" s="2">
        <v>120</v>
      </c>
    </row>
    <row r="75" spans="1:3" x14ac:dyDescent="0.25">
      <c r="A75" s="2">
        <v>73</v>
      </c>
      <c r="B75" s="2" t="s">
        <v>9</v>
      </c>
      <c r="C75" s="2">
        <v>129</v>
      </c>
    </row>
    <row r="76" spans="1:3" x14ac:dyDescent="0.25">
      <c r="A76" s="2">
        <v>74</v>
      </c>
      <c r="B76" s="2" t="s">
        <v>9</v>
      </c>
      <c r="C76" s="2">
        <v>150</v>
      </c>
    </row>
    <row r="77" spans="1:3" x14ac:dyDescent="0.25">
      <c r="A77" s="2">
        <v>75</v>
      </c>
      <c r="B77" s="2" t="s">
        <v>9</v>
      </c>
      <c r="C77" s="2">
        <v>161</v>
      </c>
    </row>
    <row r="78" spans="1:3" x14ac:dyDescent="0.25">
      <c r="A78" s="2">
        <v>76</v>
      </c>
      <c r="B78" s="2" t="s">
        <v>9</v>
      </c>
      <c r="C78" s="2">
        <v>178</v>
      </c>
    </row>
    <row r="79" spans="1:3" x14ac:dyDescent="0.25">
      <c r="A79" s="2">
        <v>77</v>
      </c>
      <c r="B79" s="2" t="s">
        <v>9</v>
      </c>
      <c r="C79" s="2">
        <v>193</v>
      </c>
    </row>
    <row r="80" spans="1:3" x14ac:dyDescent="0.25">
      <c r="A80" s="2">
        <v>78</v>
      </c>
      <c r="B80" s="2" t="s">
        <v>9</v>
      </c>
      <c r="C80" s="2">
        <v>201</v>
      </c>
    </row>
    <row r="81" spans="1:3" x14ac:dyDescent="0.25">
      <c r="A81" s="2">
        <v>79</v>
      </c>
      <c r="B81" s="2" t="s">
        <v>9</v>
      </c>
      <c r="C81" s="2">
        <v>202</v>
      </c>
    </row>
    <row r="82" spans="1:3" x14ac:dyDescent="0.25">
      <c r="A82" s="2">
        <v>80</v>
      </c>
      <c r="B82" s="2" t="s">
        <v>9</v>
      </c>
      <c r="C82" s="2">
        <v>203</v>
      </c>
    </row>
    <row r="83" spans="1:3" x14ac:dyDescent="0.25">
      <c r="A83" s="2">
        <v>81</v>
      </c>
      <c r="B83" s="2" t="s">
        <v>9</v>
      </c>
      <c r="C83" s="2">
        <v>204</v>
      </c>
    </row>
    <row r="84" spans="1:3" x14ac:dyDescent="0.25">
      <c r="A84" s="2">
        <v>82</v>
      </c>
      <c r="B84" s="2" t="s">
        <v>10</v>
      </c>
      <c r="C84" s="2">
        <v>5</v>
      </c>
    </row>
    <row r="85" spans="1:3" x14ac:dyDescent="0.25">
      <c r="A85" s="2">
        <v>83</v>
      </c>
      <c r="B85" s="2" t="s">
        <v>10</v>
      </c>
      <c r="C85" s="2">
        <v>8</v>
      </c>
    </row>
    <row r="86" spans="1:3" x14ac:dyDescent="0.25">
      <c r="A86" s="2">
        <v>84</v>
      </c>
      <c r="B86" s="2" t="s">
        <v>10</v>
      </c>
      <c r="C86" s="2">
        <v>10</v>
      </c>
    </row>
    <row r="87" spans="1:3" x14ac:dyDescent="0.25">
      <c r="A87" s="2">
        <v>85</v>
      </c>
      <c r="B87" s="2" t="s">
        <v>10</v>
      </c>
      <c r="C87" s="2">
        <v>17</v>
      </c>
    </row>
    <row r="88" spans="1:3" x14ac:dyDescent="0.25">
      <c r="A88" s="2">
        <v>86</v>
      </c>
      <c r="B88" s="2" t="s">
        <v>10</v>
      </c>
      <c r="C88" s="2" t="s">
        <v>11</v>
      </c>
    </row>
    <row r="89" spans="1:3" x14ac:dyDescent="0.25">
      <c r="A89" s="2">
        <v>87</v>
      </c>
      <c r="B89" s="2" t="s">
        <v>10</v>
      </c>
      <c r="C89" s="2">
        <v>24</v>
      </c>
    </row>
    <row r="90" spans="1:3" x14ac:dyDescent="0.25">
      <c r="A90" s="2">
        <v>88</v>
      </c>
      <c r="B90" s="2" t="s">
        <v>10</v>
      </c>
      <c r="C90" s="2">
        <v>61</v>
      </c>
    </row>
    <row r="92" spans="1:3" x14ac:dyDescent="0.25">
      <c r="B92" s="16"/>
    </row>
    <row r="93" spans="1:3" x14ac:dyDescent="0.25">
      <c r="B93" s="16"/>
    </row>
    <row r="94" spans="1:3" x14ac:dyDescent="0.25">
      <c r="B94" s="16"/>
    </row>
  </sheetData>
  <mergeCells count="6">
    <mergeCell ref="AA1:AF1"/>
    <mergeCell ref="D1:G1"/>
    <mergeCell ref="I1:J1"/>
    <mergeCell ref="L1:R1"/>
    <mergeCell ref="T1:V1"/>
    <mergeCell ref="X1:Y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CI271"/>
  <sheetViews>
    <sheetView topLeftCell="A54" zoomScale="110" zoomScaleNormal="110" workbookViewId="0">
      <pane xSplit="1" topLeftCell="T1" activePane="topRight" state="frozen"/>
      <selection pane="topRight" activeCell="A2" sqref="A2:A90"/>
    </sheetView>
  </sheetViews>
  <sheetFormatPr defaultRowHeight="15" x14ac:dyDescent="0.25"/>
  <sheetData>
    <row r="2" spans="1:87" ht="15.75" thickBot="1" x14ac:dyDescent="0.3">
      <c r="A2" s="10" t="s">
        <v>2</v>
      </c>
      <c r="B2" s="11" t="s">
        <v>13</v>
      </c>
      <c r="C2" s="11" t="s">
        <v>14</v>
      </c>
      <c r="D2" s="11" t="s">
        <v>15</v>
      </c>
      <c r="E2" s="7" t="s">
        <v>16</v>
      </c>
      <c r="F2" t="s">
        <v>60</v>
      </c>
      <c r="G2" t="s">
        <v>17</v>
      </c>
      <c r="H2" t="s">
        <v>59</v>
      </c>
      <c r="I2" t="s">
        <v>58</v>
      </c>
      <c r="J2" t="s">
        <v>57</v>
      </c>
      <c r="K2" t="s">
        <v>56</v>
      </c>
      <c r="L2" t="s">
        <v>55</v>
      </c>
      <c r="M2" t="s">
        <v>527</v>
      </c>
      <c r="N2" t="s">
        <v>54</v>
      </c>
      <c r="O2" t="s">
        <v>53</v>
      </c>
      <c r="P2" t="s">
        <v>52</v>
      </c>
      <c r="Q2" t="s">
        <v>51</v>
      </c>
      <c r="R2" t="s">
        <v>50</v>
      </c>
      <c r="S2" t="s">
        <v>61</v>
      </c>
      <c r="T2" t="s">
        <v>62</v>
      </c>
      <c r="U2" t="s">
        <v>63</v>
      </c>
      <c r="V2" t="s">
        <v>64</v>
      </c>
      <c r="W2" t="s">
        <v>503</v>
      </c>
      <c r="X2" t="s">
        <v>65</v>
      </c>
      <c r="Y2" t="s">
        <v>66</v>
      </c>
      <c r="Z2" t="s">
        <v>67</v>
      </c>
      <c r="AA2" t="s">
        <v>32</v>
      </c>
      <c r="AB2" t="s">
        <v>520</v>
      </c>
      <c r="AC2" t="s">
        <v>68</v>
      </c>
      <c r="AD2" t="s">
        <v>69</v>
      </c>
      <c r="AE2" t="s">
        <v>252</v>
      </c>
      <c r="AF2" t="s">
        <v>70</v>
      </c>
      <c r="AG2" t="s">
        <v>253</v>
      </c>
      <c r="AH2" t="s">
        <v>254</v>
      </c>
      <c r="AI2" t="s">
        <v>255</v>
      </c>
      <c r="AJ2" t="s">
        <v>71</v>
      </c>
      <c r="AK2" t="s">
        <v>72</v>
      </c>
      <c r="AL2" t="s">
        <v>73</v>
      </c>
      <c r="AM2" t="s">
        <v>74</v>
      </c>
      <c r="AN2" t="s">
        <v>75</v>
      </c>
      <c r="AO2" t="s">
        <v>257</v>
      </c>
      <c r="AP2" t="s">
        <v>256</v>
      </c>
      <c r="AQ2" t="s">
        <v>76</v>
      </c>
      <c r="AR2" t="s">
        <v>77</v>
      </c>
      <c r="AS2" t="s">
        <v>78</v>
      </c>
      <c r="AT2" t="s">
        <v>258</v>
      </c>
      <c r="AU2" t="s">
        <v>507</v>
      </c>
      <c r="AV2" t="s">
        <v>79</v>
      </c>
      <c r="AW2" t="s">
        <v>80</v>
      </c>
      <c r="AX2" t="s">
        <v>81</v>
      </c>
      <c r="AY2" t="s">
        <v>82</v>
      </c>
      <c r="AZ2" t="s">
        <v>83</v>
      </c>
      <c r="BA2" t="s">
        <v>84</v>
      </c>
      <c r="BB2" t="s">
        <v>517</v>
      </c>
      <c r="BC2" t="s">
        <v>518</v>
      </c>
      <c r="BD2" t="s">
        <v>493</v>
      </c>
      <c r="BE2" t="s">
        <v>494</v>
      </c>
      <c r="BF2" t="s">
        <v>495</v>
      </c>
      <c r="BG2" t="s">
        <v>496</v>
      </c>
      <c r="BH2" t="s">
        <v>497</v>
      </c>
      <c r="BI2" t="s">
        <v>85</v>
      </c>
      <c r="BJ2" t="s">
        <v>86</v>
      </c>
      <c r="BK2" t="s">
        <v>87</v>
      </c>
      <c r="BL2" t="s">
        <v>88</v>
      </c>
      <c r="BM2" t="s">
        <v>89</v>
      </c>
      <c r="BN2" t="s">
        <v>90</v>
      </c>
      <c r="BO2" t="s">
        <v>91</v>
      </c>
      <c r="BP2" t="s">
        <v>92</v>
      </c>
      <c r="BQ2" t="s">
        <v>93</v>
      </c>
      <c r="BR2" t="s">
        <v>94</v>
      </c>
      <c r="BS2" t="s">
        <v>95</v>
      </c>
      <c r="BT2" t="s">
        <v>96</v>
      </c>
      <c r="BU2" t="s">
        <v>22</v>
      </c>
      <c r="BV2" t="s">
        <v>23</v>
      </c>
      <c r="BW2" t="s">
        <v>24</v>
      </c>
      <c r="BX2" t="s">
        <v>498</v>
      </c>
      <c r="BY2" t="s">
        <v>25</v>
      </c>
      <c r="BZ2" t="s">
        <v>502</v>
      </c>
      <c r="CA2" t="s">
        <v>519</v>
      </c>
      <c r="CB2" t="s">
        <v>506</v>
      </c>
      <c r="CC2" t="s">
        <v>522</v>
      </c>
      <c r="CD2" t="s">
        <v>523</v>
      </c>
      <c r="CE2" t="s">
        <v>524</v>
      </c>
      <c r="CF2" t="s">
        <v>525</v>
      </c>
      <c r="CG2" t="s">
        <v>526</v>
      </c>
      <c r="CI2" t="s">
        <v>528</v>
      </c>
    </row>
    <row r="3" spans="1:87" x14ac:dyDescent="0.25">
      <c r="A3" s="12">
        <v>1</v>
      </c>
      <c r="B3" s="12">
        <v>0</v>
      </c>
      <c r="C3" s="12">
        <v>0</v>
      </c>
      <c r="D3" s="12">
        <v>0</v>
      </c>
      <c r="E3" s="12">
        <v>0</v>
      </c>
      <c r="F3" s="16">
        <v>16.899999999999999</v>
      </c>
      <c r="G3" s="16">
        <v>7.81</v>
      </c>
      <c r="H3" s="16">
        <v>11.79</v>
      </c>
      <c r="I3" s="16">
        <v>537</v>
      </c>
      <c r="J3" s="16">
        <v>575</v>
      </c>
      <c r="K3" s="16">
        <v>351</v>
      </c>
      <c r="L3" s="16">
        <v>1463</v>
      </c>
      <c r="M3" s="16">
        <v>0.57416267942583732</v>
      </c>
      <c r="N3" s="16">
        <v>2.7874999999999996</v>
      </c>
      <c r="O3" s="16">
        <v>3.2875000000000001</v>
      </c>
      <c r="P3" s="16">
        <v>3.3000000000000003</v>
      </c>
      <c r="Q3" s="16">
        <v>3.125</v>
      </c>
      <c r="R3" s="16">
        <v>0.92607164714841306</v>
      </c>
      <c r="S3" s="16">
        <v>0.22249999999999998</v>
      </c>
      <c r="T3" s="16">
        <v>0.37687500000000002</v>
      </c>
      <c r="U3" s="16">
        <v>0.41384615384615392</v>
      </c>
      <c r="V3" s="16">
        <v>0.33266666666666667</v>
      </c>
      <c r="W3" s="16">
        <v>0.20597219582881934</v>
      </c>
      <c r="X3" s="16">
        <v>0.32</v>
      </c>
      <c r="Y3" s="16">
        <v>1</v>
      </c>
      <c r="Z3" s="16">
        <v>0.92</v>
      </c>
      <c r="AA3" s="16">
        <v>1</v>
      </c>
      <c r="AB3" s="16">
        <v>9.3937875751503004</v>
      </c>
      <c r="AC3" s="16">
        <v>2.2222222222222223</v>
      </c>
      <c r="AD3" s="16">
        <v>26.666666666666668</v>
      </c>
      <c r="AE3" s="16">
        <v>24.444444444444443</v>
      </c>
      <c r="AF3" s="16">
        <v>53.333333333333329</v>
      </c>
      <c r="AG3" s="16">
        <v>2.2222222222222223</v>
      </c>
      <c r="AH3" s="16">
        <v>42.222222222222221</v>
      </c>
      <c r="AI3" s="16">
        <v>0</v>
      </c>
      <c r="AJ3" s="16">
        <v>44.444444444444443</v>
      </c>
      <c r="AK3" s="16">
        <v>42.222222222222221</v>
      </c>
      <c r="AL3" s="16">
        <v>0.22562499999999996</v>
      </c>
      <c r="AM3" s="16">
        <v>0.12625</v>
      </c>
      <c r="AN3" s="16">
        <v>0.17307692307692307</v>
      </c>
      <c r="AO3" s="16">
        <v>0.17511111111111111</v>
      </c>
      <c r="AP3" s="16">
        <v>0.18236604326840494</v>
      </c>
      <c r="AQ3" s="16">
        <v>0.57999999999999996</v>
      </c>
      <c r="AR3" s="16">
        <v>0.5</v>
      </c>
      <c r="AS3" s="16">
        <v>0.68</v>
      </c>
      <c r="AT3" s="16">
        <v>0.68</v>
      </c>
      <c r="AU3" s="16">
        <v>50</v>
      </c>
      <c r="AV3" s="16">
        <v>0.375</v>
      </c>
      <c r="AW3" s="16">
        <v>0</v>
      </c>
      <c r="AX3" s="16">
        <v>50</v>
      </c>
      <c r="AY3" s="16">
        <v>62.5</v>
      </c>
      <c r="AZ3" s="16">
        <v>37.5</v>
      </c>
      <c r="BA3" s="16">
        <v>37.5</v>
      </c>
      <c r="BB3" s="16">
        <v>0.83333333333333337</v>
      </c>
      <c r="BC3" s="16">
        <v>25</v>
      </c>
      <c r="BD3" s="16">
        <v>0</v>
      </c>
      <c r="BE3" s="16">
        <v>0.375</v>
      </c>
      <c r="BF3" s="16">
        <v>0</v>
      </c>
      <c r="BG3" s="16">
        <v>0.13043478260869565</v>
      </c>
      <c r="BH3" s="16">
        <v>0.30434782608695654</v>
      </c>
      <c r="BI3" s="16">
        <v>0.5</v>
      </c>
      <c r="BJ3" s="16">
        <v>0.5</v>
      </c>
      <c r="BK3" s="16">
        <v>0.33333333333333331</v>
      </c>
      <c r="BL3" s="16">
        <v>0.45454545454545453</v>
      </c>
      <c r="BM3" s="16">
        <v>0.25</v>
      </c>
      <c r="BN3" s="16">
        <v>0.25</v>
      </c>
      <c r="BO3" s="16">
        <v>0</v>
      </c>
      <c r="BP3" s="16">
        <v>0.18181818181818182</v>
      </c>
      <c r="BQ3" s="16">
        <v>0.75</v>
      </c>
      <c r="BR3" s="16">
        <v>2.25</v>
      </c>
      <c r="BS3" s="16">
        <v>1</v>
      </c>
      <c r="BT3" s="16">
        <v>1.3636363636363635</v>
      </c>
      <c r="BU3" s="16">
        <v>4.1666666666666661</v>
      </c>
      <c r="BV3" s="16">
        <v>95.833333333333343</v>
      </c>
      <c r="BW3" s="16">
        <v>0</v>
      </c>
      <c r="BX3" s="16">
        <v>37.541666666666664</v>
      </c>
      <c r="BY3" s="16">
        <v>1.3333333333333333</v>
      </c>
      <c r="BZ3" s="16">
        <v>72.178060413354544</v>
      </c>
      <c r="CA3" s="16">
        <v>12.922916951338593</v>
      </c>
      <c r="CB3" s="16">
        <v>27.821939586645456</v>
      </c>
      <c r="CC3" s="16">
        <v>0</v>
      </c>
      <c r="CD3" s="16">
        <v>0</v>
      </c>
      <c r="CE3" s="16">
        <v>0</v>
      </c>
      <c r="CF3" s="16">
        <v>0</v>
      </c>
      <c r="CG3" s="16">
        <v>0</v>
      </c>
      <c r="CI3" t="str">
        <f>CONCATENATE("/*",A3,"*/ ",B3,C3,D3," "," 1 ")&amp;ConcatRange(F3:CG3," ")&amp;";"</f>
        <v>/*1*/ 000  1 16.9 7.81 11.79 537 575 351 1463 0.574162679425837 2.7875 3.2875 3.3 3.125 0.926071647148413 0.2225 0.376875 0.413846153846154 0.332666666666667 0.205972195828819 0.32 1 0.92 1 9.3937875751503 2.22222222222222 26.6666666666667 24.4444444444444 53.3333333333333 2.22222222222222 42.2222222222222 0 44.4444444444444 42.2222222222222 0.225625 0.12625 0.173076923076923 0.175111111111111 0.182366043268405 0.58 0.5 0.68 0.68 50 0.375 0 50 62.5 37.5 37.5 0.833333333333333 25 0 0.375 0 0.130434782608696 0.304347826086957 0.5 0.5 0.333333333333333 0.454545454545455 0.25 0.25 0 0.181818181818182 0.75 2.25 1 1.36363636363636 4.16666666666667 95.8333333333333 0 37.5416666666667 1.33333333333333 72.1780604133545 12.9229169513386 27.8219395866455 0 0 0 0 0;</v>
      </c>
    </row>
    <row r="4" spans="1:87" x14ac:dyDescent="0.25">
      <c r="A4" s="12">
        <v>8</v>
      </c>
      <c r="B4" s="12">
        <v>0</v>
      </c>
      <c r="C4" s="12">
        <v>0</v>
      </c>
      <c r="D4" s="12">
        <v>0</v>
      </c>
      <c r="E4" s="12">
        <v>0</v>
      </c>
      <c r="F4" s="16">
        <v>12.9</v>
      </c>
      <c r="G4" s="16">
        <v>8.6</v>
      </c>
      <c r="H4" s="16">
        <v>11.64</v>
      </c>
      <c r="I4" s="16">
        <v>2133</v>
      </c>
      <c r="J4" s="16">
        <v>1487</v>
      </c>
      <c r="K4" s="16">
        <v>1810</v>
      </c>
      <c r="L4" s="16">
        <v>5430</v>
      </c>
      <c r="M4" s="16">
        <v>0</v>
      </c>
      <c r="N4" s="16">
        <v>6.9375000000000009</v>
      </c>
      <c r="O4" s="16">
        <v>7.0125000000000002</v>
      </c>
      <c r="P4" s="16">
        <v>6.8</v>
      </c>
      <c r="Q4" s="16">
        <v>6.916666666666667</v>
      </c>
      <c r="R4" s="16">
        <v>0.49490154195747277</v>
      </c>
      <c r="S4" s="16">
        <v>0.44791666666666657</v>
      </c>
      <c r="T4" s="16">
        <v>0.29166666666666674</v>
      </c>
      <c r="U4" s="16">
        <v>0.30687500000000001</v>
      </c>
      <c r="V4" s="16">
        <v>0.36051724137931035</v>
      </c>
      <c r="W4" s="16">
        <v>0.14410549758549032</v>
      </c>
      <c r="X4" s="16">
        <v>0.7</v>
      </c>
      <c r="Y4" s="16">
        <v>0.46</v>
      </c>
      <c r="Z4" s="16">
        <v>0.54</v>
      </c>
      <c r="AA4" s="16">
        <v>0.7</v>
      </c>
      <c r="AB4" s="16">
        <v>19.185397736330305</v>
      </c>
      <c r="AC4" s="16">
        <v>0</v>
      </c>
      <c r="AD4" s="16">
        <v>7.0175438596491224</v>
      </c>
      <c r="AE4" s="16">
        <v>24.561403508771928</v>
      </c>
      <c r="AF4" s="16">
        <v>31.578947368421051</v>
      </c>
      <c r="AG4" s="16">
        <v>8.7719298245614024</v>
      </c>
      <c r="AH4" s="16">
        <v>57.894736842105267</v>
      </c>
      <c r="AI4" s="16">
        <v>0</v>
      </c>
      <c r="AJ4" s="16">
        <v>66.666666666666671</v>
      </c>
      <c r="AK4" s="16">
        <v>57.894736842105267</v>
      </c>
      <c r="AL4" s="16">
        <v>0.25090909090909091</v>
      </c>
      <c r="AM4" s="16">
        <v>0.3322222222222222</v>
      </c>
      <c r="AN4" s="16">
        <v>0.361875</v>
      </c>
      <c r="AO4" s="16">
        <v>0.30293103448275854</v>
      </c>
      <c r="AP4" s="16">
        <v>0.20296926239237334</v>
      </c>
      <c r="AQ4" s="16">
        <v>0.83</v>
      </c>
      <c r="AR4" s="16">
        <v>0.75</v>
      </c>
      <c r="AS4" s="16">
        <v>0.75</v>
      </c>
      <c r="AT4" s="16">
        <v>0.83</v>
      </c>
      <c r="AU4" s="16">
        <v>20.833333333333336</v>
      </c>
      <c r="AV4" s="16">
        <v>0.69565217391304346</v>
      </c>
      <c r="AW4" s="16">
        <v>25</v>
      </c>
      <c r="AX4" s="16">
        <v>0</v>
      </c>
      <c r="AY4" s="16">
        <v>0</v>
      </c>
      <c r="AZ4" s="16">
        <v>8.3333333333333321</v>
      </c>
      <c r="BA4" s="16">
        <v>66.666666666666657</v>
      </c>
      <c r="BB4" s="16">
        <v>0.66666666666666663</v>
      </c>
      <c r="BC4" s="16">
        <v>16.666666666666664</v>
      </c>
      <c r="BD4" s="16">
        <v>0.75</v>
      </c>
      <c r="BE4" s="16">
        <v>0</v>
      </c>
      <c r="BF4" s="16">
        <v>0.25</v>
      </c>
      <c r="BG4" s="16">
        <v>0.33333333333333331</v>
      </c>
      <c r="BH4" s="16">
        <v>0.875</v>
      </c>
      <c r="BI4" s="16">
        <v>1.75</v>
      </c>
      <c r="BJ4" s="16">
        <v>0</v>
      </c>
      <c r="BK4" s="16">
        <v>0.25</v>
      </c>
      <c r="BL4" s="16">
        <v>0.66666666666666663</v>
      </c>
      <c r="BM4" s="16">
        <v>0</v>
      </c>
      <c r="BN4" s="16">
        <v>0</v>
      </c>
      <c r="BO4" s="16">
        <v>0.25</v>
      </c>
      <c r="BP4" s="16">
        <v>8.3333333333333329E-2</v>
      </c>
      <c r="BQ4" s="16">
        <v>2.25</v>
      </c>
      <c r="BR4" s="16">
        <v>0.25</v>
      </c>
      <c r="BS4" s="16">
        <v>1.25</v>
      </c>
      <c r="BT4" s="16">
        <v>1.25</v>
      </c>
      <c r="BU4" s="16">
        <v>4.1666666666666661</v>
      </c>
      <c r="BV4" s="16">
        <v>58.333333333333336</v>
      </c>
      <c r="BW4" s="16">
        <v>33.333333333333329</v>
      </c>
      <c r="BX4" s="16">
        <v>50</v>
      </c>
      <c r="BY4" s="16">
        <v>1.75</v>
      </c>
      <c r="BZ4" s="16">
        <v>78.528528528528525</v>
      </c>
      <c r="CA4" s="16">
        <v>11.449128337237719</v>
      </c>
      <c r="CB4" s="16">
        <v>21.471471471471475</v>
      </c>
      <c r="CC4" s="16">
        <v>0</v>
      </c>
      <c r="CD4" s="16">
        <v>0</v>
      </c>
      <c r="CE4" s="16">
        <v>0</v>
      </c>
      <c r="CF4" s="16">
        <v>0</v>
      </c>
      <c r="CG4" s="16">
        <v>0</v>
      </c>
      <c r="CI4" t="str">
        <f t="shared" ref="CI4:CI67" si="0">CONCATENATE("/*",A4,"*/ ",B4,C4,D4," "," 1 ")&amp;ConcatRange(F4:CG4," ")&amp;";"</f>
        <v>/*8*/ 000  1 12.9 8.6 11.64 2133 1487 1810 5430 0 6.9375 7.0125 6.8 6.91666666666667 0.494901541957473 0.447916666666667 0.291666666666667 0.306875 0.36051724137931 0.14410549758549 0.7 0.46 0.54 0.7 19.1853977363303 0 7.01754385964912 24.5614035087719 31.5789473684211 8.7719298245614 57.8947368421053 0 66.6666666666667 57.8947368421053 0.250909090909091 0.332222222222222 0.361875 0.302931034482759 0.202969262392373 0.83 0.75 0.75 0.83 20.8333333333333 0.695652173913043 25 0 0 8.33333333333333 66.6666666666667 0.666666666666667 16.6666666666667 0.75 0 0.25 0.333333333333333 0.875 1.75 0 0.25 0.666666666666667 0 0 0.25 8.33333333333333E-02 2.25 0.25 1.25 1.25 4.16666666666667 58.3333333333333 33.3333333333333 50 1.75 78.5285285285285 11.4491283372377 21.4714714714715 0 0 0 0 0;</v>
      </c>
    </row>
    <row r="5" spans="1:87" x14ac:dyDescent="0.25">
      <c r="A5" s="12">
        <v>10</v>
      </c>
      <c r="B5" s="12">
        <v>0</v>
      </c>
      <c r="C5" s="12">
        <v>0</v>
      </c>
      <c r="D5" s="12">
        <v>0</v>
      </c>
      <c r="E5" s="12">
        <v>0</v>
      </c>
      <c r="F5" s="16">
        <v>13.1</v>
      </c>
      <c r="G5" s="16">
        <v>9.4</v>
      </c>
      <c r="H5" s="16">
        <v>13.5</v>
      </c>
      <c r="I5" s="16">
        <v>1310</v>
      </c>
      <c r="J5" s="16">
        <v>1447</v>
      </c>
      <c r="K5" s="16">
        <v>1067</v>
      </c>
      <c r="L5" s="16">
        <v>3824</v>
      </c>
      <c r="M5" s="16">
        <v>1.5690376569037656E-2</v>
      </c>
      <c r="N5" s="16">
        <v>3.9624999999999995</v>
      </c>
      <c r="O5" s="16">
        <v>3.95</v>
      </c>
      <c r="P5" s="16">
        <v>3.5625000000000004</v>
      </c>
      <c r="Q5" s="16">
        <v>3.8249999999999997</v>
      </c>
      <c r="R5" s="16">
        <v>0.41833001326703662</v>
      </c>
      <c r="S5" s="16">
        <v>0.54291666666666671</v>
      </c>
      <c r="T5" s="16">
        <v>0.45458333333333351</v>
      </c>
      <c r="U5" s="16">
        <v>0.38874999999999998</v>
      </c>
      <c r="V5" s="16">
        <v>0.46208333333333318</v>
      </c>
      <c r="W5" s="16">
        <v>0.12220898171275155</v>
      </c>
      <c r="X5" s="16">
        <v>0.7</v>
      </c>
      <c r="Y5" s="16">
        <v>0.68</v>
      </c>
      <c r="Z5" s="16">
        <v>0.61</v>
      </c>
      <c r="AA5" s="16">
        <v>0.7</v>
      </c>
      <c r="AB5" s="16">
        <v>8.2777276825969359</v>
      </c>
      <c r="AC5" s="16">
        <v>1.3888888888888888</v>
      </c>
      <c r="AD5" s="16">
        <v>55.555555555555557</v>
      </c>
      <c r="AE5" s="16">
        <v>13.888888888888889</v>
      </c>
      <c r="AF5" s="16">
        <v>70.833333333333329</v>
      </c>
      <c r="AG5" s="16">
        <v>8.3333333333333321</v>
      </c>
      <c r="AH5" s="16">
        <v>18.055555555555554</v>
      </c>
      <c r="AI5" s="16">
        <v>2.7777777777777777</v>
      </c>
      <c r="AJ5" s="16">
        <v>29.166666666666664</v>
      </c>
      <c r="AK5" s="16">
        <v>55.555555555555557</v>
      </c>
      <c r="AL5" s="16">
        <v>0.24727272727272734</v>
      </c>
      <c r="AM5" s="16">
        <v>0.2776190476190476</v>
      </c>
      <c r="AN5" s="16">
        <v>0.44681818181818184</v>
      </c>
      <c r="AO5" s="16">
        <v>0.31915492957746472</v>
      </c>
      <c r="AP5" s="16">
        <v>0.19181647835420526</v>
      </c>
      <c r="AQ5" s="16">
        <v>0.39</v>
      </c>
      <c r="AR5" s="16">
        <v>0.46</v>
      </c>
      <c r="AS5" s="16">
        <v>1.01</v>
      </c>
      <c r="AT5" s="16">
        <v>1.01</v>
      </c>
      <c r="AU5" s="16">
        <v>4.1666666666666661</v>
      </c>
      <c r="AV5" s="16">
        <v>0.78260869565217395</v>
      </c>
      <c r="AW5" s="16">
        <v>0</v>
      </c>
      <c r="AX5" s="16">
        <v>50</v>
      </c>
      <c r="AY5" s="16">
        <v>0</v>
      </c>
      <c r="AZ5" s="16">
        <v>16.666666666666664</v>
      </c>
      <c r="BA5" s="16">
        <v>75</v>
      </c>
      <c r="BB5" s="16">
        <v>0</v>
      </c>
      <c r="BC5" s="16">
        <v>0</v>
      </c>
      <c r="BD5" s="16">
        <v>0</v>
      </c>
      <c r="BE5" s="16">
        <v>0</v>
      </c>
      <c r="BF5" s="16">
        <v>0</v>
      </c>
      <c r="BG5" s="16">
        <v>0</v>
      </c>
      <c r="BH5" s="16">
        <v>8.3333333333333329E-2</v>
      </c>
      <c r="BI5" s="16">
        <v>3.5</v>
      </c>
      <c r="BJ5" s="16">
        <v>2</v>
      </c>
      <c r="BK5" s="16">
        <v>1.75</v>
      </c>
      <c r="BL5" s="16">
        <v>2.4166666666666665</v>
      </c>
      <c r="BM5" s="16">
        <v>1.25</v>
      </c>
      <c r="BN5" s="16">
        <v>0</v>
      </c>
      <c r="BO5" s="16">
        <v>0</v>
      </c>
      <c r="BP5" s="16">
        <v>0.41666666666666669</v>
      </c>
      <c r="BQ5" s="16">
        <v>3.25</v>
      </c>
      <c r="BR5" s="16">
        <v>3.25</v>
      </c>
      <c r="BS5" s="16">
        <v>1.75</v>
      </c>
      <c r="BT5" s="16">
        <v>2.75</v>
      </c>
      <c r="BU5" s="16">
        <v>4.1666666666666661</v>
      </c>
      <c r="BV5" s="16">
        <v>75</v>
      </c>
      <c r="BW5" s="16">
        <v>20.833333333333336</v>
      </c>
      <c r="BX5" s="16">
        <v>44.583333333333336</v>
      </c>
      <c r="BY5" s="16">
        <v>1.875</v>
      </c>
      <c r="BZ5" s="16">
        <v>97.297297297297305</v>
      </c>
      <c r="CA5" s="16">
        <v>3.56971387408811</v>
      </c>
      <c r="CB5" s="16">
        <v>2.7027027027026946</v>
      </c>
      <c r="CC5" s="16">
        <v>0</v>
      </c>
      <c r="CD5" s="16">
        <v>0</v>
      </c>
      <c r="CE5" s="16">
        <v>0</v>
      </c>
      <c r="CF5" s="16">
        <v>0</v>
      </c>
      <c r="CG5" s="16">
        <v>0</v>
      </c>
      <c r="CI5" t="str">
        <f t="shared" si="0"/>
        <v>/*10*/ 000  1 13.1 9.4 13.5 1310 1447 1067 3824 1.56903765690377E-02 3.9625 3.95 3.5625 3.825 0.418330013267037 0.542916666666667 0.454583333333334 0.38875 0.462083333333333 0.122208981712752 0.7 0.68 0.61 0.7 8.27772768259694 1.38888888888889 55.5555555555556 13.8888888888889 70.8333333333333 8.33333333333333 18.0555555555556 2.77777777777778 29.1666666666667 55.5555555555556 0.247272727272727 0.277619047619048 0.446818181818182 0.319154929577465 0.191816478354205 0.39 0.46 1.01 1.01 4.16666666666667 0.782608695652174 0 50 0 16.6666666666667 75 0 0 0 0 0 0 8.33333333333333E-02 3.5 2 1.75 2.41666666666667 1.25 0 0 0.416666666666667 3.25 3.25 1.75 2.75 4.16666666666667 75 20.8333333333333 44.5833333333333 1.875 97.2972972972973 3.56971387408811 2.70270270270269 0 0 0 0 0;</v>
      </c>
    </row>
    <row r="6" spans="1:87" x14ac:dyDescent="0.25">
      <c r="A6" s="12">
        <v>11</v>
      </c>
      <c r="B6" s="12">
        <v>0</v>
      </c>
      <c r="C6" s="12">
        <v>0</v>
      </c>
      <c r="D6" s="12">
        <v>0</v>
      </c>
      <c r="E6" s="12">
        <v>0</v>
      </c>
      <c r="F6" s="16">
        <v>10.6</v>
      </c>
      <c r="G6" s="16">
        <v>8.4499999999999993</v>
      </c>
      <c r="H6" s="16">
        <v>11.24</v>
      </c>
      <c r="I6" s="16">
        <v>496</v>
      </c>
      <c r="J6" s="16">
        <v>356</v>
      </c>
      <c r="K6" s="16">
        <v>426</v>
      </c>
      <c r="L6" s="16">
        <v>1278</v>
      </c>
      <c r="M6" s="16">
        <v>0</v>
      </c>
      <c r="N6" s="16">
        <v>1.7875000000000001</v>
      </c>
      <c r="O6" s="16">
        <v>1.9375</v>
      </c>
      <c r="P6" s="16">
        <v>2.5874999999999999</v>
      </c>
      <c r="Q6" s="16">
        <v>2.1041666666666665</v>
      </c>
      <c r="R6" s="16">
        <v>0.60251586063674833</v>
      </c>
      <c r="S6" s="16">
        <v>9.1249999999999998E-2</v>
      </c>
      <c r="T6" s="16">
        <v>0.14333333333333337</v>
      </c>
      <c r="U6" s="16">
        <v>8.5384615384615378E-2</v>
      </c>
      <c r="V6" s="16">
        <v>0.10787878787878791</v>
      </c>
      <c r="W6" s="16">
        <v>4.3139133608416917E-2</v>
      </c>
      <c r="X6" s="16">
        <v>0.13</v>
      </c>
      <c r="Y6" s="16">
        <v>0.24</v>
      </c>
      <c r="Z6" s="16">
        <v>0.15</v>
      </c>
      <c r="AA6" s="16">
        <v>0.24</v>
      </c>
      <c r="AB6" s="16">
        <v>19.504915730337071</v>
      </c>
      <c r="AC6" s="16">
        <v>3.0303030303030303</v>
      </c>
      <c r="AD6" s="16">
        <v>9.0909090909090917</v>
      </c>
      <c r="AE6" s="16">
        <v>0</v>
      </c>
      <c r="AF6" s="16">
        <v>12.121212121212121</v>
      </c>
      <c r="AG6" s="16">
        <v>0</v>
      </c>
      <c r="AH6" s="16">
        <v>87.878787878787875</v>
      </c>
      <c r="AI6" s="16">
        <v>0</v>
      </c>
      <c r="AJ6" s="16">
        <v>87.878787878787875</v>
      </c>
      <c r="AK6" s="16">
        <v>87.878787878787875</v>
      </c>
      <c r="AL6" s="16">
        <v>0.46750000000000003</v>
      </c>
      <c r="AM6" s="16">
        <v>0.21333333333333335</v>
      </c>
      <c r="AN6" s="16">
        <v>0.36307692307692307</v>
      </c>
      <c r="AO6" s="16">
        <v>0.33393939393939392</v>
      </c>
      <c r="AP6" s="16">
        <v>0.18861235699741738</v>
      </c>
      <c r="AQ6" s="16">
        <v>0.69</v>
      </c>
      <c r="AR6" s="16">
        <v>0.44</v>
      </c>
      <c r="AS6" s="16">
        <v>0.65</v>
      </c>
      <c r="AT6" s="16">
        <v>0.69</v>
      </c>
      <c r="AU6" s="16">
        <v>83.333333333333343</v>
      </c>
      <c r="AV6" s="16">
        <v>0.16666666666666666</v>
      </c>
      <c r="AW6" s="16">
        <v>0</v>
      </c>
      <c r="AX6" s="16">
        <v>0</v>
      </c>
      <c r="AY6" s="16">
        <v>0</v>
      </c>
      <c r="AZ6" s="16">
        <v>0</v>
      </c>
      <c r="BA6" s="16">
        <v>83.333333333333343</v>
      </c>
      <c r="BB6" s="16">
        <v>0.58333333333333337</v>
      </c>
      <c r="BC6" s="16">
        <v>8.3333333333333321</v>
      </c>
      <c r="BD6" s="16">
        <v>0.375</v>
      </c>
      <c r="BE6" s="16">
        <v>1</v>
      </c>
      <c r="BF6" s="16">
        <v>0.5</v>
      </c>
      <c r="BG6" s="16">
        <v>0.625</v>
      </c>
      <c r="BH6" s="16">
        <v>1.1666666666666667</v>
      </c>
      <c r="BI6" s="16">
        <v>0.5</v>
      </c>
      <c r="BJ6" s="16">
        <v>0.25</v>
      </c>
      <c r="BK6" s="16">
        <v>0</v>
      </c>
      <c r="BL6" s="16">
        <v>0.25</v>
      </c>
      <c r="BM6" s="16">
        <v>0.25</v>
      </c>
      <c r="BN6" s="16">
        <v>0</v>
      </c>
      <c r="BO6" s="16">
        <v>0.75</v>
      </c>
      <c r="BP6" s="16">
        <v>0.33333333333333331</v>
      </c>
      <c r="BQ6" s="16">
        <v>0.25</v>
      </c>
      <c r="BR6" s="16">
        <v>0.25</v>
      </c>
      <c r="BS6" s="16">
        <v>0</v>
      </c>
      <c r="BT6" s="16">
        <v>0.16666666666666666</v>
      </c>
      <c r="BU6" s="16">
        <v>41.666666666666671</v>
      </c>
      <c r="BV6" s="16">
        <v>58.333333333333336</v>
      </c>
      <c r="BW6" s="16">
        <v>0</v>
      </c>
      <c r="BX6" s="16">
        <v>21.333333333333332</v>
      </c>
      <c r="BY6" s="16">
        <v>0.41666666666666669</v>
      </c>
      <c r="BZ6" s="16">
        <v>11.036036036036036</v>
      </c>
      <c r="CA6" s="16">
        <v>9.772775596377052</v>
      </c>
      <c r="CB6" s="16">
        <v>88.963963963963963</v>
      </c>
      <c r="CC6" s="16">
        <v>0</v>
      </c>
      <c r="CD6" s="16">
        <v>0</v>
      </c>
      <c r="CE6" s="16">
        <v>0</v>
      </c>
      <c r="CF6" s="16">
        <v>0</v>
      </c>
      <c r="CG6" s="16">
        <v>0</v>
      </c>
      <c r="CI6" t="str">
        <f t="shared" si="0"/>
        <v>/*11*/ 000  1 10.6 8.45 11.24 496 356 426 1278 0 1.7875 1.9375 2.5875 2.10416666666667 0.602515860636748 0.09125 0.143333333333333 8.53846153846154E-02 0.107878787878788 4.31391336084169E-02 0.13 0.24 0.15 0.24 19.5049157303371 3.03030303030303 9.09090909090909 0 12.1212121212121 0 87.8787878787879 0 87.8787878787879 87.8787878787879 0.4675 0.213333333333333 0.363076923076923 0.333939393939394 0.188612356997417 0.69 0.44 0.65 0.69 83.3333333333333 0.166666666666667 0 0 0 0 83.3333333333333 0.583333333333333 8.33333333333333 0.375 1 0.5 0.625 1.16666666666667 0.5 0.25 0 0.25 0.25 0 0.75 0.333333333333333 0.25 0.25 0 0.166666666666667 41.6666666666667 58.3333333333333 0 21.3333333333333 0.416666666666667 11.036036036036 9.77277559637705 88.963963963964 0 0 0 0 0;</v>
      </c>
    </row>
    <row r="7" spans="1:87" x14ac:dyDescent="0.25">
      <c r="A7" s="12">
        <v>12</v>
      </c>
      <c r="B7" s="12">
        <v>0</v>
      </c>
      <c r="C7" s="12">
        <v>1</v>
      </c>
      <c r="D7" s="12">
        <v>0</v>
      </c>
      <c r="E7" s="12">
        <v>0</v>
      </c>
      <c r="F7" s="16">
        <v>11.7</v>
      </c>
      <c r="G7" s="16">
        <v>9.02</v>
      </c>
      <c r="H7" s="16">
        <v>15.53</v>
      </c>
      <c r="I7" s="16">
        <v>350</v>
      </c>
      <c r="J7" s="16">
        <v>339</v>
      </c>
      <c r="K7" s="16">
        <v>437</v>
      </c>
      <c r="L7" s="16">
        <v>1126</v>
      </c>
      <c r="M7" s="16">
        <v>0.21314387211367675</v>
      </c>
      <c r="N7" s="16">
        <v>1.65</v>
      </c>
      <c r="O7" s="16">
        <v>2.1874999999999996</v>
      </c>
      <c r="P7" s="16">
        <v>2.3374999999999999</v>
      </c>
      <c r="Q7" s="16">
        <v>2.0583333333333336</v>
      </c>
      <c r="R7" s="16">
        <v>0.94635073315601415</v>
      </c>
      <c r="S7" s="16">
        <v>0.11000000000000001</v>
      </c>
      <c r="T7" s="16">
        <v>0.25062500000000004</v>
      </c>
      <c r="U7" s="16">
        <v>0.19</v>
      </c>
      <c r="V7" s="16">
        <v>0.1835416666666666</v>
      </c>
      <c r="W7" s="16">
        <v>0.15732456738712525</v>
      </c>
      <c r="X7" s="16">
        <v>0.36</v>
      </c>
      <c r="Y7" s="16">
        <v>0.59</v>
      </c>
      <c r="Z7" s="16">
        <v>0.57999999999999996</v>
      </c>
      <c r="AA7" s="16">
        <v>0.59</v>
      </c>
      <c r="AB7" s="16">
        <v>11.21452894438139</v>
      </c>
      <c r="AC7" s="16">
        <v>0</v>
      </c>
      <c r="AD7" s="16">
        <v>27.659574468085108</v>
      </c>
      <c r="AE7" s="16">
        <v>0</v>
      </c>
      <c r="AF7" s="16">
        <v>27.659574468085108</v>
      </c>
      <c r="AG7" s="16">
        <v>6.3829787234042552</v>
      </c>
      <c r="AH7" s="16">
        <v>65.957446808510639</v>
      </c>
      <c r="AI7" s="16">
        <v>0</v>
      </c>
      <c r="AJ7" s="16">
        <v>72.340425531914889</v>
      </c>
      <c r="AK7" s="16">
        <v>65.957446808510639</v>
      </c>
      <c r="AL7" s="16">
        <v>0.16200000000000001</v>
      </c>
      <c r="AM7" s="16">
        <v>6.1333333333333344E-2</v>
      </c>
      <c r="AN7" s="16">
        <v>0.13866666666666663</v>
      </c>
      <c r="AO7" s="16">
        <v>0.114375</v>
      </c>
      <c r="AP7" s="16">
        <v>0.19113219497888581</v>
      </c>
      <c r="AQ7" s="16">
        <v>0.93</v>
      </c>
      <c r="AR7" s="16">
        <v>0.52</v>
      </c>
      <c r="AS7" s="16">
        <v>0.6</v>
      </c>
      <c r="AT7" s="16">
        <v>0.93</v>
      </c>
      <c r="AU7" s="16">
        <v>41.666666666666671</v>
      </c>
      <c r="AV7" s="16">
        <v>0.33333333333333331</v>
      </c>
      <c r="AW7" s="16">
        <v>0</v>
      </c>
      <c r="AX7" s="16">
        <v>37.5</v>
      </c>
      <c r="AY7" s="16">
        <v>37.5</v>
      </c>
      <c r="AZ7" s="16">
        <v>25</v>
      </c>
      <c r="BA7" s="16">
        <v>41.666666666666671</v>
      </c>
      <c r="BB7" s="16">
        <v>1.5</v>
      </c>
      <c r="BC7" s="16">
        <v>41.666666666666671</v>
      </c>
      <c r="BD7" s="16">
        <v>0</v>
      </c>
      <c r="BE7" s="16">
        <v>0</v>
      </c>
      <c r="BF7" s="16">
        <v>0</v>
      </c>
      <c r="BG7" s="16">
        <v>0</v>
      </c>
      <c r="BH7" s="16">
        <v>8.3333333333333329E-2</v>
      </c>
      <c r="BI7" s="16">
        <v>1</v>
      </c>
      <c r="BJ7" s="16">
        <v>2</v>
      </c>
      <c r="BK7" s="16">
        <v>0.5</v>
      </c>
      <c r="BL7" s="16">
        <v>1.1666666666666667</v>
      </c>
      <c r="BM7" s="16">
        <v>0.25</v>
      </c>
      <c r="BN7" s="16">
        <v>0.25</v>
      </c>
      <c r="BO7" s="16">
        <v>0</v>
      </c>
      <c r="BP7" s="16">
        <v>0.16666666666666666</v>
      </c>
      <c r="BQ7" s="16">
        <v>0.75</v>
      </c>
      <c r="BR7" s="16">
        <v>2.75</v>
      </c>
      <c r="BS7" s="16">
        <v>1.75</v>
      </c>
      <c r="BT7" s="16">
        <v>1.75</v>
      </c>
      <c r="BU7" s="16">
        <v>20.833333333333336</v>
      </c>
      <c r="BV7" s="16">
        <v>45.833333333333329</v>
      </c>
      <c r="BW7" s="16">
        <v>33.333333333333329</v>
      </c>
      <c r="BX7" s="16">
        <v>43.333333333333336</v>
      </c>
      <c r="BY7" s="16">
        <v>1.4166666666666667</v>
      </c>
      <c r="BZ7" s="16">
        <v>68.693693693693689</v>
      </c>
      <c r="CA7" s="16">
        <v>13.51903420049989</v>
      </c>
      <c r="CB7" s="16">
        <v>31.306306306306311</v>
      </c>
      <c r="CC7" s="16">
        <v>0</v>
      </c>
      <c r="CD7" s="16">
        <v>0</v>
      </c>
      <c r="CE7" s="16">
        <v>0</v>
      </c>
      <c r="CF7" s="16">
        <v>0</v>
      </c>
      <c r="CG7" s="16">
        <v>0</v>
      </c>
      <c r="CI7" t="str">
        <f t="shared" si="0"/>
        <v>/*12*/ 010  1 11.7 9.02 15.53 350 339 437 1126 0.213143872113677 1.65 2.1875 2.3375 2.05833333333333 0.946350733156014 0.11 0.250625 0.19 0.183541666666667 0.157324567387125 0.36 0.59 0.58 0.59 11.2145289443814 0 27.6595744680851 0 27.6595744680851 6.38297872340426 65.9574468085106 0 72.3404255319149 65.9574468085106 0.162 6.13333333333333E-02 0.138666666666667 0.114375 0.191132194978886 0.93 0.52 0.6 0.93 41.6666666666667 0.333333333333333 0 37.5 37.5 25 41.6666666666667 1.5 41.6666666666667 0 0 0 0 8.33333333333333E-02 1 2 0.5 1.16666666666667 0.25 0.25 0 0.166666666666667 0.75 2.75 1.75 1.75 20.8333333333333 45.8333333333333 33.3333333333333 43.3333333333333 1.41666666666667 68.6936936936937 13.5190342004999 31.3063063063063 0 0 0 0 0;</v>
      </c>
    </row>
    <row r="8" spans="1:87" x14ac:dyDescent="0.25">
      <c r="A8" s="12">
        <v>13</v>
      </c>
      <c r="B8" s="12">
        <v>0</v>
      </c>
      <c r="C8" s="12">
        <v>0</v>
      </c>
      <c r="D8" s="12">
        <v>0</v>
      </c>
      <c r="E8" s="12">
        <v>0</v>
      </c>
      <c r="F8" s="16">
        <v>15.9</v>
      </c>
      <c r="G8" s="16">
        <v>8.1</v>
      </c>
      <c r="H8" s="16">
        <v>9.74</v>
      </c>
      <c r="I8" s="16">
        <v>1054</v>
      </c>
      <c r="J8" s="16">
        <v>633</v>
      </c>
      <c r="K8" s="16">
        <v>599</v>
      </c>
      <c r="L8" s="16">
        <v>2286</v>
      </c>
      <c r="M8" s="16">
        <v>0</v>
      </c>
      <c r="N8" s="16">
        <v>4.8250000000000002</v>
      </c>
      <c r="O8" s="16">
        <v>2.3874999999999997</v>
      </c>
      <c r="P8" s="16">
        <v>3.7625000000000002</v>
      </c>
      <c r="Q8" s="16">
        <v>3.6583333333333332</v>
      </c>
      <c r="R8" s="16">
        <v>1.4946038203183285</v>
      </c>
      <c r="S8" s="16">
        <v>0.45466666666666661</v>
      </c>
      <c r="T8" s="16">
        <v>0.32999999999999996</v>
      </c>
      <c r="U8" s="16">
        <v>0.53374999999999995</v>
      </c>
      <c r="V8" s="16">
        <v>0.43937499999999996</v>
      </c>
      <c r="W8" s="16">
        <v>0.20857330265555374</v>
      </c>
      <c r="X8" s="16">
        <v>0.78</v>
      </c>
      <c r="Y8" s="16">
        <v>0.46</v>
      </c>
      <c r="Z8" s="16">
        <v>0.88</v>
      </c>
      <c r="AA8" s="16">
        <v>0.88</v>
      </c>
      <c r="AB8" s="16">
        <v>8.3262209577999062</v>
      </c>
      <c r="AC8" s="16">
        <v>0</v>
      </c>
      <c r="AD8" s="16">
        <v>37.5</v>
      </c>
      <c r="AE8" s="16">
        <v>6.25</v>
      </c>
      <c r="AF8" s="16">
        <v>43.75</v>
      </c>
      <c r="AG8" s="16">
        <v>6.25</v>
      </c>
      <c r="AH8" s="16">
        <v>50</v>
      </c>
      <c r="AI8" s="16">
        <v>0</v>
      </c>
      <c r="AJ8" s="16">
        <v>56.25</v>
      </c>
      <c r="AK8" s="16">
        <v>50</v>
      </c>
      <c r="AL8" s="16">
        <v>9.285714285714286E-2</v>
      </c>
      <c r="AM8" s="16">
        <v>0.28375</v>
      </c>
      <c r="AN8" s="16">
        <v>0.16375000000000001</v>
      </c>
      <c r="AO8" s="16">
        <v>0.16812499999999997</v>
      </c>
      <c r="AP8" s="16">
        <v>0.15432344542049217</v>
      </c>
      <c r="AQ8" s="16">
        <v>0.28999999999999998</v>
      </c>
      <c r="AR8" s="16">
        <v>0.43</v>
      </c>
      <c r="AS8" s="16">
        <v>0.6</v>
      </c>
      <c r="AT8" s="16">
        <v>0.6</v>
      </c>
      <c r="AU8" s="16">
        <v>25</v>
      </c>
      <c r="AV8" s="16">
        <v>0.29166666666666669</v>
      </c>
      <c r="AW8" s="16">
        <v>62.5</v>
      </c>
      <c r="AX8" s="16">
        <v>12.5</v>
      </c>
      <c r="AY8" s="16">
        <v>62.5</v>
      </c>
      <c r="AZ8" s="16">
        <v>45.833333333333329</v>
      </c>
      <c r="BA8" s="16">
        <v>37.5</v>
      </c>
      <c r="BB8" s="16">
        <v>0.75</v>
      </c>
      <c r="BC8" s="16">
        <v>16.666666666666664</v>
      </c>
      <c r="BD8" s="16">
        <v>0.75</v>
      </c>
      <c r="BE8" s="16">
        <v>0</v>
      </c>
      <c r="BF8" s="16">
        <v>0</v>
      </c>
      <c r="BG8" s="16">
        <v>0.25</v>
      </c>
      <c r="BH8" s="16">
        <v>0.95833333333333337</v>
      </c>
      <c r="BI8" s="16">
        <v>0.25</v>
      </c>
      <c r="BJ8" s="16">
        <v>0.5</v>
      </c>
      <c r="BK8" s="16">
        <v>0</v>
      </c>
      <c r="BL8" s="16">
        <v>0.25</v>
      </c>
      <c r="BM8" s="16">
        <v>0</v>
      </c>
      <c r="BN8" s="16">
        <v>0</v>
      </c>
      <c r="BO8" s="16">
        <v>0</v>
      </c>
      <c r="BP8" s="16">
        <v>0</v>
      </c>
      <c r="BQ8" s="16">
        <v>2.5</v>
      </c>
      <c r="BR8" s="16">
        <v>0</v>
      </c>
      <c r="BS8" s="16">
        <v>2.5</v>
      </c>
      <c r="BT8" s="16">
        <v>1.6666666666666667</v>
      </c>
      <c r="BU8" s="16">
        <v>0</v>
      </c>
      <c r="BV8" s="16">
        <v>83.333333333333343</v>
      </c>
      <c r="BW8" s="16">
        <v>16.666666666666664</v>
      </c>
      <c r="BX8" s="16">
        <v>44.375</v>
      </c>
      <c r="BY8" s="16">
        <v>2.7083333333333335</v>
      </c>
      <c r="BZ8" s="16">
        <v>37.537537537537538</v>
      </c>
      <c r="CA8" s="16">
        <v>15.665754786025248</v>
      </c>
      <c r="CB8" s="16">
        <v>62.462462462462462</v>
      </c>
      <c r="CC8" s="16">
        <v>0</v>
      </c>
      <c r="CD8" s="16">
        <v>0</v>
      </c>
      <c r="CE8" s="16">
        <v>0</v>
      </c>
      <c r="CF8" s="16">
        <v>0</v>
      </c>
      <c r="CG8" s="16">
        <v>0</v>
      </c>
      <c r="CI8" t="str">
        <f t="shared" si="0"/>
        <v>/*13*/ 000  1 15.9 8.1 9.74 1054 633 599 2286 0 4.825 2.3875 3.7625 3.65833333333333 1.49460382031833 0.454666666666667 0.33 0.53375 0.439375 0.208573302655554 0.78 0.46 0.88 0.88 8.32622095779991 0 37.5 6.25 43.75 6.25 50 0 56.25 50 9.28571428571429E-02 0.28375 0.16375 0.168125 0.154323445420492 0.29 0.43 0.6 0.6 25 0.291666666666667 62.5 12.5 62.5 45.8333333333333 37.5 0.75 16.6666666666667 0.75 0 0 0.25 0.958333333333333 0.25 0.5 0 0.25 0 0 0 0 2.5 0 2.5 1.66666666666667 0 83.3333333333333 16.6666666666667 44.375 2.70833333333333 37.5375375375375 15.6657547860252 62.4624624624625 0 0 0 0 0;</v>
      </c>
    </row>
    <row r="9" spans="1:87" x14ac:dyDescent="0.25">
      <c r="A9" s="12">
        <v>14</v>
      </c>
      <c r="B9" s="12">
        <v>0</v>
      </c>
      <c r="C9" s="12">
        <v>0</v>
      </c>
      <c r="D9" s="12">
        <v>0</v>
      </c>
      <c r="E9" s="12">
        <v>0</v>
      </c>
      <c r="F9" s="16">
        <v>13.4</v>
      </c>
      <c r="G9" s="16">
        <v>8.68</v>
      </c>
      <c r="H9" s="16">
        <v>11.84</v>
      </c>
      <c r="I9" s="16">
        <v>417</v>
      </c>
      <c r="J9" s="16">
        <v>429</v>
      </c>
      <c r="K9" s="16">
        <v>199</v>
      </c>
      <c r="L9" s="16">
        <v>1045</v>
      </c>
      <c r="M9" s="16">
        <v>0.11483253588516745</v>
      </c>
      <c r="N9" s="16">
        <v>2.5874999999999995</v>
      </c>
      <c r="O9" s="16">
        <v>2.8124999999999996</v>
      </c>
      <c r="P9" s="16">
        <v>2.3250000000000002</v>
      </c>
      <c r="Q9" s="16">
        <v>2.5749999999999997</v>
      </c>
      <c r="R9" s="16">
        <v>0.71032754232910322</v>
      </c>
      <c r="S9" s="16">
        <v>0.18625000000000003</v>
      </c>
      <c r="T9" s="16">
        <v>0.35562500000000002</v>
      </c>
      <c r="U9" s="16">
        <v>0.17466666666666666</v>
      </c>
      <c r="V9" s="16">
        <v>0.24021276595744684</v>
      </c>
      <c r="W9" s="16">
        <v>0.15973468983860495</v>
      </c>
      <c r="X9" s="16">
        <v>0.36</v>
      </c>
      <c r="Y9" s="16">
        <v>0.62</v>
      </c>
      <c r="Z9" s="16">
        <v>0.28000000000000003</v>
      </c>
      <c r="AA9" s="16">
        <v>0.62</v>
      </c>
      <c r="AB9" s="16">
        <v>10.719663418954825</v>
      </c>
      <c r="AC9" s="16">
        <v>8.695652173913043</v>
      </c>
      <c r="AD9" s="16">
        <v>4.3478260869565215</v>
      </c>
      <c r="AE9" s="16">
        <v>34.782608695652172</v>
      </c>
      <c r="AF9" s="16">
        <v>47.826086956521735</v>
      </c>
      <c r="AG9" s="16">
        <v>23.913043478260871</v>
      </c>
      <c r="AH9" s="16">
        <v>28.260869565217391</v>
      </c>
      <c r="AI9" s="16">
        <v>0</v>
      </c>
      <c r="AJ9" s="16">
        <v>52.173913043478265</v>
      </c>
      <c r="AK9" s="16">
        <v>34.782608695652172</v>
      </c>
      <c r="AL9" s="16">
        <v>0.32874999999999999</v>
      </c>
      <c r="AM9" s="16">
        <v>0.18125000000000002</v>
      </c>
      <c r="AN9" s="16">
        <v>0.21799999999999997</v>
      </c>
      <c r="AO9" s="16">
        <v>0.24319148936170212</v>
      </c>
      <c r="AP9" s="16">
        <v>0.1472221979803601</v>
      </c>
      <c r="AQ9" s="16">
        <v>0.74</v>
      </c>
      <c r="AR9" s="16">
        <v>0.53</v>
      </c>
      <c r="AS9" s="16">
        <v>0.42</v>
      </c>
      <c r="AT9" s="16">
        <v>0.74</v>
      </c>
      <c r="AU9" s="16">
        <v>29.166666666666668</v>
      </c>
      <c r="AV9" s="16">
        <v>0.58333333333333337</v>
      </c>
      <c r="AW9" s="16">
        <v>0</v>
      </c>
      <c r="AX9" s="16">
        <v>37.5</v>
      </c>
      <c r="AY9" s="16">
        <v>0</v>
      </c>
      <c r="AZ9" s="16">
        <v>12.5</v>
      </c>
      <c r="BA9" s="16">
        <v>58.333333333333336</v>
      </c>
      <c r="BB9" s="16">
        <v>0.75</v>
      </c>
      <c r="BC9" s="16">
        <v>25</v>
      </c>
      <c r="BD9" s="16">
        <v>0</v>
      </c>
      <c r="BE9" s="16">
        <v>0</v>
      </c>
      <c r="BF9" s="16">
        <v>0</v>
      </c>
      <c r="BG9" s="16">
        <v>0</v>
      </c>
      <c r="BH9" s="16">
        <v>0.58333333333333337</v>
      </c>
      <c r="BI9" s="16">
        <v>0</v>
      </c>
      <c r="BJ9" s="16">
        <v>0.5</v>
      </c>
      <c r="BK9" s="16">
        <v>0.5</v>
      </c>
      <c r="BL9" s="16">
        <v>0.33333333333333331</v>
      </c>
      <c r="BM9" s="16">
        <v>0.25</v>
      </c>
      <c r="BN9" s="16">
        <v>0</v>
      </c>
      <c r="BO9" s="16">
        <v>0</v>
      </c>
      <c r="BP9" s="16">
        <v>8.3333333333333329E-2</v>
      </c>
      <c r="BQ9" s="16">
        <v>0.25</v>
      </c>
      <c r="BR9" s="16">
        <v>2.25</v>
      </c>
      <c r="BS9" s="16">
        <v>0</v>
      </c>
      <c r="BT9" s="16">
        <v>0.83333333333333337</v>
      </c>
      <c r="BU9" s="16">
        <v>12.5</v>
      </c>
      <c r="BV9" s="16">
        <v>75</v>
      </c>
      <c r="BW9" s="16">
        <v>12.5</v>
      </c>
      <c r="BX9" s="16">
        <v>36.875</v>
      </c>
      <c r="BY9" s="16">
        <v>0.58333333333333337</v>
      </c>
      <c r="BZ9" s="16">
        <v>81.681681681681681</v>
      </c>
      <c r="CA9" s="16">
        <v>12.106930980962009</v>
      </c>
      <c r="CB9" s="16">
        <v>18.318318318318319</v>
      </c>
      <c r="CC9" s="16">
        <v>0</v>
      </c>
      <c r="CD9" s="16">
        <v>0</v>
      </c>
      <c r="CE9" s="16">
        <v>0</v>
      </c>
      <c r="CF9" s="16">
        <v>0</v>
      </c>
      <c r="CG9" s="16">
        <v>0</v>
      </c>
      <c r="CI9" t="str">
        <f t="shared" si="0"/>
        <v>/*14*/ 000  1 13.4 8.68 11.84 417 429 199 1045 0.114832535885167 2.5875 2.8125 2.325 2.575 0.710327542329103 0.18625 0.355625 0.174666666666667 0.240212765957447 0.159734689838605 0.36 0.62 0.28 0.62 10.7196634189548 8.69565217391304 4.34782608695652 34.7826086956522 47.8260869565217 23.9130434782609 28.2608695652174 0 52.1739130434783 34.7826086956522 0.32875 0.18125 0.218 0.243191489361702 0.14722219798036 0.74 0.53 0.42 0.74 29.1666666666667 0.583333333333333 0 37.5 0 12.5 58.3333333333333 0.75 25 0 0 0 0 0.583333333333333 0 0.5 0.5 0.333333333333333 0.25 0 0 8.33333333333333E-02 0.25 2.25 0 0.833333333333333 12.5 75 12.5 36.875 0.583333333333333 81.6816816816817 12.106930980962 18.3183183183183 0 0 0 0 0;</v>
      </c>
    </row>
    <row r="10" spans="1:87" x14ac:dyDescent="0.25">
      <c r="A10" s="12">
        <v>16</v>
      </c>
      <c r="B10" s="12">
        <v>0</v>
      </c>
      <c r="C10" s="12">
        <v>0</v>
      </c>
      <c r="D10" s="12">
        <v>0</v>
      </c>
      <c r="E10" s="12">
        <v>0</v>
      </c>
      <c r="F10" s="16">
        <v>14.6</v>
      </c>
      <c r="G10" s="16">
        <v>8.06</v>
      </c>
      <c r="H10" s="16">
        <v>10.55</v>
      </c>
      <c r="I10" s="16">
        <v>518</v>
      </c>
      <c r="J10" s="16">
        <v>323</v>
      </c>
      <c r="K10" s="16">
        <v>317</v>
      </c>
      <c r="L10" s="16">
        <v>1158</v>
      </c>
      <c r="M10" s="16">
        <v>0</v>
      </c>
      <c r="N10" s="16">
        <v>1.8124999999999998</v>
      </c>
      <c r="O10" s="16">
        <v>1.5750000000000002</v>
      </c>
      <c r="P10" s="16">
        <v>1.2250000000000001</v>
      </c>
      <c r="Q10" s="16">
        <v>1.5374999999999996</v>
      </c>
      <c r="R10" s="16">
        <v>0.61982641328737864</v>
      </c>
      <c r="S10" s="16">
        <v>0.26666666666666666</v>
      </c>
      <c r="T10" s="16">
        <v>0.3033333333333334</v>
      </c>
      <c r="U10" s="16">
        <v>0.27666666666666667</v>
      </c>
      <c r="V10" s="16">
        <v>0.28222222222222215</v>
      </c>
      <c r="W10" s="16">
        <v>0.10709438056782623</v>
      </c>
      <c r="X10" s="16">
        <v>0.42</v>
      </c>
      <c r="Y10" s="16">
        <v>0.5</v>
      </c>
      <c r="Z10" s="16">
        <v>0.44</v>
      </c>
      <c r="AA10" s="16">
        <v>0.5</v>
      </c>
      <c r="AB10" s="16">
        <v>5.4478346456692917</v>
      </c>
      <c r="AC10" s="16">
        <v>0</v>
      </c>
      <c r="AD10" s="16">
        <v>61.111111111111114</v>
      </c>
      <c r="AE10" s="16">
        <v>0</v>
      </c>
      <c r="AF10" s="16">
        <v>61.111111111111114</v>
      </c>
      <c r="AG10" s="16">
        <v>2.7777777777777777</v>
      </c>
      <c r="AH10" s="16">
        <v>36.111111111111107</v>
      </c>
      <c r="AI10" s="16">
        <v>0</v>
      </c>
      <c r="AJ10" s="16">
        <v>38.888888888888886</v>
      </c>
      <c r="AK10" s="16">
        <v>61.111111111111114</v>
      </c>
      <c r="AL10" s="16">
        <v>0.26181818181818178</v>
      </c>
      <c r="AM10" s="16">
        <v>0.20454545454545456</v>
      </c>
      <c r="AN10" s="16">
        <v>0.24181818181818182</v>
      </c>
      <c r="AO10" s="16">
        <v>0.22999999999999998</v>
      </c>
      <c r="AP10" s="16">
        <v>0.15693492736982245</v>
      </c>
      <c r="AQ10" s="16">
        <v>0.61</v>
      </c>
      <c r="AR10" s="16">
        <v>0.54</v>
      </c>
      <c r="AS10" s="16">
        <v>0.46</v>
      </c>
      <c r="AT10" s="16">
        <v>0.61</v>
      </c>
      <c r="AU10" s="16">
        <v>12.5</v>
      </c>
      <c r="AV10" s="16">
        <v>0.83333333333333337</v>
      </c>
      <c r="AW10" s="16">
        <v>12.5</v>
      </c>
      <c r="AX10" s="16">
        <v>0</v>
      </c>
      <c r="AY10" s="16">
        <v>0</v>
      </c>
      <c r="AZ10" s="16">
        <v>4.1666666666666661</v>
      </c>
      <c r="BA10" s="16">
        <v>83.333333333333343</v>
      </c>
      <c r="BB10" s="16">
        <v>1.3333333333333333</v>
      </c>
      <c r="BC10" s="16">
        <v>33.333333333333329</v>
      </c>
      <c r="BD10" s="16">
        <v>0.125</v>
      </c>
      <c r="BE10" s="16">
        <v>0</v>
      </c>
      <c r="BF10" s="16">
        <v>0</v>
      </c>
      <c r="BG10" s="16">
        <v>4.1666666666666664E-2</v>
      </c>
      <c r="BH10" s="16">
        <v>4.1666666666666664E-2</v>
      </c>
      <c r="BI10" s="16">
        <v>0.5</v>
      </c>
      <c r="BJ10" s="16">
        <v>0.25</v>
      </c>
      <c r="BK10" s="16">
        <v>0.5</v>
      </c>
      <c r="BL10" s="16">
        <v>0.41666666666666669</v>
      </c>
      <c r="BM10" s="16">
        <v>0</v>
      </c>
      <c r="BN10" s="16">
        <v>0</v>
      </c>
      <c r="BO10" s="16">
        <v>0</v>
      </c>
      <c r="BP10" s="16">
        <v>0</v>
      </c>
      <c r="BQ10" s="16">
        <v>0.75</v>
      </c>
      <c r="BR10" s="16">
        <v>0.5</v>
      </c>
      <c r="BS10" s="16">
        <v>0</v>
      </c>
      <c r="BT10" s="16">
        <v>0.41666666666666669</v>
      </c>
      <c r="BU10" s="16">
        <v>20.833333333333336</v>
      </c>
      <c r="BV10" s="16">
        <v>29.166666666666668</v>
      </c>
      <c r="BW10" s="16">
        <v>50</v>
      </c>
      <c r="BX10" s="16">
        <v>49.375</v>
      </c>
      <c r="BY10" s="16">
        <v>1.375</v>
      </c>
      <c r="BZ10" s="16">
        <v>78.571428571428584</v>
      </c>
      <c r="CA10" s="16">
        <v>15.755166604173841</v>
      </c>
      <c r="CB10" s="16">
        <v>21.428571428571416</v>
      </c>
      <c r="CC10" s="16">
        <v>0</v>
      </c>
      <c r="CD10" s="16">
        <v>0</v>
      </c>
      <c r="CE10" s="16">
        <v>0</v>
      </c>
      <c r="CF10" s="16">
        <v>0</v>
      </c>
      <c r="CG10" s="16">
        <v>0</v>
      </c>
      <c r="CI10" t="str">
        <f t="shared" si="0"/>
        <v>/*16*/ 000  1 14.6 8.06 10.55 518 323 317 1158 0 1.8125 1.575 1.225 1.5375 0.619826413287379 0.266666666666667 0.303333333333333 0.276666666666667 0.282222222222222 0.107094380567826 0.42 0.5 0.44 0.5 5.44783464566929 0 61.1111111111111 0 61.1111111111111 2.77777777777778 36.1111111111111 0 38.8888888888889 61.1111111111111 0.261818181818182 0.204545454545455 0.241818181818182 0.23 0.156934927369822 0.61 0.54 0.46 0.61 12.5 0.833333333333333 12.5 0 0 4.16666666666667 83.3333333333333 1.33333333333333 33.3333333333333 0.125 0 0 4.16666666666667E-02 4.16666666666667E-02 0.5 0.25 0.5 0.416666666666667 0 0 0 0 0.75 0.5 0 0.416666666666667 20.8333333333333 29.1666666666667 50 49.375 1.375 78.5714285714286 15.7551666041738 21.4285714285714 0 0 0 0 0;</v>
      </c>
    </row>
    <row r="11" spans="1:87" x14ac:dyDescent="0.25">
      <c r="A11" s="12">
        <v>18</v>
      </c>
      <c r="B11" s="12">
        <v>0</v>
      </c>
      <c r="C11" s="12">
        <v>0</v>
      </c>
      <c r="D11" s="12">
        <v>0</v>
      </c>
      <c r="E11" s="12">
        <v>0</v>
      </c>
      <c r="F11" s="16">
        <v>15.6</v>
      </c>
      <c r="G11" s="16">
        <v>8.85</v>
      </c>
      <c r="H11" s="16">
        <v>14.3</v>
      </c>
      <c r="I11" s="16">
        <v>781</v>
      </c>
      <c r="J11" s="16">
        <v>739</v>
      </c>
      <c r="K11" s="16">
        <v>531</v>
      </c>
      <c r="L11" s="16">
        <v>2051</v>
      </c>
      <c r="M11" s="16">
        <v>5.8508044856167715E-2</v>
      </c>
      <c r="N11" s="16">
        <v>2.9874999999999998</v>
      </c>
      <c r="O11" s="16">
        <v>2.7374999999999998</v>
      </c>
      <c r="P11" s="16">
        <v>2.9750000000000001</v>
      </c>
      <c r="Q11" s="16">
        <v>2.9</v>
      </c>
      <c r="R11" s="16">
        <v>0.69968937207256943</v>
      </c>
      <c r="S11" s="16">
        <v>0.15062500000000004</v>
      </c>
      <c r="T11" s="16">
        <v>0.14250000000000002</v>
      </c>
      <c r="U11" s="16">
        <v>0.18437500000000001</v>
      </c>
      <c r="V11" s="16">
        <v>0.15916666666666668</v>
      </c>
      <c r="W11" s="16">
        <v>0.10006026552827378</v>
      </c>
      <c r="X11" s="16">
        <v>0.44</v>
      </c>
      <c r="Y11" s="16">
        <v>0.44</v>
      </c>
      <c r="Z11" s="16">
        <v>0.32</v>
      </c>
      <c r="AA11" s="16">
        <v>0.44</v>
      </c>
      <c r="AB11" s="16">
        <v>18.219895287958114</v>
      </c>
      <c r="AC11" s="16">
        <v>0</v>
      </c>
      <c r="AD11" s="16">
        <v>47.916666666666671</v>
      </c>
      <c r="AE11" s="16">
        <v>2.083333333333333</v>
      </c>
      <c r="AF11" s="16">
        <v>50.000000000000007</v>
      </c>
      <c r="AG11" s="16">
        <v>4.1666666666666661</v>
      </c>
      <c r="AH11" s="16">
        <v>43.75</v>
      </c>
      <c r="AI11" s="16">
        <v>2.083333333333333</v>
      </c>
      <c r="AJ11" s="16">
        <v>50</v>
      </c>
      <c r="AK11" s="16">
        <v>47.916666666666671</v>
      </c>
      <c r="AL11" s="16">
        <v>4.9375000000000002E-2</v>
      </c>
      <c r="AM11" s="16">
        <v>0.138125</v>
      </c>
      <c r="AN11" s="16">
        <v>1.1875E-2</v>
      </c>
      <c r="AO11" s="16">
        <v>6.6458333333333314E-2</v>
      </c>
      <c r="AP11" s="16">
        <v>0.12298572107627975</v>
      </c>
      <c r="AQ11" s="16">
        <v>0.25</v>
      </c>
      <c r="AR11" s="16">
        <v>0.61</v>
      </c>
      <c r="AS11" s="16">
        <v>0.05</v>
      </c>
      <c r="AT11" s="16">
        <v>0.61</v>
      </c>
      <c r="AU11" s="16">
        <v>29.166666666666668</v>
      </c>
      <c r="AV11" s="16">
        <v>0.125</v>
      </c>
      <c r="AW11" s="16">
        <v>50</v>
      </c>
      <c r="AX11" s="16">
        <v>37.5</v>
      </c>
      <c r="AY11" s="16">
        <v>87.5</v>
      </c>
      <c r="AZ11" s="16">
        <v>58.333333333333336</v>
      </c>
      <c r="BA11" s="16">
        <v>58.333333333333336</v>
      </c>
      <c r="BB11" s="16">
        <v>0.66666666666666663</v>
      </c>
      <c r="BC11" s="16">
        <v>25</v>
      </c>
      <c r="BD11" s="16">
        <v>0.5</v>
      </c>
      <c r="BE11" s="16">
        <v>0.125</v>
      </c>
      <c r="BF11" s="16">
        <v>0</v>
      </c>
      <c r="BG11" s="16">
        <v>0.20833333333333334</v>
      </c>
      <c r="BH11" s="16">
        <v>0.45833333333333331</v>
      </c>
      <c r="BI11" s="16">
        <v>0.25</v>
      </c>
      <c r="BJ11" s="16">
        <v>0</v>
      </c>
      <c r="BK11" s="16">
        <v>0</v>
      </c>
      <c r="BL11" s="16">
        <v>8.3333333333333329E-2</v>
      </c>
      <c r="BM11" s="16">
        <v>1.25</v>
      </c>
      <c r="BN11" s="16">
        <v>1.5</v>
      </c>
      <c r="BO11" s="16">
        <v>0</v>
      </c>
      <c r="BP11" s="16">
        <v>0.91666666666666663</v>
      </c>
      <c r="BQ11" s="16">
        <v>2.5</v>
      </c>
      <c r="BR11" s="16">
        <v>1.5</v>
      </c>
      <c r="BS11" s="16">
        <v>4</v>
      </c>
      <c r="BT11" s="16">
        <v>2.6666666666666665</v>
      </c>
      <c r="BU11" s="16">
        <v>20.833333333333336</v>
      </c>
      <c r="BV11" s="16">
        <v>70.833333333333343</v>
      </c>
      <c r="BW11" s="16">
        <v>8.3333333333333321</v>
      </c>
      <c r="BX11" s="16">
        <v>29.791666666666668</v>
      </c>
      <c r="BY11" s="16">
        <v>1.625</v>
      </c>
      <c r="BZ11" s="16">
        <v>33.258258258258252</v>
      </c>
      <c r="CA11" s="16">
        <v>14.392099905244534</v>
      </c>
      <c r="CB11" s="16">
        <v>66.741741741741748</v>
      </c>
      <c r="CC11" s="16">
        <v>0</v>
      </c>
      <c r="CD11" s="16">
        <v>0</v>
      </c>
      <c r="CE11" s="16">
        <v>0</v>
      </c>
      <c r="CF11" s="16">
        <v>0</v>
      </c>
      <c r="CG11" s="16">
        <v>0</v>
      </c>
      <c r="CI11" t="str">
        <f t="shared" si="0"/>
        <v>/*18*/ 000  1 15.6 8.85 14.3 781 739 531 2051 5.85080448561677E-02 2.9875 2.7375 2.975 2.9 0.699689372072569 0.150625 0.1425 0.184375 0.159166666666667 0.100060265528274 0.44 0.44 0.32 0.44 18.2198952879581 0 47.9166666666667 2.08333333333333 50 4.16666666666667 43.75 2.08333333333333 50 47.9166666666667 0.049375 0.138125 0.011875 6.64583333333333E-02 0.12298572107628 0.25 0.61 0.05 0.61 29.1666666666667 0.125 50 37.5 87.5 58.3333333333333 58.3333333333333 0.666666666666667 25 0.5 0.125 0 0.208333333333333 0.458333333333333 0.25 0 0 8.33333333333333E-02 1.25 1.5 0 0.916666666666667 2.5 1.5 4 2.66666666666667 20.8333333333333 70.8333333333333 8.33333333333333 29.7916666666667 1.625 33.2582582582583 14.3920999052445 66.7417417417417 0 0 0 0 0;</v>
      </c>
    </row>
    <row r="12" spans="1:87" x14ac:dyDescent="0.25">
      <c r="A12" s="12">
        <v>22</v>
      </c>
      <c r="B12" s="12">
        <v>0</v>
      </c>
      <c r="C12" s="12">
        <v>0</v>
      </c>
      <c r="D12" s="12">
        <v>0</v>
      </c>
      <c r="E12" s="12">
        <v>0</v>
      </c>
      <c r="F12" s="16">
        <v>16.600000000000001</v>
      </c>
      <c r="G12" s="16">
        <v>8.1999999999999993</v>
      </c>
      <c r="H12" s="16">
        <v>10.63</v>
      </c>
      <c r="I12" s="16">
        <v>334</v>
      </c>
      <c r="J12" s="16">
        <v>547</v>
      </c>
      <c r="K12" s="16">
        <v>317</v>
      </c>
      <c r="L12" s="16">
        <v>1198</v>
      </c>
      <c r="M12" s="16">
        <v>2.0534223706176959</v>
      </c>
      <c r="N12" s="16">
        <v>1.9125000000000001</v>
      </c>
      <c r="O12" s="16">
        <v>2.4500000000000002</v>
      </c>
      <c r="P12" s="16">
        <v>2.1875</v>
      </c>
      <c r="Q12" s="16">
        <v>2.1833333333333331</v>
      </c>
      <c r="R12" s="16">
        <v>0.4478612621615411</v>
      </c>
      <c r="S12" s="16">
        <v>0.21000000000000002</v>
      </c>
      <c r="T12" s="16">
        <v>0.24909090909090906</v>
      </c>
      <c r="U12" s="16">
        <v>0.32300000000000001</v>
      </c>
      <c r="V12" s="16">
        <v>0.26032258064516128</v>
      </c>
      <c r="W12" s="16">
        <v>9.9815959678057495E-2</v>
      </c>
      <c r="X12" s="16">
        <v>0.28000000000000003</v>
      </c>
      <c r="Y12" s="16">
        <v>0.52</v>
      </c>
      <c r="Z12" s="16">
        <v>0.46</v>
      </c>
      <c r="AA12" s="16">
        <v>0.52</v>
      </c>
      <c r="AB12" s="16">
        <v>8.3870301528294089</v>
      </c>
      <c r="AC12" s="16">
        <v>0</v>
      </c>
      <c r="AD12" s="16">
        <v>22.58064516129032</v>
      </c>
      <c r="AE12" s="16">
        <v>9.67741935483871</v>
      </c>
      <c r="AF12" s="16">
        <v>32.258064516129032</v>
      </c>
      <c r="AG12" s="16">
        <v>25.806451612903224</v>
      </c>
      <c r="AH12" s="16">
        <v>41.935483870967744</v>
      </c>
      <c r="AI12" s="16">
        <v>0</v>
      </c>
      <c r="AJ12" s="16">
        <v>67.741935483870975</v>
      </c>
      <c r="AK12" s="16">
        <v>41.935483870967744</v>
      </c>
      <c r="AL12" s="16">
        <v>0.36888888888888888</v>
      </c>
      <c r="AM12" s="16">
        <v>0.28300000000000003</v>
      </c>
      <c r="AN12" s="16">
        <v>0.19222222222222218</v>
      </c>
      <c r="AO12" s="16">
        <v>0.26838709677419342</v>
      </c>
      <c r="AP12" s="16">
        <v>0.15684592809917122</v>
      </c>
      <c r="AQ12" s="16">
        <v>0.6</v>
      </c>
      <c r="AR12" s="16">
        <v>0.72</v>
      </c>
      <c r="AS12" s="16">
        <v>0.36</v>
      </c>
      <c r="AT12" s="16">
        <v>0.72</v>
      </c>
      <c r="AU12" s="16">
        <v>37.5</v>
      </c>
      <c r="AV12" s="16">
        <v>0.45833333333333331</v>
      </c>
      <c r="AW12" s="16">
        <v>0</v>
      </c>
      <c r="AX12" s="16">
        <v>12.5</v>
      </c>
      <c r="AY12" s="16">
        <v>37.5</v>
      </c>
      <c r="AZ12" s="16">
        <v>16.666666666666664</v>
      </c>
      <c r="BA12" s="16">
        <v>45.833333333333329</v>
      </c>
      <c r="BB12" s="16">
        <v>0.83333333333333337</v>
      </c>
      <c r="BC12" s="16">
        <v>25</v>
      </c>
      <c r="BD12" s="16">
        <v>0.375</v>
      </c>
      <c r="BE12" s="16">
        <v>0.125</v>
      </c>
      <c r="BF12" s="16">
        <v>0</v>
      </c>
      <c r="BG12" s="16">
        <v>0.16666666666666666</v>
      </c>
      <c r="BH12" s="16">
        <v>0.25</v>
      </c>
      <c r="BI12" s="16">
        <v>1.5</v>
      </c>
      <c r="BJ12" s="16">
        <v>1.25</v>
      </c>
      <c r="BK12" s="16">
        <v>1.5</v>
      </c>
      <c r="BL12" s="16">
        <v>1.4166666666666667</v>
      </c>
      <c r="BM12" s="16">
        <v>0</v>
      </c>
      <c r="BN12" s="16">
        <v>0</v>
      </c>
      <c r="BO12" s="16">
        <v>0.5</v>
      </c>
      <c r="BP12" s="16">
        <v>0.16666666666666666</v>
      </c>
      <c r="BQ12" s="16">
        <v>0</v>
      </c>
      <c r="BR12" s="16">
        <v>0</v>
      </c>
      <c r="BS12" s="16">
        <v>0.5</v>
      </c>
      <c r="BT12" s="16">
        <v>0.16666666666666666</v>
      </c>
      <c r="BU12" s="16">
        <v>0</v>
      </c>
      <c r="BV12" s="16">
        <v>95.833333333333343</v>
      </c>
      <c r="BW12" s="16">
        <v>4.1666666666666661</v>
      </c>
      <c r="BX12" s="16">
        <v>40</v>
      </c>
      <c r="BY12" s="16">
        <v>0.79166666666666663</v>
      </c>
      <c r="BZ12" s="16">
        <v>96.396396396396383</v>
      </c>
      <c r="CA12" s="16">
        <v>2.9949452365105058</v>
      </c>
      <c r="CB12" s="16">
        <v>3.6036036036036165</v>
      </c>
      <c r="CC12" s="16">
        <v>0</v>
      </c>
      <c r="CD12" s="16">
        <v>0</v>
      </c>
      <c r="CE12" s="16">
        <v>0</v>
      </c>
      <c r="CF12" s="16">
        <v>0</v>
      </c>
      <c r="CG12" s="16">
        <v>0</v>
      </c>
      <c r="CI12" t="str">
        <f t="shared" si="0"/>
        <v>/*22*/ 000  1 16.6 8.2 10.63 334 547 317 1198 2.0534223706177 1.9125 2.45 2.1875 2.18333333333333 0.447861262161541 0.21 0.249090909090909 0.323 0.260322580645161 9.98159596780575E-02 0.28 0.52 0.46 0.52 8.38703015282941 0 22.5806451612903 9.67741935483871 32.258064516129 25.8064516129032 41.9354838709677 0 67.741935483871 41.9354838709677 0.368888888888889 0.283 0.192222222222222 0.268387096774193 0.156845928099171 0.6 0.72 0.36 0.72 37.5 0.458333333333333 0 12.5 37.5 16.6666666666667 45.8333333333333 0.833333333333333 25 0.375 0.125 0 0.166666666666667 0.25 1.5 1.25 1.5 1.41666666666667 0 0 0.5 0.166666666666667 0 0 0.5 0.166666666666667 0 95.8333333333333 4.16666666666667 40 0.791666666666667 96.3963963963964 2.99494523651051 3.60360360360362 0 0 0 0 0;</v>
      </c>
    </row>
    <row r="13" spans="1:87" x14ac:dyDescent="0.25">
      <c r="A13" s="12">
        <v>26</v>
      </c>
      <c r="B13" s="12">
        <v>0</v>
      </c>
      <c r="C13" s="12">
        <v>0</v>
      </c>
      <c r="D13" s="12">
        <v>0</v>
      </c>
      <c r="E13" s="12">
        <v>0</v>
      </c>
      <c r="F13" s="16">
        <v>18.899999999999999</v>
      </c>
      <c r="G13" s="16">
        <v>8.8800000000000008</v>
      </c>
      <c r="H13" s="16">
        <v>10.58</v>
      </c>
      <c r="I13" s="16">
        <v>2375</v>
      </c>
      <c r="J13" s="16">
        <v>2435</v>
      </c>
      <c r="K13" s="16">
        <v>2405</v>
      </c>
      <c r="L13" s="16">
        <v>7215</v>
      </c>
      <c r="M13" s="16">
        <v>3.3264033264033259E-2</v>
      </c>
      <c r="N13" s="16">
        <v>6.0124999999999993</v>
      </c>
      <c r="O13" s="16">
        <v>4.9249999999999998</v>
      </c>
      <c r="P13" s="16">
        <v>6.2500000000000009</v>
      </c>
      <c r="Q13" s="16">
        <v>5.7291666666666679</v>
      </c>
      <c r="R13" s="16">
        <v>1.8359878674096277</v>
      </c>
      <c r="S13" s="16">
        <v>0.24812500000000001</v>
      </c>
      <c r="T13" s="16">
        <v>0.33875000000000005</v>
      </c>
      <c r="U13" s="16">
        <v>0.25750000000000001</v>
      </c>
      <c r="V13" s="16">
        <v>0.28145833333333337</v>
      </c>
      <c r="W13" s="16">
        <v>0.22884529368050435</v>
      </c>
      <c r="X13" s="16">
        <v>0.54</v>
      </c>
      <c r="Y13" s="16">
        <v>1.5</v>
      </c>
      <c r="Z13" s="16">
        <v>0.48</v>
      </c>
      <c r="AA13" s="16">
        <v>1.5</v>
      </c>
      <c r="AB13" s="16">
        <v>20.355292376017765</v>
      </c>
      <c r="AC13" s="16">
        <v>0</v>
      </c>
      <c r="AD13" s="16">
        <v>20.833333333333336</v>
      </c>
      <c r="AE13" s="16">
        <v>0</v>
      </c>
      <c r="AF13" s="16">
        <v>20.833333333333336</v>
      </c>
      <c r="AG13" s="16">
        <v>0</v>
      </c>
      <c r="AH13" s="16">
        <v>77.083333333333343</v>
      </c>
      <c r="AI13" s="16">
        <v>2.083333333333333</v>
      </c>
      <c r="AJ13" s="16">
        <v>79.166666666666671</v>
      </c>
      <c r="AK13" s="16">
        <v>77.083333333333343</v>
      </c>
      <c r="AL13" s="16">
        <v>0.33562500000000001</v>
      </c>
      <c r="AM13" s="16">
        <v>0.46249999999999997</v>
      </c>
      <c r="AN13" s="16">
        <v>0.330625</v>
      </c>
      <c r="AO13" s="16">
        <v>0.37625000000000003</v>
      </c>
      <c r="AP13" s="16">
        <v>0.33540464605569292</v>
      </c>
      <c r="AQ13" s="16">
        <v>0.72</v>
      </c>
      <c r="AR13" s="16">
        <v>1.34</v>
      </c>
      <c r="AS13" s="16">
        <v>1.2</v>
      </c>
      <c r="AT13" s="16">
        <v>1.34</v>
      </c>
      <c r="AU13" s="16">
        <v>29.166666666666668</v>
      </c>
      <c r="AV13" s="16">
        <v>0.35</v>
      </c>
      <c r="AW13" s="16">
        <v>12.5</v>
      </c>
      <c r="AX13" s="16">
        <v>25</v>
      </c>
      <c r="AY13" s="16">
        <v>37.5</v>
      </c>
      <c r="AZ13" s="16">
        <v>25</v>
      </c>
      <c r="BA13" s="16">
        <v>29.166666666666668</v>
      </c>
      <c r="BB13" s="16">
        <v>0.83333333333333337</v>
      </c>
      <c r="BC13" s="16">
        <v>16.666666666666664</v>
      </c>
      <c r="BD13" s="16">
        <v>0.125</v>
      </c>
      <c r="BE13" s="16">
        <v>0.25</v>
      </c>
      <c r="BF13" s="16">
        <v>0.125</v>
      </c>
      <c r="BG13" s="16">
        <v>0.16666666666666666</v>
      </c>
      <c r="BH13" s="16">
        <v>0.54166666666666663</v>
      </c>
      <c r="BI13" s="16">
        <v>0</v>
      </c>
      <c r="BJ13" s="16">
        <v>0</v>
      </c>
      <c r="BK13" s="16">
        <v>0.5</v>
      </c>
      <c r="BL13" s="16">
        <v>0.16666666666666666</v>
      </c>
      <c r="BM13" s="16">
        <v>1</v>
      </c>
      <c r="BN13" s="16">
        <v>0</v>
      </c>
      <c r="BO13" s="16">
        <v>0</v>
      </c>
      <c r="BP13" s="16">
        <v>0.33333333333333331</v>
      </c>
      <c r="BQ13" s="16">
        <v>0.75</v>
      </c>
      <c r="BR13" s="16">
        <v>1.25</v>
      </c>
      <c r="BS13" s="16">
        <v>1</v>
      </c>
      <c r="BT13" s="16">
        <v>1</v>
      </c>
      <c r="BU13" s="16">
        <v>50</v>
      </c>
      <c r="BV13" s="16">
        <v>41.666666666666671</v>
      </c>
      <c r="BW13" s="16">
        <v>8.3333333333333321</v>
      </c>
      <c r="BX13" s="16">
        <v>21.833333333333332</v>
      </c>
      <c r="BY13" s="16">
        <v>0.91666666666666663</v>
      </c>
      <c r="BZ13" s="16">
        <v>41.516516516516518</v>
      </c>
      <c r="CA13" s="16">
        <v>14.483789515529377</v>
      </c>
      <c r="CB13" s="16">
        <v>58.483483483483482</v>
      </c>
      <c r="CC13" s="16">
        <v>0</v>
      </c>
      <c r="CD13" s="16">
        <v>0</v>
      </c>
      <c r="CE13" s="16">
        <v>0</v>
      </c>
      <c r="CF13" s="16">
        <v>0</v>
      </c>
      <c r="CG13" s="16">
        <v>0</v>
      </c>
      <c r="CI13" t="str">
        <f t="shared" si="0"/>
        <v>/*26*/ 000  1 18.9 8.88 10.58 2375 2435 2405 7215 3.32640332640333E-02 6.0125 4.925 6.25 5.72916666666667 1.83598786740963 0.248125 0.33875 0.2575 0.281458333333333 0.228845293680504 0.54 1.5 0.48 1.5 20.3552923760178 0 20.8333333333333 0 20.8333333333333 0 77.0833333333333 2.08333333333333 79.1666666666667 77.0833333333333 0.335625 0.4625 0.330625 0.37625 0.335404646055693 0.72 1.34 1.2 1.34 29.1666666666667 0.35 12.5 25 37.5 25 29.1666666666667 0.833333333333333 16.6666666666667 0.125 0.25 0.125 0.166666666666667 0.541666666666667 0 0 0.5 0.166666666666667 1 0 0 0.333333333333333 0.75 1.25 1 1 50 41.6666666666667 8.33333333333333 21.8333333333333 0.916666666666667 41.5165165165165 14.4837895155294 58.4834834834835 0 0 0 0 0;</v>
      </c>
    </row>
    <row r="14" spans="1:87" x14ac:dyDescent="0.25">
      <c r="A14" s="12">
        <v>27</v>
      </c>
      <c r="B14" s="12">
        <v>0</v>
      </c>
      <c r="C14" s="12">
        <v>0</v>
      </c>
      <c r="D14" s="12">
        <v>0</v>
      </c>
      <c r="E14" s="12">
        <v>0</v>
      </c>
      <c r="F14" s="16">
        <v>10.9</v>
      </c>
      <c r="G14" s="16">
        <v>10.199999999999999</v>
      </c>
      <c r="H14" s="16">
        <v>12.7</v>
      </c>
      <c r="I14" s="16">
        <v>1643</v>
      </c>
      <c r="J14" s="16">
        <v>1896</v>
      </c>
      <c r="K14" s="16">
        <v>1770</v>
      </c>
      <c r="L14" s="16">
        <v>5309</v>
      </c>
      <c r="M14" s="16">
        <v>0</v>
      </c>
      <c r="N14" s="16">
        <v>3.9499999999999997</v>
      </c>
      <c r="O14" s="16">
        <v>3.8962499999999998</v>
      </c>
      <c r="P14" s="16">
        <v>4.2874999999999996</v>
      </c>
      <c r="Q14" s="16">
        <v>4.0445833333333336</v>
      </c>
      <c r="R14" s="16">
        <v>0.77086049697535974</v>
      </c>
      <c r="S14" s="16">
        <v>0.359375</v>
      </c>
      <c r="T14" s="16">
        <v>0.31230769230769229</v>
      </c>
      <c r="U14" s="16">
        <v>0.48375000000000001</v>
      </c>
      <c r="V14" s="16">
        <v>0.39</v>
      </c>
      <c r="W14" s="16">
        <v>0.14641162397966787</v>
      </c>
      <c r="X14" s="16">
        <v>0.62</v>
      </c>
      <c r="Y14" s="16">
        <v>0.48</v>
      </c>
      <c r="Z14" s="16">
        <v>0.72</v>
      </c>
      <c r="AA14" s="16">
        <v>0.72</v>
      </c>
      <c r="AB14" s="16">
        <v>10.370726495726496</v>
      </c>
      <c r="AC14" s="16">
        <v>0</v>
      </c>
      <c r="AD14" s="16">
        <v>29.166666666666668</v>
      </c>
      <c r="AE14" s="16">
        <v>4.1666666666666661</v>
      </c>
      <c r="AF14" s="16">
        <v>33.333333333333336</v>
      </c>
      <c r="AG14" s="16">
        <v>4.1666666666666661</v>
      </c>
      <c r="AH14" s="16">
        <v>62.5</v>
      </c>
      <c r="AI14" s="16">
        <v>0</v>
      </c>
      <c r="AJ14" s="16">
        <v>66.666666666666671</v>
      </c>
      <c r="AK14" s="16">
        <v>62.5</v>
      </c>
      <c r="AL14" s="16">
        <v>0.41666666666666674</v>
      </c>
      <c r="AM14" s="16">
        <v>0.57399999999999995</v>
      </c>
      <c r="AN14" s="16">
        <v>0.216</v>
      </c>
      <c r="AO14" s="16">
        <v>0.40729166666666677</v>
      </c>
      <c r="AP14" s="16">
        <v>0.32523470793909265</v>
      </c>
      <c r="AQ14" s="16">
        <v>1.1499999999999999</v>
      </c>
      <c r="AR14" s="16">
        <v>1.46</v>
      </c>
      <c r="AS14" s="16">
        <v>0.4</v>
      </c>
      <c r="AT14" s="16">
        <v>1.46</v>
      </c>
      <c r="AU14" s="16">
        <v>16.666666666666664</v>
      </c>
      <c r="AV14" s="16">
        <v>0.7142857142857143</v>
      </c>
      <c r="AW14" s="16">
        <v>12.5</v>
      </c>
      <c r="AX14" s="16">
        <v>0</v>
      </c>
      <c r="AY14" s="16">
        <v>12.5</v>
      </c>
      <c r="AZ14" s="16">
        <v>8.3333333333333321</v>
      </c>
      <c r="BA14" s="16">
        <v>62.5</v>
      </c>
      <c r="BB14" s="16">
        <v>1.1666666666666667</v>
      </c>
      <c r="BC14" s="16">
        <v>33.333333333333329</v>
      </c>
      <c r="BD14" s="16">
        <v>0.125</v>
      </c>
      <c r="BE14" s="16">
        <v>0.125</v>
      </c>
      <c r="BF14" s="16">
        <v>1</v>
      </c>
      <c r="BG14" s="16">
        <v>0.41666666666666669</v>
      </c>
      <c r="BH14" s="16">
        <v>0.70833333333333337</v>
      </c>
      <c r="BI14" s="16">
        <v>1</v>
      </c>
      <c r="BJ14" s="16">
        <v>0.75</v>
      </c>
      <c r="BK14" s="16">
        <v>0.5</v>
      </c>
      <c r="BL14" s="16">
        <v>0.75</v>
      </c>
      <c r="BM14" s="16">
        <v>0.5</v>
      </c>
      <c r="BN14" s="16">
        <v>1.25</v>
      </c>
      <c r="BO14" s="16">
        <v>0</v>
      </c>
      <c r="BP14" s="16">
        <v>0.58333333333333337</v>
      </c>
      <c r="BQ14" s="16">
        <v>0.75</v>
      </c>
      <c r="BR14" s="16">
        <v>0.25</v>
      </c>
      <c r="BS14" s="16">
        <v>2.5</v>
      </c>
      <c r="BT14" s="16">
        <v>1.1666666666666667</v>
      </c>
      <c r="BU14" s="16">
        <v>12.5</v>
      </c>
      <c r="BV14" s="16">
        <v>54.166666666666664</v>
      </c>
      <c r="BW14" s="16">
        <v>33.333333333333329</v>
      </c>
      <c r="BX14" s="16">
        <v>40.625</v>
      </c>
      <c r="BY14" s="16">
        <v>1.2916666666666667</v>
      </c>
      <c r="BZ14" s="16">
        <v>35.285285285285283</v>
      </c>
      <c r="CA14" s="16">
        <v>13.829460157720122</v>
      </c>
      <c r="CB14" s="16">
        <v>64.714714714714717</v>
      </c>
      <c r="CC14" s="16">
        <v>0</v>
      </c>
      <c r="CD14" s="16">
        <v>0</v>
      </c>
      <c r="CE14" s="16">
        <v>0</v>
      </c>
      <c r="CF14" s="16">
        <v>0</v>
      </c>
      <c r="CG14" s="16">
        <v>0</v>
      </c>
      <c r="CI14" t="str">
        <f t="shared" si="0"/>
        <v>/*27*/ 000  1 10.9 10.2 12.7 1643 1896 1770 5309 0 3.95 3.89625 4.2875 4.04458333333333 0.77086049697536 0.359375 0.312307692307692 0.48375 0.39 0.146411623979668 0.62 0.48 0.72 0.72 10.3707264957265 0 29.1666666666667 4.16666666666667 33.3333333333333 4.16666666666667 62.5 0 66.6666666666667 62.5 0.416666666666667 0.574 0.216 0.407291666666667 0.325234707939093 1.15 1.46 0.4 1.46 16.6666666666667 0.714285714285714 12.5 0 12.5 8.33333333333333 62.5 1.16666666666667 33.3333333333333 0.125 0.125 1 0.416666666666667 0.708333333333333 1 0.75 0.5 0.75 0.5 1.25 0 0.583333333333333 0.75 0.25 2.5 1.16666666666667 12.5 54.1666666666667 33.3333333333333 40.625 1.29166666666667 35.2852852852853 13.8294601577201 64.7147147147147 0 0 0 0 0;</v>
      </c>
    </row>
    <row r="15" spans="1:87" x14ac:dyDescent="0.25">
      <c r="A15" s="15">
        <v>29</v>
      </c>
      <c r="B15" s="12">
        <v>0</v>
      </c>
      <c r="C15" s="12">
        <v>0</v>
      </c>
      <c r="D15" s="12">
        <v>0</v>
      </c>
      <c r="E15" s="12">
        <v>0</v>
      </c>
      <c r="F15" s="16">
        <v>14.2</v>
      </c>
      <c r="G15" s="16">
        <v>9.43</v>
      </c>
      <c r="H15" s="16">
        <v>10.97</v>
      </c>
      <c r="I15" s="16">
        <v>334</v>
      </c>
      <c r="J15" s="16">
        <v>333</v>
      </c>
      <c r="K15" s="16">
        <v>217</v>
      </c>
      <c r="L15" s="16">
        <v>884</v>
      </c>
      <c r="M15" s="16">
        <v>0</v>
      </c>
      <c r="N15" s="16">
        <v>1.5750000000000002</v>
      </c>
      <c r="O15" s="16">
        <v>1.7625</v>
      </c>
      <c r="P15" s="16">
        <v>1.1625000000000001</v>
      </c>
      <c r="Q15" s="16">
        <v>1.4999999999999998</v>
      </c>
      <c r="R15" s="16">
        <v>0.54692818064404924</v>
      </c>
      <c r="S15" s="16">
        <v>0.27</v>
      </c>
      <c r="T15" s="16">
        <v>0.15777777777777777</v>
      </c>
      <c r="U15" s="16">
        <v>0.12888888888888889</v>
      </c>
      <c r="V15" s="16">
        <v>0.18230769230769231</v>
      </c>
      <c r="W15" s="16">
        <v>0.13063866785321085</v>
      </c>
      <c r="X15" s="16">
        <v>0.68</v>
      </c>
      <c r="Y15" s="16">
        <v>0.28000000000000003</v>
      </c>
      <c r="Z15" s="16">
        <v>0.18</v>
      </c>
      <c r="AA15" s="16">
        <v>0.68</v>
      </c>
      <c r="AB15" s="16">
        <v>8.2278481012658222</v>
      </c>
      <c r="AC15" s="16">
        <v>0</v>
      </c>
      <c r="AD15" s="16">
        <v>19.230769230769234</v>
      </c>
      <c r="AE15" s="16">
        <v>0</v>
      </c>
      <c r="AF15" s="16">
        <v>19.230769230769234</v>
      </c>
      <c r="AG15" s="16">
        <v>7.6923076923076925</v>
      </c>
      <c r="AH15" s="16">
        <v>73.076923076923066</v>
      </c>
      <c r="AI15" s="16">
        <v>0</v>
      </c>
      <c r="AJ15" s="16">
        <v>80.769230769230759</v>
      </c>
      <c r="AK15" s="16">
        <v>73.076923076923066</v>
      </c>
      <c r="AL15" s="16">
        <v>9.5000000000000015E-2</v>
      </c>
      <c r="AM15" s="16">
        <v>9.8750000000000004E-2</v>
      </c>
      <c r="AN15" s="16">
        <v>0.19666666666666666</v>
      </c>
      <c r="AO15" s="16">
        <v>0.12884615384615386</v>
      </c>
      <c r="AP15" s="16">
        <v>0.1208081759841418</v>
      </c>
      <c r="AQ15" s="16">
        <v>0.28000000000000003</v>
      </c>
      <c r="AR15" s="16">
        <v>0.31</v>
      </c>
      <c r="AS15" s="16">
        <v>0.49</v>
      </c>
      <c r="AT15" s="16">
        <v>0.49</v>
      </c>
      <c r="AU15" s="16">
        <v>29.166666666666668</v>
      </c>
      <c r="AV15" s="16">
        <v>0.33333333333333331</v>
      </c>
      <c r="AW15" s="16">
        <v>62.5</v>
      </c>
      <c r="AX15" s="16">
        <v>50</v>
      </c>
      <c r="AY15" s="16">
        <v>0</v>
      </c>
      <c r="AZ15" s="16">
        <v>37.5</v>
      </c>
      <c r="BA15" s="16">
        <v>33.333333333333329</v>
      </c>
      <c r="BB15" s="16">
        <v>1.75</v>
      </c>
      <c r="BC15" s="16">
        <v>58.333333333333336</v>
      </c>
      <c r="BD15" s="16">
        <v>0.375</v>
      </c>
      <c r="BE15" s="16">
        <v>0.125</v>
      </c>
      <c r="BF15" s="16">
        <v>0</v>
      </c>
      <c r="BG15" s="16">
        <v>0.16666666666666666</v>
      </c>
      <c r="BH15" s="16">
        <v>0.20833333333333334</v>
      </c>
      <c r="BI15" s="16">
        <v>0</v>
      </c>
      <c r="BJ15" s="16">
        <v>0</v>
      </c>
      <c r="BK15" s="16">
        <v>0</v>
      </c>
      <c r="BL15" s="16">
        <v>0</v>
      </c>
      <c r="BM15" s="16">
        <v>0.5</v>
      </c>
      <c r="BN15" s="16">
        <v>0</v>
      </c>
      <c r="BO15" s="16">
        <v>0.25</v>
      </c>
      <c r="BP15" s="16">
        <v>0.25</v>
      </c>
      <c r="BQ15" s="16">
        <v>2</v>
      </c>
      <c r="BR15" s="16">
        <v>0</v>
      </c>
      <c r="BS15" s="16">
        <v>0</v>
      </c>
      <c r="BT15" s="16">
        <v>0.66666666666666663</v>
      </c>
      <c r="BU15" s="16">
        <v>8.3333333333333321</v>
      </c>
      <c r="BV15" s="16">
        <v>75</v>
      </c>
      <c r="BW15" s="16">
        <v>16.666666666666664</v>
      </c>
      <c r="BX15" s="16">
        <v>37.5</v>
      </c>
      <c r="BY15" s="16">
        <v>0.58333333333333337</v>
      </c>
      <c r="BZ15" s="16">
        <v>52.027027027027032</v>
      </c>
      <c r="CA15" s="16">
        <v>13.478096709442729</v>
      </c>
      <c r="CB15" s="16">
        <v>47.972972972972968</v>
      </c>
      <c r="CC15" s="16">
        <v>0</v>
      </c>
      <c r="CD15" s="16">
        <v>0</v>
      </c>
      <c r="CE15" s="16">
        <v>0</v>
      </c>
      <c r="CF15" s="16">
        <v>0</v>
      </c>
      <c r="CG15" s="16">
        <v>0</v>
      </c>
      <c r="CI15" t="str">
        <f t="shared" si="0"/>
        <v>/*29*/ 000  1 14.2 9.43 10.97 334 333 217 884 0 1.575 1.7625 1.1625 1.5 0.546928180644049 0.27 0.157777777777778 0.128888888888889 0.182307692307692 0.130638667853211 0.68 0.28 0.18 0.68 8.22784810126582 0 19.2307692307692 0 19.2307692307692 7.69230769230769 73.0769230769231 0 80.7692307692308 73.0769230769231 0.095 0.09875 0.196666666666667 0.128846153846154 0.120808175984142 0.28 0.31 0.49 0.49 29.1666666666667 0.333333333333333 62.5 50 0 37.5 33.3333333333333 1.75 58.3333333333333 0.375 0.125 0 0.166666666666667 0.208333333333333 0 0 0 0 0.5 0 0.25 0.25 2 0 0 0.666666666666667 8.33333333333333 75 16.6666666666667 37.5 0.583333333333333 52.027027027027 13.4780967094427 47.972972972973 0 0 0 0 0;</v>
      </c>
    </row>
    <row r="16" spans="1:87" x14ac:dyDescent="0.25">
      <c r="A16" s="12">
        <v>32</v>
      </c>
      <c r="B16" s="12">
        <v>0</v>
      </c>
      <c r="C16" s="12">
        <v>0</v>
      </c>
      <c r="D16" s="12">
        <v>0</v>
      </c>
      <c r="E16" s="12">
        <v>0</v>
      </c>
      <c r="F16" s="16">
        <v>15.3</v>
      </c>
      <c r="G16" s="16">
        <v>8.32</v>
      </c>
      <c r="H16" s="16">
        <v>10.88</v>
      </c>
      <c r="I16" s="16">
        <v>400</v>
      </c>
      <c r="J16" s="16">
        <v>396</v>
      </c>
      <c r="K16" s="16">
        <v>435</v>
      </c>
      <c r="L16" s="16">
        <v>1231</v>
      </c>
      <c r="M16" s="16">
        <v>0</v>
      </c>
      <c r="N16" s="16">
        <v>1.875</v>
      </c>
      <c r="O16" s="16">
        <v>1.8125000000000002</v>
      </c>
      <c r="P16" s="16">
        <v>2.0375000000000001</v>
      </c>
      <c r="Q16" s="16">
        <v>1.908333333333333</v>
      </c>
      <c r="R16" s="16">
        <v>0.52908178595741306</v>
      </c>
      <c r="S16" s="16">
        <v>0.29750000000000004</v>
      </c>
      <c r="T16" s="16">
        <v>0.30500000000000005</v>
      </c>
      <c r="U16" s="16">
        <v>0.26750000000000002</v>
      </c>
      <c r="V16" s="16">
        <v>0.29000000000000004</v>
      </c>
      <c r="W16" s="16">
        <v>0.11375029861403703</v>
      </c>
      <c r="X16" s="16">
        <v>0.5</v>
      </c>
      <c r="Y16" s="16">
        <v>0.56000000000000005</v>
      </c>
      <c r="Z16" s="16">
        <v>0.38</v>
      </c>
      <c r="AA16" s="16">
        <v>0.56000000000000005</v>
      </c>
      <c r="AB16" s="16">
        <v>6.580459770114941</v>
      </c>
      <c r="AC16" s="16">
        <v>0</v>
      </c>
      <c r="AD16" s="16">
        <v>16.666666666666664</v>
      </c>
      <c r="AE16" s="16">
        <v>0</v>
      </c>
      <c r="AF16" s="16">
        <v>16.666666666666664</v>
      </c>
      <c r="AG16" s="16">
        <v>20.833333333333336</v>
      </c>
      <c r="AH16" s="16">
        <v>62.5</v>
      </c>
      <c r="AI16" s="16">
        <v>0</v>
      </c>
      <c r="AJ16" s="16">
        <v>83.333333333333343</v>
      </c>
      <c r="AK16" s="16">
        <v>62.5</v>
      </c>
      <c r="AL16" s="16">
        <v>0.41249999999999998</v>
      </c>
      <c r="AM16" s="16">
        <v>0.47625000000000001</v>
      </c>
      <c r="AN16" s="16">
        <v>0.39999999999999997</v>
      </c>
      <c r="AO16" s="16">
        <v>0.42958333333333326</v>
      </c>
      <c r="AP16" s="16">
        <v>0.22609115450394685</v>
      </c>
      <c r="AQ16" s="16">
        <v>0.99</v>
      </c>
      <c r="AR16" s="16">
        <v>0.95</v>
      </c>
      <c r="AS16" s="16">
        <v>0.83</v>
      </c>
      <c r="AT16" s="16">
        <v>0.99</v>
      </c>
      <c r="AU16" s="16">
        <v>20.833333333333336</v>
      </c>
      <c r="AV16" s="16">
        <v>0.79166666666666663</v>
      </c>
      <c r="AW16" s="16">
        <v>0</v>
      </c>
      <c r="AX16" s="16">
        <v>0</v>
      </c>
      <c r="AY16" s="16">
        <v>0</v>
      </c>
      <c r="AZ16" s="16">
        <v>0</v>
      </c>
      <c r="BA16" s="16">
        <v>79.166666666666657</v>
      </c>
      <c r="BB16" s="16">
        <v>1.4166666666666667</v>
      </c>
      <c r="BC16" s="16">
        <v>41.666666666666671</v>
      </c>
      <c r="BD16" s="16">
        <v>0.625</v>
      </c>
      <c r="BE16" s="16">
        <v>0.125</v>
      </c>
      <c r="BF16" s="16">
        <v>0.375</v>
      </c>
      <c r="BG16" s="16">
        <v>0.375</v>
      </c>
      <c r="BH16" s="16">
        <v>0.29166666666666669</v>
      </c>
      <c r="BI16" s="16">
        <v>1.25</v>
      </c>
      <c r="BJ16" s="16">
        <v>1</v>
      </c>
      <c r="BK16" s="16">
        <v>2</v>
      </c>
      <c r="BL16" s="16">
        <v>1.4166666666666667</v>
      </c>
      <c r="BM16" s="16">
        <v>0.25</v>
      </c>
      <c r="BN16" s="16">
        <v>0</v>
      </c>
      <c r="BO16" s="16">
        <v>0</v>
      </c>
      <c r="BP16" s="16">
        <v>8.3333333333333329E-2</v>
      </c>
      <c r="BQ16" s="16">
        <v>0</v>
      </c>
      <c r="BR16" s="16">
        <v>0</v>
      </c>
      <c r="BS16" s="16">
        <v>0.25</v>
      </c>
      <c r="BT16" s="16">
        <v>8.3333333333333329E-2</v>
      </c>
      <c r="BU16" s="16">
        <v>4.1666666666666661</v>
      </c>
      <c r="BV16" s="16">
        <v>45.833333333333329</v>
      </c>
      <c r="BW16" s="16">
        <v>50</v>
      </c>
      <c r="BX16" s="16">
        <v>50.625</v>
      </c>
      <c r="BY16" s="16">
        <v>0.29166666666666669</v>
      </c>
      <c r="BZ16" s="16">
        <v>58.333333333333329</v>
      </c>
      <c r="CA16" s="16">
        <v>15.894300484097686</v>
      </c>
      <c r="CB16" s="16">
        <v>41.666666666666671</v>
      </c>
      <c r="CC16" s="16">
        <v>0</v>
      </c>
      <c r="CD16" s="16">
        <v>0</v>
      </c>
      <c r="CE16" s="16">
        <v>0</v>
      </c>
      <c r="CF16" s="16">
        <v>0</v>
      </c>
      <c r="CG16" s="16">
        <v>0</v>
      </c>
      <c r="CI16" t="str">
        <f t="shared" si="0"/>
        <v>/*32*/ 000  1 15.3 8.32 10.88 400 396 435 1231 0 1.875 1.8125 2.0375 1.90833333333333 0.529081785957413 0.2975 0.305 0.2675 0.29 0.113750298614037 0.5 0.56 0.38 0.56 6.58045977011494 0 16.6666666666667 0 16.6666666666667 20.8333333333333 62.5 0 83.3333333333333 62.5 0.4125 0.47625 0.4 0.429583333333333 0.226091154503947 0.99 0.95 0.83 0.99 20.8333333333333 0.791666666666667 0 0 0 0 79.1666666666667 1.41666666666667 41.6666666666667 0.625 0.125 0.375 0.375 0.291666666666667 1.25 1 2 1.41666666666667 0.25 0 0 8.33333333333333E-02 0 0 0.25 8.33333333333333E-02 4.16666666666667 45.8333333333333 50 50.625 0.291666666666667 58.3333333333333 15.8943004840977 41.6666666666667 0 0 0 0 0;</v>
      </c>
    </row>
    <row r="17" spans="1:87" x14ac:dyDescent="0.25">
      <c r="A17" s="12">
        <v>34</v>
      </c>
      <c r="B17" s="12">
        <v>1</v>
      </c>
      <c r="C17" s="12">
        <v>1</v>
      </c>
      <c r="D17" s="12">
        <v>1</v>
      </c>
      <c r="E17" s="12">
        <v>0</v>
      </c>
      <c r="F17" s="16">
        <v>13.9</v>
      </c>
      <c r="G17" s="16">
        <v>8.39</v>
      </c>
      <c r="H17" s="16">
        <v>12.09</v>
      </c>
      <c r="I17" s="16">
        <v>1054</v>
      </c>
      <c r="J17" s="16">
        <v>701</v>
      </c>
      <c r="K17" s="16">
        <v>1411</v>
      </c>
      <c r="L17" s="16">
        <v>3166</v>
      </c>
      <c r="M17" s="16">
        <v>0.30322173089071386</v>
      </c>
      <c r="N17" s="16">
        <v>2.5124999999999997</v>
      </c>
      <c r="O17" s="16">
        <v>2.95</v>
      </c>
      <c r="P17" s="16">
        <v>4.3249999999999993</v>
      </c>
      <c r="Q17" s="16">
        <v>3.2624999999999993</v>
      </c>
      <c r="R17" s="16">
        <v>1.4367271079118331</v>
      </c>
      <c r="S17" s="16">
        <v>0.27000000000000007</v>
      </c>
      <c r="T17" s="16">
        <v>0.18333333333333335</v>
      </c>
      <c r="U17" s="16">
        <v>0.44833333333333325</v>
      </c>
      <c r="V17" s="16">
        <v>0.30055555555555563</v>
      </c>
      <c r="W17" s="16">
        <v>0.18228618699247054</v>
      </c>
      <c r="X17" s="16">
        <v>0.68</v>
      </c>
      <c r="Y17" s="16">
        <v>0.36</v>
      </c>
      <c r="Z17" s="16">
        <v>0.84</v>
      </c>
      <c r="AA17" s="16">
        <v>0.84</v>
      </c>
      <c r="AB17" s="16">
        <v>10.854898336414044</v>
      </c>
      <c r="AC17" s="16">
        <v>0</v>
      </c>
      <c r="AD17" s="16">
        <v>8.5714285714285712</v>
      </c>
      <c r="AE17" s="16">
        <v>5.7142857142857144</v>
      </c>
      <c r="AF17" s="16">
        <v>14.285714285714285</v>
      </c>
      <c r="AG17" s="16">
        <v>2.8571428571428572</v>
      </c>
      <c r="AH17" s="16">
        <v>77.142857142857153</v>
      </c>
      <c r="AI17" s="16">
        <v>5.7142857142857144</v>
      </c>
      <c r="AJ17" s="16">
        <v>85.714285714285722</v>
      </c>
      <c r="AK17" s="16">
        <v>77.142857142857153</v>
      </c>
      <c r="AL17" s="16">
        <v>0.12000000000000001</v>
      </c>
      <c r="AM17" s="16">
        <v>0.13818181818181821</v>
      </c>
      <c r="AN17" s="16">
        <v>9.5454545454545459E-2</v>
      </c>
      <c r="AO17" s="16">
        <v>0.11666666666666667</v>
      </c>
      <c r="AP17" s="16">
        <v>0.13294467162803375</v>
      </c>
      <c r="AQ17" s="16">
        <v>0.53</v>
      </c>
      <c r="AR17" s="16">
        <v>0.56999999999999995</v>
      </c>
      <c r="AS17" s="16">
        <v>0.28000000000000003</v>
      </c>
      <c r="AT17" s="16">
        <v>0.56999999999999995</v>
      </c>
      <c r="AU17" s="16">
        <v>16.666666666666664</v>
      </c>
      <c r="AV17" s="16">
        <v>0.33333333333333331</v>
      </c>
      <c r="AW17" s="16">
        <v>50</v>
      </c>
      <c r="AX17" s="16">
        <v>50</v>
      </c>
      <c r="AY17" s="16">
        <v>50</v>
      </c>
      <c r="AZ17" s="16">
        <v>50</v>
      </c>
      <c r="BA17" s="16">
        <v>33.333333333333329</v>
      </c>
      <c r="BB17" s="16">
        <v>1.0833333333333333</v>
      </c>
      <c r="BC17" s="16">
        <v>25</v>
      </c>
      <c r="BD17" s="16">
        <v>0.25</v>
      </c>
      <c r="BE17" s="16">
        <v>0.375</v>
      </c>
      <c r="BF17" s="16">
        <v>0.125</v>
      </c>
      <c r="BG17" s="16">
        <v>0.25</v>
      </c>
      <c r="BH17" s="16">
        <v>0.54166666666666663</v>
      </c>
      <c r="BI17" s="16">
        <v>0</v>
      </c>
      <c r="BJ17" s="16">
        <v>0.25</v>
      </c>
      <c r="BK17" s="16">
        <v>1</v>
      </c>
      <c r="BL17" s="16">
        <v>0.41666666666666669</v>
      </c>
      <c r="BM17" s="16">
        <v>1.25</v>
      </c>
      <c r="BN17" s="16">
        <v>0.75</v>
      </c>
      <c r="BO17" s="16">
        <v>0.5</v>
      </c>
      <c r="BP17" s="16">
        <v>0.83333333333333337</v>
      </c>
      <c r="BQ17" s="16">
        <v>0.5</v>
      </c>
      <c r="BR17" s="16">
        <v>0.5</v>
      </c>
      <c r="BS17" s="16">
        <v>2.25</v>
      </c>
      <c r="BT17" s="16">
        <v>1.0833333333333333</v>
      </c>
      <c r="BU17" s="16">
        <v>8.3333333333333321</v>
      </c>
      <c r="BV17" s="16">
        <v>62.5</v>
      </c>
      <c r="BW17" s="16">
        <v>29.166666666666668</v>
      </c>
      <c r="BX17" s="16">
        <v>42.916666666666664</v>
      </c>
      <c r="BY17" s="16">
        <v>1.0416666666666667</v>
      </c>
      <c r="BZ17" s="16">
        <v>28.153153153153156</v>
      </c>
      <c r="CA17" s="16">
        <v>13.196049192304274</v>
      </c>
      <c r="CB17" s="16">
        <v>71.846846846846844</v>
      </c>
      <c r="CC17" s="16">
        <v>0</v>
      </c>
      <c r="CD17" s="16">
        <v>0</v>
      </c>
      <c r="CE17" s="16">
        <v>0</v>
      </c>
      <c r="CF17" s="16">
        <v>0</v>
      </c>
      <c r="CG17" s="16">
        <v>0</v>
      </c>
      <c r="CI17" t="str">
        <f t="shared" si="0"/>
        <v>/*34*/ 111  1 13.9 8.39 12.09 1054 701 1411 3166 0.303221730890714 2.5125 2.95 4.325 3.2625 1.43672710791183 0.27 0.183333333333333 0.448333333333333 0.300555555555556 0.182286186992471 0.68 0.36 0.84 0.84 10.854898336414 0 8.57142857142857 5.71428571428571 14.2857142857143 2.85714285714286 77.1428571428572 5.71428571428571 85.7142857142857 77.1428571428572 0.12 0.138181818181818 9.54545454545455E-02 0.116666666666667 0.132944671628034 0.53 0.57 0.28 0.57 16.6666666666667 0.333333333333333 50 50 50 50 33.3333333333333 1.08333333333333 25 0.25 0.375 0.125 0.25 0.541666666666667 0 0.25 1 0.416666666666667 1.25 0.75 0.5 0.833333333333333 0.5 0.5 2.25 1.08333333333333 8.33333333333333 62.5 29.1666666666667 42.9166666666667 1.04166666666667 28.1531531531532 13.1960491923043 71.8468468468468 0 0 0 0 0;</v>
      </c>
    </row>
    <row r="18" spans="1:87" x14ac:dyDescent="0.25">
      <c r="A18" s="12">
        <v>35</v>
      </c>
      <c r="B18" s="12">
        <v>1</v>
      </c>
      <c r="C18" s="12">
        <v>1</v>
      </c>
      <c r="D18" s="12">
        <v>0</v>
      </c>
      <c r="E18" s="12">
        <v>0</v>
      </c>
      <c r="F18" s="16">
        <v>12.2</v>
      </c>
      <c r="G18" s="16">
        <v>8.4499999999999993</v>
      </c>
      <c r="H18" s="16">
        <v>12.21</v>
      </c>
      <c r="I18" s="16">
        <v>2124</v>
      </c>
      <c r="J18" s="16">
        <v>1764</v>
      </c>
      <c r="K18" s="16">
        <v>1950</v>
      </c>
      <c r="L18" s="16">
        <v>5838</v>
      </c>
      <c r="M18" s="16">
        <v>1.7471736896197327</v>
      </c>
      <c r="N18" s="16">
        <v>8.2874999999999996</v>
      </c>
      <c r="O18" s="16">
        <v>3.9125000000000005</v>
      </c>
      <c r="P18" s="16">
        <v>5.5749999999999993</v>
      </c>
      <c r="Q18" s="16">
        <v>5.9250000000000007</v>
      </c>
      <c r="R18" s="16">
        <v>2.7017305243282399</v>
      </c>
      <c r="S18" s="16">
        <v>0.41562500000000002</v>
      </c>
      <c r="T18" s="16">
        <v>0.33333333333333331</v>
      </c>
      <c r="U18" s="16">
        <v>0.28875000000000001</v>
      </c>
      <c r="V18" s="16">
        <v>0.3470454545454546</v>
      </c>
      <c r="W18" s="16">
        <v>0.27190610165715884</v>
      </c>
      <c r="X18" s="16">
        <v>1.5</v>
      </c>
      <c r="Y18" s="16">
        <v>0.78</v>
      </c>
      <c r="Z18" s="16">
        <v>0.57999999999999996</v>
      </c>
      <c r="AA18" s="16">
        <v>1.5</v>
      </c>
      <c r="AB18" s="16">
        <v>17.072691552062867</v>
      </c>
      <c r="AC18" s="16">
        <v>0</v>
      </c>
      <c r="AD18" s="16">
        <v>13.636363636363635</v>
      </c>
      <c r="AE18" s="16">
        <v>0</v>
      </c>
      <c r="AF18" s="16">
        <v>13.636363636363635</v>
      </c>
      <c r="AG18" s="16">
        <v>6.8181818181818175</v>
      </c>
      <c r="AH18" s="16">
        <v>75</v>
      </c>
      <c r="AI18" s="16">
        <v>4.5454545454545459</v>
      </c>
      <c r="AJ18" s="16">
        <v>86.36363636363636</v>
      </c>
      <c r="AK18" s="16">
        <v>75</v>
      </c>
      <c r="AL18" s="16">
        <v>0.11546666666666668</v>
      </c>
      <c r="AM18" s="16">
        <v>0.31166666666666665</v>
      </c>
      <c r="AN18" s="16">
        <v>0.19</v>
      </c>
      <c r="AO18" s="16">
        <v>0.19572727272727269</v>
      </c>
      <c r="AP18" s="16">
        <v>0.18987760606615064</v>
      </c>
      <c r="AQ18" s="16">
        <v>0.55000000000000004</v>
      </c>
      <c r="AR18" s="16">
        <v>0.65</v>
      </c>
      <c r="AS18" s="16">
        <v>0.5</v>
      </c>
      <c r="AT18" s="16">
        <v>0.65</v>
      </c>
      <c r="AU18" s="16">
        <v>29.166666666666668</v>
      </c>
      <c r="AV18" s="16">
        <v>0.375</v>
      </c>
      <c r="AW18" s="16">
        <v>37.5</v>
      </c>
      <c r="AX18" s="16">
        <v>37.5</v>
      </c>
      <c r="AY18" s="16">
        <v>25</v>
      </c>
      <c r="AZ18" s="16">
        <v>33.333333333333329</v>
      </c>
      <c r="BA18" s="16">
        <v>37.5</v>
      </c>
      <c r="BB18" s="16">
        <v>1.1666666666666667</v>
      </c>
      <c r="BC18" s="16">
        <v>25</v>
      </c>
      <c r="BD18" s="16">
        <v>0</v>
      </c>
      <c r="BE18" s="16">
        <v>0.25</v>
      </c>
      <c r="BF18" s="16">
        <v>0</v>
      </c>
      <c r="BG18" s="16">
        <v>8.3333333333333329E-2</v>
      </c>
      <c r="BH18" s="16">
        <v>0.5</v>
      </c>
      <c r="BI18" s="16">
        <v>0.75</v>
      </c>
      <c r="BJ18" s="16">
        <v>0</v>
      </c>
      <c r="BK18" s="16">
        <v>0.25</v>
      </c>
      <c r="BL18" s="16">
        <v>0.33333333333333331</v>
      </c>
      <c r="BM18" s="16">
        <v>0.5</v>
      </c>
      <c r="BN18" s="16">
        <v>0.75</v>
      </c>
      <c r="BO18" s="16">
        <v>1.5</v>
      </c>
      <c r="BP18" s="16">
        <v>0.91666666666666663</v>
      </c>
      <c r="BQ18" s="16">
        <v>1</v>
      </c>
      <c r="BR18" s="16">
        <v>1</v>
      </c>
      <c r="BS18" s="16">
        <v>0.25</v>
      </c>
      <c r="BT18" s="16">
        <v>0.75</v>
      </c>
      <c r="BU18" s="16">
        <v>25</v>
      </c>
      <c r="BV18" s="16">
        <v>66.666666666666657</v>
      </c>
      <c r="BW18" s="16">
        <v>4.1666666666666661</v>
      </c>
      <c r="BX18" s="16">
        <v>28.130434782608695</v>
      </c>
      <c r="BY18" s="16">
        <v>0.625</v>
      </c>
      <c r="BZ18" s="16">
        <v>71.939586645469006</v>
      </c>
      <c r="CA18" s="16">
        <v>14.004360156280232</v>
      </c>
      <c r="CB18" s="16">
        <v>28.060413354530994</v>
      </c>
      <c r="CC18" s="16">
        <v>0</v>
      </c>
      <c r="CD18" s="16">
        <v>0</v>
      </c>
      <c r="CE18" s="16">
        <v>0</v>
      </c>
      <c r="CF18" s="16">
        <v>0</v>
      </c>
      <c r="CG18" s="16">
        <v>0</v>
      </c>
      <c r="CI18" t="str">
        <f t="shared" si="0"/>
        <v>/*35*/ 110  1 12.2 8.45 12.21 2124 1764 1950 5838 1.74717368961973 8.2875 3.9125 5.575 5.925 2.70173052432824 0.415625 0.333333333333333 0.28875 0.347045454545455 0.271906101657159 1.5 0.78 0.58 1.5 17.0726915520629 0 13.6363636363636 0 13.6363636363636 6.81818181818182 75 4.54545454545455 86.3636363636364 75 0.115466666666667 0.311666666666667 0.19 0.195727272727273 0.189877606066151 0.55 0.65 0.5 0.65 29.1666666666667 0.375 37.5 37.5 25 33.3333333333333 37.5 1.16666666666667 25 0 0.25 0 8.33333333333333E-02 0.5 0.75 0 0.25 0.333333333333333 0.5 0.75 1.5 0.916666666666667 1 1 0.25 0.75 25 66.6666666666667 4.16666666666667 28.1304347826087 0.625 71.939586645469 14.0043601562802 28.060413354531 0 0 0 0 0;</v>
      </c>
    </row>
    <row r="19" spans="1:87" x14ac:dyDescent="0.25">
      <c r="A19" s="12">
        <v>36</v>
      </c>
      <c r="B19" s="12">
        <v>0</v>
      </c>
      <c r="C19" s="12">
        <v>0</v>
      </c>
      <c r="D19" s="12">
        <v>0</v>
      </c>
      <c r="E19" s="12">
        <v>0</v>
      </c>
      <c r="F19" s="16">
        <v>19.7</v>
      </c>
      <c r="G19" s="16">
        <v>8.7200000000000006</v>
      </c>
      <c r="H19" s="16">
        <v>11.66</v>
      </c>
      <c r="I19" s="16">
        <v>360</v>
      </c>
      <c r="J19" s="16">
        <v>280</v>
      </c>
      <c r="K19" s="16">
        <v>190</v>
      </c>
      <c r="L19" s="16">
        <v>830</v>
      </c>
      <c r="M19" s="16">
        <v>0</v>
      </c>
      <c r="N19" s="16">
        <v>2.3374999999999999</v>
      </c>
      <c r="O19" s="16">
        <v>2.8874999999999997</v>
      </c>
      <c r="P19" s="16">
        <v>1.9000000000000001</v>
      </c>
      <c r="Q19" s="16">
        <v>2.3749999999999996</v>
      </c>
      <c r="R19" s="16">
        <v>0.90132752334976918</v>
      </c>
      <c r="S19" s="16">
        <v>0.24545454545454543</v>
      </c>
      <c r="T19" s="16">
        <v>0.27499999999999997</v>
      </c>
      <c r="U19" s="16">
        <v>0.2290909090909091</v>
      </c>
      <c r="V19" s="16">
        <v>0.25058823529411767</v>
      </c>
      <c r="W19" s="16">
        <v>0.13533216546302898</v>
      </c>
      <c r="X19" s="16">
        <v>0.5</v>
      </c>
      <c r="Y19" s="16">
        <v>0.62</v>
      </c>
      <c r="Z19" s="16">
        <v>0.48</v>
      </c>
      <c r="AA19" s="16">
        <v>0.62</v>
      </c>
      <c r="AB19" s="16">
        <v>9.4776995305164302</v>
      </c>
      <c r="AC19" s="16">
        <v>0</v>
      </c>
      <c r="AD19" s="16">
        <v>11.76470588235294</v>
      </c>
      <c r="AE19" s="16">
        <v>47.058823529411761</v>
      </c>
      <c r="AF19" s="16">
        <v>58.823529411764703</v>
      </c>
      <c r="AG19" s="16">
        <v>23.52941176470588</v>
      </c>
      <c r="AH19" s="16">
        <v>17.647058823529413</v>
      </c>
      <c r="AI19" s="16">
        <v>0</v>
      </c>
      <c r="AJ19" s="16">
        <v>41.17647058823529</v>
      </c>
      <c r="AK19" s="16">
        <v>47.058823529411761</v>
      </c>
      <c r="AL19" s="16">
        <v>0.32300000000000006</v>
      </c>
      <c r="AM19" s="16">
        <v>0.27090909090909093</v>
      </c>
      <c r="AN19" s="16">
        <v>0.33199999999999996</v>
      </c>
      <c r="AO19" s="16">
        <v>0.31176470588235289</v>
      </c>
      <c r="AP19" s="16">
        <v>0.19618282426032957</v>
      </c>
      <c r="AQ19" s="16">
        <v>0.64</v>
      </c>
      <c r="AR19" s="16">
        <v>0.83</v>
      </c>
      <c r="AS19" s="16">
        <v>0.64</v>
      </c>
      <c r="AT19" s="16">
        <v>0.83</v>
      </c>
      <c r="AU19" s="16">
        <v>12.5</v>
      </c>
      <c r="AV19" s="16">
        <v>0.79166666666666663</v>
      </c>
      <c r="AW19" s="16">
        <v>0</v>
      </c>
      <c r="AX19" s="16">
        <v>25</v>
      </c>
      <c r="AY19" s="16">
        <v>0</v>
      </c>
      <c r="AZ19" s="16">
        <v>8.3333333333333321</v>
      </c>
      <c r="BA19" s="16">
        <v>79.166666666666657</v>
      </c>
      <c r="BB19" s="16">
        <v>0.5</v>
      </c>
      <c r="BC19" s="16">
        <v>25</v>
      </c>
      <c r="BD19" s="16">
        <v>0</v>
      </c>
      <c r="BE19" s="16">
        <v>0</v>
      </c>
      <c r="BF19" s="16">
        <v>0</v>
      </c>
      <c r="BG19" s="16">
        <v>0</v>
      </c>
      <c r="BH19" s="16">
        <v>0.66666666666666663</v>
      </c>
      <c r="BI19" s="16">
        <v>0.25</v>
      </c>
      <c r="BJ19" s="16">
        <v>0.5</v>
      </c>
      <c r="BK19" s="16">
        <v>1</v>
      </c>
      <c r="BL19" s="16">
        <v>0.58333333333333337</v>
      </c>
      <c r="BM19" s="16">
        <v>0.25</v>
      </c>
      <c r="BN19" s="16">
        <v>0</v>
      </c>
      <c r="BO19" s="16">
        <v>0</v>
      </c>
      <c r="BP19" s="16">
        <v>8.3333333333333329E-2</v>
      </c>
      <c r="BQ19" s="16">
        <v>0</v>
      </c>
      <c r="BR19" s="16">
        <v>0.5</v>
      </c>
      <c r="BS19" s="16">
        <v>0</v>
      </c>
      <c r="BT19" s="16">
        <v>0.16666666666666666</v>
      </c>
      <c r="BU19" s="16">
        <v>4.1666666666666661</v>
      </c>
      <c r="BV19" s="16">
        <v>58.333333333333336</v>
      </c>
      <c r="BW19" s="16">
        <v>37.5</v>
      </c>
      <c r="BX19" s="16">
        <v>46.875</v>
      </c>
      <c r="BY19" s="16">
        <v>0.91666666666666663</v>
      </c>
      <c r="BZ19" s="16">
        <v>89.114114114114102</v>
      </c>
      <c r="CA19" s="16">
        <v>10.349564824836452</v>
      </c>
      <c r="CB19" s="16">
        <v>10.885885885885898</v>
      </c>
      <c r="CC19" s="16">
        <v>0</v>
      </c>
      <c r="CD19" s="16">
        <v>0</v>
      </c>
      <c r="CE19" s="16">
        <v>0</v>
      </c>
      <c r="CF19" s="16">
        <v>0</v>
      </c>
      <c r="CG19" s="16">
        <v>0</v>
      </c>
      <c r="CI19" t="str">
        <f t="shared" si="0"/>
        <v>/*36*/ 000  1 19.7 8.72 11.66 360 280 190 830 0 2.3375 2.8875 1.9 2.375 0.901327523349769 0.245454545454545 0.275 0.229090909090909 0.250588235294118 0.135332165463029 0.5 0.62 0.48 0.62 9.47769953051643 0 11.7647058823529 47.0588235294118 58.8235294117647 23.5294117647059 17.6470588235294 0 41.1764705882353 47.0588235294118 0.323 0.270909090909091 0.332 0.311764705882353 0.19618282426033 0.64 0.83 0.64 0.83 12.5 0.791666666666667 0 25 0 8.33333333333333 79.1666666666667 0.5 25 0 0 0 0 0.666666666666667 0.25 0.5 1 0.583333333333333 0.25 0 0 8.33333333333333E-02 0 0.5 0 0.166666666666667 4.16666666666667 58.3333333333333 37.5 46.875 0.916666666666667 89.1141141141141 10.3495648248365 10.8858858858859 0 0 0 0 0;</v>
      </c>
    </row>
    <row r="20" spans="1:87" x14ac:dyDescent="0.25">
      <c r="A20" s="12">
        <v>38</v>
      </c>
      <c r="B20" s="12">
        <v>0</v>
      </c>
      <c r="C20" s="12">
        <v>0</v>
      </c>
      <c r="D20" s="12">
        <v>0</v>
      </c>
      <c r="E20" s="12">
        <v>0</v>
      </c>
      <c r="F20" s="16">
        <v>11.8</v>
      </c>
      <c r="G20" s="16">
        <v>8.5500000000000007</v>
      </c>
      <c r="H20" s="16">
        <v>10.5</v>
      </c>
      <c r="I20" s="16">
        <v>891</v>
      </c>
      <c r="J20" s="16">
        <v>471</v>
      </c>
      <c r="K20" s="16">
        <v>525</v>
      </c>
      <c r="L20" s="16">
        <v>1887</v>
      </c>
      <c r="M20" s="16">
        <v>1.1446740858505564</v>
      </c>
      <c r="N20" s="16">
        <v>2.6625000000000005</v>
      </c>
      <c r="O20" s="16">
        <v>2.3249999999999997</v>
      </c>
      <c r="P20" s="16">
        <v>2.0249999999999999</v>
      </c>
      <c r="Q20" s="16">
        <v>2.3374999999999999</v>
      </c>
      <c r="R20" s="16">
        <v>0.52652470110106431</v>
      </c>
      <c r="S20" s="16">
        <v>0.35333333333333333</v>
      </c>
      <c r="T20" s="16">
        <v>0.47166666666666668</v>
      </c>
      <c r="U20" s="16">
        <v>0.39076923076923087</v>
      </c>
      <c r="V20" s="16">
        <v>0.40486486486486495</v>
      </c>
      <c r="W20" s="16">
        <v>0.1541395763877953</v>
      </c>
      <c r="X20" s="16">
        <v>0.56000000000000005</v>
      </c>
      <c r="Y20" s="16">
        <v>0.7</v>
      </c>
      <c r="Z20" s="16">
        <v>0.57999999999999996</v>
      </c>
      <c r="AA20" s="16">
        <v>0.7</v>
      </c>
      <c r="AB20" s="16">
        <v>5.773531375166888</v>
      </c>
      <c r="AC20" s="16">
        <v>0</v>
      </c>
      <c r="AD20" s="16">
        <v>43.243243243243242</v>
      </c>
      <c r="AE20" s="16">
        <v>0</v>
      </c>
      <c r="AF20" s="16">
        <v>43.243243243243242</v>
      </c>
      <c r="AG20" s="16">
        <v>18.918918918918919</v>
      </c>
      <c r="AH20" s="16">
        <v>37.837837837837839</v>
      </c>
      <c r="AI20" s="16">
        <v>0</v>
      </c>
      <c r="AJ20" s="16">
        <v>56.756756756756758</v>
      </c>
      <c r="AK20" s="16">
        <v>43.243243243243242</v>
      </c>
      <c r="AL20" s="16">
        <v>0.22454545454545452</v>
      </c>
      <c r="AM20" s="16">
        <v>0.16999999999999996</v>
      </c>
      <c r="AN20" s="16">
        <v>0.29499999999999998</v>
      </c>
      <c r="AO20" s="16">
        <v>0.23810810810810817</v>
      </c>
      <c r="AP20" s="16">
        <v>0.12571656475840653</v>
      </c>
      <c r="AQ20" s="16">
        <v>0.35</v>
      </c>
      <c r="AR20" s="16">
        <v>0.28999999999999998</v>
      </c>
      <c r="AS20" s="16">
        <v>0.55000000000000004</v>
      </c>
      <c r="AT20" s="16">
        <v>0.55000000000000004</v>
      </c>
      <c r="AU20" s="16">
        <v>8.3333333333333321</v>
      </c>
      <c r="AV20" s="16">
        <v>0.83333333333333337</v>
      </c>
      <c r="AW20" s="16">
        <v>0</v>
      </c>
      <c r="AX20" s="16">
        <v>25</v>
      </c>
      <c r="AY20" s="16">
        <v>0</v>
      </c>
      <c r="AZ20" s="16">
        <v>8.3333333333333321</v>
      </c>
      <c r="BA20" s="16">
        <v>83.333333333333343</v>
      </c>
      <c r="BB20" s="16">
        <v>0.33333333333333331</v>
      </c>
      <c r="BC20" s="16">
        <v>16.666666666666664</v>
      </c>
      <c r="BD20" s="16">
        <v>0.125</v>
      </c>
      <c r="BE20" s="16">
        <v>0.125</v>
      </c>
      <c r="BF20" s="16">
        <v>0</v>
      </c>
      <c r="BG20" s="16">
        <v>8.3333333333333329E-2</v>
      </c>
      <c r="BH20" s="16">
        <v>0.41666666666666669</v>
      </c>
      <c r="BI20" s="16">
        <v>2.5</v>
      </c>
      <c r="BJ20" s="16">
        <v>2.75</v>
      </c>
      <c r="BK20" s="16">
        <v>1</v>
      </c>
      <c r="BL20" s="16">
        <v>2.0833333333333335</v>
      </c>
      <c r="BM20" s="16">
        <v>0</v>
      </c>
      <c r="BN20" s="16">
        <v>0</v>
      </c>
      <c r="BO20" s="16">
        <v>0</v>
      </c>
      <c r="BP20" s="16">
        <v>0</v>
      </c>
      <c r="BQ20" s="16">
        <v>0.75</v>
      </c>
      <c r="BR20" s="16">
        <v>2</v>
      </c>
      <c r="BS20" s="16">
        <v>0.75</v>
      </c>
      <c r="BT20" s="16">
        <v>1.1666666666666667</v>
      </c>
      <c r="BU20" s="16">
        <v>0</v>
      </c>
      <c r="BV20" s="16">
        <v>75</v>
      </c>
      <c r="BW20" s="16">
        <v>25</v>
      </c>
      <c r="BX20" s="16">
        <v>46.666666666666664</v>
      </c>
      <c r="BY20" s="16">
        <v>0.83333333333333337</v>
      </c>
      <c r="BZ20" s="16">
        <v>95.030514385353101</v>
      </c>
      <c r="CA20" s="16">
        <v>2.8413233324579394</v>
      </c>
      <c r="CB20" s="16">
        <v>4.9694856146468993</v>
      </c>
      <c r="CC20" s="16">
        <v>0</v>
      </c>
      <c r="CD20" s="16">
        <v>0</v>
      </c>
      <c r="CE20" s="16">
        <v>0</v>
      </c>
      <c r="CF20" s="16">
        <v>0</v>
      </c>
      <c r="CG20" s="16">
        <v>0</v>
      </c>
      <c r="CI20" t="str">
        <f t="shared" si="0"/>
        <v>/*38*/ 000  1 11.8 8.55 10.5 891 471 525 1887 1.14467408585056 2.6625 2.325 2.025 2.3375 0.526524701101064 0.353333333333333 0.471666666666667 0.390769230769231 0.404864864864865 0.154139576387795 0.56 0.7 0.58 0.7 5.77353137516689 0 43.2432432432432 0 43.2432432432432 18.9189189189189 37.8378378378378 0 56.7567567567568 43.2432432432432 0.224545454545455 0.17 0.295 0.238108108108108 0.125716564758407 0.35 0.29 0.55 0.55 8.33333333333333 0.833333333333333 0 25 0 8.33333333333333 83.3333333333333 0.333333333333333 16.6666666666667 0.125 0.125 0 8.33333333333333E-02 0.416666666666667 2.5 2.75 1 2.08333333333333 0 0 0 0 0.75 2 0.75 1.16666666666667 0 75 25 46.6666666666667 0.833333333333333 95.0305143853531 2.84132333245794 4.9694856146469 0 0 0 0 0;</v>
      </c>
    </row>
    <row r="21" spans="1:87" x14ac:dyDescent="0.25">
      <c r="A21" s="12">
        <v>41</v>
      </c>
      <c r="B21" s="12">
        <v>0</v>
      </c>
      <c r="C21" s="12">
        <v>0</v>
      </c>
      <c r="D21" s="12">
        <v>0</v>
      </c>
      <c r="E21" s="12">
        <v>0</v>
      </c>
      <c r="F21" s="16">
        <v>21.7</v>
      </c>
      <c r="G21" s="16">
        <v>8.92</v>
      </c>
      <c r="H21" s="16">
        <v>15.05</v>
      </c>
      <c r="I21" s="16">
        <v>260</v>
      </c>
      <c r="J21" s="16">
        <v>208</v>
      </c>
      <c r="K21" s="16">
        <v>391</v>
      </c>
      <c r="L21" s="16">
        <v>859</v>
      </c>
      <c r="M21" s="16">
        <v>0</v>
      </c>
      <c r="N21" s="16">
        <v>2.85</v>
      </c>
      <c r="O21" s="16">
        <v>2.125</v>
      </c>
      <c r="P21" s="16">
        <v>3.1875000000000004</v>
      </c>
      <c r="Q21" s="16">
        <v>2.7208333333333332</v>
      </c>
      <c r="R21" s="16">
        <v>0.92782080666223821</v>
      </c>
      <c r="S21" s="16">
        <v>0.27166666666666667</v>
      </c>
      <c r="T21" s="16">
        <v>0.14000000000000001</v>
      </c>
      <c r="U21" s="16">
        <v>0.34</v>
      </c>
      <c r="V21" s="16">
        <v>0.25371428571428573</v>
      </c>
      <c r="W21" s="16">
        <v>0.14501695061745901</v>
      </c>
      <c r="X21" s="16">
        <v>0.4</v>
      </c>
      <c r="Y21" s="16">
        <v>0.24</v>
      </c>
      <c r="Z21" s="16">
        <v>0.76</v>
      </c>
      <c r="AA21" s="16">
        <v>0.76</v>
      </c>
      <c r="AB21" s="16">
        <v>10.724005255255255</v>
      </c>
      <c r="AC21" s="16">
        <v>0</v>
      </c>
      <c r="AD21" s="16">
        <v>60</v>
      </c>
      <c r="AE21" s="16">
        <v>0</v>
      </c>
      <c r="AF21" s="16">
        <v>60</v>
      </c>
      <c r="AG21" s="16">
        <v>0</v>
      </c>
      <c r="AH21" s="16">
        <v>40</v>
      </c>
      <c r="AI21" s="16">
        <v>0</v>
      </c>
      <c r="AJ21" s="16">
        <v>40</v>
      </c>
      <c r="AK21" s="16">
        <v>60</v>
      </c>
      <c r="AL21" s="16">
        <v>7.2727272727272738E-2</v>
      </c>
      <c r="AM21" s="16">
        <v>0.20700000000000002</v>
      </c>
      <c r="AN21" s="16">
        <v>7.8181818181818186E-2</v>
      </c>
      <c r="AO21" s="16">
        <v>0.10885714285714287</v>
      </c>
      <c r="AP21" s="16">
        <v>0.15840698567059375</v>
      </c>
      <c r="AQ21" s="16">
        <v>0.3</v>
      </c>
      <c r="AR21" s="16">
        <v>0.56000000000000005</v>
      </c>
      <c r="AS21" s="16">
        <v>0.56999999999999995</v>
      </c>
      <c r="AT21" s="16">
        <v>0.56999999999999995</v>
      </c>
      <c r="AU21" s="16">
        <v>16.666666666666664</v>
      </c>
      <c r="AV21" s="16">
        <v>0.29166666666666669</v>
      </c>
      <c r="AW21" s="16">
        <v>50</v>
      </c>
      <c r="AX21" s="16">
        <v>25</v>
      </c>
      <c r="AY21" s="16">
        <v>87.5</v>
      </c>
      <c r="AZ21" s="16">
        <v>54.166666666666664</v>
      </c>
      <c r="BA21" s="16">
        <v>37.5</v>
      </c>
      <c r="BB21" s="16">
        <v>0.75</v>
      </c>
      <c r="BC21" s="16">
        <v>25</v>
      </c>
      <c r="BD21" s="16">
        <v>0</v>
      </c>
      <c r="BE21" s="16">
        <v>0</v>
      </c>
      <c r="BF21" s="16">
        <v>0</v>
      </c>
      <c r="BG21" s="16">
        <v>0</v>
      </c>
      <c r="BH21" s="16">
        <v>0.125</v>
      </c>
      <c r="BI21" s="16">
        <v>0</v>
      </c>
      <c r="BJ21" s="16">
        <v>0</v>
      </c>
      <c r="BK21" s="16">
        <v>0</v>
      </c>
      <c r="BL21" s="16">
        <v>0</v>
      </c>
      <c r="BM21" s="16">
        <v>0</v>
      </c>
      <c r="BN21" s="16">
        <v>0</v>
      </c>
      <c r="BO21" s="16">
        <v>0</v>
      </c>
      <c r="BP21" s="16">
        <v>0</v>
      </c>
      <c r="BQ21" s="16">
        <v>0.75</v>
      </c>
      <c r="BR21" s="16">
        <v>0.5</v>
      </c>
      <c r="BS21" s="16">
        <v>2</v>
      </c>
      <c r="BT21" s="16">
        <v>1.0833333333333333</v>
      </c>
      <c r="BU21" s="16">
        <v>8.3333333333333321</v>
      </c>
      <c r="BV21" s="16">
        <v>75</v>
      </c>
      <c r="BW21" s="16">
        <v>16.666666666666664</v>
      </c>
      <c r="BX21" s="16">
        <v>38.958333333333336</v>
      </c>
      <c r="BY21" s="16">
        <v>1.7083333333333333</v>
      </c>
      <c r="BZ21" s="16">
        <v>57.507507507507505</v>
      </c>
      <c r="CA21" s="16">
        <v>14.631977694140668</v>
      </c>
      <c r="CB21" s="16">
        <v>42.492492492492495</v>
      </c>
      <c r="CC21" s="16">
        <v>0</v>
      </c>
      <c r="CD21" s="16">
        <v>0</v>
      </c>
      <c r="CE21" s="16">
        <v>0</v>
      </c>
      <c r="CF21" s="16">
        <v>0</v>
      </c>
      <c r="CG21" s="16">
        <v>0</v>
      </c>
      <c r="CI21" t="str">
        <f t="shared" si="0"/>
        <v>/*41*/ 000  1 21.7 8.92 15.05 260 208 391 859 0 2.85 2.125 3.1875 2.72083333333333 0.927820806662238 0.271666666666667 0.14 0.34 0.253714285714286 0.145016950617459 0.4 0.24 0.76 0.76 10.7240052552553 0 60 0 60 0 40 0 40 60 7.27272727272727E-02 0.207 7.81818181818182E-02 0.108857142857143 0.158406985670594 0.3 0.56 0.57 0.57 16.6666666666667 0.291666666666667 50 25 87.5 54.1666666666667 37.5 0.75 25 0 0 0 0 0.125 0 0 0 0 0 0 0 0 0.75 0.5 2 1.08333333333333 8.33333333333333 75 16.6666666666667 38.9583333333333 1.70833333333333 57.5075075075075 14.6319776941407 42.4924924924925 0 0 0 0 0;</v>
      </c>
    </row>
    <row r="22" spans="1:87" x14ac:dyDescent="0.25">
      <c r="A22" s="12">
        <v>48</v>
      </c>
      <c r="B22" s="12">
        <v>0</v>
      </c>
      <c r="C22" s="12">
        <v>0</v>
      </c>
      <c r="D22" s="12">
        <v>0</v>
      </c>
      <c r="E22" s="12">
        <v>0</v>
      </c>
      <c r="F22" s="16">
        <v>15</v>
      </c>
      <c r="G22" s="16">
        <v>8.58</v>
      </c>
      <c r="H22" s="16">
        <v>14.08</v>
      </c>
      <c r="I22" s="16">
        <v>698</v>
      </c>
      <c r="J22" s="16">
        <v>603</v>
      </c>
      <c r="K22" s="16">
        <v>658</v>
      </c>
      <c r="L22" s="16">
        <v>1959</v>
      </c>
      <c r="M22" s="16">
        <v>0</v>
      </c>
      <c r="N22" s="16">
        <v>4.0625</v>
      </c>
      <c r="O22" s="16">
        <v>3.5124999999999997</v>
      </c>
      <c r="P22" s="16">
        <v>2.8125</v>
      </c>
      <c r="Q22" s="16">
        <v>3.4625000000000004</v>
      </c>
      <c r="R22" s="16">
        <v>1.0499741197638695</v>
      </c>
      <c r="S22" s="16">
        <v>0.18000000000000002</v>
      </c>
      <c r="T22" s="16">
        <v>0.26</v>
      </c>
      <c r="U22" s="16">
        <v>0.21857142857142858</v>
      </c>
      <c r="V22" s="16">
        <v>0.22044444444444444</v>
      </c>
      <c r="W22" s="16">
        <v>0.13317718128929448</v>
      </c>
      <c r="X22" s="16">
        <v>0.44</v>
      </c>
      <c r="Y22" s="16">
        <v>0.54</v>
      </c>
      <c r="Z22" s="16">
        <v>0.66</v>
      </c>
      <c r="AA22" s="16">
        <v>0.66</v>
      </c>
      <c r="AB22" s="16">
        <v>15.706905241935486</v>
      </c>
      <c r="AC22" s="16">
        <v>0</v>
      </c>
      <c r="AD22" s="16">
        <v>11.111111111111111</v>
      </c>
      <c r="AE22" s="16">
        <v>0</v>
      </c>
      <c r="AF22" s="16">
        <v>11.111111111111111</v>
      </c>
      <c r="AG22" s="16">
        <v>6.666666666666667</v>
      </c>
      <c r="AH22" s="16">
        <v>82.222222222222214</v>
      </c>
      <c r="AI22" s="16">
        <v>0</v>
      </c>
      <c r="AJ22" s="16">
        <v>88.888888888888886</v>
      </c>
      <c r="AK22" s="16">
        <v>82.222222222222214</v>
      </c>
      <c r="AL22" s="16">
        <v>0.27666666666666662</v>
      </c>
      <c r="AM22" s="16">
        <v>0.15375</v>
      </c>
      <c r="AN22" s="16">
        <v>0.27857142857142858</v>
      </c>
      <c r="AO22" s="16">
        <v>0.23355555555555552</v>
      </c>
      <c r="AP22" s="16">
        <v>0.2047188266374102</v>
      </c>
      <c r="AQ22" s="16">
        <v>0.61</v>
      </c>
      <c r="AR22" s="16">
        <v>0.62</v>
      </c>
      <c r="AS22" s="16">
        <v>0.76</v>
      </c>
      <c r="AT22" s="16">
        <v>0.76</v>
      </c>
      <c r="AU22" s="16">
        <v>41.666666666666671</v>
      </c>
      <c r="AV22" s="16">
        <v>0.45833333333333331</v>
      </c>
      <c r="AW22" s="16">
        <v>0</v>
      </c>
      <c r="AX22" s="16">
        <v>25</v>
      </c>
      <c r="AY22" s="16">
        <v>12.5</v>
      </c>
      <c r="AZ22" s="16">
        <v>12.5</v>
      </c>
      <c r="BA22" s="16">
        <v>45.833333333333329</v>
      </c>
      <c r="BB22" s="16">
        <v>1.6666666666666667</v>
      </c>
      <c r="BC22" s="16">
        <v>50</v>
      </c>
      <c r="BD22" s="16">
        <v>0.625</v>
      </c>
      <c r="BE22" s="16">
        <v>0.75</v>
      </c>
      <c r="BF22" s="16">
        <v>0.125</v>
      </c>
      <c r="BG22" s="16">
        <v>0.5</v>
      </c>
      <c r="BH22" s="16">
        <v>0.16666666666666666</v>
      </c>
      <c r="BI22" s="16">
        <v>0</v>
      </c>
      <c r="BJ22" s="16">
        <v>0.5</v>
      </c>
      <c r="BK22" s="16">
        <v>0.25</v>
      </c>
      <c r="BL22" s="16">
        <v>0.25</v>
      </c>
      <c r="BM22" s="16">
        <v>0</v>
      </c>
      <c r="BN22" s="16">
        <v>0.25</v>
      </c>
      <c r="BO22" s="16">
        <v>0</v>
      </c>
      <c r="BP22" s="16">
        <v>8.3333333333333329E-2</v>
      </c>
      <c r="BQ22" s="16">
        <v>1</v>
      </c>
      <c r="BR22" s="16">
        <v>1</v>
      </c>
      <c r="BS22" s="16">
        <v>0.25</v>
      </c>
      <c r="BT22" s="16">
        <v>0.75</v>
      </c>
      <c r="BU22" s="16">
        <v>16.666666666666664</v>
      </c>
      <c r="BV22" s="16">
        <v>33.333333333333329</v>
      </c>
      <c r="BW22" s="16">
        <v>50</v>
      </c>
      <c r="BX22" s="16">
        <v>45.625</v>
      </c>
      <c r="BY22" s="16">
        <v>1.0833333333333333</v>
      </c>
      <c r="BZ22" s="16">
        <v>33.933933933933936</v>
      </c>
      <c r="CA22" s="16">
        <v>17.048576722236032</v>
      </c>
      <c r="CB22" s="16">
        <v>66.066066066066071</v>
      </c>
      <c r="CC22" s="16">
        <v>0</v>
      </c>
      <c r="CD22" s="16">
        <v>0</v>
      </c>
      <c r="CE22" s="16">
        <v>0</v>
      </c>
      <c r="CF22" s="16">
        <v>0</v>
      </c>
      <c r="CG22" s="16">
        <v>0</v>
      </c>
      <c r="CI22" t="str">
        <f t="shared" si="0"/>
        <v>/*48*/ 000  1 15 8.58 14.08 698 603 658 1959 0 4.0625 3.5125 2.8125 3.4625 1.04997411976387 0.18 0.26 0.218571428571429 0.220444444444444 0.133177181289294 0.44 0.54 0.66 0.66 15.7069052419355 0 11.1111111111111 0 11.1111111111111 6.66666666666667 82.2222222222222 0 88.8888888888889 82.2222222222222 0.276666666666667 0.15375 0.278571428571429 0.233555555555556 0.20471882663741 0.61 0.62 0.76 0.76 41.6666666666667 0.458333333333333 0 25 12.5 12.5 45.8333333333333 1.66666666666667 50 0.625 0.75 0.125 0.5 0.166666666666667 0 0.5 0.25 0.25 0 0.25 0 8.33333333333333E-02 1 1 0.25 0.75 16.6666666666667 33.3333333333333 50 45.625 1.08333333333333 33.9339339339339 17.048576722236 66.0660660660661 0 0 0 0 0;</v>
      </c>
    </row>
    <row r="23" spans="1:87" x14ac:dyDescent="0.25">
      <c r="A23" s="12">
        <v>57</v>
      </c>
      <c r="B23" s="12">
        <v>0</v>
      </c>
      <c r="C23" s="12">
        <v>0</v>
      </c>
      <c r="D23" s="12">
        <v>0</v>
      </c>
      <c r="E23" s="12">
        <v>0</v>
      </c>
      <c r="F23" s="16">
        <v>14.3</v>
      </c>
      <c r="G23" s="16">
        <v>7.91</v>
      </c>
      <c r="H23" s="16">
        <v>8.19</v>
      </c>
      <c r="I23" s="16">
        <v>188</v>
      </c>
      <c r="J23" s="16">
        <v>119</v>
      </c>
      <c r="K23" s="16">
        <v>97</v>
      </c>
      <c r="L23" s="16">
        <v>404</v>
      </c>
      <c r="M23" s="16">
        <v>0</v>
      </c>
      <c r="N23" s="16">
        <v>0.91250000000000009</v>
      </c>
      <c r="O23" s="16">
        <v>1.0249999999999999</v>
      </c>
      <c r="P23" s="16">
        <v>0.91249999999999998</v>
      </c>
      <c r="Q23" s="16">
        <v>0.95000000000000007</v>
      </c>
      <c r="R23" s="16">
        <v>0.30072376462244504</v>
      </c>
      <c r="S23" s="16">
        <v>0.23250000000000004</v>
      </c>
      <c r="T23" s="16">
        <v>0.22125</v>
      </c>
      <c r="U23" s="16">
        <v>0.1925</v>
      </c>
      <c r="V23" s="16">
        <v>0.21541666666666662</v>
      </c>
      <c r="W23" s="16">
        <v>8.4027902543126282E-2</v>
      </c>
      <c r="X23" s="16">
        <v>0.36</v>
      </c>
      <c r="Y23" s="16">
        <v>0.36</v>
      </c>
      <c r="Z23" s="16">
        <v>0.3</v>
      </c>
      <c r="AA23" s="16">
        <v>0.36</v>
      </c>
      <c r="AB23" s="16">
        <v>4.4100580270793053</v>
      </c>
      <c r="AC23" s="16">
        <v>0</v>
      </c>
      <c r="AD23" s="16">
        <v>54.166666666666664</v>
      </c>
      <c r="AE23" s="16">
        <v>20.833333333333336</v>
      </c>
      <c r="AF23" s="16">
        <v>75</v>
      </c>
      <c r="AG23" s="16">
        <v>12.5</v>
      </c>
      <c r="AH23" s="16">
        <v>12.5</v>
      </c>
      <c r="AI23" s="16">
        <v>0</v>
      </c>
      <c r="AJ23" s="16">
        <v>25</v>
      </c>
      <c r="AK23" s="16">
        <v>54.166666666666664</v>
      </c>
      <c r="AL23" s="16">
        <v>0.11750000000000001</v>
      </c>
      <c r="AM23" s="16">
        <v>0.10999999999999999</v>
      </c>
      <c r="AN23" s="16">
        <v>0.18375</v>
      </c>
      <c r="AO23" s="16">
        <v>0.13708333333333331</v>
      </c>
      <c r="AP23" s="16">
        <v>9.5438537775647189E-2</v>
      </c>
      <c r="AQ23" s="16">
        <v>0.25</v>
      </c>
      <c r="AR23" s="16">
        <v>0.25</v>
      </c>
      <c r="AS23" s="16">
        <v>0.37</v>
      </c>
      <c r="AT23" s="16">
        <v>0.37</v>
      </c>
      <c r="AU23" s="16">
        <v>8.3333333333333321</v>
      </c>
      <c r="AV23" s="16">
        <v>0.58333333333333337</v>
      </c>
      <c r="AW23" s="16">
        <v>37.5</v>
      </c>
      <c r="AX23" s="16">
        <v>25</v>
      </c>
      <c r="AY23" s="16">
        <v>37.5</v>
      </c>
      <c r="AZ23" s="16">
        <v>33.333333333333329</v>
      </c>
      <c r="BA23" s="16">
        <v>58.333333333333336</v>
      </c>
      <c r="BB23" s="16">
        <v>0.41666666666666669</v>
      </c>
      <c r="BC23" s="16">
        <v>8.3333333333333321</v>
      </c>
      <c r="BD23" s="16">
        <v>0</v>
      </c>
      <c r="BE23" s="16">
        <v>0</v>
      </c>
      <c r="BF23" s="16">
        <v>0.375</v>
      </c>
      <c r="BG23" s="16">
        <v>0.125</v>
      </c>
      <c r="BH23" s="16">
        <v>0.45833333333333331</v>
      </c>
      <c r="BI23" s="16">
        <v>2</v>
      </c>
      <c r="BJ23" s="16">
        <v>1.75</v>
      </c>
      <c r="BK23" s="16">
        <v>1.5</v>
      </c>
      <c r="BL23" s="16">
        <v>1.75</v>
      </c>
      <c r="BM23" s="16">
        <v>0.25</v>
      </c>
      <c r="BN23" s="16">
        <v>0</v>
      </c>
      <c r="BO23" s="16">
        <v>0</v>
      </c>
      <c r="BP23" s="16">
        <v>8.3333333333333329E-2</v>
      </c>
      <c r="BQ23" s="16">
        <v>0</v>
      </c>
      <c r="BR23" s="16">
        <v>0.25</v>
      </c>
      <c r="BS23" s="16">
        <v>0.5</v>
      </c>
      <c r="BT23" s="16">
        <v>0.25</v>
      </c>
      <c r="BU23" s="16">
        <v>4.1666666666666661</v>
      </c>
      <c r="BV23" s="16">
        <v>45.833333333333329</v>
      </c>
      <c r="BW23" s="16">
        <v>50</v>
      </c>
      <c r="BX23" s="16">
        <v>48.916666666666664</v>
      </c>
      <c r="BY23" s="16">
        <v>0.25</v>
      </c>
      <c r="BZ23" s="16">
        <v>85.585585585585591</v>
      </c>
      <c r="CA23" s="16">
        <v>10.342615576811163</v>
      </c>
      <c r="CB23" s="16">
        <v>14.414414414414409</v>
      </c>
      <c r="CC23" s="16">
        <v>0</v>
      </c>
      <c r="CD23" s="16">
        <v>0</v>
      </c>
      <c r="CE23" s="16">
        <v>0</v>
      </c>
      <c r="CF23" s="16">
        <v>0</v>
      </c>
      <c r="CG23" s="16">
        <v>0</v>
      </c>
      <c r="CI23" t="str">
        <f t="shared" si="0"/>
        <v>/*57*/ 000  1 14.3 7.91 8.19 188 119 97 404 0 0.9125 1.025 0.9125 0.95 0.300723764622445 0.2325 0.22125 0.1925 0.215416666666667 8.40279025431263E-02 0.36 0.36 0.3 0.36 4.41005802707931 0 54.1666666666667 20.8333333333333 75 12.5 12.5 0 25 54.1666666666667 0.1175 0.11 0.18375 0.137083333333333 9.54385377756472E-02 0.25 0.25 0.37 0.37 8.33333333333333 0.583333333333333 37.5 25 37.5 33.3333333333333 58.3333333333333 0.416666666666667 8.33333333333333 0 0 0.375 0.125 0.458333333333333 2 1.75 1.5 1.75 0.25 0 0 8.33333333333333E-02 0 0.25 0.5 0.25 4.16666666666667 45.8333333333333 50 48.9166666666667 0.25 85.5855855855856 10.3426155768112 14.4144144144144 0 0 0 0 0;</v>
      </c>
    </row>
    <row r="24" spans="1:87" x14ac:dyDescent="0.25">
      <c r="A24" s="12">
        <v>61</v>
      </c>
      <c r="B24" s="12">
        <v>0</v>
      </c>
      <c r="C24" s="12">
        <v>0</v>
      </c>
      <c r="D24" s="12">
        <v>0</v>
      </c>
      <c r="E24" s="12">
        <v>0</v>
      </c>
      <c r="F24" s="16">
        <v>16.2</v>
      </c>
      <c r="G24" s="16">
        <v>8.7799999999999994</v>
      </c>
      <c r="H24" s="16">
        <v>11.76</v>
      </c>
      <c r="I24" s="16">
        <v>380</v>
      </c>
      <c r="J24" s="16">
        <v>166</v>
      </c>
      <c r="K24" s="16">
        <v>166</v>
      </c>
      <c r="L24" s="16">
        <v>712</v>
      </c>
      <c r="M24" s="16">
        <v>0.42134831460674155</v>
      </c>
      <c r="N24" s="16">
        <v>2.6625000000000001</v>
      </c>
      <c r="O24" s="16">
        <v>2.1374999999999997</v>
      </c>
      <c r="P24" s="16">
        <v>1.9499999999999997</v>
      </c>
      <c r="Q24" s="16">
        <v>2.2500000000000004</v>
      </c>
      <c r="R24" s="16">
        <v>1.0232089335708168</v>
      </c>
      <c r="S24" s="16">
        <v>0.29454545454545455</v>
      </c>
      <c r="T24" s="16">
        <v>9.1111111111111115E-2</v>
      </c>
      <c r="U24" s="16">
        <v>0.16625000000000001</v>
      </c>
      <c r="V24" s="16">
        <v>0.19249999999999995</v>
      </c>
      <c r="W24" s="16">
        <v>0.21012562380104391</v>
      </c>
      <c r="X24" s="16">
        <v>0.8</v>
      </c>
      <c r="Y24" s="16">
        <v>0.16</v>
      </c>
      <c r="Z24" s="16">
        <v>0.6</v>
      </c>
      <c r="AA24" s="16">
        <v>0.8</v>
      </c>
      <c r="AB24" s="16">
        <v>11.688311688311694</v>
      </c>
      <c r="AC24" s="16">
        <v>0</v>
      </c>
      <c r="AD24" s="16">
        <v>16.666666666666664</v>
      </c>
      <c r="AE24" s="16">
        <v>0</v>
      </c>
      <c r="AF24" s="16">
        <v>16.666666666666664</v>
      </c>
      <c r="AG24" s="16">
        <v>8.3333333333333321</v>
      </c>
      <c r="AH24" s="16">
        <v>75</v>
      </c>
      <c r="AI24" s="16">
        <v>0</v>
      </c>
      <c r="AJ24" s="16">
        <v>83.333333333333329</v>
      </c>
      <c r="AK24" s="16">
        <v>75</v>
      </c>
      <c r="AL24" s="16">
        <v>8.1818181818181832E-2</v>
      </c>
      <c r="AM24" s="16">
        <v>0.28888888888888886</v>
      </c>
      <c r="AN24" s="16">
        <v>0.18875</v>
      </c>
      <c r="AO24" s="16">
        <v>0.17892857142857141</v>
      </c>
      <c r="AP24" s="16">
        <v>0.15009476724202997</v>
      </c>
      <c r="AQ24" s="16">
        <v>0.36</v>
      </c>
      <c r="AR24" s="16">
        <v>0.53</v>
      </c>
      <c r="AS24" s="16">
        <v>0.39</v>
      </c>
      <c r="AT24" s="16">
        <v>0.53</v>
      </c>
      <c r="AU24" s="16">
        <v>66.666666666666657</v>
      </c>
      <c r="AV24" s="16">
        <v>8.3333333333333329E-2</v>
      </c>
      <c r="AW24" s="16">
        <v>50</v>
      </c>
      <c r="AX24" s="16">
        <v>0</v>
      </c>
      <c r="AY24" s="16">
        <v>25</v>
      </c>
      <c r="AZ24" s="16">
        <v>25</v>
      </c>
      <c r="BA24" s="16">
        <v>66.666666666666657</v>
      </c>
      <c r="BB24" s="16">
        <v>0.5</v>
      </c>
      <c r="BC24" s="16">
        <v>25</v>
      </c>
      <c r="BD24" s="16">
        <v>0.375</v>
      </c>
      <c r="BE24" s="16">
        <v>0.375</v>
      </c>
      <c r="BF24" s="16">
        <v>0.125</v>
      </c>
      <c r="BG24" s="16">
        <v>0.29166666666666669</v>
      </c>
      <c r="BH24" s="16">
        <v>0.41666666666666669</v>
      </c>
      <c r="BI24" s="16">
        <v>0</v>
      </c>
      <c r="BJ24" s="16">
        <v>0</v>
      </c>
      <c r="BK24" s="16">
        <v>0</v>
      </c>
      <c r="BL24" s="16">
        <v>0</v>
      </c>
      <c r="BM24" s="16">
        <v>0.5</v>
      </c>
      <c r="BN24" s="16">
        <v>0.25</v>
      </c>
      <c r="BO24" s="16">
        <v>0.75</v>
      </c>
      <c r="BP24" s="16">
        <v>0.5</v>
      </c>
      <c r="BQ24" s="16">
        <v>2</v>
      </c>
      <c r="BR24" s="16">
        <v>0</v>
      </c>
      <c r="BS24" s="16">
        <v>0.25</v>
      </c>
      <c r="BT24" s="16">
        <v>0.75</v>
      </c>
      <c r="BU24" s="16">
        <v>33.333333333333329</v>
      </c>
      <c r="BV24" s="16">
        <v>62.5</v>
      </c>
      <c r="BW24" s="16">
        <v>4.1666666666666661</v>
      </c>
      <c r="BX24" s="16">
        <v>25.625</v>
      </c>
      <c r="BY24" s="16">
        <v>0.33333333333333331</v>
      </c>
      <c r="BZ24" s="16">
        <v>10.18018018018018</v>
      </c>
      <c r="CA24" s="16">
        <v>7.2191475919268333</v>
      </c>
      <c r="CB24" s="16">
        <v>89.819819819819827</v>
      </c>
      <c r="CC24" s="16">
        <v>0</v>
      </c>
      <c r="CD24" s="16">
        <v>0</v>
      </c>
      <c r="CE24" s="16">
        <v>0</v>
      </c>
      <c r="CF24" s="16">
        <v>0</v>
      </c>
      <c r="CG24" s="16">
        <v>0</v>
      </c>
      <c r="CI24" t="str">
        <f t="shared" si="0"/>
        <v>/*61*/ 000  1 16.2 8.78 11.76 380 166 166 712 0.421348314606742 2.6625 2.1375 1.95 2.25 1.02320893357082 0.294545454545455 9.11111111111111E-02 0.16625 0.1925 0.210125623801044 0.8 0.16 0.6 0.8 11.6883116883117 0 16.6666666666667 0 16.6666666666667 8.33333333333333 75 0 83.3333333333333 75 8.18181818181818E-02 0.288888888888889 0.18875 0.178928571428571 0.15009476724203 0.36 0.53 0.39 0.53 66.6666666666667 8.33333333333333E-02 50 0 25 25 66.6666666666667 0.5 25 0.375 0.375 0.125 0.291666666666667 0.416666666666667 0 0 0 0 0.5 0.25 0.75 0.5 2 0 0.25 0.75 33.3333333333333 62.5 4.16666666666667 25.625 0.333333333333333 10.1801801801802 7.21914759192683 89.8198198198198 0 0 0 0 0;</v>
      </c>
    </row>
    <row r="25" spans="1:87" x14ac:dyDescent="0.25">
      <c r="A25" s="12">
        <v>75</v>
      </c>
      <c r="B25" s="12">
        <v>0</v>
      </c>
      <c r="C25" s="12">
        <v>0</v>
      </c>
      <c r="D25" s="12">
        <v>0</v>
      </c>
      <c r="E25" s="12">
        <v>0</v>
      </c>
      <c r="F25" s="16">
        <v>16.100000000000001</v>
      </c>
      <c r="G25" s="16">
        <v>8.0299999999999994</v>
      </c>
      <c r="H25" s="16">
        <v>11.66</v>
      </c>
      <c r="I25" s="16">
        <v>338</v>
      </c>
      <c r="J25" s="16">
        <v>237</v>
      </c>
      <c r="K25" s="16">
        <v>310</v>
      </c>
      <c r="L25" s="16">
        <v>885</v>
      </c>
      <c r="M25" s="16">
        <v>0</v>
      </c>
      <c r="N25" s="16">
        <v>1.5875000000000001</v>
      </c>
      <c r="O25" s="16">
        <v>1.5125000000000002</v>
      </c>
      <c r="P25" s="16">
        <v>2</v>
      </c>
      <c r="Q25" s="16">
        <v>1.6999999999999993</v>
      </c>
      <c r="R25" s="16">
        <v>0.49956502819083182</v>
      </c>
      <c r="S25" s="16">
        <v>0.27749999999999997</v>
      </c>
      <c r="T25" s="16">
        <v>0.22624999999999998</v>
      </c>
      <c r="U25" s="16">
        <v>0.37</v>
      </c>
      <c r="V25" s="16">
        <v>0.29125000000000006</v>
      </c>
      <c r="W25" s="16">
        <v>0.12480637177156696</v>
      </c>
      <c r="X25" s="16">
        <v>0.5</v>
      </c>
      <c r="Y25" s="16">
        <v>0.5</v>
      </c>
      <c r="Z25" s="16">
        <v>0.5</v>
      </c>
      <c r="AA25" s="16">
        <v>0.5</v>
      </c>
      <c r="AB25" s="16">
        <v>5.8369098712446315</v>
      </c>
      <c r="AC25" s="16">
        <v>0</v>
      </c>
      <c r="AD25" s="16">
        <v>20.833333333333336</v>
      </c>
      <c r="AE25" s="16">
        <v>0</v>
      </c>
      <c r="AF25" s="16">
        <v>20.833333333333336</v>
      </c>
      <c r="AG25" s="16">
        <v>0</v>
      </c>
      <c r="AH25" s="16">
        <v>79.166666666666657</v>
      </c>
      <c r="AI25" s="16">
        <v>0</v>
      </c>
      <c r="AJ25" s="16">
        <v>79.166666666666657</v>
      </c>
      <c r="AK25" s="16">
        <v>79.166666666666657</v>
      </c>
      <c r="AL25" s="16">
        <v>0.43875000000000003</v>
      </c>
      <c r="AM25" s="16">
        <v>0.50750000000000006</v>
      </c>
      <c r="AN25" s="16">
        <v>0.26874999999999999</v>
      </c>
      <c r="AO25" s="16">
        <v>0.40499999999999997</v>
      </c>
      <c r="AP25" s="16">
        <v>0.25901149882146002</v>
      </c>
      <c r="AQ25" s="16">
        <v>0.79</v>
      </c>
      <c r="AR25" s="16">
        <v>0.96</v>
      </c>
      <c r="AS25" s="16">
        <v>0.57999999999999996</v>
      </c>
      <c r="AT25" s="16">
        <v>0.96</v>
      </c>
      <c r="AU25" s="16">
        <v>12.5</v>
      </c>
      <c r="AV25" s="16">
        <v>0.79166666666666663</v>
      </c>
      <c r="AW25" s="16">
        <v>0</v>
      </c>
      <c r="AX25" s="16">
        <v>0</v>
      </c>
      <c r="AY25" s="16">
        <v>25</v>
      </c>
      <c r="AZ25" s="16">
        <v>8.3333333333333321</v>
      </c>
      <c r="BA25" s="16">
        <v>79.166666666666657</v>
      </c>
      <c r="BB25" s="16">
        <v>1.3333333333333333</v>
      </c>
      <c r="BC25" s="16">
        <v>33.333333333333329</v>
      </c>
      <c r="BD25" s="16">
        <v>0</v>
      </c>
      <c r="BE25" s="16">
        <v>0</v>
      </c>
      <c r="BF25" s="16">
        <v>0.75</v>
      </c>
      <c r="BG25" s="16">
        <v>0.25</v>
      </c>
      <c r="BH25" s="16">
        <v>0.625</v>
      </c>
      <c r="BI25" s="16">
        <v>0.5</v>
      </c>
      <c r="BJ25" s="16">
        <v>0.25</v>
      </c>
      <c r="BK25" s="16">
        <v>0.25</v>
      </c>
      <c r="BL25" s="16">
        <v>0.33333333333333331</v>
      </c>
      <c r="BM25" s="16">
        <v>0</v>
      </c>
      <c r="BN25" s="16">
        <v>0</v>
      </c>
      <c r="BO25" s="16">
        <v>0</v>
      </c>
      <c r="BP25" s="16">
        <v>0</v>
      </c>
      <c r="BQ25" s="16">
        <v>0.25</v>
      </c>
      <c r="BR25" s="16">
        <v>0.5</v>
      </c>
      <c r="BS25" s="16">
        <v>0.25</v>
      </c>
      <c r="BT25" s="16">
        <v>0.33333333333333331</v>
      </c>
      <c r="BU25" s="16">
        <v>0</v>
      </c>
      <c r="BV25" s="16">
        <v>95.833333333333343</v>
      </c>
      <c r="BW25" s="16">
        <v>4.1666666666666661</v>
      </c>
      <c r="BX25" s="16">
        <v>41.666666666666664</v>
      </c>
      <c r="BY25" s="16">
        <v>0.20833333333333334</v>
      </c>
      <c r="BZ25" s="16">
        <v>97.972972972972968</v>
      </c>
      <c r="CA25" s="16">
        <v>2.598076211353316</v>
      </c>
      <c r="CB25" s="16">
        <v>2.0270270270270316</v>
      </c>
      <c r="CC25" s="16">
        <v>0</v>
      </c>
      <c r="CD25" s="16">
        <v>0</v>
      </c>
      <c r="CE25" s="16">
        <v>0</v>
      </c>
      <c r="CF25" s="16">
        <v>0</v>
      </c>
      <c r="CG25" s="16">
        <v>0</v>
      </c>
      <c r="CI25" t="str">
        <f t="shared" si="0"/>
        <v>/*75*/ 000  1 16.1 8.03 11.66 338 237 310 885 0 1.5875 1.5125 2 1.7 0.499565028190832 0.2775 0.22625 0.37 0.29125 0.124806371771567 0.5 0.5 0.5 0.5 5.83690987124463 0 20.8333333333333 0 20.8333333333333 0 79.1666666666667 0 79.1666666666667 79.1666666666667 0.43875 0.5075 0.26875 0.405 0.25901149882146 0.79 0.96 0.58 0.96 12.5 0.791666666666667 0 0 25 8.33333333333333 79.1666666666667 1.33333333333333 33.3333333333333 0 0 0.75 0.25 0.625 0.5 0.25 0.25 0.333333333333333 0 0 0 0 0.25 0.5 0.25 0.333333333333333 0 95.8333333333333 4.16666666666667 41.6666666666667 0.208333333333333 97.972972972973 2.59807621135332 2.02702702702703 0 0 0 0 0;</v>
      </c>
    </row>
    <row r="26" spans="1:87" x14ac:dyDescent="0.25">
      <c r="A26" s="12">
        <v>84</v>
      </c>
      <c r="B26" s="12">
        <v>0</v>
      </c>
      <c r="C26" s="12">
        <v>0</v>
      </c>
      <c r="D26" s="12">
        <v>0</v>
      </c>
      <c r="E26" s="12">
        <v>0</v>
      </c>
      <c r="F26" s="16">
        <v>15.6</v>
      </c>
      <c r="G26" s="16">
        <v>7.99</v>
      </c>
      <c r="H26" s="16">
        <v>10.52</v>
      </c>
      <c r="I26" s="16">
        <v>122</v>
      </c>
      <c r="J26" s="16">
        <v>141</v>
      </c>
      <c r="K26" s="16">
        <v>167</v>
      </c>
      <c r="L26" s="16">
        <v>430</v>
      </c>
      <c r="M26" s="16">
        <v>0</v>
      </c>
      <c r="N26" s="16">
        <v>1.9</v>
      </c>
      <c r="O26" s="16">
        <v>2.2374999999999998</v>
      </c>
      <c r="P26" s="16">
        <v>2.2124999999999999</v>
      </c>
      <c r="Q26" s="16">
        <v>2.1166666666666667</v>
      </c>
      <c r="R26" s="16">
        <v>0.35590260840104421</v>
      </c>
      <c r="S26" s="16">
        <v>0.24545454545454548</v>
      </c>
      <c r="T26" s="16">
        <v>0.14583333333333334</v>
      </c>
      <c r="U26" s="16">
        <v>0.10666666666666669</v>
      </c>
      <c r="V26" s="16">
        <v>0.16371428571428576</v>
      </c>
      <c r="W26" s="16">
        <v>9.8102159066176281E-2</v>
      </c>
      <c r="X26" s="16">
        <v>0.48</v>
      </c>
      <c r="Y26" s="16">
        <v>0.26</v>
      </c>
      <c r="Z26" s="16">
        <v>0.2</v>
      </c>
      <c r="AA26" s="16">
        <v>0.48</v>
      </c>
      <c r="AB26" s="16">
        <v>12.929028504944732</v>
      </c>
      <c r="AC26" s="16">
        <v>0</v>
      </c>
      <c r="AD26" s="16">
        <v>65.714285714285708</v>
      </c>
      <c r="AE26" s="16">
        <v>17.142857142857142</v>
      </c>
      <c r="AF26" s="16">
        <v>82.857142857142847</v>
      </c>
      <c r="AG26" s="16">
        <v>0</v>
      </c>
      <c r="AH26" s="16">
        <v>17.142857142857142</v>
      </c>
      <c r="AI26" s="16">
        <v>0</v>
      </c>
      <c r="AJ26" s="16">
        <v>17.142857142857142</v>
      </c>
      <c r="AK26" s="16">
        <v>65.714285714285708</v>
      </c>
      <c r="AL26" s="16">
        <v>0.19636363636363632</v>
      </c>
      <c r="AM26" s="16">
        <v>0.16636363636363635</v>
      </c>
      <c r="AN26" s="16">
        <v>0.2818181818181818</v>
      </c>
      <c r="AO26" s="16">
        <v>0.20942857142857141</v>
      </c>
      <c r="AP26" s="16">
        <v>0.12564990712158872</v>
      </c>
      <c r="AQ26" s="16">
        <v>0.56000000000000005</v>
      </c>
      <c r="AR26" s="16">
        <v>0.38</v>
      </c>
      <c r="AS26" s="16">
        <v>0.46</v>
      </c>
      <c r="AT26" s="16">
        <v>0.56000000000000005</v>
      </c>
      <c r="AU26" s="16">
        <v>8.3333333333333321</v>
      </c>
      <c r="AV26" s="16">
        <v>0.75</v>
      </c>
      <c r="AW26" s="16">
        <v>25</v>
      </c>
      <c r="AX26" s="16">
        <v>25</v>
      </c>
      <c r="AY26" s="16">
        <v>0</v>
      </c>
      <c r="AZ26" s="16">
        <v>16.666666666666664</v>
      </c>
      <c r="BA26" s="16">
        <v>75</v>
      </c>
      <c r="BB26" s="16">
        <v>0.25</v>
      </c>
      <c r="BC26" s="16">
        <v>8.3333333333333321</v>
      </c>
      <c r="BD26" s="16">
        <v>1</v>
      </c>
      <c r="BE26" s="16">
        <v>0.5</v>
      </c>
      <c r="BF26" s="16">
        <v>0.875</v>
      </c>
      <c r="BG26" s="16">
        <v>0.79166666666666663</v>
      </c>
      <c r="BH26" s="16">
        <v>1.8333333333333333</v>
      </c>
      <c r="BI26" s="16">
        <v>1</v>
      </c>
      <c r="BJ26" s="16">
        <v>0.5</v>
      </c>
      <c r="BK26" s="16">
        <v>0.25</v>
      </c>
      <c r="BL26" s="16">
        <v>0.58333333333333337</v>
      </c>
      <c r="BM26" s="16">
        <v>0.5</v>
      </c>
      <c r="BN26" s="16">
        <v>0</v>
      </c>
      <c r="BO26" s="16">
        <v>0</v>
      </c>
      <c r="BP26" s="16">
        <v>0.16666666666666666</v>
      </c>
      <c r="BQ26" s="16">
        <v>1</v>
      </c>
      <c r="BR26" s="16">
        <v>0.25</v>
      </c>
      <c r="BS26" s="16">
        <v>0.25</v>
      </c>
      <c r="BT26" s="16">
        <v>0.5</v>
      </c>
      <c r="BU26" s="16">
        <v>20.833333333333336</v>
      </c>
      <c r="BV26" s="16">
        <v>50</v>
      </c>
      <c r="BW26" s="16">
        <v>29.166666666666668</v>
      </c>
      <c r="BX26" s="16">
        <v>36.666666666666664</v>
      </c>
      <c r="BY26" s="16">
        <v>0.79166666666666663</v>
      </c>
      <c r="BZ26" s="16">
        <v>35.472972972972968</v>
      </c>
      <c r="CA26" s="16">
        <v>13.666869917187817</v>
      </c>
      <c r="CB26" s="16">
        <v>64.527027027027032</v>
      </c>
      <c r="CC26" s="16">
        <v>0</v>
      </c>
      <c r="CD26" s="16">
        <v>0</v>
      </c>
      <c r="CE26" s="16">
        <v>0</v>
      </c>
      <c r="CF26" s="16">
        <v>0</v>
      </c>
      <c r="CG26" s="16">
        <v>0</v>
      </c>
      <c r="CI26" t="str">
        <f t="shared" si="0"/>
        <v>/*84*/ 000  1 15.6 7.99 10.52 122 141 167 430 0 1.9 2.2375 2.2125 2.11666666666667 0.355902608401044 0.245454545454545 0.145833333333333 0.106666666666667 0.163714285714286 9.81021590661763E-02 0.48 0.26 0.2 0.48 12.9290285049447 0 65.7142857142857 17.1428571428571 82.8571428571428 0 17.1428571428571 0 17.1428571428571 65.7142857142857 0.196363636363636 0.166363636363636 0.281818181818182 0.209428571428571 0.125649907121589 0.56 0.38 0.46 0.56 8.33333333333333 0.75 25 25 0 16.6666666666667 75 0.25 8.33333333333333 1 0.5 0.875 0.791666666666667 1.83333333333333 1 0.5 0.25 0.583333333333333 0.5 0 0 0.166666666666667 1 0.25 0.25 0.5 20.8333333333333 50 29.1666666666667 36.6666666666667 0.791666666666667 35.472972972973 13.6668699171878 64.527027027027 0 0 0 0 0;</v>
      </c>
    </row>
    <row r="27" spans="1:87" x14ac:dyDescent="0.25">
      <c r="A27" s="12">
        <v>85</v>
      </c>
      <c r="B27" s="12">
        <v>1</v>
      </c>
      <c r="C27" s="12">
        <v>0</v>
      </c>
      <c r="D27" s="12">
        <v>0</v>
      </c>
      <c r="E27" s="12">
        <v>0</v>
      </c>
      <c r="F27" s="16">
        <v>15.9</v>
      </c>
      <c r="G27" s="16">
        <v>8.11</v>
      </c>
      <c r="H27" s="16">
        <v>11.78</v>
      </c>
      <c r="I27" s="16">
        <v>949</v>
      </c>
      <c r="J27" s="16">
        <v>490</v>
      </c>
      <c r="K27" s="16">
        <v>427</v>
      </c>
      <c r="L27" s="16">
        <v>1866</v>
      </c>
      <c r="M27" s="16">
        <v>3.2154340836012865</v>
      </c>
      <c r="N27" s="16">
        <v>2.8624999999999998</v>
      </c>
      <c r="O27" s="16">
        <v>3.5750000000000002</v>
      </c>
      <c r="P27" s="16">
        <v>4.242857142857142</v>
      </c>
      <c r="Q27" s="16">
        <v>3.5304347826086957</v>
      </c>
      <c r="R27" s="16">
        <v>1.0742586376442869</v>
      </c>
      <c r="S27" s="16">
        <v>0.35299999999999998</v>
      </c>
      <c r="T27" s="16">
        <v>0.23785714285714285</v>
      </c>
      <c r="U27" s="16">
        <v>0.16545454545454544</v>
      </c>
      <c r="V27" s="16">
        <v>0.24800000000000005</v>
      </c>
      <c r="W27" s="16">
        <v>0.16021676493022147</v>
      </c>
      <c r="X27" s="16">
        <v>0.68</v>
      </c>
      <c r="Y27" s="16">
        <v>0.54</v>
      </c>
      <c r="Z27" s="16">
        <v>0.3</v>
      </c>
      <c r="AA27" s="16">
        <v>0.68</v>
      </c>
      <c r="AB27" s="16">
        <v>14.235624123422157</v>
      </c>
      <c r="AC27" s="16">
        <v>0</v>
      </c>
      <c r="AD27" s="16">
        <v>0</v>
      </c>
      <c r="AE27" s="16">
        <v>0</v>
      </c>
      <c r="AF27" s="16">
        <v>0</v>
      </c>
      <c r="AG27" s="16">
        <v>5.7142857142857144</v>
      </c>
      <c r="AH27" s="16">
        <v>94.285714285714278</v>
      </c>
      <c r="AI27" s="16">
        <v>0</v>
      </c>
      <c r="AJ27" s="16">
        <v>99.999999999999986</v>
      </c>
      <c r="AK27" s="16">
        <v>94.285714285714278</v>
      </c>
      <c r="AL27" s="16">
        <v>0.23888888888888887</v>
      </c>
      <c r="AM27" s="16">
        <v>0.1676923076923077</v>
      </c>
      <c r="AN27" s="16">
        <v>0.27300000000000002</v>
      </c>
      <c r="AO27" s="16">
        <v>0.20399999999999996</v>
      </c>
      <c r="AP27" s="16">
        <v>0.18137059882364359</v>
      </c>
      <c r="AQ27" s="16">
        <v>0.54</v>
      </c>
      <c r="AR27" s="16">
        <v>0.48</v>
      </c>
      <c r="AS27" s="16">
        <v>0.67</v>
      </c>
      <c r="AT27" s="16">
        <v>0.67</v>
      </c>
      <c r="AU27" s="16">
        <v>54.166666666666664</v>
      </c>
      <c r="AV27" s="16">
        <v>0.13043478260869565</v>
      </c>
      <c r="AW27" s="16">
        <v>37.5</v>
      </c>
      <c r="AX27" s="16">
        <v>50</v>
      </c>
      <c r="AY27" s="16">
        <v>0</v>
      </c>
      <c r="AZ27" s="16">
        <v>29.166666666666668</v>
      </c>
      <c r="BA27" s="16">
        <v>54.166666666666664</v>
      </c>
      <c r="BB27" s="16">
        <v>1</v>
      </c>
      <c r="BC27" s="16">
        <v>33.333333333333329</v>
      </c>
      <c r="BD27" s="16">
        <v>0.25</v>
      </c>
      <c r="BE27" s="16">
        <v>0.25</v>
      </c>
      <c r="BF27" s="16">
        <v>0.14285714285714285</v>
      </c>
      <c r="BG27" s="16">
        <v>0.21739130434782608</v>
      </c>
      <c r="BH27" s="16">
        <v>0.65217391304347827</v>
      </c>
      <c r="BI27" s="16">
        <v>1</v>
      </c>
      <c r="BJ27" s="16">
        <v>0.5</v>
      </c>
      <c r="BK27" s="16">
        <v>0.75</v>
      </c>
      <c r="BL27" s="16">
        <v>0.75</v>
      </c>
      <c r="BM27" s="16">
        <v>1</v>
      </c>
      <c r="BN27" s="16">
        <v>0.25</v>
      </c>
      <c r="BO27" s="16">
        <v>1</v>
      </c>
      <c r="BP27" s="16">
        <v>0.75</v>
      </c>
      <c r="BQ27" s="16">
        <v>1.5</v>
      </c>
      <c r="BR27" s="16">
        <v>0.5</v>
      </c>
      <c r="BS27" s="16">
        <v>0</v>
      </c>
      <c r="BT27" s="16">
        <v>0.66666666666666663</v>
      </c>
      <c r="BU27" s="16">
        <v>33.333333333333329</v>
      </c>
      <c r="BV27" s="16">
        <v>50</v>
      </c>
      <c r="BW27" s="16">
        <v>16.666666666666664</v>
      </c>
      <c r="BX27" s="16">
        <v>30.416666666666668</v>
      </c>
      <c r="BY27" s="16">
        <v>0.625</v>
      </c>
      <c r="BZ27" s="16">
        <v>8.9189189189189175</v>
      </c>
      <c r="CA27" s="16">
        <v>4.7354131742683743</v>
      </c>
      <c r="CB27" s="16">
        <v>91.081081081081081</v>
      </c>
      <c r="CC27" s="16">
        <v>0</v>
      </c>
      <c r="CD27" s="16">
        <v>0</v>
      </c>
      <c r="CE27" s="16">
        <v>0</v>
      </c>
      <c r="CF27" s="16">
        <v>0</v>
      </c>
      <c r="CG27" s="16">
        <v>0</v>
      </c>
      <c r="CI27" t="str">
        <f t="shared" si="0"/>
        <v>/*85*/ 100  1 15.9 8.11 11.78 949 490 427 1866 3.21543408360129 2.8625 3.575 4.24285714285714 3.5304347826087 1.07425863764429 0.353 0.237857142857143 0.165454545454545 0.248 0.160216764930221 0.68 0.54 0.3 0.68 14.2356241234222 0 0 0 0 5.71428571428571 94.2857142857143 0 100 94.2857142857143 0.238888888888889 0.167692307692308 0.273 0.204 0.181370598823644 0.54 0.48 0.67 0.67 54.1666666666667 0.130434782608696 37.5 50 0 29.1666666666667 54.1666666666667 1 33.3333333333333 0.25 0.25 0.142857142857143 0.217391304347826 0.652173913043478 1 0.5 0.75 0.75 1 0.25 1 0.75 1.5 0.5 0 0.666666666666667 33.3333333333333 50 16.6666666666667 30.4166666666667 0.625 8.91891891891892 4.73541317426837 91.0810810810811 0 0 0 0 0;</v>
      </c>
    </row>
    <row r="28" spans="1:87" x14ac:dyDescent="0.25">
      <c r="A28" s="12">
        <v>86</v>
      </c>
      <c r="B28" s="12">
        <v>0</v>
      </c>
      <c r="C28" s="12">
        <v>0</v>
      </c>
      <c r="D28" s="12">
        <v>0</v>
      </c>
      <c r="E28" s="12">
        <v>0</v>
      </c>
      <c r="F28" s="16">
        <v>15.6</v>
      </c>
      <c r="G28" s="16">
        <v>8.39</v>
      </c>
      <c r="H28" s="16">
        <v>11.56</v>
      </c>
      <c r="I28" s="16">
        <v>448</v>
      </c>
      <c r="J28" s="16">
        <v>475</v>
      </c>
      <c r="K28" s="16">
        <v>545</v>
      </c>
      <c r="L28" s="16">
        <v>1468</v>
      </c>
      <c r="M28" s="16">
        <v>0.57220708446866475</v>
      </c>
      <c r="N28" s="16">
        <v>2.6750000000000003</v>
      </c>
      <c r="O28" s="16">
        <v>3.1374999999999997</v>
      </c>
      <c r="P28" s="16">
        <v>2.7624999999999997</v>
      </c>
      <c r="Q28" s="16">
        <v>2.8583333333333338</v>
      </c>
      <c r="R28" s="16">
        <v>0.84024668565464744</v>
      </c>
      <c r="S28" s="16">
        <v>0.2225</v>
      </c>
      <c r="T28" s="16">
        <v>0.25</v>
      </c>
      <c r="U28" s="16">
        <v>0.19833333333333333</v>
      </c>
      <c r="V28" s="16">
        <v>0.22361111111111112</v>
      </c>
      <c r="W28" s="16">
        <v>0.12226792074965714</v>
      </c>
      <c r="X28" s="16">
        <v>0.54</v>
      </c>
      <c r="Y28" s="16">
        <v>0.56000000000000005</v>
      </c>
      <c r="Z28" s="16">
        <v>0.44</v>
      </c>
      <c r="AA28" s="16">
        <v>0.56000000000000005</v>
      </c>
      <c r="AB28" s="16">
        <v>12.782608695652176</v>
      </c>
      <c r="AC28" s="16">
        <v>3.3333333333333335</v>
      </c>
      <c r="AD28" s="16">
        <v>0</v>
      </c>
      <c r="AE28" s="16">
        <v>6.666666666666667</v>
      </c>
      <c r="AF28" s="16">
        <v>10</v>
      </c>
      <c r="AG28" s="16">
        <v>0</v>
      </c>
      <c r="AH28" s="16">
        <v>90</v>
      </c>
      <c r="AI28" s="16">
        <v>0</v>
      </c>
      <c r="AJ28" s="16">
        <v>90</v>
      </c>
      <c r="AK28" s="16">
        <v>90</v>
      </c>
      <c r="AL28" s="16">
        <v>0.2558333333333333</v>
      </c>
      <c r="AM28" s="16">
        <v>0.23666666666666666</v>
      </c>
      <c r="AN28" s="16">
        <v>0.20333333333333334</v>
      </c>
      <c r="AO28" s="16">
        <v>0.23194444444444443</v>
      </c>
      <c r="AP28" s="16">
        <v>0.22565231719166601</v>
      </c>
      <c r="AQ28" s="16">
        <v>0.72</v>
      </c>
      <c r="AR28" s="16">
        <v>0.92</v>
      </c>
      <c r="AS28" s="16">
        <v>0.46</v>
      </c>
      <c r="AT28" s="16">
        <v>0.92</v>
      </c>
      <c r="AU28" s="16">
        <v>37.5</v>
      </c>
      <c r="AV28" s="16">
        <v>0.33333333333333331</v>
      </c>
      <c r="AW28" s="16">
        <v>37.5</v>
      </c>
      <c r="AX28" s="16">
        <v>37.5</v>
      </c>
      <c r="AY28" s="16">
        <v>12.5</v>
      </c>
      <c r="AZ28" s="16">
        <v>29.166666666666668</v>
      </c>
      <c r="BA28" s="16">
        <v>37.5</v>
      </c>
      <c r="BB28" s="16">
        <v>1.75</v>
      </c>
      <c r="BC28" s="16">
        <v>58.333333333333336</v>
      </c>
      <c r="BD28" s="16">
        <v>0</v>
      </c>
      <c r="BE28" s="16">
        <v>0</v>
      </c>
      <c r="BF28" s="16">
        <v>0</v>
      </c>
      <c r="BG28" s="16">
        <v>0</v>
      </c>
      <c r="BH28" s="16">
        <v>0.375</v>
      </c>
      <c r="BI28" s="16">
        <v>0</v>
      </c>
      <c r="BJ28" s="16">
        <v>0</v>
      </c>
      <c r="BK28" s="16">
        <v>0</v>
      </c>
      <c r="BL28" s="16">
        <v>0</v>
      </c>
      <c r="BM28" s="16">
        <v>0.25</v>
      </c>
      <c r="BN28" s="16">
        <v>0</v>
      </c>
      <c r="BO28" s="16">
        <v>1</v>
      </c>
      <c r="BP28" s="16">
        <v>0.41666666666666669</v>
      </c>
      <c r="BQ28" s="16">
        <v>0.75</v>
      </c>
      <c r="BR28" s="16">
        <v>0.5</v>
      </c>
      <c r="BS28" s="16">
        <v>0.75</v>
      </c>
      <c r="BT28" s="16">
        <v>0.66666666666666663</v>
      </c>
      <c r="BU28" s="16">
        <v>33.333333333333329</v>
      </c>
      <c r="BV28" s="16">
        <v>54.166666666666664</v>
      </c>
      <c r="BW28" s="16">
        <v>12.5</v>
      </c>
      <c r="BX28" s="16">
        <v>29.166666666666668</v>
      </c>
      <c r="BY28" s="16">
        <v>1.6666666666666667</v>
      </c>
      <c r="BZ28" s="16">
        <v>64.26426426426427</v>
      </c>
      <c r="CA28" s="16">
        <v>16.030526434829824</v>
      </c>
      <c r="CB28" s="16">
        <v>35.73573573573573</v>
      </c>
      <c r="CC28" s="16">
        <v>0</v>
      </c>
      <c r="CD28" s="16">
        <v>0</v>
      </c>
      <c r="CE28" s="16">
        <v>0</v>
      </c>
      <c r="CF28" s="16">
        <v>0</v>
      </c>
      <c r="CG28" s="16">
        <v>0</v>
      </c>
      <c r="CI28" t="str">
        <f t="shared" si="0"/>
        <v>/*86*/ 000  1 15.6 8.39 11.56 448 475 545 1468 0.572207084468665 2.675 3.1375 2.7625 2.85833333333333 0.840246685654647 0.2225 0.25 0.198333333333333 0.223611111111111 0.122267920749657 0.54 0.56 0.44 0.56 12.7826086956522 3.33333333333333 0 6.66666666666667 10 0 90 0 90 90 0.255833333333333 0.236666666666667 0.203333333333333 0.231944444444444 0.225652317191666 0.72 0.92 0.46 0.92 37.5 0.333333333333333 37.5 37.5 12.5 29.1666666666667 37.5 1.75 58.3333333333333 0 0 0 0 0.375 0 0 0 0 0.25 0 1 0.416666666666667 0.75 0.5 0.75 0.666666666666667 33.3333333333333 54.1666666666667 12.5 29.1666666666667 1.66666666666667 64.2642642642643 16.0305264348298 35.7357357357357 0 0 0 0 0;</v>
      </c>
    </row>
    <row r="29" spans="1:87" x14ac:dyDescent="0.25">
      <c r="A29" s="12">
        <v>93</v>
      </c>
      <c r="B29" s="12">
        <v>0</v>
      </c>
      <c r="C29" s="12">
        <v>0</v>
      </c>
      <c r="D29" s="12">
        <v>1</v>
      </c>
      <c r="E29" s="12">
        <v>0</v>
      </c>
      <c r="F29" s="16">
        <v>15.7</v>
      </c>
      <c r="G29" s="16">
        <v>8.5399999999999991</v>
      </c>
      <c r="H29" s="16">
        <v>11.63</v>
      </c>
      <c r="I29" s="16">
        <v>441</v>
      </c>
      <c r="J29" s="16">
        <v>310</v>
      </c>
      <c r="K29" s="16">
        <v>488</v>
      </c>
      <c r="L29" s="16">
        <v>1239</v>
      </c>
      <c r="M29" s="16">
        <v>0</v>
      </c>
      <c r="N29" s="16">
        <v>1.4</v>
      </c>
      <c r="O29" s="16">
        <v>1.5625</v>
      </c>
      <c r="P29" s="16">
        <v>1.9375</v>
      </c>
      <c r="Q29" s="16">
        <v>1.6333333333333335</v>
      </c>
      <c r="R29" s="16">
        <v>0.74813778472119363</v>
      </c>
      <c r="S29" s="16">
        <v>0.12222222222222223</v>
      </c>
      <c r="T29" s="16">
        <v>0.13</v>
      </c>
      <c r="U29" s="16">
        <v>0.26800000000000002</v>
      </c>
      <c r="V29" s="16">
        <v>0.17517241379310347</v>
      </c>
      <c r="W29" s="16">
        <v>0.14497834049202887</v>
      </c>
      <c r="X29" s="16">
        <v>0.28000000000000003</v>
      </c>
      <c r="Y29" s="16">
        <v>0.2</v>
      </c>
      <c r="Z29" s="16">
        <v>0.68</v>
      </c>
      <c r="AA29" s="16">
        <v>0.68</v>
      </c>
      <c r="AB29" s="16">
        <v>9.3241469816272957</v>
      </c>
      <c r="AC29" s="16">
        <v>0</v>
      </c>
      <c r="AD29" s="16">
        <v>14.814814814814813</v>
      </c>
      <c r="AE29" s="16">
        <v>7.4074074074074066</v>
      </c>
      <c r="AF29" s="16">
        <v>22.222222222222221</v>
      </c>
      <c r="AG29" s="16">
        <v>11.111111111111111</v>
      </c>
      <c r="AH29" s="16">
        <v>66.666666666666657</v>
      </c>
      <c r="AI29" s="16">
        <v>0</v>
      </c>
      <c r="AJ29" s="16">
        <v>77.777777777777771</v>
      </c>
      <c r="AK29" s="16">
        <v>66.666666666666657</v>
      </c>
      <c r="AL29" s="16">
        <v>0.23111111111111107</v>
      </c>
      <c r="AM29" s="16">
        <v>0.13900000000000001</v>
      </c>
      <c r="AN29" s="16">
        <v>0.14699999999999999</v>
      </c>
      <c r="AO29" s="16">
        <v>0.17034482758620684</v>
      </c>
      <c r="AP29" s="16">
        <v>0.16145505253830794</v>
      </c>
      <c r="AQ29" s="16">
        <v>0.5</v>
      </c>
      <c r="AR29" s="16">
        <v>0.26</v>
      </c>
      <c r="AS29" s="16">
        <v>0.56000000000000005</v>
      </c>
      <c r="AT29" s="16">
        <v>0.56000000000000005</v>
      </c>
      <c r="AU29" s="16">
        <v>29.166666666666668</v>
      </c>
      <c r="AV29" s="16">
        <v>0.45833333333333331</v>
      </c>
      <c r="AW29" s="16">
        <v>0</v>
      </c>
      <c r="AX29" s="16">
        <v>25</v>
      </c>
      <c r="AY29" s="16">
        <v>50</v>
      </c>
      <c r="AZ29" s="16">
        <v>25</v>
      </c>
      <c r="BA29" s="16">
        <v>45.833333333333329</v>
      </c>
      <c r="BB29" s="16">
        <v>1.3333333333333333</v>
      </c>
      <c r="BC29" s="16">
        <v>50</v>
      </c>
      <c r="BD29" s="16">
        <v>0</v>
      </c>
      <c r="BE29" s="16">
        <v>0.125</v>
      </c>
      <c r="BF29" s="16">
        <v>0</v>
      </c>
      <c r="BG29" s="16">
        <v>4.1666666666666664E-2</v>
      </c>
      <c r="BH29" s="16">
        <v>0.54166666666666663</v>
      </c>
      <c r="BI29" s="16">
        <v>0</v>
      </c>
      <c r="BJ29" s="16">
        <v>0</v>
      </c>
      <c r="BK29" s="16">
        <v>0.5</v>
      </c>
      <c r="BL29" s="16">
        <v>0.16666666666666666</v>
      </c>
      <c r="BM29" s="16">
        <v>0</v>
      </c>
      <c r="BN29" s="16">
        <v>0</v>
      </c>
      <c r="BO29" s="16">
        <v>0</v>
      </c>
      <c r="BP29" s="16">
        <v>0</v>
      </c>
      <c r="BQ29" s="16">
        <v>0</v>
      </c>
      <c r="BR29" s="16">
        <v>0</v>
      </c>
      <c r="BS29" s="16">
        <v>1.5</v>
      </c>
      <c r="BT29" s="16">
        <v>0.5</v>
      </c>
      <c r="BU29" s="16">
        <v>37.5</v>
      </c>
      <c r="BV29" s="16">
        <v>62.5</v>
      </c>
      <c r="BW29" s="16">
        <v>0</v>
      </c>
      <c r="BX29" s="16">
        <v>23.125</v>
      </c>
      <c r="BY29" s="16">
        <v>4.5454545454545456E-2</v>
      </c>
      <c r="BZ29" s="16">
        <v>34.45945945945946</v>
      </c>
      <c r="CA29" s="16">
        <v>14.065593094175201</v>
      </c>
      <c r="CB29" s="16">
        <v>65.540540540540547</v>
      </c>
      <c r="CC29" s="16">
        <v>0</v>
      </c>
      <c r="CD29" s="16">
        <v>0</v>
      </c>
      <c r="CE29" s="16">
        <v>0</v>
      </c>
      <c r="CF29" s="16">
        <v>0</v>
      </c>
      <c r="CG29" s="16">
        <v>0</v>
      </c>
      <c r="CI29" t="str">
        <f t="shared" si="0"/>
        <v>/*93*/ 001  1 15.7 8.54 11.63 441 310 488 1239 0 1.4 1.5625 1.9375 1.63333333333333 0.748137784721194 0.122222222222222 0.13 0.268 0.175172413793103 0.144978340492029 0.28 0.2 0.68 0.68 9.3241469816273 0 14.8148148148148 7.40740740740741 22.2222222222222 11.1111111111111 66.6666666666667 0 77.7777777777778 66.6666666666667 0.231111111111111 0.139 0.147 0.170344827586207 0.161455052538308 0.5 0.26 0.56 0.56 29.1666666666667 0.458333333333333 0 25 50 25 45.8333333333333 1.33333333333333 50 0 0.125 0 4.16666666666667E-02 0.541666666666667 0 0 0.5 0.166666666666667 0 0 0 0 0 0 1.5 0.5 37.5 62.5 0 23.125 4.54545454545455E-02 34.4594594594595 14.0655930941752 65.5405405405405 0 0 0 0 0;</v>
      </c>
    </row>
    <row r="30" spans="1:87" x14ac:dyDescent="0.25">
      <c r="A30" s="12">
        <v>96</v>
      </c>
      <c r="B30" s="12">
        <v>0</v>
      </c>
      <c r="C30" s="12">
        <v>0</v>
      </c>
      <c r="D30" s="12">
        <v>0</v>
      </c>
      <c r="E30" s="12">
        <v>0</v>
      </c>
      <c r="F30" s="16">
        <v>17.600000000000001</v>
      </c>
      <c r="G30" s="16">
        <v>8.4700000000000006</v>
      </c>
      <c r="H30" s="16">
        <v>8.81</v>
      </c>
      <c r="I30" s="16">
        <v>2146</v>
      </c>
      <c r="J30" s="16">
        <v>1481</v>
      </c>
      <c r="K30" s="16">
        <v>969</v>
      </c>
      <c r="L30" s="16">
        <v>4596</v>
      </c>
      <c r="M30" s="16">
        <v>0</v>
      </c>
      <c r="N30" s="16">
        <v>5.0999999999999996</v>
      </c>
      <c r="O30" s="16">
        <v>4.7749999999999995</v>
      </c>
      <c r="P30" s="16">
        <v>4.6375000000000002</v>
      </c>
      <c r="Q30" s="16">
        <v>4.8374999999999995</v>
      </c>
      <c r="R30" s="16">
        <v>1.2218348639577328</v>
      </c>
      <c r="S30" s="16">
        <v>0.34499999999999997</v>
      </c>
      <c r="T30" s="16">
        <v>0.21937500000000001</v>
      </c>
      <c r="U30" s="16">
        <v>0.27875000000000005</v>
      </c>
      <c r="V30" s="16">
        <v>0.28104166666666669</v>
      </c>
      <c r="W30" s="16">
        <v>0.1459268190732009</v>
      </c>
      <c r="X30" s="16">
        <v>0.84</v>
      </c>
      <c r="Y30" s="16">
        <v>0.39</v>
      </c>
      <c r="Z30" s="16">
        <v>0.42</v>
      </c>
      <c r="AA30" s="16">
        <v>0.84</v>
      </c>
      <c r="AB30" s="16">
        <v>17.212750185322459</v>
      </c>
      <c r="AC30" s="16">
        <v>0</v>
      </c>
      <c r="AD30" s="16">
        <v>19.148936170212767</v>
      </c>
      <c r="AE30" s="16">
        <v>2.1276595744680851</v>
      </c>
      <c r="AF30" s="16">
        <v>21.276595744680854</v>
      </c>
      <c r="AG30" s="16">
        <v>0</v>
      </c>
      <c r="AH30" s="16">
        <v>74.468085106382972</v>
      </c>
      <c r="AI30" s="16">
        <v>4.2553191489361701</v>
      </c>
      <c r="AJ30" s="16">
        <v>78.723404255319139</v>
      </c>
      <c r="AK30" s="16">
        <v>74.468085106382972</v>
      </c>
      <c r="AL30" s="16">
        <v>0.26</v>
      </c>
      <c r="AM30" s="16">
        <v>0.35599999999999998</v>
      </c>
      <c r="AN30" s="16">
        <v>0.27600000000000002</v>
      </c>
      <c r="AO30" s="16">
        <v>0.291875</v>
      </c>
      <c r="AP30" s="16">
        <v>0.23431798952015176</v>
      </c>
      <c r="AQ30" s="16">
        <v>0.89</v>
      </c>
      <c r="AR30" s="16">
        <v>0.89</v>
      </c>
      <c r="AS30" s="16">
        <v>0.53</v>
      </c>
      <c r="AT30" s="16">
        <v>0.89</v>
      </c>
      <c r="AU30" s="16">
        <v>33.333333333333329</v>
      </c>
      <c r="AV30" s="16">
        <v>0.45833333333333331</v>
      </c>
      <c r="AW30" s="16">
        <v>37.5</v>
      </c>
      <c r="AX30" s="16">
        <v>25</v>
      </c>
      <c r="AY30" s="16">
        <v>0</v>
      </c>
      <c r="AZ30" s="16">
        <v>20.833333333333336</v>
      </c>
      <c r="BA30" s="16">
        <v>45.833333333333329</v>
      </c>
      <c r="BB30" s="16">
        <v>1</v>
      </c>
      <c r="BC30" s="16">
        <v>41.666666666666671</v>
      </c>
      <c r="BD30" s="16">
        <v>0</v>
      </c>
      <c r="BE30" s="16">
        <v>0</v>
      </c>
      <c r="BF30" s="16">
        <v>0.875</v>
      </c>
      <c r="BG30" s="16">
        <v>0.29166666666666669</v>
      </c>
      <c r="BH30" s="16">
        <v>0.625</v>
      </c>
      <c r="BI30" s="16">
        <v>0</v>
      </c>
      <c r="BJ30" s="16">
        <v>0</v>
      </c>
      <c r="BK30" s="16">
        <v>0</v>
      </c>
      <c r="BL30" s="16">
        <v>0</v>
      </c>
      <c r="BM30" s="16">
        <v>0.25</v>
      </c>
      <c r="BN30" s="16">
        <v>0.5</v>
      </c>
      <c r="BO30" s="16">
        <v>0.25</v>
      </c>
      <c r="BP30" s="16">
        <v>0.33333333333333331</v>
      </c>
      <c r="BQ30" s="16">
        <v>0.5</v>
      </c>
      <c r="BR30" s="16">
        <v>0</v>
      </c>
      <c r="BS30" s="16">
        <v>0.5</v>
      </c>
      <c r="BT30" s="16">
        <v>0.33333333333333331</v>
      </c>
      <c r="BU30" s="16">
        <v>8.3333333333333321</v>
      </c>
      <c r="BV30" s="16">
        <v>66.666666666666657</v>
      </c>
      <c r="BW30" s="16">
        <v>25</v>
      </c>
      <c r="BX30" s="16">
        <v>42.5</v>
      </c>
      <c r="BY30" s="16">
        <v>1.7916666666666667</v>
      </c>
      <c r="BZ30" s="16">
        <v>40.015015015015017</v>
      </c>
      <c r="CA30" s="16">
        <v>14.583394557694612</v>
      </c>
      <c r="CB30" s="16">
        <v>59.984984984984983</v>
      </c>
      <c r="CC30" s="16">
        <v>0</v>
      </c>
      <c r="CD30" s="16">
        <v>0</v>
      </c>
      <c r="CE30" s="16">
        <v>0</v>
      </c>
      <c r="CF30" s="16">
        <v>0</v>
      </c>
      <c r="CG30" s="16">
        <v>0</v>
      </c>
      <c r="CI30" t="str">
        <f t="shared" si="0"/>
        <v>/*96*/ 000  1 17.6 8.47 8.81 2146 1481 969 4596 0 5.1 4.775 4.6375 4.8375 1.22183486395773 0.345 0.219375 0.27875 0.281041666666667 0.145926819073201 0.84 0.39 0.42 0.84 17.2127501853225 0 19.1489361702128 2.12765957446809 21.2765957446809 0 74.468085106383 4.25531914893617 78.7234042553191 74.468085106383 0.26 0.356 0.276 0.291875 0.234317989520152 0.89 0.89 0.53 0.89 33.3333333333333 0.458333333333333 37.5 25 0 20.8333333333333 45.8333333333333 1 41.6666666666667 0 0 0.875 0.291666666666667 0.625 0 0 0 0 0.25 0.5 0.25 0.333333333333333 0.5 0 0.5 0.333333333333333 8.33333333333333 66.6666666666667 25 42.5 1.79166666666667 40.015015015015 14.5833945576946 59.984984984985 0 0 0 0 0;</v>
      </c>
    </row>
    <row r="31" spans="1:87" x14ac:dyDescent="0.25">
      <c r="A31" s="12">
        <v>108</v>
      </c>
      <c r="B31" s="12">
        <v>0</v>
      </c>
      <c r="C31" s="12">
        <v>0</v>
      </c>
      <c r="D31" s="12">
        <v>0</v>
      </c>
      <c r="E31" s="12">
        <v>0</v>
      </c>
      <c r="F31" s="16">
        <v>17.7</v>
      </c>
      <c r="G31" s="16">
        <v>7.97</v>
      </c>
      <c r="H31" s="16">
        <v>12.27</v>
      </c>
      <c r="I31" s="16">
        <v>1076</v>
      </c>
      <c r="J31" s="16">
        <v>737</v>
      </c>
      <c r="K31" s="16">
        <v>511</v>
      </c>
      <c r="L31" s="16">
        <v>2324</v>
      </c>
      <c r="M31" s="16">
        <v>0</v>
      </c>
      <c r="N31" s="16">
        <v>3.4249999999999998</v>
      </c>
      <c r="O31" s="16">
        <v>2.5874999999999999</v>
      </c>
      <c r="P31" s="16">
        <v>2.8875000000000002</v>
      </c>
      <c r="Q31" s="16">
        <v>2.9666666666666668</v>
      </c>
      <c r="R31" s="16">
        <v>1.0639003985199986</v>
      </c>
      <c r="S31" s="16">
        <v>0.30153846153846153</v>
      </c>
      <c r="T31" s="16">
        <v>0.48833333333333329</v>
      </c>
      <c r="U31" s="16">
        <v>0.29416666666666669</v>
      </c>
      <c r="V31" s="16">
        <v>0.35972972972972972</v>
      </c>
      <c r="W31" s="16">
        <v>0.28296531478145764</v>
      </c>
      <c r="X31" s="16">
        <v>1.3</v>
      </c>
      <c r="Y31" s="16">
        <v>1.2</v>
      </c>
      <c r="Z31" s="16">
        <v>0.78</v>
      </c>
      <c r="AA31" s="16">
        <v>1.3</v>
      </c>
      <c r="AB31" s="16">
        <v>8.2469321312296522</v>
      </c>
      <c r="AC31" s="16">
        <v>0</v>
      </c>
      <c r="AD31" s="16">
        <v>8.1081081081081088</v>
      </c>
      <c r="AE31" s="16">
        <v>2.7027027027027026</v>
      </c>
      <c r="AF31" s="16">
        <v>10.810810810810811</v>
      </c>
      <c r="AG31" s="16">
        <v>8.1081081081081088</v>
      </c>
      <c r="AH31" s="16">
        <v>81.081081081081081</v>
      </c>
      <c r="AI31" s="16">
        <v>0</v>
      </c>
      <c r="AJ31" s="16">
        <v>89.189189189189193</v>
      </c>
      <c r="AK31" s="16">
        <v>81.081081081081081</v>
      </c>
      <c r="AL31" s="16">
        <v>0.31916666666666665</v>
      </c>
      <c r="AM31" s="16">
        <v>0.20454545454545456</v>
      </c>
      <c r="AN31" s="16">
        <v>0.27090909090909093</v>
      </c>
      <c r="AO31" s="16">
        <v>0.25972972972972974</v>
      </c>
      <c r="AP31" s="16">
        <v>0.24537371142454983</v>
      </c>
      <c r="AQ31" s="16">
        <v>0.84</v>
      </c>
      <c r="AR31" s="16">
        <v>0.67</v>
      </c>
      <c r="AS31" s="16">
        <v>1.01</v>
      </c>
      <c r="AT31" s="16">
        <v>1.01</v>
      </c>
      <c r="AU31" s="16">
        <v>25</v>
      </c>
      <c r="AV31" s="16">
        <v>0.39130434782608697</v>
      </c>
      <c r="AW31" s="16">
        <v>12.5</v>
      </c>
      <c r="AX31" s="16">
        <v>50</v>
      </c>
      <c r="AY31" s="16">
        <v>37.5</v>
      </c>
      <c r="AZ31" s="16">
        <v>33.333333333333329</v>
      </c>
      <c r="BA31" s="16">
        <v>37.5</v>
      </c>
      <c r="BB31" s="16">
        <v>1.4166666666666667</v>
      </c>
      <c r="BC31" s="16">
        <v>41.666666666666671</v>
      </c>
      <c r="BD31" s="16">
        <v>0</v>
      </c>
      <c r="BE31" s="16">
        <v>0.25</v>
      </c>
      <c r="BF31" s="16">
        <v>0</v>
      </c>
      <c r="BG31" s="16">
        <v>8.3333333333333329E-2</v>
      </c>
      <c r="BH31" s="16">
        <v>4.1666666666666664E-2</v>
      </c>
      <c r="BI31" s="16">
        <v>1.25</v>
      </c>
      <c r="BJ31" s="16">
        <v>1.75</v>
      </c>
      <c r="BK31" s="16">
        <v>0.25</v>
      </c>
      <c r="BL31" s="16">
        <v>1.0833333333333333</v>
      </c>
      <c r="BM31" s="16">
        <v>0.25</v>
      </c>
      <c r="BN31" s="16">
        <v>0</v>
      </c>
      <c r="BO31" s="16">
        <v>0</v>
      </c>
      <c r="BP31" s="16">
        <v>8.3333333333333329E-2</v>
      </c>
      <c r="BQ31" s="16">
        <v>0.5</v>
      </c>
      <c r="BR31" s="16">
        <v>1.75</v>
      </c>
      <c r="BS31" s="16">
        <v>0.5</v>
      </c>
      <c r="BT31" s="16">
        <v>0.91666666666666663</v>
      </c>
      <c r="BU31" s="16">
        <v>16.666666666666664</v>
      </c>
      <c r="BV31" s="16">
        <v>79.166666666666657</v>
      </c>
      <c r="BW31" s="16">
        <v>4.1666666666666661</v>
      </c>
      <c r="BX31" s="16">
        <v>33.541666666666664</v>
      </c>
      <c r="BY31" s="16">
        <v>0.91666666666666663</v>
      </c>
      <c r="BZ31" s="16">
        <v>100</v>
      </c>
      <c r="CA31" s="16">
        <v>0</v>
      </c>
      <c r="CB31" s="16">
        <v>0</v>
      </c>
      <c r="CC31" s="16">
        <v>0</v>
      </c>
      <c r="CD31" s="16">
        <v>0</v>
      </c>
      <c r="CE31" s="16">
        <v>0</v>
      </c>
      <c r="CF31" s="16">
        <v>0</v>
      </c>
      <c r="CG31" s="16">
        <v>0</v>
      </c>
      <c r="CI31" t="str">
        <f t="shared" si="0"/>
        <v>/*108*/ 000  1 17.7 7.97 12.27 1076 737 511 2324 0 3.425 2.5875 2.8875 2.96666666666667 1.06390039852 0.301538461538462 0.488333333333333 0.294166666666667 0.35972972972973 0.282965314781458 1.3 1.2 0.78 1.3 8.24693213122965 0 8.10810810810811 2.7027027027027 10.8108108108108 8.10810810810811 81.0810810810811 0 89.1891891891892 81.0810810810811 0.319166666666667 0.204545454545455 0.270909090909091 0.25972972972973 0.24537371142455 0.84 0.67 1.01 1.01 25 0.391304347826087 12.5 50 37.5 33.3333333333333 37.5 1.41666666666667 41.6666666666667 0 0.25 0 8.33333333333333E-02 4.16666666666667E-02 1.25 1.75 0.25 1.08333333333333 0.25 0 0 8.33333333333333E-02 0.5 1.75 0.5 0.916666666666667 16.6666666666667 79.1666666666667 4.16666666666667 33.5416666666667 0.916666666666667 100 0 0 0 0 0 0 0;</v>
      </c>
    </row>
    <row r="32" spans="1:87" x14ac:dyDescent="0.25">
      <c r="A32" s="12">
        <v>109</v>
      </c>
      <c r="B32" s="12">
        <v>0</v>
      </c>
      <c r="C32" s="12">
        <v>0</v>
      </c>
      <c r="D32" s="12">
        <v>0</v>
      </c>
      <c r="E32" s="12">
        <v>0</v>
      </c>
      <c r="F32" s="16">
        <v>13.6</v>
      </c>
      <c r="G32" s="16">
        <v>8.9499999999999993</v>
      </c>
      <c r="H32" s="16">
        <v>11.36</v>
      </c>
      <c r="I32" s="16">
        <v>931</v>
      </c>
      <c r="J32" s="16">
        <v>261</v>
      </c>
      <c r="K32" s="16">
        <v>262</v>
      </c>
      <c r="L32" s="16">
        <v>1454</v>
      </c>
      <c r="M32" s="16">
        <v>0.82530949105914719</v>
      </c>
      <c r="N32" s="16">
        <v>3.7499999999999996</v>
      </c>
      <c r="O32" s="16">
        <v>4.3375000000000004</v>
      </c>
      <c r="P32" s="16">
        <v>3.2249999999999996</v>
      </c>
      <c r="Q32" s="16">
        <v>3.7708333333333335</v>
      </c>
      <c r="R32" s="16">
        <v>1.404798969578045</v>
      </c>
      <c r="S32" s="16">
        <v>0.27909090909090906</v>
      </c>
      <c r="T32" s="16">
        <v>0.13999999999999999</v>
      </c>
      <c r="U32" s="16">
        <v>0.27250000000000002</v>
      </c>
      <c r="V32" s="16">
        <v>0.22931034482758619</v>
      </c>
      <c r="W32" s="16">
        <v>0.191943649366213</v>
      </c>
      <c r="X32" s="16">
        <v>0.8</v>
      </c>
      <c r="Y32" s="16">
        <v>0.24</v>
      </c>
      <c r="Z32" s="16">
        <v>0.66</v>
      </c>
      <c r="AA32" s="16">
        <v>0.8</v>
      </c>
      <c r="AB32" s="16">
        <v>16.444235588972433</v>
      </c>
      <c r="AC32" s="16">
        <v>0</v>
      </c>
      <c r="AD32" s="16">
        <v>0</v>
      </c>
      <c r="AE32" s="16">
        <v>0</v>
      </c>
      <c r="AF32" s="16">
        <v>0</v>
      </c>
      <c r="AG32" s="16">
        <v>3.5714285714285712</v>
      </c>
      <c r="AH32" s="16">
        <v>92.857142857142861</v>
      </c>
      <c r="AI32" s="16">
        <v>3.5714285714285712</v>
      </c>
      <c r="AJ32" s="16">
        <v>100</v>
      </c>
      <c r="AK32" s="16">
        <v>92.857142857142861</v>
      </c>
      <c r="AL32" s="16">
        <v>0.315</v>
      </c>
      <c r="AM32" s="16">
        <v>0.19400000000000001</v>
      </c>
      <c r="AN32" s="16">
        <v>0.22000000000000003</v>
      </c>
      <c r="AO32" s="16">
        <v>0.23724137931034484</v>
      </c>
      <c r="AP32" s="16">
        <v>0.19316714730520188</v>
      </c>
      <c r="AQ32" s="16">
        <v>0.71</v>
      </c>
      <c r="AR32" s="16">
        <v>0.45</v>
      </c>
      <c r="AS32" s="16">
        <v>0.64</v>
      </c>
      <c r="AT32" s="16">
        <v>0.71</v>
      </c>
      <c r="AU32" s="16">
        <v>33.333333333333329</v>
      </c>
      <c r="AV32" s="16">
        <v>0.5</v>
      </c>
      <c r="AW32" s="16">
        <v>12.5</v>
      </c>
      <c r="AX32" s="16">
        <v>12.5</v>
      </c>
      <c r="AY32" s="16">
        <v>25</v>
      </c>
      <c r="AZ32" s="16">
        <v>16.666666666666664</v>
      </c>
      <c r="BA32" s="16">
        <v>50</v>
      </c>
      <c r="BB32" s="16">
        <v>1.0833333333333333</v>
      </c>
      <c r="BC32" s="16">
        <v>25</v>
      </c>
      <c r="BD32" s="16">
        <v>0</v>
      </c>
      <c r="BE32" s="16">
        <v>0</v>
      </c>
      <c r="BF32" s="16">
        <v>0</v>
      </c>
      <c r="BG32" s="16">
        <v>0</v>
      </c>
      <c r="BH32" s="16">
        <v>0.25</v>
      </c>
      <c r="BI32" s="16">
        <v>0.25</v>
      </c>
      <c r="BJ32" s="16">
        <v>0</v>
      </c>
      <c r="BK32" s="16">
        <v>0</v>
      </c>
      <c r="BL32" s="16">
        <v>8.3333333333333329E-2</v>
      </c>
      <c r="BM32" s="16">
        <v>0.75</v>
      </c>
      <c r="BN32" s="16">
        <v>0.25</v>
      </c>
      <c r="BO32" s="16">
        <v>0</v>
      </c>
      <c r="BP32" s="16">
        <v>0.33333333333333331</v>
      </c>
      <c r="BQ32" s="16">
        <v>1</v>
      </c>
      <c r="BR32" s="16">
        <v>0</v>
      </c>
      <c r="BS32" s="16">
        <v>0.75</v>
      </c>
      <c r="BT32" s="16">
        <v>0.58333333333333337</v>
      </c>
      <c r="BU32" s="16">
        <v>37.5</v>
      </c>
      <c r="BV32" s="16">
        <v>41.666666666666671</v>
      </c>
      <c r="BW32" s="16">
        <v>20.833333333333336</v>
      </c>
      <c r="BX32" s="16">
        <v>33.541666666666664</v>
      </c>
      <c r="BY32" s="16">
        <v>0.625</v>
      </c>
      <c r="BZ32" s="16">
        <v>53.378378378378379</v>
      </c>
      <c r="CA32" s="16">
        <v>12.880494666632289</v>
      </c>
      <c r="CB32" s="16">
        <v>46.621621621621621</v>
      </c>
      <c r="CC32" s="16">
        <v>0</v>
      </c>
      <c r="CD32" s="16">
        <v>0</v>
      </c>
      <c r="CE32" s="16">
        <v>0</v>
      </c>
      <c r="CF32" s="16">
        <v>0</v>
      </c>
      <c r="CG32" s="16">
        <v>0</v>
      </c>
      <c r="CI32" t="str">
        <f t="shared" si="0"/>
        <v>/*109*/ 000  1 13.6 8.95 11.36 931 261 262 1454 0.825309491059147 3.75 4.3375 3.225 3.77083333333333 1.40479896957804 0.279090909090909 0.14 0.2725 0.229310344827586 0.191943649366213 0.8 0.24 0.66 0.8 16.4442355889724 0 0 0 0 3.57142857142857 92.8571428571429 3.57142857142857 100 92.8571428571429 0.315 0.194 0.22 0.237241379310345 0.193167147305202 0.71 0.45 0.64 0.71 33.3333333333333 0.5 12.5 12.5 25 16.6666666666667 50 1.08333333333333 25 0 0 0 0 0.25 0.25 0 0 8.33333333333333E-02 0.75 0.25 0 0.333333333333333 1 0 0.75 0.583333333333333 37.5 41.6666666666667 20.8333333333333 33.5416666666667 0.625 53.3783783783784 12.8804946666323 46.6216216216216 0 0 0 0 0;</v>
      </c>
    </row>
    <row r="33" spans="1:87" x14ac:dyDescent="0.25">
      <c r="A33" s="12">
        <v>117</v>
      </c>
      <c r="B33" s="12">
        <v>1</v>
      </c>
      <c r="C33" s="12">
        <v>1</v>
      </c>
      <c r="D33" s="12">
        <v>1</v>
      </c>
      <c r="E33" s="12">
        <v>0</v>
      </c>
      <c r="F33" s="16">
        <v>12.4</v>
      </c>
      <c r="G33" s="16">
        <v>7.84</v>
      </c>
      <c r="H33" s="16">
        <v>12.06</v>
      </c>
      <c r="I33" s="16">
        <v>1038</v>
      </c>
      <c r="J33" s="16">
        <v>593</v>
      </c>
      <c r="K33" s="16">
        <v>480</v>
      </c>
      <c r="L33" s="16">
        <v>2111</v>
      </c>
      <c r="M33" s="16">
        <v>2.643297015632402</v>
      </c>
      <c r="N33" s="16">
        <v>3.9499999999999997</v>
      </c>
      <c r="O33" s="16">
        <v>3.4499999999999997</v>
      </c>
      <c r="P33" s="16">
        <v>3.1624999999999996</v>
      </c>
      <c r="Q33" s="16">
        <v>3.5208333333333344</v>
      </c>
      <c r="R33" s="16">
        <v>0.95415756909781824</v>
      </c>
      <c r="S33" s="16">
        <v>0.28857142857142859</v>
      </c>
      <c r="T33" s="16">
        <v>0.23153846153846155</v>
      </c>
      <c r="U33" s="16">
        <v>0.20400000000000004</v>
      </c>
      <c r="V33" s="16">
        <v>0.24071428571428574</v>
      </c>
      <c r="W33" s="16">
        <v>0.13765267102283646</v>
      </c>
      <c r="X33" s="16">
        <v>0.7</v>
      </c>
      <c r="Y33" s="16">
        <v>0.48</v>
      </c>
      <c r="Z33" s="16">
        <v>0.46</v>
      </c>
      <c r="AA33" s="16">
        <v>0.7</v>
      </c>
      <c r="AB33" s="16">
        <v>14.626607319485661</v>
      </c>
      <c r="AC33" s="16">
        <v>0</v>
      </c>
      <c r="AD33" s="16">
        <v>12.195121951219512</v>
      </c>
      <c r="AE33" s="16">
        <v>9.7560975609756095</v>
      </c>
      <c r="AF33" s="16">
        <v>21.951219512195124</v>
      </c>
      <c r="AG33" s="16">
        <v>0</v>
      </c>
      <c r="AH33" s="16">
        <v>73.170731707317074</v>
      </c>
      <c r="AI33" s="16">
        <v>4.8780487804878048</v>
      </c>
      <c r="AJ33" s="16">
        <v>78.048780487804876</v>
      </c>
      <c r="AK33" s="16">
        <v>73.170731707317074</v>
      </c>
      <c r="AL33" s="16">
        <v>0.12461538461538463</v>
      </c>
      <c r="AM33" s="16">
        <v>0.26500000000000001</v>
      </c>
      <c r="AN33" s="16">
        <v>0.16428571428571434</v>
      </c>
      <c r="AO33" s="16">
        <v>0.18761904761904763</v>
      </c>
      <c r="AP33" s="16">
        <v>0.16558557619241257</v>
      </c>
      <c r="AQ33" s="16">
        <v>0.6</v>
      </c>
      <c r="AR33" s="16">
        <v>0.52</v>
      </c>
      <c r="AS33" s="16">
        <v>0.28999999999999998</v>
      </c>
      <c r="AT33" s="16">
        <v>0.6</v>
      </c>
      <c r="AU33" s="16">
        <v>29.166666666666668</v>
      </c>
      <c r="AV33" s="16">
        <v>0.33333333333333331</v>
      </c>
      <c r="AW33" s="16">
        <v>62.5</v>
      </c>
      <c r="AX33" s="16">
        <v>25</v>
      </c>
      <c r="AY33" s="16">
        <v>25</v>
      </c>
      <c r="AZ33" s="16">
        <v>37.5</v>
      </c>
      <c r="BA33" s="16">
        <v>33.333333333333329</v>
      </c>
      <c r="BB33" s="16">
        <v>1.25</v>
      </c>
      <c r="BC33" s="16">
        <v>33.333333333333329</v>
      </c>
      <c r="BD33" s="16">
        <v>0</v>
      </c>
      <c r="BE33" s="16">
        <v>0.125</v>
      </c>
      <c r="BF33" s="16">
        <v>0.125</v>
      </c>
      <c r="BG33" s="16">
        <v>8.3333333333333329E-2</v>
      </c>
      <c r="BH33" s="16">
        <v>0.58333333333333337</v>
      </c>
      <c r="BI33" s="16">
        <v>0.25</v>
      </c>
      <c r="BJ33" s="16">
        <v>0.25</v>
      </c>
      <c r="BK33" s="16">
        <v>0.5</v>
      </c>
      <c r="BL33" s="16">
        <v>0.33333333333333331</v>
      </c>
      <c r="BM33" s="16">
        <v>0.25</v>
      </c>
      <c r="BN33" s="16">
        <v>0.25</v>
      </c>
      <c r="BO33" s="16">
        <v>0.75</v>
      </c>
      <c r="BP33" s="16">
        <v>0.41666666666666669</v>
      </c>
      <c r="BQ33" s="16">
        <v>0.75</v>
      </c>
      <c r="BR33" s="16">
        <v>0.75</v>
      </c>
      <c r="BS33" s="16">
        <v>0.75</v>
      </c>
      <c r="BT33" s="16">
        <v>0.75</v>
      </c>
      <c r="BU33" s="16">
        <v>37.5</v>
      </c>
      <c r="BV33" s="16">
        <v>50</v>
      </c>
      <c r="BW33" s="16">
        <v>12.5</v>
      </c>
      <c r="BX33" s="16">
        <v>27.916666666666668</v>
      </c>
      <c r="BY33" s="16">
        <v>0.29166666666666669</v>
      </c>
      <c r="BZ33" s="16">
        <v>67.329093799682028</v>
      </c>
      <c r="CA33" s="16">
        <v>11.029897790836158</v>
      </c>
      <c r="CB33" s="16">
        <v>32.670906200317972</v>
      </c>
      <c r="CC33" s="16">
        <v>0</v>
      </c>
      <c r="CD33" s="16">
        <v>0</v>
      </c>
      <c r="CE33" s="16">
        <v>0</v>
      </c>
      <c r="CF33" s="16">
        <v>0</v>
      </c>
      <c r="CG33" s="16">
        <v>0</v>
      </c>
      <c r="CI33" t="str">
        <f t="shared" si="0"/>
        <v>/*117*/ 111  1 12.4 7.84 12.06 1038 593 480 2111 2.6432970156324 3.95 3.45 3.1625 3.52083333333333 0.954157569097818 0.288571428571429 0.231538461538462 0.204 0.240714285714286 0.137652671022836 0.7 0.48 0.46 0.7 14.6266073194857 0 12.1951219512195 9.75609756097561 21.9512195121951 0 73.1707317073171 4.8780487804878 78.0487804878049 73.1707317073171 0.124615384615385 0.265 0.164285714285714 0.187619047619048 0.165585576192413 0.6 0.52 0.29 0.6 29.1666666666667 0.333333333333333 62.5 25 25 37.5 33.3333333333333 1.25 33.3333333333333 0 0.125 0.125 8.33333333333333E-02 0.583333333333333 0.25 0.25 0.5 0.333333333333333 0.25 0.25 0.75 0.416666666666667 0.75 0.75 0.75 0.75 37.5 50 12.5 27.9166666666667 0.291666666666667 67.329093799682 11.0298977908362 32.670906200318 0 0 0 0 0;</v>
      </c>
    </row>
    <row r="34" spans="1:87" x14ac:dyDescent="0.25">
      <c r="A34" s="12">
        <v>118</v>
      </c>
      <c r="B34" s="12">
        <v>0</v>
      </c>
      <c r="C34" s="12">
        <v>0</v>
      </c>
      <c r="D34" s="12">
        <v>0</v>
      </c>
      <c r="E34" s="12">
        <v>0</v>
      </c>
      <c r="F34" s="16">
        <v>20</v>
      </c>
      <c r="G34" s="16">
        <v>8.5</v>
      </c>
      <c r="H34" s="16">
        <v>12.23</v>
      </c>
      <c r="I34" s="16">
        <v>1323</v>
      </c>
      <c r="J34" s="16">
        <v>1277</v>
      </c>
      <c r="K34" s="16">
        <v>1233</v>
      </c>
      <c r="L34" s="16">
        <v>3833</v>
      </c>
      <c r="M34" s="16">
        <v>0</v>
      </c>
      <c r="N34" s="16">
        <v>5.5875000000000004</v>
      </c>
      <c r="O34" s="16">
        <v>5.3624999999999998</v>
      </c>
      <c r="P34" s="16">
        <v>5.3624999999999989</v>
      </c>
      <c r="Q34" s="16">
        <v>5.4375</v>
      </c>
      <c r="R34" s="16">
        <v>0.82820523606379015</v>
      </c>
      <c r="S34" s="16">
        <v>0.39066666666666666</v>
      </c>
      <c r="T34" s="16">
        <v>0.31937500000000002</v>
      </c>
      <c r="U34" s="16">
        <v>0.34333333333333338</v>
      </c>
      <c r="V34" s="16">
        <v>0.35043478260869565</v>
      </c>
      <c r="W34" s="16">
        <v>0.12379115965095985</v>
      </c>
      <c r="X34" s="16">
        <v>0.62</v>
      </c>
      <c r="Y34" s="16">
        <v>0.56000000000000005</v>
      </c>
      <c r="Z34" s="16">
        <v>0.59</v>
      </c>
      <c r="AA34" s="16">
        <v>0.62</v>
      </c>
      <c r="AB34" s="16">
        <v>15.516439205955335</v>
      </c>
      <c r="AC34" s="16">
        <v>2.1739130434782608</v>
      </c>
      <c r="AD34" s="16">
        <v>10.869565217391305</v>
      </c>
      <c r="AE34" s="16">
        <v>8.695652173913043</v>
      </c>
      <c r="AF34" s="16">
        <v>21.739130434782609</v>
      </c>
      <c r="AG34" s="16">
        <v>2.1739130434782608</v>
      </c>
      <c r="AH34" s="16">
        <v>76.08695652173914</v>
      </c>
      <c r="AI34" s="16">
        <v>0</v>
      </c>
      <c r="AJ34" s="16">
        <v>78.260869565217405</v>
      </c>
      <c r="AK34" s="16">
        <v>76.08695652173914</v>
      </c>
      <c r="AL34" s="16">
        <v>0.27666666666666667</v>
      </c>
      <c r="AM34" s="16">
        <v>0.46312500000000001</v>
      </c>
      <c r="AN34" s="16">
        <v>0.33875</v>
      </c>
      <c r="AO34" s="16">
        <v>0.3612765957446808</v>
      </c>
      <c r="AP34" s="16">
        <v>0.24158549680479588</v>
      </c>
      <c r="AQ34" s="16">
        <v>0.6</v>
      </c>
      <c r="AR34" s="16">
        <v>1.04</v>
      </c>
      <c r="AS34" s="16">
        <v>0.91</v>
      </c>
      <c r="AT34" s="16">
        <v>1.04</v>
      </c>
      <c r="AU34" s="16">
        <v>16.666666666666664</v>
      </c>
      <c r="AV34" s="16">
        <v>0.77272727272727271</v>
      </c>
      <c r="AW34" s="16">
        <v>0</v>
      </c>
      <c r="AX34" s="16">
        <v>0</v>
      </c>
      <c r="AY34" s="16">
        <v>12.5</v>
      </c>
      <c r="AZ34" s="16">
        <v>4.1666666666666661</v>
      </c>
      <c r="BA34" s="16">
        <v>70.833333333333343</v>
      </c>
      <c r="BB34" s="16">
        <v>1.1000000000000001</v>
      </c>
      <c r="BC34" s="16">
        <v>8.3333333333333321</v>
      </c>
      <c r="BD34" s="16">
        <v>0</v>
      </c>
      <c r="BE34" s="16">
        <v>0.625</v>
      </c>
      <c r="BF34" s="16">
        <v>0.2857142857142857</v>
      </c>
      <c r="BG34" s="16">
        <v>0.31818181818181818</v>
      </c>
      <c r="BH34" s="16">
        <v>0.43478260869565216</v>
      </c>
      <c r="BI34" s="16">
        <v>0</v>
      </c>
      <c r="BJ34" s="16">
        <v>0</v>
      </c>
      <c r="BK34" s="16">
        <v>0</v>
      </c>
      <c r="BL34" s="16">
        <v>0</v>
      </c>
      <c r="BM34" s="16">
        <v>0</v>
      </c>
      <c r="BN34" s="16">
        <v>0</v>
      </c>
      <c r="BO34" s="16">
        <v>0</v>
      </c>
      <c r="BP34" s="16">
        <v>0</v>
      </c>
      <c r="BQ34" s="16">
        <v>1.5</v>
      </c>
      <c r="BR34" s="16">
        <v>0.5</v>
      </c>
      <c r="BS34" s="16">
        <v>0</v>
      </c>
      <c r="BT34" s="16">
        <v>0.66666666666666663</v>
      </c>
      <c r="BU34" s="16">
        <v>0</v>
      </c>
      <c r="BV34" s="16">
        <v>45.833333333333329</v>
      </c>
      <c r="BW34" s="16">
        <v>50</v>
      </c>
      <c r="BX34" s="16">
        <v>50.869565217391305</v>
      </c>
      <c r="BY34" s="16">
        <v>1.1666666666666667</v>
      </c>
      <c r="BZ34" s="16">
        <v>38.438438438438439</v>
      </c>
      <c r="CA34" s="16">
        <v>14.658222677510807</v>
      </c>
      <c r="CB34" s="16">
        <v>61.561561561561561</v>
      </c>
      <c r="CC34" s="16">
        <v>0</v>
      </c>
      <c r="CD34" s="16">
        <v>0</v>
      </c>
      <c r="CE34" s="16">
        <v>0</v>
      </c>
      <c r="CF34" s="16">
        <v>0</v>
      </c>
      <c r="CG34" s="16">
        <v>0</v>
      </c>
      <c r="CI34" t="str">
        <f t="shared" si="0"/>
        <v>/*118*/ 000  1 20 8.5 12.23 1323 1277 1233 3833 0 5.5875 5.3625 5.3625 5.4375 0.82820523606379 0.390666666666667 0.319375 0.343333333333333 0.350434782608696 0.12379115965096 0.62 0.56 0.59 0.62 15.5164392059553 2.17391304347826 10.8695652173913 8.69565217391304 21.7391304347826 2.17391304347826 76.0869565217391 0 78.2608695652174 76.0869565217391 0.276666666666667 0.463125 0.33875 0.361276595744681 0.241585496804796 0.6 1.04 0.91 1.04 16.6666666666667 0.772727272727273 0 0 12.5 4.16666666666667 70.8333333333333 1.1 8.33333333333333 0 0.625 0.285714285714286 0.318181818181818 0.434782608695652 0 0 0 0 0 0 0 0 1.5 0.5 0 0.666666666666667 0 45.8333333333333 50 50.8695652173913 1.16666666666667 38.4384384384384 14.6582226775108 61.5615615615616 0 0 0 0 0;</v>
      </c>
    </row>
    <row r="35" spans="1:87" x14ac:dyDescent="0.25">
      <c r="A35" s="12">
        <v>123</v>
      </c>
      <c r="B35" s="12">
        <v>0</v>
      </c>
      <c r="C35" s="12">
        <v>0</v>
      </c>
      <c r="D35" s="12">
        <v>0</v>
      </c>
      <c r="E35" s="12">
        <v>0</v>
      </c>
      <c r="F35" s="16">
        <v>14.3</v>
      </c>
      <c r="G35" s="16">
        <v>10.210000000000001</v>
      </c>
      <c r="H35" s="16">
        <v>9.65</v>
      </c>
      <c r="I35" s="16">
        <v>1090</v>
      </c>
      <c r="J35" s="16">
        <v>929</v>
      </c>
      <c r="K35" s="16">
        <v>1284</v>
      </c>
      <c r="L35" s="16">
        <v>3303</v>
      </c>
      <c r="M35" s="16">
        <v>0.32697547683923706</v>
      </c>
      <c r="N35" s="16">
        <v>4.4625000000000004</v>
      </c>
      <c r="O35" s="16">
        <v>4.2374999999999998</v>
      </c>
      <c r="P35" s="16">
        <v>4.6625000000000005</v>
      </c>
      <c r="Q35" s="16">
        <v>4.4541666666666666</v>
      </c>
      <c r="R35" s="16">
        <v>1.4631648742624193</v>
      </c>
      <c r="S35" s="16">
        <v>0.35000000000000003</v>
      </c>
      <c r="T35" s="16">
        <v>0.18428571428571425</v>
      </c>
      <c r="U35" s="16">
        <v>0.37571428571428572</v>
      </c>
      <c r="V35" s="16">
        <v>0.30545454545454537</v>
      </c>
      <c r="W35" s="16">
        <v>0.18768422943566257</v>
      </c>
      <c r="X35" s="16">
        <v>0.8</v>
      </c>
      <c r="Y35" s="16">
        <v>0.34</v>
      </c>
      <c r="Z35" s="16">
        <v>0.76</v>
      </c>
      <c r="AA35" s="16">
        <v>0.8</v>
      </c>
      <c r="AB35" s="16">
        <v>14.582093253968258</v>
      </c>
      <c r="AC35" s="16">
        <v>0</v>
      </c>
      <c r="AD35" s="16">
        <v>2.2727272727272729</v>
      </c>
      <c r="AE35" s="16">
        <v>4.5454545454545459</v>
      </c>
      <c r="AF35" s="16">
        <v>6.8181818181818183</v>
      </c>
      <c r="AG35" s="16">
        <v>2.2727272727272729</v>
      </c>
      <c r="AH35" s="16">
        <v>90.909090909090907</v>
      </c>
      <c r="AI35" s="16">
        <v>0</v>
      </c>
      <c r="AJ35" s="16">
        <v>93.181818181818173</v>
      </c>
      <c r="AK35" s="16">
        <v>90.909090909090907</v>
      </c>
      <c r="AL35" s="16">
        <v>0.18066666666666664</v>
      </c>
      <c r="AM35" s="16">
        <v>0.35230769230769232</v>
      </c>
      <c r="AN35" s="16">
        <v>0.18153846153846154</v>
      </c>
      <c r="AO35" s="16">
        <v>0.23454545454545447</v>
      </c>
      <c r="AP35" s="16">
        <v>0.21714269818303172</v>
      </c>
      <c r="AQ35" s="16">
        <v>0.51</v>
      </c>
      <c r="AR35" s="16">
        <v>1.24</v>
      </c>
      <c r="AS35" s="16">
        <v>0.34</v>
      </c>
      <c r="AT35" s="16">
        <v>1.24</v>
      </c>
      <c r="AU35" s="16">
        <v>29.166666666666668</v>
      </c>
      <c r="AV35" s="16">
        <v>0.52173913043478259</v>
      </c>
      <c r="AW35" s="16">
        <v>12.5</v>
      </c>
      <c r="AX35" s="16">
        <v>25</v>
      </c>
      <c r="AY35" s="16">
        <v>12.5</v>
      </c>
      <c r="AZ35" s="16">
        <v>16.666666666666664</v>
      </c>
      <c r="BA35" s="16">
        <v>50</v>
      </c>
      <c r="BB35" s="16">
        <v>1.75</v>
      </c>
      <c r="BC35" s="16">
        <v>66.666666666666657</v>
      </c>
      <c r="BD35" s="16">
        <v>0</v>
      </c>
      <c r="BE35" s="16">
        <v>0.375</v>
      </c>
      <c r="BF35" s="16">
        <v>0.25</v>
      </c>
      <c r="BG35" s="16">
        <v>0.20833333333333334</v>
      </c>
      <c r="BH35" s="16">
        <v>0.625</v>
      </c>
      <c r="BI35" s="16">
        <v>0</v>
      </c>
      <c r="BJ35" s="16">
        <v>0</v>
      </c>
      <c r="BK35" s="16">
        <v>0.75</v>
      </c>
      <c r="BL35" s="16">
        <v>0.25</v>
      </c>
      <c r="BM35" s="16">
        <v>0.5</v>
      </c>
      <c r="BN35" s="16">
        <v>0</v>
      </c>
      <c r="BO35" s="16">
        <v>0</v>
      </c>
      <c r="BP35" s="16">
        <v>0.16666666666666666</v>
      </c>
      <c r="BQ35" s="16">
        <v>0.25</v>
      </c>
      <c r="BR35" s="16">
        <v>0</v>
      </c>
      <c r="BS35" s="16">
        <v>0.75</v>
      </c>
      <c r="BT35" s="16">
        <v>0.33333333333333331</v>
      </c>
      <c r="BU35" s="16">
        <v>29.166666666666668</v>
      </c>
      <c r="BV35" s="16">
        <v>50</v>
      </c>
      <c r="BW35" s="16">
        <v>20.833333333333336</v>
      </c>
      <c r="BX35" s="16">
        <v>34.375</v>
      </c>
      <c r="BY35" s="16">
        <v>1.0833333333333333</v>
      </c>
      <c r="BZ35" s="16">
        <v>11.208267090620033</v>
      </c>
      <c r="CA35" s="16">
        <v>7.2200577221782964</v>
      </c>
      <c r="CB35" s="16">
        <v>88.791732909379959</v>
      </c>
      <c r="CC35" s="16">
        <v>0</v>
      </c>
      <c r="CD35" s="16">
        <v>0</v>
      </c>
      <c r="CE35" s="16">
        <v>0</v>
      </c>
      <c r="CF35" s="16">
        <v>0</v>
      </c>
      <c r="CG35" s="16">
        <v>0</v>
      </c>
      <c r="CI35" t="str">
        <f t="shared" si="0"/>
        <v>/*123*/ 000  1 14.3 10.21 9.65 1090 929 1284 3303 0.326975476839237 4.4625 4.2375 4.6625 4.45416666666667 1.46316487426242 0.35 0.184285714285714 0.375714285714286 0.305454545454545 0.187684229435663 0.8 0.34 0.76 0.8 14.5820932539683 0 2.27272727272727 4.54545454545455 6.81818181818182 2.27272727272727 90.9090909090909 0 93.1818181818182 90.9090909090909 0.180666666666667 0.352307692307692 0.181538461538462 0.234545454545454 0.217142698183032 0.51 1.24 0.34 1.24 29.1666666666667 0.521739130434783 12.5 25 12.5 16.6666666666667 50 1.75 66.6666666666667 0 0.375 0.25 0.208333333333333 0.625 0 0 0.75 0.25 0.5 0 0 0.166666666666667 0.25 0 0.75 0.333333333333333 29.1666666666667 50 20.8333333333333 34.375 1.08333333333333 11.20826709062 7.2200577221783 88.79173290938 0 0 0 0 0;</v>
      </c>
    </row>
    <row r="36" spans="1:87" x14ac:dyDescent="0.25">
      <c r="A36" s="12">
        <v>128</v>
      </c>
      <c r="B36" s="12">
        <v>0</v>
      </c>
      <c r="C36" s="12">
        <v>0</v>
      </c>
      <c r="D36" s="12">
        <v>0</v>
      </c>
      <c r="E36" s="12">
        <v>0</v>
      </c>
      <c r="F36" s="16">
        <v>15.7</v>
      </c>
      <c r="G36" s="16">
        <v>7.68</v>
      </c>
      <c r="H36" s="16">
        <v>11.04</v>
      </c>
      <c r="I36" s="16">
        <v>641</v>
      </c>
      <c r="J36" s="16">
        <v>360</v>
      </c>
      <c r="K36" s="16">
        <v>217</v>
      </c>
      <c r="L36" s="16">
        <v>1218</v>
      </c>
      <c r="M36" s="16">
        <v>0</v>
      </c>
      <c r="N36" s="16">
        <v>3.3874999999999997</v>
      </c>
      <c r="O36" s="16">
        <v>3.5874999999999999</v>
      </c>
      <c r="P36" s="16">
        <v>2.5374999999999996</v>
      </c>
      <c r="Q36" s="16">
        <v>3.1708333333333338</v>
      </c>
      <c r="R36" s="16">
        <v>0.78931955652881092</v>
      </c>
      <c r="S36" s="16">
        <v>0.38384615384615384</v>
      </c>
      <c r="T36" s="16">
        <v>0.21500000000000005</v>
      </c>
      <c r="U36" s="16">
        <v>0.32999999999999996</v>
      </c>
      <c r="V36" s="16">
        <v>0.29918918918918913</v>
      </c>
      <c r="W36" s="16">
        <v>0.13544942431234827</v>
      </c>
      <c r="X36" s="16">
        <v>0.64</v>
      </c>
      <c r="Y36" s="16">
        <v>0.36</v>
      </c>
      <c r="Z36" s="16">
        <v>0.44</v>
      </c>
      <c r="AA36" s="16">
        <v>0.64</v>
      </c>
      <c r="AB36" s="16">
        <v>10.598087925323702</v>
      </c>
      <c r="AC36" s="16">
        <v>8.1081081081081088</v>
      </c>
      <c r="AD36" s="16">
        <v>62.162162162162161</v>
      </c>
      <c r="AE36" s="16">
        <v>13.513513513513514</v>
      </c>
      <c r="AF36" s="16">
        <v>83.78378378378379</v>
      </c>
      <c r="AG36" s="16">
        <v>10.810810810810811</v>
      </c>
      <c r="AH36" s="16">
        <v>5.4054054054054053</v>
      </c>
      <c r="AI36" s="16">
        <v>0</v>
      </c>
      <c r="AJ36" s="16">
        <v>16.216216216216218</v>
      </c>
      <c r="AK36" s="16">
        <v>62.162162162162161</v>
      </c>
      <c r="AL36" s="16">
        <v>3.1425000000000001</v>
      </c>
      <c r="AM36" s="16">
        <v>0.28466666666666662</v>
      </c>
      <c r="AN36" s="16">
        <v>0.34500000000000003</v>
      </c>
      <c r="AO36" s="16">
        <v>1.2235135135135136</v>
      </c>
      <c r="AP36" s="16">
        <v>5.8779575138422482</v>
      </c>
      <c r="AQ36" s="16">
        <v>36</v>
      </c>
      <c r="AR36" s="16">
        <v>0.55000000000000004</v>
      </c>
      <c r="AS36" s="16">
        <v>0.79</v>
      </c>
      <c r="AT36" s="16">
        <v>36</v>
      </c>
      <c r="AU36" s="16">
        <v>4.1666666666666661</v>
      </c>
      <c r="AV36" s="16">
        <v>0.79166666666666663</v>
      </c>
      <c r="AW36" s="16">
        <v>50</v>
      </c>
      <c r="AX36" s="16">
        <v>0</v>
      </c>
      <c r="AY36" s="16">
        <v>0</v>
      </c>
      <c r="AZ36" s="16">
        <v>16.666666666666664</v>
      </c>
      <c r="BA36" s="16">
        <v>79.166666666666657</v>
      </c>
      <c r="BB36" s="16">
        <v>0.33333333333333331</v>
      </c>
      <c r="BC36" s="16">
        <v>8.3333333333333321</v>
      </c>
      <c r="BD36" s="16">
        <v>0.625</v>
      </c>
      <c r="BE36" s="16">
        <v>0</v>
      </c>
      <c r="BF36" s="16">
        <v>0</v>
      </c>
      <c r="BG36" s="16">
        <v>0.20833333333333334</v>
      </c>
      <c r="BH36" s="16">
        <v>0.70833333333333337</v>
      </c>
      <c r="BI36" s="16">
        <v>0.25</v>
      </c>
      <c r="BJ36" s="16">
        <v>0.25</v>
      </c>
      <c r="BK36" s="16">
        <v>0</v>
      </c>
      <c r="BL36" s="16">
        <v>0.16666666666666666</v>
      </c>
      <c r="BM36" s="16">
        <v>0</v>
      </c>
      <c r="BN36" s="16">
        <v>0</v>
      </c>
      <c r="BO36" s="16">
        <v>0</v>
      </c>
      <c r="BP36" s="16">
        <v>0</v>
      </c>
      <c r="BQ36" s="16">
        <v>4</v>
      </c>
      <c r="BR36" s="16">
        <v>0.25</v>
      </c>
      <c r="BS36" s="16">
        <v>0.25</v>
      </c>
      <c r="BT36" s="16">
        <v>1.5</v>
      </c>
      <c r="BU36" s="16">
        <v>33.333333333333329</v>
      </c>
      <c r="BV36" s="16">
        <v>50</v>
      </c>
      <c r="BW36" s="16">
        <v>16.666666666666664</v>
      </c>
      <c r="BX36" s="16">
        <v>27.916666666666668</v>
      </c>
      <c r="BY36" s="16">
        <v>1.25</v>
      </c>
      <c r="BZ36" s="16">
        <v>52.648648648648653</v>
      </c>
      <c r="CA36" s="16">
        <v>16.69610733075228</v>
      </c>
      <c r="CB36" s="16">
        <v>47.351351351351347</v>
      </c>
      <c r="CC36" s="16">
        <v>0</v>
      </c>
      <c r="CD36" s="16">
        <v>0</v>
      </c>
      <c r="CE36" s="16">
        <v>0</v>
      </c>
      <c r="CF36" s="16">
        <v>0</v>
      </c>
      <c r="CG36" s="16">
        <v>0</v>
      </c>
      <c r="CI36" t="str">
        <f t="shared" si="0"/>
        <v>/*128*/ 000  1 15.7 7.68 11.04 641 360 217 1218 0 3.3875 3.5875 2.5375 3.17083333333333 0.789319556528811 0.383846153846154 0.215 0.33 0.299189189189189 0.135449424312348 0.64 0.36 0.44 0.64 10.5980879253237 8.10810810810811 62.1621621621622 13.5135135135135 83.7837837837838 10.8108108108108 5.40540540540541 0 16.2162162162162 62.1621621621622 3.1425 0.284666666666667 0.345 1.22351351351351 5.87795751384225 36 0.55 0.79 36 4.16666666666667 0.791666666666667 50 0 0 16.6666666666667 79.1666666666667 0.333333333333333 8.33333333333333 0.625 0 0 0.208333333333333 0.708333333333333 0.25 0.25 0 0.166666666666667 0 0 0 0 4 0.25 0.25 1.5 33.3333333333333 50 16.6666666666667 27.9166666666667 1.25 52.6486486486487 16.6961073307523 47.3513513513513 0 0 0 0 0;</v>
      </c>
    </row>
    <row r="37" spans="1:87" x14ac:dyDescent="0.25">
      <c r="A37" s="12">
        <v>130</v>
      </c>
      <c r="B37" s="12">
        <v>1</v>
      </c>
      <c r="C37" s="12">
        <v>1</v>
      </c>
      <c r="D37" s="12">
        <v>0</v>
      </c>
      <c r="E37" s="12">
        <v>0</v>
      </c>
      <c r="F37" s="16">
        <v>11.2</v>
      </c>
      <c r="G37" s="16">
        <v>7.7</v>
      </c>
      <c r="H37" s="16">
        <v>7.4</v>
      </c>
      <c r="I37" s="16">
        <v>406</v>
      </c>
      <c r="J37" s="16">
        <v>653</v>
      </c>
      <c r="K37" s="16">
        <v>530</v>
      </c>
      <c r="L37" s="16">
        <v>1589</v>
      </c>
      <c r="M37" s="16">
        <v>0.49087476400251728</v>
      </c>
      <c r="N37" s="16">
        <v>3.2749999999999999</v>
      </c>
      <c r="O37" s="16">
        <v>2.3374999999999999</v>
      </c>
      <c r="P37" s="16">
        <v>3.1625000000000001</v>
      </c>
      <c r="Q37" s="16">
        <v>2.9250000000000003</v>
      </c>
      <c r="R37" s="16">
        <v>1.6141359244526752</v>
      </c>
      <c r="S37" s="16">
        <v>0.28333333333333338</v>
      </c>
      <c r="T37" s="16">
        <v>0.17000000000000004</v>
      </c>
      <c r="U37" s="16">
        <v>0.40384615384615385</v>
      </c>
      <c r="V37" s="16">
        <v>0.28578947368421054</v>
      </c>
      <c r="W37" s="16">
        <v>0.19851654678051753</v>
      </c>
      <c r="X37" s="16">
        <v>0.57999999999999996</v>
      </c>
      <c r="Y37" s="16">
        <v>0.38</v>
      </c>
      <c r="Z37" s="16">
        <v>0.78</v>
      </c>
      <c r="AA37" s="16">
        <v>0.78</v>
      </c>
      <c r="AB37" s="16">
        <v>10.234806629834255</v>
      </c>
      <c r="AC37" s="16">
        <v>0</v>
      </c>
      <c r="AD37" s="16">
        <v>45.945945945945951</v>
      </c>
      <c r="AE37" s="16">
        <v>0</v>
      </c>
      <c r="AF37" s="16">
        <v>45.945945945945951</v>
      </c>
      <c r="AG37" s="16">
        <v>0</v>
      </c>
      <c r="AH37" s="16">
        <v>54.054054054054056</v>
      </c>
      <c r="AI37" s="16">
        <v>0</v>
      </c>
      <c r="AJ37" s="16">
        <v>54.054054054054056</v>
      </c>
      <c r="AK37" s="16">
        <v>54.054054054054056</v>
      </c>
      <c r="AL37" s="16">
        <v>3.0833333333333334E-2</v>
      </c>
      <c r="AM37" s="16">
        <v>0.10615384615384617</v>
      </c>
      <c r="AN37" s="16">
        <v>6.7500000000000004E-2</v>
      </c>
      <c r="AO37" s="16">
        <v>6.7368421052631577E-2</v>
      </c>
      <c r="AP37" s="16">
        <v>0.10983240821695954</v>
      </c>
      <c r="AQ37" s="16">
        <v>0.15</v>
      </c>
      <c r="AR37" s="16">
        <v>0.33</v>
      </c>
      <c r="AS37" s="16">
        <v>0.46</v>
      </c>
      <c r="AT37" s="16">
        <v>0.46</v>
      </c>
      <c r="AU37" s="16">
        <v>16.666666666666664</v>
      </c>
      <c r="AV37" s="16">
        <v>0.20833333333333334</v>
      </c>
      <c r="AW37" s="16">
        <v>87.5</v>
      </c>
      <c r="AX37" s="16">
        <v>37.5</v>
      </c>
      <c r="AY37" s="16">
        <v>62.5</v>
      </c>
      <c r="AZ37" s="16">
        <v>62.5</v>
      </c>
      <c r="BA37" s="16">
        <v>41.666666666666671</v>
      </c>
      <c r="BB37" s="16">
        <v>1.3333333333333333</v>
      </c>
      <c r="BC37" s="16">
        <v>41.666666666666671</v>
      </c>
      <c r="BD37" s="16">
        <v>0.25</v>
      </c>
      <c r="BE37" s="16">
        <v>0.5</v>
      </c>
      <c r="BF37" s="16">
        <v>1</v>
      </c>
      <c r="BG37" s="16">
        <v>0.58333333333333337</v>
      </c>
      <c r="BH37" s="16">
        <v>0.79166666666666663</v>
      </c>
      <c r="BI37" s="16">
        <v>0</v>
      </c>
      <c r="BJ37" s="16">
        <v>0</v>
      </c>
      <c r="BK37" s="16">
        <v>0</v>
      </c>
      <c r="BL37" s="16">
        <v>0</v>
      </c>
      <c r="BM37" s="16">
        <v>3.5</v>
      </c>
      <c r="BN37" s="16">
        <v>0.5</v>
      </c>
      <c r="BO37" s="16">
        <v>1.25</v>
      </c>
      <c r="BP37" s="16">
        <v>1.75</v>
      </c>
      <c r="BQ37" s="16">
        <v>0.66666666666666663</v>
      </c>
      <c r="BR37" s="16">
        <v>0.5</v>
      </c>
      <c r="BS37" s="16">
        <v>2</v>
      </c>
      <c r="BT37" s="16">
        <v>1.0909090909090908</v>
      </c>
      <c r="BU37" s="16">
        <v>16.666666666666664</v>
      </c>
      <c r="BV37" s="16">
        <v>70.833333333333343</v>
      </c>
      <c r="BW37" s="16">
        <v>12.5</v>
      </c>
      <c r="BX37" s="16">
        <v>32.083333333333336</v>
      </c>
      <c r="BY37" s="16">
        <v>0.41666666666666669</v>
      </c>
      <c r="BZ37" s="16">
        <v>9.0090090090090094</v>
      </c>
      <c r="CA37" s="16">
        <v>5.1301891368360035</v>
      </c>
      <c r="CB37" s="16">
        <v>90.990990990990994</v>
      </c>
      <c r="CC37" s="16">
        <v>0</v>
      </c>
      <c r="CD37" s="16">
        <v>0</v>
      </c>
      <c r="CE37" s="16">
        <v>0</v>
      </c>
      <c r="CF37" s="16">
        <v>0</v>
      </c>
      <c r="CG37" s="16">
        <v>0</v>
      </c>
      <c r="CI37" t="str">
        <f t="shared" si="0"/>
        <v>/*130*/ 110  1 11.2 7.7 7.4 406 653 530 1589 0.490874764002517 3.275 2.3375 3.1625 2.925 1.61413592445268 0.283333333333333 0.17 0.403846153846154 0.285789473684211 0.198516546780518 0.58 0.38 0.78 0.78 10.2348066298343 0 45.945945945946 0 45.945945945946 0 54.0540540540541 0 54.0540540540541 54.0540540540541 3.08333333333333E-02 0.106153846153846 0.0675 6.73684210526316E-02 0.10983240821696 0.15 0.33 0.46 0.46 16.6666666666667 0.208333333333333 87.5 37.5 62.5 62.5 41.6666666666667 1.33333333333333 41.6666666666667 0.25 0.5 1 0.583333333333333 0.791666666666667 0 0 0 0 3.5 0.5 1.25 1.75 0.666666666666667 0.5 2 1.09090909090909 16.6666666666667 70.8333333333333 12.5 32.0833333333333 0.416666666666667 9.00900900900901 5.130189136836 90.990990990991 0 0 0 0 0;</v>
      </c>
    </row>
    <row r="38" spans="1:87" x14ac:dyDescent="0.25">
      <c r="A38" s="12">
        <v>135</v>
      </c>
      <c r="B38" s="12">
        <v>0</v>
      </c>
      <c r="C38" s="12">
        <v>0</v>
      </c>
      <c r="D38" s="12">
        <v>0</v>
      </c>
      <c r="E38" s="12">
        <v>0</v>
      </c>
      <c r="F38" s="16">
        <v>14.5</v>
      </c>
      <c r="G38" s="16">
        <v>7.78</v>
      </c>
      <c r="H38" s="16">
        <v>10.3</v>
      </c>
      <c r="I38" s="16">
        <v>697</v>
      </c>
      <c r="J38" s="16">
        <v>627</v>
      </c>
      <c r="K38" s="16">
        <v>267</v>
      </c>
      <c r="L38" s="16">
        <v>1591</v>
      </c>
      <c r="M38" s="16">
        <v>0</v>
      </c>
      <c r="N38" s="16">
        <v>1.3624999999999998</v>
      </c>
      <c r="O38" s="16">
        <v>1.4249999999999998</v>
      </c>
      <c r="P38" s="16">
        <v>1.4375</v>
      </c>
      <c r="Q38" s="16">
        <v>1.4083333333333334</v>
      </c>
      <c r="R38" s="16">
        <v>0.43028470520834372</v>
      </c>
      <c r="S38" s="16">
        <v>0.246</v>
      </c>
      <c r="T38" s="16">
        <v>0.23799999999999999</v>
      </c>
      <c r="U38" s="16">
        <v>0.17199999999999999</v>
      </c>
      <c r="V38" s="16">
        <v>0.21866666666666668</v>
      </c>
      <c r="W38" s="16">
        <v>0.11410017780315967</v>
      </c>
      <c r="X38" s="16">
        <v>0.56000000000000005</v>
      </c>
      <c r="Y38" s="16">
        <v>0.38</v>
      </c>
      <c r="Z38" s="16">
        <v>0.24</v>
      </c>
      <c r="AA38" s="16">
        <v>0.56000000000000005</v>
      </c>
      <c r="AB38" s="16">
        <v>6.4405487804878048</v>
      </c>
      <c r="AC38" s="16">
        <v>0</v>
      </c>
      <c r="AD38" s="16">
        <v>76.666666666666671</v>
      </c>
      <c r="AE38" s="16">
        <v>0</v>
      </c>
      <c r="AF38" s="16">
        <v>76.666666666666671</v>
      </c>
      <c r="AG38" s="16">
        <v>3.3333333333333335</v>
      </c>
      <c r="AH38" s="16">
        <v>20</v>
      </c>
      <c r="AI38" s="16">
        <v>0</v>
      </c>
      <c r="AJ38" s="16">
        <v>23.333333333333332</v>
      </c>
      <c r="AK38" s="16">
        <v>76.666666666666671</v>
      </c>
      <c r="AL38" s="16">
        <v>0.26900000000000002</v>
      </c>
      <c r="AM38" s="16">
        <v>0.15444444444444444</v>
      </c>
      <c r="AN38" s="16">
        <v>0.19000000000000006</v>
      </c>
      <c r="AO38" s="16">
        <v>0.19833333333333331</v>
      </c>
      <c r="AP38" s="16">
        <v>0.16712752375178155</v>
      </c>
      <c r="AQ38" s="16">
        <v>0.9</v>
      </c>
      <c r="AR38" s="16">
        <v>0.24</v>
      </c>
      <c r="AS38" s="16">
        <v>0.42</v>
      </c>
      <c r="AT38" s="16">
        <v>0.9</v>
      </c>
      <c r="AU38" s="16">
        <v>20.833333333333336</v>
      </c>
      <c r="AV38" s="16">
        <v>0.41666666666666669</v>
      </c>
      <c r="AW38" s="16">
        <v>37.5</v>
      </c>
      <c r="AX38" s="16">
        <v>62.5</v>
      </c>
      <c r="AY38" s="16">
        <v>12.5</v>
      </c>
      <c r="AZ38" s="16">
        <v>37.5</v>
      </c>
      <c r="BA38" s="16">
        <v>41.666666666666671</v>
      </c>
      <c r="BB38" s="16">
        <v>0.58333333333333337</v>
      </c>
      <c r="BC38" s="16">
        <v>25</v>
      </c>
      <c r="BD38" s="16">
        <v>0.375</v>
      </c>
      <c r="BE38" s="16">
        <v>0</v>
      </c>
      <c r="BF38" s="16">
        <v>0.25</v>
      </c>
      <c r="BG38" s="16">
        <v>0.20833333333333334</v>
      </c>
      <c r="BH38" s="16">
        <v>0.45833333333333331</v>
      </c>
      <c r="BI38" s="16">
        <v>1.25</v>
      </c>
      <c r="BJ38" s="16">
        <v>1.25</v>
      </c>
      <c r="BK38" s="16">
        <v>0.75</v>
      </c>
      <c r="BL38" s="16">
        <v>1.0833333333333333</v>
      </c>
      <c r="BM38" s="16">
        <v>0</v>
      </c>
      <c r="BN38" s="16">
        <v>0</v>
      </c>
      <c r="BO38" s="16">
        <v>0</v>
      </c>
      <c r="BP38" s="16">
        <v>0</v>
      </c>
      <c r="BQ38" s="16">
        <v>1.25</v>
      </c>
      <c r="BR38" s="16">
        <v>0.5</v>
      </c>
      <c r="BS38" s="16">
        <v>0</v>
      </c>
      <c r="BT38" s="16">
        <v>0.58333333333333337</v>
      </c>
      <c r="BU38" s="16">
        <v>0</v>
      </c>
      <c r="BV38" s="16">
        <v>66.666666666666657</v>
      </c>
      <c r="BW38" s="16">
        <v>33.333333333333329</v>
      </c>
      <c r="BX38" s="16">
        <v>42.708333333333336</v>
      </c>
      <c r="BY38" s="16">
        <v>0.58333333333333337</v>
      </c>
      <c r="BZ38" s="16">
        <v>94.14414414414415</v>
      </c>
      <c r="CA38" s="16">
        <v>5.4116276928216598</v>
      </c>
      <c r="CB38" s="16">
        <v>5.8558558558558502</v>
      </c>
      <c r="CC38" s="16">
        <v>0</v>
      </c>
      <c r="CD38" s="16">
        <v>0</v>
      </c>
      <c r="CE38" s="16">
        <v>0</v>
      </c>
      <c r="CF38" s="16">
        <v>0</v>
      </c>
      <c r="CG38" s="16">
        <v>0</v>
      </c>
      <c r="CI38" t="str">
        <f t="shared" si="0"/>
        <v>/*135*/ 000  1 14.5 7.78 10.3 697 627 267 1591 0 1.3625 1.425 1.4375 1.40833333333333 0.430284705208344 0.246 0.238 0.172 0.218666666666667 0.11410017780316 0.56 0.38 0.24 0.56 6.4405487804878 0 76.6666666666667 0 76.6666666666667 3.33333333333333 20 0 23.3333333333333 76.6666666666667 0.269 0.154444444444444 0.19 0.198333333333333 0.167127523751782 0.9 0.24 0.42 0.9 20.8333333333333 0.416666666666667 37.5 62.5 12.5 37.5 41.6666666666667 0.583333333333333 25 0.375 0 0.25 0.208333333333333 0.458333333333333 1.25 1.25 0.75 1.08333333333333 0 0 0 0 1.25 0.5 0 0.583333333333333 0 66.6666666666667 33.3333333333333 42.7083333333333 0.583333333333333 94.1441441441442 5.41162769282166 5.85585585585585 0 0 0 0 0;</v>
      </c>
    </row>
    <row r="39" spans="1:87" x14ac:dyDescent="0.25">
      <c r="A39" s="12">
        <v>149</v>
      </c>
      <c r="B39" s="12">
        <v>1</v>
      </c>
      <c r="C39" s="12">
        <v>1</v>
      </c>
      <c r="D39" s="12">
        <v>1</v>
      </c>
      <c r="E39" s="12">
        <v>0</v>
      </c>
      <c r="F39" s="16">
        <v>13.1</v>
      </c>
      <c r="G39" s="16">
        <v>8.1199999999999992</v>
      </c>
      <c r="H39" s="16">
        <v>11.52</v>
      </c>
      <c r="I39" s="16">
        <v>2178</v>
      </c>
      <c r="J39" s="16">
        <v>2164</v>
      </c>
      <c r="K39" s="16">
        <v>1094</v>
      </c>
      <c r="L39" s="16">
        <v>5436</v>
      </c>
      <c r="M39" s="16">
        <v>2.0088300220750552</v>
      </c>
      <c r="N39" s="16">
        <v>4.6125000000000007</v>
      </c>
      <c r="O39" s="16">
        <v>4.3187500000000005</v>
      </c>
      <c r="P39" s="16">
        <v>7.3687500000000004</v>
      </c>
      <c r="Q39" s="16">
        <v>5.4333333333333327</v>
      </c>
      <c r="R39" s="16">
        <v>1.9113884474646861</v>
      </c>
      <c r="S39" s="16">
        <v>0.29533333333333334</v>
      </c>
      <c r="T39" s="16">
        <v>0.233125</v>
      </c>
      <c r="U39" s="16">
        <v>0.65187499999999998</v>
      </c>
      <c r="V39" s="16">
        <v>0.39553191489361694</v>
      </c>
      <c r="W39" s="16">
        <v>0.25917770058598033</v>
      </c>
      <c r="X39" s="16">
        <v>0.68</v>
      </c>
      <c r="Y39" s="16">
        <v>0.66</v>
      </c>
      <c r="Z39" s="16">
        <v>0.98</v>
      </c>
      <c r="AA39" s="16">
        <v>0.98</v>
      </c>
      <c r="AB39" s="16">
        <v>13.736776044468353</v>
      </c>
      <c r="AC39" s="16">
        <v>2.1739130434782608</v>
      </c>
      <c r="AD39" s="16">
        <v>30.434782608695656</v>
      </c>
      <c r="AE39" s="16">
        <v>0</v>
      </c>
      <c r="AF39" s="16">
        <v>32.608695652173914</v>
      </c>
      <c r="AG39" s="16">
        <v>0</v>
      </c>
      <c r="AH39" s="16">
        <v>65.217391304347828</v>
      </c>
      <c r="AI39" s="16">
        <v>2.1739130434782608</v>
      </c>
      <c r="AJ39" s="16">
        <v>67.391304347826093</v>
      </c>
      <c r="AK39" s="16">
        <v>65.217391304347828</v>
      </c>
      <c r="AL39" s="16">
        <v>0.35133333333333339</v>
      </c>
      <c r="AM39" s="16">
        <v>0.31125000000000003</v>
      </c>
      <c r="AN39" s="16">
        <v>2.2499999999999999E-2</v>
      </c>
      <c r="AO39" s="16">
        <v>0.22574468085106375</v>
      </c>
      <c r="AP39" s="16">
        <v>0.27822218741307758</v>
      </c>
      <c r="AQ39" s="16">
        <v>1.02</v>
      </c>
      <c r="AR39" s="16">
        <v>0.85</v>
      </c>
      <c r="AS39" s="16">
        <v>7.0000000000000007E-2</v>
      </c>
      <c r="AT39" s="16">
        <v>1.02</v>
      </c>
      <c r="AU39" s="16">
        <v>33.333333333333329</v>
      </c>
      <c r="AV39" s="16">
        <v>0.13043478260869565</v>
      </c>
      <c r="AW39" s="16">
        <v>37.5</v>
      </c>
      <c r="AX39" s="16">
        <v>12.5</v>
      </c>
      <c r="AY39" s="16">
        <v>100</v>
      </c>
      <c r="AZ39" s="16">
        <v>50</v>
      </c>
      <c r="BA39" s="16">
        <v>41.666666666666671</v>
      </c>
      <c r="BB39" s="16">
        <v>0.41666666666666669</v>
      </c>
      <c r="BC39" s="16">
        <v>8.3333333333333321</v>
      </c>
      <c r="BD39" s="16">
        <v>0.5</v>
      </c>
      <c r="BE39" s="16">
        <v>0.25</v>
      </c>
      <c r="BF39" s="16">
        <v>0</v>
      </c>
      <c r="BG39" s="16">
        <v>0.25</v>
      </c>
      <c r="BH39" s="16">
        <v>1.0833333333333333</v>
      </c>
      <c r="BI39" s="16">
        <v>0.75</v>
      </c>
      <c r="BJ39" s="16">
        <v>0</v>
      </c>
      <c r="BK39" s="16">
        <v>1.25</v>
      </c>
      <c r="BL39" s="16">
        <v>0.66666666666666663</v>
      </c>
      <c r="BM39" s="16">
        <v>0.5</v>
      </c>
      <c r="BN39" s="16">
        <v>0</v>
      </c>
      <c r="BO39" s="16">
        <v>0.5</v>
      </c>
      <c r="BP39" s="16">
        <v>0.33333333333333331</v>
      </c>
      <c r="BQ39" s="16">
        <v>2</v>
      </c>
      <c r="BR39" s="16">
        <v>0</v>
      </c>
      <c r="BS39" s="16">
        <v>3.25</v>
      </c>
      <c r="BT39" s="16">
        <v>1.75</v>
      </c>
      <c r="BU39" s="16">
        <v>16.666666666666664</v>
      </c>
      <c r="BV39" s="16">
        <v>66.666666666666657</v>
      </c>
      <c r="BW39" s="16">
        <v>16.666666666666664</v>
      </c>
      <c r="BX39" s="16">
        <v>37.708333333333336</v>
      </c>
      <c r="BY39" s="16">
        <v>0.45833333333333331</v>
      </c>
      <c r="BZ39" s="16">
        <v>53.753753753753756</v>
      </c>
      <c r="CA39" s="16">
        <v>11.997089594154021</v>
      </c>
      <c r="CB39" s="16">
        <v>46.246246246246244</v>
      </c>
      <c r="CC39" s="16">
        <v>0</v>
      </c>
      <c r="CD39" s="16">
        <v>0</v>
      </c>
      <c r="CE39" s="16">
        <v>0</v>
      </c>
      <c r="CF39" s="16">
        <v>0</v>
      </c>
      <c r="CG39" s="16">
        <v>0</v>
      </c>
      <c r="CI39" t="str">
        <f t="shared" si="0"/>
        <v>/*149*/ 111  1 13.1 8.12 11.52 2178 2164 1094 5436 2.00883002207506 4.6125 4.31875 7.36875 5.43333333333333 1.91138844746469 0.295333333333333 0.233125 0.651875 0.395531914893617 0.25917770058598 0.68 0.66 0.98 0.98 13.7367760444684 2.17391304347826 30.4347826086957 0 32.6086956521739 0 65.2173913043478 2.17391304347826 67.3913043478261 65.2173913043478 0.351333333333333 0.31125 0.0225 0.225744680851064 0.278222187413078 1.02 0.85 0.07 1.02 33.3333333333333 0.130434782608696 37.5 12.5 100 50 41.6666666666667 0.416666666666667 8.33333333333333 0.5 0.25 0 0.25 1.08333333333333 0.75 0 1.25 0.666666666666667 0.5 0 0.5 0.333333333333333 2 0 3.25 1.75 16.6666666666667 66.6666666666667 16.6666666666667 37.7083333333333 0.458333333333333 53.7537537537538 11.997089594154 46.2462462462462 0 0 0 0 0;</v>
      </c>
    </row>
    <row r="40" spans="1:87" x14ac:dyDescent="0.25">
      <c r="A40" s="12">
        <v>154</v>
      </c>
      <c r="B40" s="12">
        <v>1</v>
      </c>
      <c r="C40" s="12">
        <v>1</v>
      </c>
      <c r="D40" s="12">
        <v>1</v>
      </c>
      <c r="E40" s="12">
        <v>0</v>
      </c>
      <c r="F40" s="16">
        <v>15.4</v>
      </c>
      <c r="G40" s="16">
        <v>8.44</v>
      </c>
      <c r="H40" s="16">
        <v>14.32</v>
      </c>
      <c r="I40" s="16">
        <v>1593</v>
      </c>
      <c r="J40" s="16">
        <v>1509</v>
      </c>
      <c r="K40" s="16">
        <v>1473</v>
      </c>
      <c r="L40" s="16">
        <v>4575</v>
      </c>
      <c r="M40" s="16">
        <v>0.93114754098360653</v>
      </c>
      <c r="N40" s="16">
        <v>4.1500000000000004</v>
      </c>
      <c r="O40" s="16">
        <v>3.375</v>
      </c>
      <c r="P40" s="16">
        <v>4.2375000000000007</v>
      </c>
      <c r="Q40" s="16">
        <v>3.9208333333333338</v>
      </c>
      <c r="R40" s="16">
        <v>1.7987868294967622</v>
      </c>
      <c r="S40" s="16">
        <v>0.34769230769230774</v>
      </c>
      <c r="T40" s="16">
        <v>0.23</v>
      </c>
      <c r="U40" s="16">
        <v>0.35166666666666674</v>
      </c>
      <c r="V40" s="16">
        <v>0.3108108108108108</v>
      </c>
      <c r="W40" s="16">
        <v>0.22274023707721338</v>
      </c>
      <c r="X40" s="16">
        <v>0.74</v>
      </c>
      <c r="Y40" s="16">
        <v>0.57999999999999996</v>
      </c>
      <c r="Z40" s="16">
        <v>1</v>
      </c>
      <c r="AA40" s="16">
        <v>1</v>
      </c>
      <c r="AB40" s="16">
        <v>12.61485507246377</v>
      </c>
      <c r="AC40" s="16">
        <v>0</v>
      </c>
      <c r="AD40" s="16">
        <v>2.7027027027027026</v>
      </c>
      <c r="AE40" s="16">
        <v>0</v>
      </c>
      <c r="AF40" s="16">
        <v>2.7027027027027026</v>
      </c>
      <c r="AG40" s="16">
        <v>0</v>
      </c>
      <c r="AH40" s="16">
        <v>94.594594594594597</v>
      </c>
      <c r="AI40" s="16">
        <v>2.7027027027027026</v>
      </c>
      <c r="AJ40" s="16">
        <v>97.297297297297305</v>
      </c>
      <c r="AK40" s="16">
        <v>94.594594594594597</v>
      </c>
      <c r="AL40" s="16">
        <v>0.15583333333333335</v>
      </c>
      <c r="AM40" s="16">
        <v>0.31181818181818183</v>
      </c>
      <c r="AN40" s="16">
        <v>0.24916666666666665</v>
      </c>
      <c r="AO40" s="16">
        <v>0.23135135135135132</v>
      </c>
      <c r="AP40" s="16">
        <v>0.26200256744036948</v>
      </c>
      <c r="AQ40" s="16">
        <v>0.97</v>
      </c>
      <c r="AR40" s="16">
        <v>0.74</v>
      </c>
      <c r="AS40" s="16">
        <v>0.8</v>
      </c>
      <c r="AT40" s="16">
        <v>0.97</v>
      </c>
      <c r="AU40" s="16">
        <v>41.666666666666671</v>
      </c>
      <c r="AV40" s="16">
        <v>0.20833333333333334</v>
      </c>
      <c r="AW40" s="16">
        <v>50</v>
      </c>
      <c r="AX40" s="16">
        <v>12.5</v>
      </c>
      <c r="AY40" s="16">
        <v>50</v>
      </c>
      <c r="AZ40" s="16">
        <v>37.5</v>
      </c>
      <c r="BA40" s="16">
        <v>41.666666666666671</v>
      </c>
      <c r="BB40" s="16">
        <v>0.75</v>
      </c>
      <c r="BC40" s="16">
        <v>8.3333333333333321</v>
      </c>
      <c r="BD40" s="16">
        <v>0</v>
      </c>
      <c r="BE40" s="16">
        <v>0</v>
      </c>
      <c r="BF40" s="16">
        <v>0</v>
      </c>
      <c r="BG40" s="16">
        <v>0</v>
      </c>
      <c r="BH40" s="16">
        <v>0.20833333333333334</v>
      </c>
      <c r="BI40" s="16">
        <v>0</v>
      </c>
      <c r="BJ40" s="16">
        <v>1.25</v>
      </c>
      <c r="BK40" s="16">
        <v>1.75</v>
      </c>
      <c r="BL40" s="16">
        <v>1</v>
      </c>
      <c r="BM40" s="16">
        <v>0.25</v>
      </c>
      <c r="BN40" s="16">
        <v>0.25</v>
      </c>
      <c r="BO40" s="16">
        <v>0.75</v>
      </c>
      <c r="BP40" s="16">
        <v>0.41666666666666669</v>
      </c>
      <c r="BQ40" s="16">
        <v>2.25</v>
      </c>
      <c r="BR40" s="16">
        <v>0.75</v>
      </c>
      <c r="BS40" s="16">
        <v>1.5</v>
      </c>
      <c r="BT40" s="16">
        <v>1.5</v>
      </c>
      <c r="BU40" s="16">
        <v>16.666666666666664</v>
      </c>
      <c r="BV40" s="16">
        <v>62.5</v>
      </c>
      <c r="BW40" s="16">
        <v>20.833333333333336</v>
      </c>
      <c r="BX40" s="16">
        <v>38.75</v>
      </c>
      <c r="BY40" s="16">
        <v>0.25</v>
      </c>
      <c r="BZ40" s="16">
        <v>89.348171701112889</v>
      </c>
      <c r="CA40" s="16">
        <v>10.741991171638094</v>
      </c>
      <c r="CB40" s="16">
        <v>10.651828298887111</v>
      </c>
      <c r="CC40" s="16">
        <v>0</v>
      </c>
      <c r="CD40" s="16">
        <v>0</v>
      </c>
      <c r="CE40" s="16">
        <v>0</v>
      </c>
      <c r="CF40" s="16">
        <v>0</v>
      </c>
      <c r="CG40" s="16">
        <v>0</v>
      </c>
      <c r="CI40" t="str">
        <f t="shared" si="0"/>
        <v>/*154*/ 111  1 15.4 8.44 14.32 1593 1509 1473 4575 0.931147540983607 4.15 3.375 4.2375 3.92083333333333 1.79878682949676 0.347692307692308 0.23 0.351666666666667 0.310810810810811 0.222740237077213 0.74 0.58 1 1 12.6148550724638 0 2.7027027027027 0 2.7027027027027 0 94.5945945945946 2.7027027027027 97.2972972972973 94.5945945945946 0.155833333333333 0.311818181818182 0.249166666666667 0.231351351351351 0.262002567440369 0.97 0.74 0.8 0.97 41.6666666666667 0.208333333333333 50 12.5 50 37.5 41.6666666666667 0.75 8.33333333333333 0 0 0 0 0.208333333333333 0 1.25 1.75 1 0.25 0.25 0.75 0.416666666666667 2.25 0.75 1.5 1.5 16.6666666666667 62.5 20.8333333333333 38.75 0.25 89.3481717011129 10.7419911716381 10.6518282988871 0 0 0 0 0;</v>
      </c>
    </row>
    <row r="41" spans="1:87" x14ac:dyDescent="0.25">
      <c r="A41" s="12">
        <v>156</v>
      </c>
      <c r="B41" s="12">
        <v>1</v>
      </c>
      <c r="C41" s="12">
        <v>1</v>
      </c>
      <c r="D41" s="12">
        <v>1</v>
      </c>
      <c r="E41" s="12">
        <v>0</v>
      </c>
      <c r="F41" s="16">
        <v>10.5</v>
      </c>
      <c r="G41" s="16">
        <v>8.3800000000000008</v>
      </c>
      <c r="H41" s="16">
        <v>13.25</v>
      </c>
      <c r="I41" s="16">
        <v>443</v>
      </c>
      <c r="J41" s="16">
        <v>358</v>
      </c>
      <c r="K41" s="16">
        <v>437</v>
      </c>
      <c r="L41" s="16">
        <v>1238</v>
      </c>
      <c r="M41" s="16">
        <v>0.33925686591276255</v>
      </c>
      <c r="N41" s="16">
        <v>4.3999999999999995</v>
      </c>
      <c r="O41" s="16">
        <v>3.1124999999999994</v>
      </c>
      <c r="P41" s="16">
        <v>2.4874999999999998</v>
      </c>
      <c r="Q41" s="16">
        <v>3.3333333333333339</v>
      </c>
      <c r="R41" s="16">
        <v>1.4687074076463835</v>
      </c>
      <c r="S41" s="16">
        <v>0.23250000000000004</v>
      </c>
      <c r="T41" s="16">
        <v>0.19333333333333333</v>
      </c>
      <c r="U41" s="16">
        <v>0.15333333333333335</v>
      </c>
      <c r="V41" s="16">
        <v>0.19700000000000004</v>
      </c>
      <c r="W41" s="16">
        <v>0.11987600431385922</v>
      </c>
      <c r="X41" s="16">
        <v>0.54</v>
      </c>
      <c r="Y41" s="16">
        <v>0.52</v>
      </c>
      <c r="Z41" s="16">
        <v>0.3</v>
      </c>
      <c r="AA41" s="16">
        <v>0.54</v>
      </c>
      <c r="AB41" s="16">
        <v>16.920473773265652</v>
      </c>
      <c r="AC41" s="16">
        <v>2.5</v>
      </c>
      <c r="AD41" s="16">
        <v>5</v>
      </c>
      <c r="AE41" s="16">
        <v>7.5</v>
      </c>
      <c r="AF41" s="16">
        <v>15</v>
      </c>
      <c r="AG41" s="16">
        <v>2.5</v>
      </c>
      <c r="AH41" s="16">
        <v>82.5</v>
      </c>
      <c r="AI41" s="16">
        <v>0</v>
      </c>
      <c r="AJ41" s="16">
        <v>85</v>
      </c>
      <c r="AK41" s="16">
        <v>82.5</v>
      </c>
      <c r="AL41" s="16">
        <v>0.19666666666666663</v>
      </c>
      <c r="AM41" s="16">
        <v>0.27363636363636368</v>
      </c>
      <c r="AN41" s="16">
        <v>0.30363636363636365</v>
      </c>
      <c r="AO41" s="16">
        <v>0.26650000000000001</v>
      </c>
      <c r="AP41" s="16">
        <v>0.19515345704053463</v>
      </c>
      <c r="AQ41" s="16">
        <v>0.42</v>
      </c>
      <c r="AR41" s="16">
        <v>0.56000000000000005</v>
      </c>
      <c r="AS41" s="16">
        <v>0.8</v>
      </c>
      <c r="AT41" s="16">
        <v>0.8</v>
      </c>
      <c r="AU41" s="16">
        <v>62.5</v>
      </c>
      <c r="AV41" s="16">
        <v>0.25</v>
      </c>
      <c r="AW41" s="16">
        <v>25</v>
      </c>
      <c r="AX41" s="16">
        <v>12.5</v>
      </c>
      <c r="AY41" s="16">
        <v>0</v>
      </c>
      <c r="AZ41" s="16">
        <v>12.5</v>
      </c>
      <c r="BA41" s="16">
        <v>62.5</v>
      </c>
      <c r="BB41" s="16">
        <v>0.83333333333333337</v>
      </c>
      <c r="BC41" s="16">
        <v>16.666666666666664</v>
      </c>
      <c r="BD41" s="16">
        <v>1.25</v>
      </c>
      <c r="BE41" s="16">
        <v>0</v>
      </c>
      <c r="BF41" s="16">
        <v>0.75</v>
      </c>
      <c r="BG41" s="16">
        <v>0.66666666666666663</v>
      </c>
      <c r="BH41" s="16">
        <v>1.0833333333333333</v>
      </c>
      <c r="BI41" s="16">
        <v>0</v>
      </c>
      <c r="BJ41" s="16">
        <v>0.25</v>
      </c>
      <c r="BK41" s="16">
        <v>0</v>
      </c>
      <c r="BL41" s="16">
        <v>8.3333333333333329E-2</v>
      </c>
      <c r="BM41" s="16">
        <v>0.25</v>
      </c>
      <c r="BN41" s="16">
        <v>1</v>
      </c>
      <c r="BO41" s="16">
        <v>1</v>
      </c>
      <c r="BP41" s="16">
        <v>0.75</v>
      </c>
      <c r="BQ41" s="16">
        <v>0.75</v>
      </c>
      <c r="BR41" s="16">
        <v>0.25</v>
      </c>
      <c r="BS41" s="16">
        <v>1</v>
      </c>
      <c r="BT41" s="16">
        <v>0.66666666666666663</v>
      </c>
      <c r="BU41" s="16">
        <v>29.166666666666668</v>
      </c>
      <c r="BV41" s="16">
        <v>50</v>
      </c>
      <c r="BW41" s="16">
        <v>20.833333333333336</v>
      </c>
      <c r="BX41" s="16">
        <v>30</v>
      </c>
      <c r="BY41" s="16">
        <v>0.58333333333333337</v>
      </c>
      <c r="BZ41" s="16">
        <v>2.7777777777777777</v>
      </c>
      <c r="CA41" s="16">
        <v>2.1710578213147764</v>
      </c>
      <c r="CB41" s="16">
        <v>97.222222222222229</v>
      </c>
      <c r="CC41" s="16">
        <v>0</v>
      </c>
      <c r="CD41" s="16">
        <v>0</v>
      </c>
      <c r="CE41" s="16">
        <v>0</v>
      </c>
      <c r="CF41" s="16">
        <v>0</v>
      </c>
      <c r="CG41" s="16">
        <v>0</v>
      </c>
      <c r="CI41" t="str">
        <f t="shared" si="0"/>
        <v>/*156*/ 111  1 10.5 8.38 13.25 443 358 437 1238 0.339256865912763 4.4 3.1125 2.4875 3.33333333333333 1.46870740764638 0.2325 0.193333333333333 0.153333333333333 0.197 0.119876004313859 0.54 0.52 0.3 0.54 16.9204737732657 2.5 5 7.5 15 2.5 82.5 0 85 82.5 0.196666666666667 0.273636363636364 0.303636363636364 0.2665 0.195153457040535 0.42 0.56 0.8 0.8 62.5 0.25 25 12.5 0 12.5 62.5 0.833333333333333 16.6666666666667 1.25 0 0.75 0.666666666666667 1.08333333333333 0 0.25 0 8.33333333333333E-02 0.25 1 1 0.75 0.75 0.25 1 0.666666666666667 29.1666666666667 50 20.8333333333333 30 0.583333333333333 2.77777777777778 2.17105782131478 97.2222222222222 0 0 0 0 0;</v>
      </c>
    </row>
    <row r="42" spans="1:87" x14ac:dyDescent="0.25">
      <c r="A42" s="12">
        <v>157</v>
      </c>
      <c r="B42" s="12">
        <v>0</v>
      </c>
      <c r="C42" s="12">
        <v>1</v>
      </c>
      <c r="D42" s="12">
        <v>0</v>
      </c>
      <c r="E42" s="12">
        <v>0</v>
      </c>
      <c r="F42" s="16">
        <v>14.8</v>
      </c>
      <c r="G42" s="16">
        <v>8.1999999999999993</v>
      </c>
      <c r="H42" s="16">
        <v>10.8</v>
      </c>
      <c r="I42" s="16">
        <v>1260</v>
      </c>
      <c r="J42" s="16">
        <v>1262</v>
      </c>
      <c r="K42" s="16">
        <v>804</v>
      </c>
      <c r="L42" s="16">
        <v>3326</v>
      </c>
      <c r="M42" s="16">
        <v>2.8683102826217679</v>
      </c>
      <c r="N42" s="16">
        <v>7.65</v>
      </c>
      <c r="O42" s="16">
        <v>5.7</v>
      </c>
      <c r="P42" s="16">
        <v>3.8874999999999997</v>
      </c>
      <c r="Q42" s="16">
        <v>5.7458333333333336</v>
      </c>
      <c r="R42" s="16">
        <v>2.3361021356965135</v>
      </c>
      <c r="S42" s="16">
        <v>0.36125000000000002</v>
      </c>
      <c r="T42" s="16">
        <v>0.35062500000000002</v>
      </c>
      <c r="U42" s="16">
        <v>0.58437499999999998</v>
      </c>
      <c r="V42" s="16">
        <v>0.43208333333333332</v>
      </c>
      <c r="W42" s="16">
        <v>0.18403235531128329</v>
      </c>
      <c r="X42" s="16">
        <v>0.6</v>
      </c>
      <c r="Y42" s="16">
        <v>0.65</v>
      </c>
      <c r="Z42" s="16">
        <v>0.8</v>
      </c>
      <c r="AA42" s="16">
        <v>0.8</v>
      </c>
      <c r="AB42" s="16">
        <v>13.297974927675989</v>
      </c>
      <c r="AC42" s="16">
        <v>0</v>
      </c>
      <c r="AD42" s="16">
        <v>45.833333333333329</v>
      </c>
      <c r="AE42" s="16">
        <v>0</v>
      </c>
      <c r="AF42" s="16">
        <v>45.833333333333329</v>
      </c>
      <c r="AG42" s="16">
        <v>0</v>
      </c>
      <c r="AH42" s="16">
        <v>50</v>
      </c>
      <c r="AI42" s="16">
        <v>4.1666666666666661</v>
      </c>
      <c r="AJ42" s="16">
        <v>54.166666666666664</v>
      </c>
      <c r="AK42" s="16">
        <v>50</v>
      </c>
      <c r="AL42" s="16">
        <v>0.24187500000000001</v>
      </c>
      <c r="AM42" s="16">
        <v>0.19500000000000003</v>
      </c>
      <c r="AN42" s="16">
        <v>9.7500000000000017E-2</v>
      </c>
      <c r="AO42" s="16">
        <v>0.17812500000000001</v>
      </c>
      <c r="AP42" s="16">
        <v>0.2008985797901571</v>
      </c>
      <c r="AQ42" s="16">
        <v>1.1000000000000001</v>
      </c>
      <c r="AR42" s="16">
        <v>0.38</v>
      </c>
      <c r="AS42" s="16">
        <v>0.17</v>
      </c>
      <c r="AT42" s="16">
        <v>1.1000000000000001</v>
      </c>
      <c r="AU42" s="16">
        <v>8.3333333333333321</v>
      </c>
      <c r="AV42" s="16">
        <v>0.52173913043478259</v>
      </c>
      <c r="AW42" s="16">
        <v>12.5</v>
      </c>
      <c r="AX42" s="16">
        <v>12.5</v>
      </c>
      <c r="AY42" s="16">
        <v>87.5</v>
      </c>
      <c r="AZ42" s="16">
        <v>37.5</v>
      </c>
      <c r="BA42" s="16">
        <v>50</v>
      </c>
      <c r="BB42" s="16">
        <v>0.66666666666666663</v>
      </c>
      <c r="BC42" s="16">
        <v>25</v>
      </c>
      <c r="BD42" s="16">
        <v>0</v>
      </c>
      <c r="BE42" s="16">
        <v>0.25</v>
      </c>
      <c r="BF42" s="16">
        <v>0</v>
      </c>
      <c r="BG42" s="16">
        <v>8.3333333333333329E-2</v>
      </c>
      <c r="BH42" s="16">
        <v>0.29166666666666669</v>
      </c>
      <c r="BI42" s="16">
        <v>0.25</v>
      </c>
      <c r="BJ42" s="16">
        <v>0.5</v>
      </c>
      <c r="BK42" s="16">
        <v>1</v>
      </c>
      <c r="BL42" s="16">
        <v>0.58333333333333337</v>
      </c>
      <c r="BM42" s="16">
        <v>1</v>
      </c>
      <c r="BN42" s="16">
        <v>1.25</v>
      </c>
      <c r="BO42" s="16">
        <v>0</v>
      </c>
      <c r="BP42" s="16">
        <v>0.75</v>
      </c>
      <c r="BQ42" s="16">
        <v>1.25</v>
      </c>
      <c r="BR42" s="16">
        <v>1</v>
      </c>
      <c r="BS42" s="16">
        <v>1.75</v>
      </c>
      <c r="BT42" s="16">
        <v>1.3333333333333333</v>
      </c>
      <c r="BU42" s="16">
        <v>20.833333333333336</v>
      </c>
      <c r="BV42" s="16">
        <v>58.333333333333336</v>
      </c>
      <c r="BW42" s="16">
        <v>20.833333333333336</v>
      </c>
      <c r="BX42" s="16">
        <v>37.5</v>
      </c>
      <c r="BY42" s="16">
        <v>0.41666666666666669</v>
      </c>
      <c r="BZ42" s="16">
        <v>64.86486486486487</v>
      </c>
      <c r="CA42" s="16">
        <v>15.831776946708244</v>
      </c>
      <c r="CB42" s="16">
        <v>35.13513513513513</v>
      </c>
      <c r="CC42" s="16">
        <v>0</v>
      </c>
      <c r="CD42" s="16">
        <v>0</v>
      </c>
      <c r="CE42" s="16">
        <v>0</v>
      </c>
      <c r="CF42" s="16">
        <v>0</v>
      </c>
      <c r="CG42" s="16">
        <v>0</v>
      </c>
      <c r="CI42" t="str">
        <f t="shared" si="0"/>
        <v>/*157*/ 010  1 14.8 8.2 10.8 1260 1262 804 3326 2.86831028262177 7.65 5.7 3.8875 5.74583333333333 2.33610213569651 0.36125 0.350625 0.584375 0.432083333333333 0.184032355311283 0.6 0.65 0.8 0.8 13.297974927676 0 45.8333333333333 0 45.8333333333333 0 50 4.16666666666667 54.1666666666667 50 0.241875 0.195 0.0975 0.178125 0.200898579790157 1.1 0.38 0.17 1.1 8.33333333333333 0.521739130434783 12.5 12.5 87.5 37.5 50 0.666666666666667 25 0 0.25 0 8.33333333333333E-02 0.291666666666667 0.25 0.5 1 0.583333333333333 1 1.25 0 0.75 1.25 1 1.75 1.33333333333333 20.8333333333333 58.3333333333333 20.8333333333333 37.5 0.416666666666667 64.8648648648649 15.8317769467082 35.1351351351351 0 0 0 0 0;</v>
      </c>
    </row>
    <row r="43" spans="1:87" x14ac:dyDescent="0.25">
      <c r="A43" s="12">
        <v>163</v>
      </c>
      <c r="B43" s="12">
        <v>0</v>
      </c>
      <c r="C43" s="12">
        <v>0</v>
      </c>
      <c r="D43" s="12">
        <v>0</v>
      </c>
      <c r="E43" s="12">
        <v>0</v>
      </c>
      <c r="F43" s="16">
        <v>16</v>
      </c>
      <c r="G43" s="16">
        <v>8.5</v>
      </c>
      <c r="H43" s="16">
        <v>10.29</v>
      </c>
      <c r="I43" s="16">
        <v>615</v>
      </c>
      <c r="J43" s="16">
        <v>552</v>
      </c>
      <c r="K43" s="16">
        <v>402</v>
      </c>
      <c r="L43" s="16">
        <v>1569</v>
      </c>
      <c r="M43" s="16">
        <v>2.4091778202676863</v>
      </c>
      <c r="N43" s="16">
        <v>4.0875000000000004</v>
      </c>
      <c r="O43" s="16">
        <v>4.5375000000000005</v>
      </c>
      <c r="P43" s="16">
        <v>4.4124999999999996</v>
      </c>
      <c r="Q43" s="16">
        <v>4.3458333333333332</v>
      </c>
      <c r="R43" s="16">
        <v>1.4673191071879486</v>
      </c>
      <c r="S43" s="16">
        <v>0.2985714285714286</v>
      </c>
      <c r="T43" s="16">
        <v>0.12250000000000001</v>
      </c>
      <c r="U43" s="16">
        <v>0.33333333333333326</v>
      </c>
      <c r="V43" s="16">
        <v>0.24755555555555553</v>
      </c>
      <c r="W43" s="16">
        <v>0.20446332806949161</v>
      </c>
      <c r="X43" s="16">
        <v>0.88</v>
      </c>
      <c r="Y43" s="16">
        <v>0.26</v>
      </c>
      <c r="Z43" s="16">
        <v>0.82</v>
      </c>
      <c r="AA43" s="16">
        <v>0.88</v>
      </c>
      <c r="AB43" s="16">
        <v>17.554982046678639</v>
      </c>
      <c r="AC43" s="16">
        <v>0</v>
      </c>
      <c r="AD43" s="16">
        <v>8.8888888888888893</v>
      </c>
      <c r="AE43" s="16">
        <v>0</v>
      </c>
      <c r="AF43" s="16">
        <v>8.8888888888888893</v>
      </c>
      <c r="AG43" s="16">
        <v>2.2222222222222223</v>
      </c>
      <c r="AH43" s="16">
        <v>88.888888888888886</v>
      </c>
      <c r="AI43" s="16">
        <v>0</v>
      </c>
      <c r="AJ43" s="16">
        <v>91.111111111111114</v>
      </c>
      <c r="AK43" s="16">
        <v>88.888888888888886</v>
      </c>
      <c r="AL43" s="16">
        <v>9.1538461538461541E-2</v>
      </c>
      <c r="AM43" s="16">
        <v>0.20133333333333334</v>
      </c>
      <c r="AN43" s="16">
        <v>0.11714285714285713</v>
      </c>
      <c r="AO43" s="16">
        <v>0.13533333333333328</v>
      </c>
      <c r="AP43" s="16">
        <v>0.13354604245182805</v>
      </c>
      <c r="AQ43" s="16">
        <v>0.47</v>
      </c>
      <c r="AR43" s="16">
        <v>0.43</v>
      </c>
      <c r="AS43" s="16">
        <v>0.42</v>
      </c>
      <c r="AT43" s="16">
        <v>0.47</v>
      </c>
      <c r="AU43" s="16">
        <v>25</v>
      </c>
      <c r="AV43" s="16">
        <v>0.375</v>
      </c>
      <c r="AW43" s="16">
        <v>62.5</v>
      </c>
      <c r="AX43" s="16">
        <v>0</v>
      </c>
      <c r="AY43" s="16">
        <v>50</v>
      </c>
      <c r="AZ43" s="16">
        <v>37.5</v>
      </c>
      <c r="BA43" s="16">
        <v>37.5</v>
      </c>
      <c r="BB43" s="16">
        <v>1.9166666666666667</v>
      </c>
      <c r="BC43" s="16">
        <v>58.333333333333336</v>
      </c>
      <c r="BD43" s="16">
        <v>0</v>
      </c>
      <c r="BE43" s="16">
        <v>0.375</v>
      </c>
      <c r="BF43" s="16">
        <v>0</v>
      </c>
      <c r="BG43" s="16">
        <v>0.125</v>
      </c>
      <c r="BH43" s="16">
        <v>0.5</v>
      </c>
      <c r="BI43" s="16">
        <v>0</v>
      </c>
      <c r="BJ43" s="16">
        <v>0</v>
      </c>
      <c r="BK43" s="16">
        <v>0</v>
      </c>
      <c r="BL43" s="16">
        <v>0</v>
      </c>
      <c r="BM43" s="16">
        <v>0.75</v>
      </c>
      <c r="BN43" s="16">
        <v>1</v>
      </c>
      <c r="BO43" s="16">
        <v>0.25</v>
      </c>
      <c r="BP43" s="16">
        <v>0.66666666666666663</v>
      </c>
      <c r="BQ43" s="16">
        <v>1.5</v>
      </c>
      <c r="BR43" s="16">
        <v>0.5</v>
      </c>
      <c r="BS43" s="16">
        <v>2.75</v>
      </c>
      <c r="BT43" s="16">
        <v>1.5833333333333333</v>
      </c>
      <c r="BU43" s="16">
        <v>25</v>
      </c>
      <c r="BV43" s="16">
        <v>54.166666666666664</v>
      </c>
      <c r="BW43" s="16">
        <v>20.833333333333336</v>
      </c>
      <c r="BX43" s="16">
        <v>32.708333333333336</v>
      </c>
      <c r="BY43" s="16">
        <v>0.5</v>
      </c>
      <c r="BZ43" s="16">
        <v>27.181467181467177</v>
      </c>
      <c r="CA43" s="16">
        <v>13.370166212048941</v>
      </c>
      <c r="CB43" s="16">
        <v>72.818532818532816</v>
      </c>
      <c r="CC43" s="16">
        <v>0</v>
      </c>
      <c r="CD43" s="16">
        <v>0</v>
      </c>
      <c r="CE43" s="16">
        <v>0</v>
      </c>
      <c r="CF43" s="16">
        <v>0</v>
      </c>
      <c r="CG43" s="16">
        <v>0</v>
      </c>
      <c r="CI43" t="str">
        <f t="shared" si="0"/>
        <v>/*163*/ 000  1 16 8.5 10.29 615 552 402 1569 2.40917782026769 4.0875 4.5375 4.4125 4.34583333333333 1.46731910718795 0.298571428571429 0.1225 0.333333333333333 0.247555555555556 0.204463328069492 0.88 0.26 0.82 0.88 17.5549820466786 0 8.88888888888889 0 8.88888888888889 2.22222222222222 88.8888888888889 0 91.1111111111111 88.8888888888889 9.15384615384615E-02 0.201333333333333 0.117142857142857 0.135333333333333 0.133546042451828 0.47 0.43 0.42 0.47 25 0.375 62.5 0 50 37.5 37.5 1.91666666666667 58.3333333333333 0 0.375 0 0.125 0.5 0 0 0 0 0.75 1 0.25 0.666666666666667 1.5 0.5 2.75 1.58333333333333 25 54.1666666666667 20.8333333333333 32.7083333333333 0.5 27.1814671814672 13.3701662120489 72.8185328185328 0 0 0 0 0;</v>
      </c>
    </row>
    <row r="44" spans="1:87" x14ac:dyDescent="0.25">
      <c r="A44" s="12">
        <v>170</v>
      </c>
      <c r="B44" s="12">
        <v>0</v>
      </c>
      <c r="C44" s="12">
        <v>0</v>
      </c>
      <c r="D44" s="12">
        <v>0</v>
      </c>
      <c r="E44" s="12">
        <v>0</v>
      </c>
      <c r="F44" s="16">
        <v>14.6</v>
      </c>
      <c r="G44" s="16">
        <v>8.81</v>
      </c>
      <c r="H44" s="16">
        <v>8.91</v>
      </c>
      <c r="I44" s="16">
        <v>217</v>
      </c>
      <c r="J44" s="16">
        <v>128</v>
      </c>
      <c r="K44" s="16">
        <v>220</v>
      </c>
      <c r="L44" s="16">
        <v>565</v>
      </c>
      <c r="M44" s="16">
        <v>0</v>
      </c>
      <c r="N44" s="16">
        <v>1.85</v>
      </c>
      <c r="O44" s="16">
        <v>1.7000000000000002</v>
      </c>
      <c r="P44" s="16">
        <v>1.9874999999999998</v>
      </c>
      <c r="Q44" s="16">
        <v>1.8458333333333334</v>
      </c>
      <c r="R44" s="16">
        <v>0.79835655468330458</v>
      </c>
      <c r="S44" s="16">
        <v>0.14000000000000001</v>
      </c>
      <c r="T44" s="16">
        <v>0.11750000000000002</v>
      </c>
      <c r="U44" s="16">
        <v>9.2499999999999999E-2</v>
      </c>
      <c r="V44" s="16">
        <v>0.1166666666666667</v>
      </c>
      <c r="W44" s="16">
        <v>7.1909766323870195E-2</v>
      </c>
      <c r="X44" s="16">
        <v>0.3</v>
      </c>
      <c r="Y44" s="16">
        <v>0.24</v>
      </c>
      <c r="Z44" s="16">
        <v>0.16</v>
      </c>
      <c r="AA44" s="16">
        <v>0.3</v>
      </c>
      <c r="AB44" s="16">
        <v>15.821428571428568</v>
      </c>
      <c r="AC44" s="16">
        <v>0</v>
      </c>
      <c r="AD44" s="16">
        <v>33.333333333333329</v>
      </c>
      <c r="AE44" s="16">
        <v>0</v>
      </c>
      <c r="AF44" s="16">
        <v>33.333333333333329</v>
      </c>
      <c r="AG44" s="16">
        <v>0</v>
      </c>
      <c r="AH44" s="16">
        <v>66.666666666666657</v>
      </c>
      <c r="AI44" s="16">
        <v>0</v>
      </c>
      <c r="AJ44" s="16">
        <v>66.666666666666657</v>
      </c>
      <c r="AK44" s="16">
        <v>66.666666666666657</v>
      </c>
      <c r="AL44" s="16">
        <v>9.1249999999999998E-2</v>
      </c>
      <c r="AM44" s="16">
        <v>7.4999999999999997E-2</v>
      </c>
      <c r="AN44" s="16">
        <v>9.6250000000000002E-2</v>
      </c>
      <c r="AO44" s="16">
        <v>8.7500000000000022E-2</v>
      </c>
      <c r="AP44" s="16">
        <v>8.7984682461358502E-2</v>
      </c>
      <c r="AQ44" s="16">
        <v>0.28999999999999998</v>
      </c>
      <c r="AR44" s="16">
        <v>0.23</v>
      </c>
      <c r="AS44" s="16">
        <v>0.25</v>
      </c>
      <c r="AT44" s="16">
        <v>0.28999999999999998</v>
      </c>
      <c r="AU44" s="16">
        <v>0</v>
      </c>
      <c r="AV44" s="16">
        <v>0.45833333333333331</v>
      </c>
      <c r="AW44" s="16">
        <v>75</v>
      </c>
      <c r="AX44" s="16">
        <v>50</v>
      </c>
      <c r="AY44" s="16">
        <v>37.5</v>
      </c>
      <c r="AZ44" s="16">
        <v>54.166666666666664</v>
      </c>
      <c r="BA44" s="16">
        <v>54.166666666666664</v>
      </c>
      <c r="BB44" s="16">
        <v>0.83333333333333337</v>
      </c>
      <c r="BC44" s="16">
        <v>33.333333333333329</v>
      </c>
      <c r="BD44" s="16">
        <v>0.5</v>
      </c>
      <c r="BE44" s="16">
        <v>0.625</v>
      </c>
      <c r="BF44" s="16">
        <v>0.5</v>
      </c>
      <c r="BG44" s="16">
        <v>0.54166666666666663</v>
      </c>
      <c r="BH44" s="16">
        <v>0.5</v>
      </c>
      <c r="BI44" s="16">
        <v>0.25</v>
      </c>
      <c r="BJ44" s="16">
        <v>0</v>
      </c>
      <c r="BK44" s="16">
        <v>0</v>
      </c>
      <c r="BL44" s="16">
        <v>8.3333333333333329E-2</v>
      </c>
      <c r="BM44" s="16">
        <v>0.5</v>
      </c>
      <c r="BN44" s="16">
        <v>1.25</v>
      </c>
      <c r="BO44" s="16">
        <v>0.75</v>
      </c>
      <c r="BP44" s="16">
        <v>0.83333333333333337</v>
      </c>
      <c r="BQ44" s="16">
        <v>0.75</v>
      </c>
      <c r="BR44" s="16">
        <v>0.5</v>
      </c>
      <c r="BS44" s="16">
        <v>0.5</v>
      </c>
      <c r="BT44" s="16">
        <v>0.58333333333333337</v>
      </c>
      <c r="BU44" s="16">
        <v>33.333333333333329</v>
      </c>
      <c r="BV44" s="16">
        <v>62.5</v>
      </c>
      <c r="BW44" s="16">
        <v>4.1666666666666661</v>
      </c>
      <c r="BX44" s="16">
        <v>26.25</v>
      </c>
      <c r="BY44" s="16">
        <v>0.625</v>
      </c>
      <c r="BZ44" s="16">
        <v>4.5045045045045047</v>
      </c>
      <c r="CA44" s="16">
        <v>3.4465617474213164</v>
      </c>
      <c r="CB44" s="16">
        <v>95.49549549549549</v>
      </c>
      <c r="CC44" s="16">
        <v>0</v>
      </c>
      <c r="CD44" s="16">
        <v>0</v>
      </c>
      <c r="CE44" s="16">
        <v>0</v>
      </c>
      <c r="CF44" s="16">
        <v>0</v>
      </c>
      <c r="CG44" s="16">
        <v>0</v>
      </c>
      <c r="CI44" t="str">
        <f t="shared" si="0"/>
        <v>/*170*/ 000  1 14.6 8.81 8.91 217 128 220 565 0 1.85 1.7 1.9875 1.84583333333333 0.798356554683305 0.14 0.1175 0.0925 0.116666666666667 7.19097663238702E-02 0.3 0.24 0.16 0.3 15.8214285714286 0 33.3333333333333 0 33.3333333333333 0 66.6666666666667 0 66.6666666666667 66.6666666666667 0.09125 0.075 0.09625 0.0875 8.79846824613585E-02 0.29 0.23 0.25 0.29 0 0.458333333333333 75 50 37.5 54.1666666666667 54.1666666666667 0.833333333333333 33.3333333333333 0.5 0.625 0.5 0.541666666666667 0.5 0.25 0 0 8.33333333333333E-02 0.5 1.25 0.75 0.833333333333333 0.75 0.5 0.5 0.583333333333333 33.3333333333333 62.5 4.16666666666667 26.25 0.625 4.5045045045045 3.44656174742132 95.4954954954955 0 0 0 0 0;</v>
      </c>
    </row>
    <row r="45" spans="1:87" x14ac:dyDescent="0.25">
      <c r="A45" s="12" t="s">
        <v>4</v>
      </c>
      <c r="B45" s="12">
        <v>0</v>
      </c>
      <c r="C45" s="12">
        <v>0</v>
      </c>
      <c r="D45" s="12">
        <v>0</v>
      </c>
      <c r="E45" s="12">
        <v>0</v>
      </c>
      <c r="F45" s="16">
        <v>12.2</v>
      </c>
      <c r="G45" s="16">
        <v>8.27</v>
      </c>
      <c r="H45" s="16">
        <v>11.8</v>
      </c>
      <c r="I45" s="16">
        <v>527</v>
      </c>
      <c r="J45" s="16">
        <v>413</v>
      </c>
      <c r="K45" s="16">
        <v>586</v>
      </c>
      <c r="L45" s="16">
        <v>1526</v>
      </c>
      <c r="M45" s="16">
        <v>0.78636959370904325</v>
      </c>
      <c r="N45" s="16">
        <v>1.85</v>
      </c>
      <c r="O45" s="16">
        <v>1.85</v>
      </c>
      <c r="P45" s="16">
        <v>4.0125000000000002</v>
      </c>
      <c r="Q45" s="16">
        <v>2.5708333333333329</v>
      </c>
      <c r="R45" s="16">
        <v>1.3362761907521277</v>
      </c>
      <c r="S45" s="16">
        <v>0.27</v>
      </c>
      <c r="T45" s="16">
        <v>0.16545454545454547</v>
      </c>
      <c r="U45" s="16">
        <v>0.5763636363636363</v>
      </c>
      <c r="V45" s="16">
        <v>0.33937499999999993</v>
      </c>
      <c r="W45" s="16">
        <v>0.20874335994848006</v>
      </c>
      <c r="X45" s="16">
        <v>0.5</v>
      </c>
      <c r="Y45" s="16">
        <v>0.26</v>
      </c>
      <c r="Z45" s="16">
        <v>0.78</v>
      </c>
      <c r="AA45" s="16">
        <v>0.78</v>
      </c>
      <c r="AB45" s="16">
        <v>7.575199508901167</v>
      </c>
      <c r="AC45" s="16">
        <v>0</v>
      </c>
      <c r="AD45" s="16">
        <v>43.75</v>
      </c>
      <c r="AE45" s="16">
        <v>18.75</v>
      </c>
      <c r="AF45" s="16">
        <v>62.5</v>
      </c>
      <c r="AG45" s="16">
        <v>9.375</v>
      </c>
      <c r="AH45" s="16">
        <v>28.125</v>
      </c>
      <c r="AI45" s="16">
        <v>0</v>
      </c>
      <c r="AJ45" s="16">
        <v>37.5</v>
      </c>
      <c r="AK45" s="16">
        <v>43.75</v>
      </c>
      <c r="AL45" s="16">
        <v>0.32</v>
      </c>
      <c r="AM45" s="16">
        <v>0.55636363636363628</v>
      </c>
      <c r="AN45" s="16">
        <v>0.05</v>
      </c>
      <c r="AO45" s="16">
        <v>0.30843749999999998</v>
      </c>
      <c r="AP45" s="16">
        <v>0.29630095179100946</v>
      </c>
      <c r="AQ45" s="16">
        <v>1.1000000000000001</v>
      </c>
      <c r="AR45" s="16">
        <v>0.89</v>
      </c>
      <c r="AS45" s="16">
        <v>0.09</v>
      </c>
      <c r="AT45" s="16">
        <v>1.1000000000000001</v>
      </c>
      <c r="AU45" s="16">
        <v>25</v>
      </c>
      <c r="AV45" s="16">
        <v>0.41666666666666669</v>
      </c>
      <c r="AW45" s="16">
        <v>0</v>
      </c>
      <c r="AX45" s="16">
        <v>0</v>
      </c>
      <c r="AY45" s="16">
        <v>100</v>
      </c>
      <c r="AZ45" s="16">
        <v>33.333333333333329</v>
      </c>
      <c r="BA45" s="16">
        <v>41.666666666666671</v>
      </c>
      <c r="BB45" s="16">
        <v>0.41666666666666669</v>
      </c>
      <c r="BC45" s="16">
        <v>8.3333333333333321</v>
      </c>
      <c r="BD45" s="16">
        <v>0</v>
      </c>
      <c r="BE45" s="16">
        <v>0</v>
      </c>
      <c r="BF45" s="16">
        <v>0.25</v>
      </c>
      <c r="BG45" s="16">
        <v>8.3333333333333329E-2</v>
      </c>
      <c r="BH45" s="16">
        <v>0.125</v>
      </c>
      <c r="BI45" s="16">
        <v>0.25</v>
      </c>
      <c r="BJ45" s="16">
        <v>1.25</v>
      </c>
      <c r="BK45" s="16">
        <v>0.25</v>
      </c>
      <c r="BL45" s="16">
        <v>0.58333333333333337</v>
      </c>
      <c r="BM45" s="16">
        <v>0</v>
      </c>
      <c r="BN45" s="16">
        <v>0</v>
      </c>
      <c r="BO45" s="16">
        <v>0</v>
      </c>
      <c r="BP45" s="16">
        <v>0</v>
      </c>
      <c r="BQ45" s="16">
        <v>0.75</v>
      </c>
      <c r="BR45" s="16">
        <v>0.25</v>
      </c>
      <c r="BS45" s="16">
        <v>3.75</v>
      </c>
      <c r="BT45" s="16">
        <v>1.5833333333333333</v>
      </c>
      <c r="BU45" s="16">
        <v>8.3333333333333321</v>
      </c>
      <c r="BV45" s="16">
        <v>66.666666666666657</v>
      </c>
      <c r="BW45" s="16">
        <v>20.833333333333336</v>
      </c>
      <c r="BX45" s="16">
        <v>37.826086956521742</v>
      </c>
      <c r="BY45" s="16">
        <v>0</v>
      </c>
      <c r="BZ45" s="16">
        <v>100</v>
      </c>
      <c r="CA45" s="16">
        <v>0</v>
      </c>
      <c r="CB45" s="16">
        <v>0</v>
      </c>
      <c r="CC45" s="16">
        <v>0</v>
      </c>
      <c r="CD45" s="16">
        <v>0</v>
      </c>
      <c r="CE45" s="16">
        <v>0</v>
      </c>
      <c r="CF45" s="16">
        <v>0</v>
      </c>
      <c r="CG45" s="16">
        <v>0</v>
      </c>
      <c r="CI45" t="str">
        <f t="shared" si="0"/>
        <v>/*14b*/ 000  1 12.2 8.27 11.8 527 413 586 1526 0.786369593709043 1.85 1.85 4.0125 2.57083333333333 1.33627619075213 0.27 0.165454545454545 0.576363636363636 0.339375 0.20874335994848 0.5 0.26 0.78 0.78 7.57519950890117 0 43.75 18.75 62.5 9.375 28.125 0 37.5 43.75 0.32 0.556363636363636 0.05 0.3084375 0.296300951791009 1.1 0.89 0.09 1.1 25 0.416666666666667 0 0 100 33.3333333333333 41.6666666666667 0.416666666666667 8.33333333333333 0 0 0.25 8.33333333333333E-02 0.125 0.25 1.25 0.25 0.583333333333333 0 0 0 0 0.75 0.25 3.75 1.58333333333333 8.33333333333333 66.6666666666667 20.8333333333333 37.8260869565217 0 100 0 0 0 0 0 0 0;</v>
      </c>
    </row>
    <row r="46" spans="1:87" x14ac:dyDescent="0.25">
      <c r="A46" s="12" t="s">
        <v>5</v>
      </c>
      <c r="B46" s="12">
        <v>0</v>
      </c>
      <c r="C46" s="12">
        <v>0</v>
      </c>
      <c r="D46" s="12">
        <v>0</v>
      </c>
      <c r="E46" s="12">
        <v>0</v>
      </c>
      <c r="F46" s="16">
        <v>18.100000000000001</v>
      </c>
      <c r="G46" s="16">
        <v>8.6300000000000008</v>
      </c>
      <c r="H46" s="16">
        <v>12.16</v>
      </c>
      <c r="I46" s="16">
        <v>442</v>
      </c>
      <c r="J46" s="16">
        <v>503</v>
      </c>
      <c r="K46" s="16">
        <v>424</v>
      </c>
      <c r="L46" s="16">
        <v>1369</v>
      </c>
      <c r="M46" s="16">
        <v>0</v>
      </c>
      <c r="N46" s="16">
        <v>2.0125000000000002</v>
      </c>
      <c r="O46" s="16">
        <v>2.0875000000000004</v>
      </c>
      <c r="P46" s="16">
        <v>1.85</v>
      </c>
      <c r="Q46" s="16">
        <v>1.9833333333333334</v>
      </c>
      <c r="R46" s="16">
        <v>0.28539319431675009</v>
      </c>
      <c r="S46" s="16">
        <v>0.22142857142857145</v>
      </c>
      <c r="T46" s="16">
        <v>0.32187500000000002</v>
      </c>
      <c r="U46" s="16">
        <v>0.41000000000000003</v>
      </c>
      <c r="V46" s="16">
        <v>0.30342105263157904</v>
      </c>
      <c r="W46" s="16">
        <v>0.12085900464701581</v>
      </c>
      <c r="X46" s="16">
        <v>0.38</v>
      </c>
      <c r="Y46" s="16">
        <v>0.48</v>
      </c>
      <c r="Z46" s="16">
        <v>0.52</v>
      </c>
      <c r="AA46" s="16">
        <v>0.52</v>
      </c>
      <c r="AB46" s="16">
        <v>6.5365712633709148</v>
      </c>
      <c r="AC46" s="16">
        <v>0</v>
      </c>
      <c r="AD46" s="16">
        <v>15.789473684210526</v>
      </c>
      <c r="AE46" s="16">
        <v>2.6315789473684208</v>
      </c>
      <c r="AF46" s="16">
        <v>18.421052631578945</v>
      </c>
      <c r="AG46" s="16">
        <v>15.789473684210526</v>
      </c>
      <c r="AH46" s="16">
        <v>65.789473684210535</v>
      </c>
      <c r="AI46" s="16">
        <v>0</v>
      </c>
      <c r="AJ46" s="16">
        <v>81.578947368421055</v>
      </c>
      <c r="AK46" s="16">
        <v>65.789473684210535</v>
      </c>
      <c r="AL46" s="16">
        <v>0.37923076923076926</v>
      </c>
      <c r="AM46" s="16">
        <v>0.25533333333333336</v>
      </c>
      <c r="AN46" s="16">
        <v>0.32375000000000004</v>
      </c>
      <c r="AO46" s="16">
        <v>0.31026315789473685</v>
      </c>
      <c r="AP46" s="16">
        <v>0.19729915332629205</v>
      </c>
      <c r="AQ46" s="16">
        <v>0.77</v>
      </c>
      <c r="AR46" s="16">
        <v>0.57999999999999996</v>
      </c>
      <c r="AS46" s="16">
        <v>0.83</v>
      </c>
      <c r="AT46" s="16">
        <v>0.83</v>
      </c>
      <c r="AU46" s="16">
        <v>8.3333333333333321</v>
      </c>
      <c r="AV46" s="16">
        <v>0.91304347826086951</v>
      </c>
      <c r="AW46" s="16">
        <v>0</v>
      </c>
      <c r="AX46" s="16">
        <v>0</v>
      </c>
      <c r="AY46" s="16">
        <v>0</v>
      </c>
      <c r="AZ46" s="16">
        <v>0</v>
      </c>
      <c r="BA46" s="16">
        <v>87.5</v>
      </c>
      <c r="BB46" s="16">
        <v>1.1666666666666667</v>
      </c>
      <c r="BC46" s="16">
        <v>25</v>
      </c>
      <c r="BD46" s="16">
        <v>0</v>
      </c>
      <c r="BE46" s="16">
        <v>0</v>
      </c>
      <c r="BF46" s="16">
        <v>0</v>
      </c>
      <c r="BG46" s="16">
        <v>0</v>
      </c>
      <c r="BH46" s="16">
        <v>0.16666666666666666</v>
      </c>
      <c r="BI46" s="16">
        <v>1</v>
      </c>
      <c r="BJ46" s="16">
        <v>1</v>
      </c>
      <c r="BK46" s="16">
        <v>1</v>
      </c>
      <c r="BL46" s="16">
        <v>1</v>
      </c>
      <c r="BM46" s="16">
        <v>0.25</v>
      </c>
      <c r="BN46" s="16">
        <v>0</v>
      </c>
      <c r="BO46" s="16">
        <v>0.5</v>
      </c>
      <c r="BP46" s="16">
        <v>0.25</v>
      </c>
      <c r="BQ46" s="16">
        <v>0.5</v>
      </c>
      <c r="BR46" s="16">
        <v>0.5</v>
      </c>
      <c r="BS46" s="16">
        <v>0.25</v>
      </c>
      <c r="BT46" s="16">
        <v>0.41666666666666669</v>
      </c>
      <c r="BU46" s="16">
        <v>0</v>
      </c>
      <c r="BV46" s="16">
        <v>91.666666666666657</v>
      </c>
      <c r="BW46" s="16">
        <v>8.3333333333333321</v>
      </c>
      <c r="BX46" s="16">
        <v>39.791666666666664</v>
      </c>
      <c r="BY46" s="16">
        <v>0.41666666666666669</v>
      </c>
      <c r="BZ46" s="16">
        <v>92.942942942942935</v>
      </c>
      <c r="CA46" s="16">
        <v>6.0889377890312515</v>
      </c>
      <c r="CB46" s="16">
        <v>7.0570570570570652</v>
      </c>
      <c r="CC46" s="16">
        <v>0</v>
      </c>
      <c r="CD46" s="16">
        <v>0</v>
      </c>
      <c r="CE46" s="16">
        <v>0</v>
      </c>
      <c r="CF46" s="16">
        <v>0</v>
      </c>
      <c r="CG46" s="16">
        <v>0</v>
      </c>
      <c r="CI46" t="str">
        <f t="shared" si="0"/>
        <v>/*32b*/ 000  1 18.1 8.63 12.16 442 503 424 1369 0 2.0125 2.0875 1.85 1.98333333333333 0.28539319431675 0.221428571428571 0.321875 0.41 0.303421052631579 0.120859004647016 0.38 0.48 0.52 0.52 6.53657126337091 0 15.7894736842105 2.63157894736842 18.4210526315789 15.7894736842105 65.7894736842105 0 81.5789473684211 65.7894736842105 0.379230769230769 0.255333333333333 0.32375 0.310263157894737 0.197299153326292 0.77 0.58 0.83 0.83 8.33333333333333 0.91304347826087 0 0 0 0 87.5 1.16666666666667 25 0 0 0 0 0.166666666666667 1 1 1 1 0.25 0 0.5 0.25 0.5 0.5 0.25 0.416666666666667 0 91.6666666666667 8.33333333333333 39.7916666666667 0.416666666666667 92.9429429429429 6.08893778903125 7.05705705705707 0 0 0 0 0;</v>
      </c>
    </row>
    <row r="47" spans="1:87" x14ac:dyDescent="0.25">
      <c r="A47" s="12" t="s">
        <v>6</v>
      </c>
      <c r="B47" s="12">
        <v>0</v>
      </c>
      <c r="C47" s="12">
        <v>0</v>
      </c>
      <c r="D47" s="12">
        <v>0</v>
      </c>
      <c r="E47" s="12">
        <v>0</v>
      </c>
      <c r="F47" s="16">
        <v>17.5</v>
      </c>
      <c r="G47" s="16">
        <v>7.99</v>
      </c>
      <c r="H47" s="16">
        <v>11.08</v>
      </c>
      <c r="I47" s="16">
        <v>420</v>
      </c>
      <c r="J47" s="16">
        <v>573</v>
      </c>
      <c r="K47" s="16">
        <v>1025</v>
      </c>
      <c r="L47" s="16">
        <v>2018</v>
      </c>
      <c r="M47" s="16">
        <v>0</v>
      </c>
      <c r="N47" s="16">
        <v>2.3874999999999997</v>
      </c>
      <c r="O47" s="16">
        <v>3.1124999999999998</v>
      </c>
      <c r="P47" s="16">
        <v>3.5250000000000008</v>
      </c>
      <c r="Q47" s="16">
        <v>3.0083333333333333</v>
      </c>
      <c r="R47" s="16">
        <v>0.76551583442383664</v>
      </c>
      <c r="S47" s="16">
        <v>0.19090909090909092</v>
      </c>
      <c r="T47" s="16">
        <v>0.32545454545454544</v>
      </c>
      <c r="U47" s="16">
        <v>0.5591666666666667</v>
      </c>
      <c r="V47" s="16">
        <v>0.36441176470588232</v>
      </c>
      <c r="W47" s="16">
        <v>0.21874561365604839</v>
      </c>
      <c r="X47" s="16">
        <v>0.46</v>
      </c>
      <c r="Y47" s="16">
        <v>0.62</v>
      </c>
      <c r="Z47" s="16">
        <v>0.82</v>
      </c>
      <c r="AA47" s="16">
        <v>0.82</v>
      </c>
      <c r="AB47" s="16">
        <v>8.2553134248049513</v>
      </c>
      <c r="AC47" s="16">
        <v>0</v>
      </c>
      <c r="AD47" s="16">
        <v>78.125</v>
      </c>
      <c r="AE47" s="16">
        <v>3.125</v>
      </c>
      <c r="AF47" s="16">
        <v>81.25</v>
      </c>
      <c r="AG47" s="16">
        <v>0</v>
      </c>
      <c r="AH47" s="16">
        <v>18.75</v>
      </c>
      <c r="AI47" s="16">
        <v>0</v>
      </c>
      <c r="AJ47" s="16">
        <v>18.75</v>
      </c>
      <c r="AK47" s="16">
        <v>78.125</v>
      </c>
      <c r="AL47" s="16">
        <v>0.13727272727272724</v>
      </c>
      <c r="AM47" s="16">
        <v>0.15454545454545457</v>
      </c>
      <c r="AN47" s="16">
        <v>2.8333333333333335E-2</v>
      </c>
      <c r="AO47" s="16">
        <v>0.10441176470588232</v>
      </c>
      <c r="AP47" s="16">
        <v>0.16263346363452122</v>
      </c>
      <c r="AQ47" s="16">
        <v>0.32</v>
      </c>
      <c r="AR47" s="16">
        <v>0.78</v>
      </c>
      <c r="AS47" s="16">
        <v>0.09</v>
      </c>
      <c r="AT47" s="16">
        <v>0.78</v>
      </c>
      <c r="AU47" s="16">
        <v>12.5</v>
      </c>
      <c r="AV47" s="16">
        <v>0.29166666666666669</v>
      </c>
      <c r="AW47" s="16">
        <v>12.5</v>
      </c>
      <c r="AX47" s="16">
        <v>62.5</v>
      </c>
      <c r="AY47" s="16">
        <v>100</v>
      </c>
      <c r="AZ47" s="16">
        <v>58.333333333333336</v>
      </c>
      <c r="BA47" s="16">
        <v>45.833333333333329</v>
      </c>
      <c r="BB47" s="16">
        <v>0.16666666666666666</v>
      </c>
      <c r="BC47" s="16">
        <v>8.3333333333333321</v>
      </c>
      <c r="BD47" s="16">
        <v>0.375</v>
      </c>
      <c r="BE47" s="16">
        <v>0.625</v>
      </c>
      <c r="BF47" s="16">
        <v>0.25</v>
      </c>
      <c r="BG47" s="16">
        <v>0.41666666666666669</v>
      </c>
      <c r="BH47" s="16">
        <v>0.95833333333333337</v>
      </c>
      <c r="BI47" s="16">
        <v>0</v>
      </c>
      <c r="BJ47" s="16">
        <v>0.25</v>
      </c>
      <c r="BK47" s="16">
        <v>0</v>
      </c>
      <c r="BL47" s="16">
        <v>8.3333333333333329E-2</v>
      </c>
      <c r="BM47" s="16">
        <v>0</v>
      </c>
      <c r="BN47" s="16">
        <v>0</v>
      </c>
      <c r="BO47" s="16">
        <v>0</v>
      </c>
      <c r="BP47" s="16">
        <v>0</v>
      </c>
      <c r="BQ47" s="16">
        <v>1.5</v>
      </c>
      <c r="BR47" s="16">
        <v>2.25</v>
      </c>
      <c r="BS47" s="16">
        <v>4</v>
      </c>
      <c r="BT47" s="16">
        <v>2.5833333333333335</v>
      </c>
      <c r="BU47" s="16">
        <v>8.3333333333333321</v>
      </c>
      <c r="BV47" s="16">
        <v>87.5</v>
      </c>
      <c r="BW47" s="16">
        <v>4.1666666666666661</v>
      </c>
      <c r="BX47" s="16">
        <v>38.333333333333336</v>
      </c>
      <c r="BY47" s="16">
        <v>3.1666666666666665</v>
      </c>
      <c r="BZ47" s="16">
        <v>60.585585585585591</v>
      </c>
      <c r="CA47" s="16">
        <v>15.921907638758078</v>
      </c>
      <c r="CB47" s="16">
        <v>39.414414414414409</v>
      </c>
      <c r="CC47" s="16">
        <v>0</v>
      </c>
      <c r="CD47" s="16">
        <v>0</v>
      </c>
      <c r="CE47" s="16">
        <v>0</v>
      </c>
      <c r="CF47" s="16">
        <v>0</v>
      </c>
      <c r="CG47" s="16">
        <v>0</v>
      </c>
      <c r="CI47" t="str">
        <f t="shared" si="0"/>
        <v>/*57b*/ 000  1 17.5 7.99 11.08 420 573 1025 2018 0 2.3875 3.1125 3.525 3.00833333333333 0.765515834423837 0.190909090909091 0.325454545454545 0.559166666666667 0.364411764705882 0.218745613656048 0.46 0.62 0.82 0.82 8.25531342480495 0 78.125 3.125 81.25 0 18.75 0 18.75 78.125 0.137272727272727 0.154545454545455 2.83333333333333E-02 0.104411764705882 0.162633463634521 0.32 0.78 0.09 0.78 12.5 0.291666666666667 12.5 62.5 100 58.3333333333333 45.8333333333333 0.166666666666667 8.33333333333333 0.375 0.625 0.25 0.416666666666667 0.958333333333333 0 0.25 0 8.33333333333333E-02 0 0 0 0 1.5 2.25 4 2.58333333333333 8.33333333333333 87.5 4.16666666666667 38.3333333333333 3.16666666666667 60.5855855855856 15.9219076387581 39.4144144144144 0 0 0 0 0;</v>
      </c>
    </row>
    <row r="48" spans="1:87" x14ac:dyDescent="0.25">
      <c r="A48" s="12" t="s">
        <v>7</v>
      </c>
      <c r="B48" s="12">
        <v>0</v>
      </c>
      <c r="C48" s="12">
        <v>0</v>
      </c>
      <c r="D48" s="12">
        <v>0</v>
      </c>
      <c r="E48" s="12">
        <v>0</v>
      </c>
      <c r="F48" s="16">
        <v>13.5</v>
      </c>
      <c r="G48" s="16">
        <v>8.49</v>
      </c>
      <c r="H48" s="16">
        <v>12.65</v>
      </c>
      <c r="I48" s="16">
        <v>512</v>
      </c>
      <c r="J48" s="16">
        <v>432</v>
      </c>
      <c r="K48" s="16">
        <v>401</v>
      </c>
      <c r="L48" s="16">
        <v>1345</v>
      </c>
      <c r="M48" s="16">
        <v>2.2304832713754648</v>
      </c>
      <c r="N48" s="16">
        <v>4.7374999999999998</v>
      </c>
      <c r="O48" s="16">
        <v>4.1500000000000004</v>
      </c>
      <c r="P48" s="16">
        <v>4.9874999999999998</v>
      </c>
      <c r="Q48" s="16">
        <v>4.6249999999999991</v>
      </c>
      <c r="R48" s="16">
        <v>1.4554993166846804</v>
      </c>
      <c r="S48" s="16">
        <v>0.21333333333333337</v>
      </c>
      <c r="T48" s="16">
        <v>0.13583333333333336</v>
      </c>
      <c r="U48" s="16">
        <v>0.16416666666666668</v>
      </c>
      <c r="V48" s="16">
        <v>0.1711111111111111</v>
      </c>
      <c r="W48" s="16">
        <v>0.12473463896901366</v>
      </c>
      <c r="X48" s="16">
        <v>0.5</v>
      </c>
      <c r="Y48" s="16">
        <v>0.32</v>
      </c>
      <c r="Z48" s="16">
        <v>0.63</v>
      </c>
      <c r="AA48" s="16">
        <v>0.63</v>
      </c>
      <c r="AB48" s="16">
        <v>27.029220779220775</v>
      </c>
      <c r="AC48" s="16">
        <v>3.7037037037037033</v>
      </c>
      <c r="AD48" s="16">
        <v>0</v>
      </c>
      <c r="AE48" s="16">
        <v>0</v>
      </c>
      <c r="AF48" s="16">
        <v>3.7037037037037033</v>
      </c>
      <c r="AG48" s="16">
        <v>0</v>
      </c>
      <c r="AH48" s="16">
        <v>85.18518518518519</v>
      </c>
      <c r="AI48" s="16">
        <v>11.111111111111111</v>
      </c>
      <c r="AJ48" s="16">
        <v>96.296296296296305</v>
      </c>
      <c r="AK48" s="16">
        <v>85.18518518518519</v>
      </c>
      <c r="AL48" s="16">
        <v>0.1875</v>
      </c>
      <c r="AM48" s="16">
        <v>0.25416666666666665</v>
      </c>
      <c r="AN48" s="16">
        <v>0.32454545454545453</v>
      </c>
      <c r="AO48" s="16">
        <v>0.25342857142857139</v>
      </c>
      <c r="AP48" s="16">
        <v>0.25463864658793339</v>
      </c>
      <c r="AQ48" s="16">
        <v>0.4</v>
      </c>
      <c r="AR48" s="16">
        <v>0.76</v>
      </c>
      <c r="AS48" s="16">
        <v>1.04</v>
      </c>
      <c r="AT48" s="16">
        <v>1.04</v>
      </c>
      <c r="AU48" s="16">
        <v>45.833333333333329</v>
      </c>
      <c r="AV48" s="16">
        <v>0.29166666666666669</v>
      </c>
      <c r="AW48" s="16">
        <v>25</v>
      </c>
      <c r="AX48" s="16">
        <v>25</v>
      </c>
      <c r="AY48" s="16">
        <v>25</v>
      </c>
      <c r="AZ48" s="16">
        <v>25</v>
      </c>
      <c r="BA48" s="16">
        <v>45.833333333333329</v>
      </c>
      <c r="BB48" s="16">
        <v>0.83333333333333337</v>
      </c>
      <c r="BC48" s="16">
        <v>0</v>
      </c>
      <c r="BD48" s="16">
        <v>0</v>
      </c>
      <c r="BE48" s="16">
        <v>0</v>
      </c>
      <c r="BF48" s="16">
        <v>0</v>
      </c>
      <c r="BG48" s="16">
        <v>0</v>
      </c>
      <c r="BH48" s="16">
        <v>0.29166666666666669</v>
      </c>
      <c r="BI48" s="16">
        <v>0</v>
      </c>
      <c r="BJ48" s="16">
        <v>0</v>
      </c>
      <c r="BK48" s="16">
        <v>0</v>
      </c>
      <c r="BL48" s="16">
        <v>0</v>
      </c>
      <c r="BM48" s="16">
        <v>1.25</v>
      </c>
      <c r="BN48" s="16">
        <v>2.6666666666666665</v>
      </c>
      <c r="BO48" s="16">
        <v>2.5</v>
      </c>
      <c r="BP48" s="16">
        <v>2.0909090909090908</v>
      </c>
      <c r="BQ48" s="16">
        <v>1</v>
      </c>
      <c r="BR48" s="16">
        <v>0.5</v>
      </c>
      <c r="BS48" s="16">
        <v>0</v>
      </c>
      <c r="BT48" s="16">
        <v>0.54545454545454541</v>
      </c>
      <c r="BU48" s="16">
        <v>45.833333333333329</v>
      </c>
      <c r="BV48" s="16">
        <v>45.833333333333329</v>
      </c>
      <c r="BW48" s="16">
        <v>8.3333333333333321</v>
      </c>
      <c r="BX48" s="16">
        <v>25.625</v>
      </c>
      <c r="BY48" s="16">
        <v>0</v>
      </c>
      <c r="BZ48" s="16">
        <v>31.006006006006004</v>
      </c>
      <c r="CA48" s="16">
        <v>12.916182786635446</v>
      </c>
      <c r="CB48" s="16">
        <v>68.993993993993996</v>
      </c>
      <c r="CC48" s="16">
        <v>0</v>
      </c>
      <c r="CD48" s="16">
        <v>0</v>
      </c>
      <c r="CE48" s="16">
        <v>0</v>
      </c>
      <c r="CF48" s="16">
        <v>0</v>
      </c>
      <c r="CG48" s="16">
        <v>0</v>
      </c>
      <c r="CI48" t="str">
        <f t="shared" si="0"/>
        <v>/*201_NCT*/ 000  1 13.5 8.49 12.65 512 432 401 1345 2.23048327137546 4.7375 4.15 4.9875 4.625 1.45549931668468 0.213333333333333 0.135833333333333 0.164166666666667 0.171111111111111 0.124734638969014 0.5 0.32 0.63 0.63 27.0292207792208 3.7037037037037 0 0 3.7037037037037 0 85.1851851851852 11.1111111111111 96.2962962962963 85.1851851851852 0.1875 0.254166666666667 0.324545454545455 0.253428571428571 0.254638646587933 0.4 0.76 1.04 1.04 45.8333333333333 0.291666666666667 25 25 25 25 45.8333333333333 0.833333333333333 0 0 0 0 0 0.291666666666667 0 0 0 0 1.25 2.66666666666667 2.5 2.09090909090909 1 0.5 0 0.545454545454545 45.8333333333333 45.8333333333333 8.33333333333333 25.625 0 31.006006006006 12.9161827866354 68.993993993994 0 0 0 0 0;</v>
      </c>
    </row>
    <row r="49" spans="1:87" x14ac:dyDescent="0.25">
      <c r="A49" s="12" t="s">
        <v>8</v>
      </c>
      <c r="B49" s="12">
        <v>0</v>
      </c>
      <c r="C49" s="12">
        <v>0</v>
      </c>
      <c r="D49" s="12">
        <v>0</v>
      </c>
      <c r="E49" s="12">
        <v>0</v>
      </c>
      <c r="F49" s="16">
        <v>14.7</v>
      </c>
      <c r="G49" s="16">
        <v>8.5299999999999994</v>
      </c>
      <c r="H49" s="16">
        <v>11.05</v>
      </c>
      <c r="I49" s="16">
        <v>670</v>
      </c>
      <c r="J49" s="16">
        <v>380</v>
      </c>
      <c r="K49" s="16">
        <v>380</v>
      </c>
      <c r="L49" s="16">
        <v>1430</v>
      </c>
      <c r="M49" s="16">
        <v>1.9300699300699302</v>
      </c>
      <c r="N49" s="16">
        <v>3.5124999999999997</v>
      </c>
      <c r="O49" s="16">
        <v>2.8125</v>
      </c>
      <c r="P49" s="16">
        <v>2.2249999999999996</v>
      </c>
      <c r="Q49" s="16">
        <v>2.85</v>
      </c>
      <c r="R49" s="16">
        <v>0.93063792987484451</v>
      </c>
      <c r="S49" s="16">
        <v>0.27833333333333332</v>
      </c>
      <c r="T49" s="16">
        <v>0.15636363636363637</v>
      </c>
      <c r="U49" s="16">
        <v>0.16200000000000001</v>
      </c>
      <c r="V49" s="16">
        <v>0.20242424242424245</v>
      </c>
      <c r="W49" s="16">
        <v>0.1107652445216431</v>
      </c>
      <c r="X49" s="16">
        <v>0.48</v>
      </c>
      <c r="Y49" s="16">
        <v>0.28000000000000003</v>
      </c>
      <c r="Z49" s="16">
        <v>0.22</v>
      </c>
      <c r="AA49" s="16">
        <v>0.48</v>
      </c>
      <c r="AB49" s="16">
        <v>14.079341317365268</v>
      </c>
      <c r="AC49" s="16">
        <v>0</v>
      </c>
      <c r="AD49" s="16">
        <v>9.0909090909090917</v>
      </c>
      <c r="AE49" s="16">
        <v>3.0303030303030303</v>
      </c>
      <c r="AF49" s="16">
        <v>12.121212121212121</v>
      </c>
      <c r="AG49" s="16">
        <v>0</v>
      </c>
      <c r="AH49" s="16">
        <v>87.878787878787875</v>
      </c>
      <c r="AI49" s="16">
        <v>0</v>
      </c>
      <c r="AJ49" s="16">
        <v>87.878787878787875</v>
      </c>
      <c r="AK49" s="16">
        <v>87.878787878787875</v>
      </c>
      <c r="AL49" s="16">
        <v>0.30583333333333335</v>
      </c>
      <c r="AM49" s="16">
        <v>0.54272727272727284</v>
      </c>
      <c r="AN49" s="16">
        <v>0.72799999999999998</v>
      </c>
      <c r="AO49" s="16">
        <v>0.5127272727272727</v>
      </c>
      <c r="AP49" s="16">
        <v>0.31703975231105413</v>
      </c>
      <c r="AQ49" s="16">
        <v>0.78</v>
      </c>
      <c r="AR49" s="16">
        <v>0.92</v>
      </c>
      <c r="AS49" s="16">
        <v>1.23</v>
      </c>
      <c r="AT49" s="16">
        <v>1.23</v>
      </c>
      <c r="AU49" s="16">
        <v>66.666666666666657</v>
      </c>
      <c r="AV49" s="16">
        <v>0.30434782608695654</v>
      </c>
      <c r="AW49" s="16">
        <v>0</v>
      </c>
      <c r="AX49" s="16">
        <v>0</v>
      </c>
      <c r="AY49" s="16">
        <v>0</v>
      </c>
      <c r="AZ49" s="16">
        <v>0</v>
      </c>
      <c r="BA49" s="16">
        <v>66.666666666666657</v>
      </c>
      <c r="BB49" s="16">
        <v>1.75</v>
      </c>
      <c r="BC49" s="16">
        <v>50</v>
      </c>
      <c r="BD49" s="16">
        <v>0</v>
      </c>
      <c r="BE49" s="16">
        <v>0.25</v>
      </c>
      <c r="BF49" s="16">
        <v>0.5</v>
      </c>
      <c r="BG49" s="16">
        <v>0.25</v>
      </c>
      <c r="BH49" s="16">
        <v>0.29166666666666669</v>
      </c>
      <c r="BI49" s="16">
        <v>0.25</v>
      </c>
      <c r="BJ49" s="16">
        <v>0</v>
      </c>
      <c r="BK49" s="16">
        <v>0</v>
      </c>
      <c r="BL49" s="16">
        <v>8.3333333333333329E-2</v>
      </c>
      <c r="BM49" s="16">
        <v>0</v>
      </c>
      <c r="BN49" s="16">
        <v>0</v>
      </c>
      <c r="BO49" s="16">
        <v>0.25</v>
      </c>
      <c r="BP49" s="16">
        <v>8.3333333333333329E-2</v>
      </c>
      <c r="BQ49" s="16">
        <v>1.25</v>
      </c>
      <c r="BR49" s="16">
        <v>0</v>
      </c>
      <c r="BS49" s="16">
        <v>0</v>
      </c>
      <c r="BT49" s="16">
        <v>0.41666666666666669</v>
      </c>
      <c r="BU49" s="16">
        <v>50</v>
      </c>
      <c r="BV49" s="16">
        <v>45.833333333333329</v>
      </c>
      <c r="BW49" s="16">
        <v>4.1666666666666661</v>
      </c>
      <c r="BX49" s="16">
        <v>24.583333333333332</v>
      </c>
      <c r="BY49" s="16">
        <v>0.35</v>
      </c>
      <c r="BZ49" s="16">
        <v>32.618825722273996</v>
      </c>
      <c r="CA49" s="16">
        <v>13.863959016309567</v>
      </c>
      <c r="CB49" s="16">
        <v>67.381174277726004</v>
      </c>
      <c r="CC49" s="16">
        <v>0</v>
      </c>
      <c r="CD49" s="16">
        <v>0</v>
      </c>
      <c r="CE49" s="16">
        <v>0</v>
      </c>
      <c r="CF49" s="16">
        <v>0</v>
      </c>
      <c r="CG49" s="16">
        <v>0</v>
      </c>
      <c r="CI49" t="str">
        <f t="shared" si="0"/>
        <v>/*202_CWT*/ 000  1 14.7 8.53 11.05 670 380 380 1430 1.93006993006993 3.5125 2.8125 2.225 2.85 0.930637929874845 0.278333333333333 0.156363636363636 0.162 0.202424242424242 0.110765244521643 0.48 0.28 0.22 0.48 14.0793413173653 0 9.09090909090909 3.03030303030303 12.1212121212121 0 87.8787878787879 0 87.8787878787879 87.8787878787879 0.305833333333333 0.542727272727273 0.728 0.512727272727273 0.317039752311054 0.78 0.92 1.23 1.23 66.6666666666667 0.304347826086957 0 0 0 0 66.6666666666667 1.75 50 0 0.25 0.5 0.25 0.291666666666667 0.25 0 0 8.33333333333333E-02 0 0 0.25 8.33333333333333E-02 1.25 0 0 0.416666666666667 50 45.8333333333333 4.16666666666667 24.5833333333333 0.35 32.618825722274 13.8639590163096 67.381174277726 0 0 0 0 0;</v>
      </c>
    </row>
    <row r="50" spans="1:87" x14ac:dyDescent="0.25">
      <c r="A50" s="12">
        <v>1</v>
      </c>
      <c r="B50" s="12">
        <v>0</v>
      </c>
      <c r="C50" s="12">
        <v>0</v>
      </c>
      <c r="D50" s="12">
        <v>0</v>
      </c>
      <c r="E50" s="12">
        <v>1</v>
      </c>
      <c r="F50" s="16">
        <v>13.5</v>
      </c>
      <c r="G50" s="16">
        <v>8.56</v>
      </c>
      <c r="H50" s="16">
        <v>10.11</v>
      </c>
      <c r="I50" s="16">
        <v>2200</v>
      </c>
      <c r="J50" s="16">
        <v>1072</v>
      </c>
      <c r="K50" s="16">
        <v>1133</v>
      </c>
      <c r="L50" s="16">
        <v>4405</v>
      </c>
      <c r="M50" s="16">
        <v>0.32690124858115777</v>
      </c>
      <c r="N50" s="16">
        <v>5.6875</v>
      </c>
      <c r="O50" s="16">
        <v>5.9249999999999998</v>
      </c>
      <c r="P50" s="16">
        <v>6.375</v>
      </c>
      <c r="Q50" s="16">
        <v>5.9958333333333327</v>
      </c>
      <c r="R50" s="16">
        <v>1.1947272443557191</v>
      </c>
      <c r="S50" s="16">
        <v>0.32625000000000004</v>
      </c>
      <c r="T50" s="16">
        <v>0.42249999999999999</v>
      </c>
      <c r="U50" s="16">
        <v>0.22437500000000005</v>
      </c>
      <c r="V50" s="16">
        <v>0.32437500000000008</v>
      </c>
      <c r="W50" s="16">
        <v>0.1567204619425597</v>
      </c>
      <c r="X50" s="16">
        <v>0.59</v>
      </c>
      <c r="Y50" s="16">
        <v>0.88</v>
      </c>
      <c r="Z50" s="16">
        <v>0.48</v>
      </c>
      <c r="AA50" s="16">
        <v>0.88</v>
      </c>
      <c r="AB50" s="16">
        <v>18.484264611432234</v>
      </c>
      <c r="AC50" s="16">
        <v>0</v>
      </c>
      <c r="AD50" s="16">
        <v>20.833333333333336</v>
      </c>
      <c r="AE50" s="16">
        <v>4.1666666666666661</v>
      </c>
      <c r="AF50" s="16">
        <v>25</v>
      </c>
      <c r="AG50" s="16">
        <v>8.3333333333333321</v>
      </c>
      <c r="AH50" s="16">
        <v>64.583333333333343</v>
      </c>
      <c r="AI50" s="16">
        <v>2.083333333333333</v>
      </c>
      <c r="AJ50" s="16">
        <v>75</v>
      </c>
      <c r="AK50" s="16">
        <v>64.583333333333343</v>
      </c>
      <c r="AL50" s="16">
        <v>0.314</v>
      </c>
      <c r="AM50" s="16">
        <v>0.19733333333333333</v>
      </c>
      <c r="AN50" s="16">
        <v>0.29466666666666669</v>
      </c>
      <c r="AO50" s="16">
        <v>0.26500000000000001</v>
      </c>
      <c r="AP50" s="16">
        <v>0.17136498314068865</v>
      </c>
      <c r="AQ50" s="16">
        <v>0.56000000000000005</v>
      </c>
      <c r="AR50" s="16">
        <v>0.53</v>
      </c>
      <c r="AS50" s="16">
        <v>0.85</v>
      </c>
      <c r="AT50" s="16">
        <v>0.85</v>
      </c>
      <c r="AU50" s="16">
        <v>29.166666666666668</v>
      </c>
      <c r="AV50" s="16">
        <v>0.58333333333333337</v>
      </c>
      <c r="AW50" s="16">
        <v>0</v>
      </c>
      <c r="AX50" s="16">
        <v>37.5</v>
      </c>
      <c r="AY50" s="16">
        <v>0</v>
      </c>
      <c r="AZ50" s="16">
        <v>12.5</v>
      </c>
      <c r="BA50" s="16">
        <v>58.333333333333336</v>
      </c>
      <c r="BB50" s="16">
        <v>0.5</v>
      </c>
      <c r="BC50" s="16">
        <v>8.3333333333333321</v>
      </c>
      <c r="BD50" s="16">
        <v>0.625</v>
      </c>
      <c r="BE50" s="16">
        <v>0.25</v>
      </c>
      <c r="BF50" s="16">
        <v>1</v>
      </c>
      <c r="BG50" s="16">
        <v>0.625</v>
      </c>
      <c r="BH50" s="16">
        <v>0.875</v>
      </c>
      <c r="BI50" s="16">
        <v>0</v>
      </c>
      <c r="BJ50" s="16">
        <v>0</v>
      </c>
      <c r="BK50" s="16">
        <v>0.5</v>
      </c>
      <c r="BL50" s="16">
        <v>0.16666666666666666</v>
      </c>
      <c r="BM50" s="16">
        <v>1.5</v>
      </c>
      <c r="BN50" s="16">
        <v>0</v>
      </c>
      <c r="BO50" s="16">
        <v>0.25</v>
      </c>
      <c r="BP50" s="16">
        <v>0.58333333333333337</v>
      </c>
      <c r="BQ50" s="16">
        <v>0.75</v>
      </c>
      <c r="BR50" s="16">
        <v>1.5</v>
      </c>
      <c r="BS50" s="16">
        <v>0.5</v>
      </c>
      <c r="BT50" s="16">
        <v>0.91666666666666663</v>
      </c>
      <c r="BU50" s="16">
        <v>8.3333333333333321</v>
      </c>
      <c r="BV50" s="16">
        <v>70.833333333333343</v>
      </c>
      <c r="BW50" s="16">
        <v>20.833333333333336</v>
      </c>
      <c r="BX50" s="16">
        <v>41.041666666666664</v>
      </c>
      <c r="BY50" s="16">
        <v>0.91666666666666663</v>
      </c>
      <c r="BZ50" s="16">
        <v>19.51951951951952</v>
      </c>
      <c r="CA50" s="16">
        <v>11.878218026794404</v>
      </c>
      <c r="CB50" s="16">
        <v>80.48048048048048</v>
      </c>
      <c r="CC50" s="16">
        <v>0</v>
      </c>
      <c r="CD50" s="16">
        <v>0</v>
      </c>
      <c r="CE50" s="16">
        <v>0</v>
      </c>
      <c r="CF50" s="16">
        <v>0</v>
      </c>
      <c r="CG50" s="16">
        <v>0</v>
      </c>
      <c r="CI50" t="str">
        <f t="shared" si="0"/>
        <v>/*1*/ 000  1 13.5 8.56 10.11 2200 1072 1133 4405 0.326901248581158 5.6875 5.925 6.375 5.99583333333333 1.19472724435572 0.32625 0.4225 0.224375 0.324375 0.15672046194256 0.59 0.88 0.48 0.88 18.4842646114322 0 20.8333333333333 4.16666666666667 25 8.33333333333333 64.5833333333333 2.08333333333333 75 64.5833333333333 0.314 0.197333333333333 0.294666666666667 0.265 0.171364983140689 0.56 0.53 0.85 0.85 29.1666666666667 0.583333333333333 0 37.5 0 12.5 58.3333333333333 0.5 8.33333333333333 0.625 0.25 1 0.625 0.875 0 0 0.5 0.166666666666667 1.5 0 0.25 0.583333333333333 0.75 1.5 0.5 0.916666666666667 8.33333333333333 70.8333333333333 20.8333333333333 41.0416666666667 0.916666666666667 19.5195195195195 11.8782180267944 80.4804804804805 0 0 0 0 0;</v>
      </c>
    </row>
    <row r="51" spans="1:87" x14ac:dyDescent="0.25">
      <c r="A51" s="12">
        <v>4</v>
      </c>
      <c r="B51" s="12">
        <v>0</v>
      </c>
      <c r="C51" s="12">
        <v>0</v>
      </c>
      <c r="D51" s="12">
        <v>0</v>
      </c>
      <c r="E51" s="12">
        <v>1</v>
      </c>
      <c r="F51" s="16">
        <v>13.4</v>
      </c>
      <c r="G51" s="16">
        <v>8.41</v>
      </c>
      <c r="H51" s="16">
        <v>10.77</v>
      </c>
      <c r="I51" s="16">
        <v>884</v>
      </c>
      <c r="J51" s="16">
        <v>631</v>
      </c>
      <c r="K51" s="16">
        <v>410</v>
      </c>
      <c r="L51" s="16">
        <v>1925</v>
      </c>
      <c r="M51" s="16">
        <v>2.3376623376623376</v>
      </c>
      <c r="N51" s="16">
        <v>3.2374999999999998</v>
      </c>
      <c r="O51" s="16">
        <v>2.1875</v>
      </c>
      <c r="P51" s="16">
        <v>1.7749999999999999</v>
      </c>
      <c r="Q51" s="16">
        <v>2.3999999999999995</v>
      </c>
      <c r="R51" s="16">
        <v>1.006068542915185</v>
      </c>
      <c r="S51" s="16">
        <v>0.13833333333333334</v>
      </c>
      <c r="T51" s="16">
        <v>0.22333333333333336</v>
      </c>
      <c r="U51" s="16">
        <v>0.13454545454545458</v>
      </c>
      <c r="V51" s="16">
        <v>0.16628571428571426</v>
      </c>
      <c r="W51" s="16">
        <v>9.3150280675454639E-2</v>
      </c>
      <c r="X51" s="16">
        <v>0.26</v>
      </c>
      <c r="Y51" s="16">
        <v>0.5</v>
      </c>
      <c r="Z51" s="16">
        <v>0.26</v>
      </c>
      <c r="AA51" s="16">
        <v>0.5</v>
      </c>
      <c r="AB51" s="16">
        <v>14.432989690721648</v>
      </c>
      <c r="AC51" s="16">
        <v>0</v>
      </c>
      <c r="AD51" s="16">
        <v>11.428571428571429</v>
      </c>
      <c r="AE51" s="16">
        <v>0</v>
      </c>
      <c r="AF51" s="16">
        <v>11.428571428571429</v>
      </c>
      <c r="AG51" s="16">
        <v>0</v>
      </c>
      <c r="AH51" s="16">
        <v>88.571428571428569</v>
      </c>
      <c r="AI51" s="16">
        <v>0</v>
      </c>
      <c r="AJ51" s="16">
        <v>88.571428571428569</v>
      </c>
      <c r="AK51" s="16">
        <v>88.571428571428569</v>
      </c>
      <c r="AL51" s="16">
        <v>0.39583333333333331</v>
      </c>
      <c r="AM51" s="16">
        <v>0.34499999999999997</v>
      </c>
      <c r="AN51" s="16">
        <v>0.26090909090909092</v>
      </c>
      <c r="AO51" s="16">
        <v>0.33600000000000002</v>
      </c>
      <c r="AP51" s="16">
        <v>0.26944605484324352</v>
      </c>
      <c r="AQ51" s="16">
        <v>0.93</v>
      </c>
      <c r="AR51" s="16">
        <v>0.72</v>
      </c>
      <c r="AS51" s="16">
        <v>0.75</v>
      </c>
      <c r="AT51" s="16">
        <v>0.93</v>
      </c>
      <c r="AU51" s="16">
        <v>50</v>
      </c>
      <c r="AV51" s="16">
        <v>0.5</v>
      </c>
      <c r="AW51" s="16">
        <v>0</v>
      </c>
      <c r="AX51" s="16">
        <v>0</v>
      </c>
      <c r="AY51" s="16">
        <v>0</v>
      </c>
      <c r="AZ51" s="16">
        <v>0</v>
      </c>
      <c r="BA51" s="16">
        <v>50</v>
      </c>
      <c r="BB51" s="16">
        <v>1.8333333333333333</v>
      </c>
      <c r="BC51" s="16">
        <v>58.333333333333336</v>
      </c>
      <c r="BD51" s="16">
        <v>0.375</v>
      </c>
      <c r="BE51" s="16">
        <v>0.125</v>
      </c>
      <c r="BF51" s="16">
        <v>0</v>
      </c>
      <c r="BG51" s="16">
        <v>0.16666666666666666</v>
      </c>
      <c r="BH51" s="16">
        <v>0.25</v>
      </c>
      <c r="BI51" s="16">
        <v>0</v>
      </c>
      <c r="BJ51" s="16">
        <v>0.75</v>
      </c>
      <c r="BK51" s="16">
        <v>0.5</v>
      </c>
      <c r="BL51" s="16">
        <v>0.41666666666666669</v>
      </c>
      <c r="BM51" s="16">
        <v>1</v>
      </c>
      <c r="BN51" s="16">
        <v>0.25</v>
      </c>
      <c r="BO51" s="16">
        <v>0.25</v>
      </c>
      <c r="BP51" s="16">
        <v>0.5</v>
      </c>
      <c r="BQ51" s="16">
        <v>0.25</v>
      </c>
      <c r="BR51" s="16">
        <v>1</v>
      </c>
      <c r="BS51" s="16">
        <v>0</v>
      </c>
      <c r="BT51" s="16">
        <v>0.41666666666666669</v>
      </c>
      <c r="BU51" s="16">
        <v>12.5</v>
      </c>
      <c r="BV51" s="16">
        <v>70.833333333333343</v>
      </c>
      <c r="BW51" s="16">
        <v>16.666666666666664</v>
      </c>
      <c r="BX51" s="16">
        <v>40</v>
      </c>
      <c r="BY51" s="16">
        <v>0.16666666666666666</v>
      </c>
      <c r="BZ51" s="16">
        <v>45.67567567567567</v>
      </c>
      <c r="CA51" s="16">
        <v>16.07842621258947</v>
      </c>
      <c r="CB51" s="16">
        <v>54.32432432432433</v>
      </c>
      <c r="CC51" s="16">
        <v>0</v>
      </c>
      <c r="CD51" s="16">
        <v>0</v>
      </c>
      <c r="CE51" s="16">
        <v>0</v>
      </c>
      <c r="CF51" s="16">
        <v>0</v>
      </c>
      <c r="CG51" s="16">
        <v>0</v>
      </c>
      <c r="CI51" t="str">
        <f t="shared" si="0"/>
        <v>/*4*/ 000  1 13.4 8.41 10.77 884 631 410 1925 2.33766233766234 3.2375 2.1875 1.775 2.4 1.00606854291518 0.138333333333333 0.223333333333333 0.134545454545455 0.166285714285714 9.31502806754546E-02 0.26 0.5 0.26 0.5 14.4329896907216 0 11.4285714285714 0 11.4285714285714 0 88.5714285714286 0 88.5714285714286 88.5714285714286 0.395833333333333 0.345 0.260909090909091 0.336 0.269446054843244 0.93 0.72 0.75 0.93 50 0.5 0 0 0 0 50 1.83333333333333 58.3333333333333 0.375 0.125 0 0.166666666666667 0.25 0 0.75 0.5 0.416666666666667 1 0.25 0.25 0.5 0.25 1 0 0.416666666666667 12.5 70.8333333333333 16.6666666666667 40 0.166666666666667 45.6756756756757 16.0784262125895 54.3243243243243 0 0 0 0 0;</v>
      </c>
    </row>
    <row r="52" spans="1:87" x14ac:dyDescent="0.25">
      <c r="A52" s="12">
        <v>17</v>
      </c>
      <c r="B52" s="12">
        <v>0</v>
      </c>
      <c r="C52" s="12">
        <v>0</v>
      </c>
      <c r="D52" s="12">
        <v>0</v>
      </c>
      <c r="E52" s="12">
        <v>1</v>
      </c>
      <c r="F52" s="16">
        <v>17.100000000000001</v>
      </c>
      <c r="G52" s="16">
        <v>8.85</v>
      </c>
      <c r="H52" s="16">
        <v>10.36</v>
      </c>
      <c r="I52" s="16">
        <v>203</v>
      </c>
      <c r="J52" s="16">
        <v>260</v>
      </c>
      <c r="K52" s="16">
        <v>450</v>
      </c>
      <c r="L52" s="16">
        <v>913</v>
      </c>
      <c r="M52" s="16">
        <v>6.5717415115005479E-2</v>
      </c>
      <c r="N52" s="16">
        <v>2.0625</v>
      </c>
      <c r="O52" s="16">
        <v>1.95</v>
      </c>
      <c r="P52" s="16">
        <v>2.5187500000000003</v>
      </c>
      <c r="Q52" s="16">
        <v>2.1770833333333335</v>
      </c>
      <c r="R52" s="16">
        <v>0.53527302392790743</v>
      </c>
      <c r="S52" s="16">
        <v>0.25888888888888889</v>
      </c>
      <c r="T52" s="16">
        <v>0.3125</v>
      </c>
      <c r="U52" s="16">
        <v>0.38749999999999996</v>
      </c>
      <c r="V52" s="16">
        <v>0.31719999999999998</v>
      </c>
      <c r="W52" s="16">
        <v>0.12607934009979596</v>
      </c>
      <c r="X52" s="16">
        <v>0.36</v>
      </c>
      <c r="Y52" s="16">
        <v>0.44</v>
      </c>
      <c r="Z52" s="16">
        <v>0.74</v>
      </c>
      <c r="AA52" s="16">
        <v>0.74</v>
      </c>
      <c r="AB52" s="16">
        <v>6.8634405212274077</v>
      </c>
      <c r="AC52" s="16">
        <v>0</v>
      </c>
      <c r="AD52" s="16">
        <v>28.000000000000004</v>
      </c>
      <c r="AE52" s="16">
        <v>0</v>
      </c>
      <c r="AF52" s="16">
        <v>28.000000000000004</v>
      </c>
      <c r="AG52" s="16">
        <v>0</v>
      </c>
      <c r="AH52" s="16">
        <v>72</v>
      </c>
      <c r="AI52" s="16">
        <v>0</v>
      </c>
      <c r="AJ52" s="16">
        <v>72</v>
      </c>
      <c r="AK52" s="16">
        <v>72</v>
      </c>
      <c r="AL52" s="16">
        <v>0.49749999999999994</v>
      </c>
      <c r="AM52" s="16">
        <v>0.58125000000000004</v>
      </c>
      <c r="AN52" s="16">
        <v>0.39124999999999999</v>
      </c>
      <c r="AO52" s="16">
        <v>0.4924</v>
      </c>
      <c r="AP52" s="16">
        <v>0.2148503355051295</v>
      </c>
      <c r="AQ52" s="16">
        <v>0.79</v>
      </c>
      <c r="AR52" s="16">
        <v>1.05</v>
      </c>
      <c r="AS52" s="16">
        <v>0.78</v>
      </c>
      <c r="AT52" s="16">
        <v>1.05</v>
      </c>
      <c r="AU52" s="16">
        <v>4.1666666666666661</v>
      </c>
      <c r="AV52" s="16">
        <v>0.91304347826086951</v>
      </c>
      <c r="AW52" s="16">
        <v>0</v>
      </c>
      <c r="AX52" s="16">
        <v>0</v>
      </c>
      <c r="AY52" s="16">
        <v>12.5</v>
      </c>
      <c r="AZ52" s="16">
        <v>4.1666666666666661</v>
      </c>
      <c r="BA52" s="16">
        <v>87.5</v>
      </c>
      <c r="BB52" s="16">
        <v>0.91666666666666663</v>
      </c>
      <c r="BC52" s="16">
        <v>16.666666666666664</v>
      </c>
      <c r="BD52" s="16">
        <v>0.125</v>
      </c>
      <c r="BE52" s="16">
        <v>0</v>
      </c>
      <c r="BF52" s="16">
        <v>0</v>
      </c>
      <c r="BG52" s="16">
        <v>4.1666666666666664E-2</v>
      </c>
      <c r="BH52" s="16">
        <v>0.625</v>
      </c>
      <c r="BI52" s="16">
        <v>1.5</v>
      </c>
      <c r="BJ52" s="16">
        <v>1.25</v>
      </c>
      <c r="BK52" s="16">
        <v>1.25</v>
      </c>
      <c r="BL52" s="16">
        <v>1.3333333333333333</v>
      </c>
      <c r="BM52" s="16">
        <v>0</v>
      </c>
      <c r="BN52" s="16">
        <v>0</v>
      </c>
      <c r="BO52" s="16">
        <v>0</v>
      </c>
      <c r="BP52" s="16">
        <v>0</v>
      </c>
      <c r="BQ52" s="16">
        <v>0</v>
      </c>
      <c r="BR52" s="16">
        <v>0</v>
      </c>
      <c r="BS52" s="16">
        <v>0.25</v>
      </c>
      <c r="BT52" s="16">
        <v>8.3333333333333329E-2</v>
      </c>
      <c r="BU52" s="16">
        <v>0</v>
      </c>
      <c r="BV52" s="16">
        <v>54.166666666666664</v>
      </c>
      <c r="BW52" s="16">
        <v>45.833333333333329</v>
      </c>
      <c r="BX52" s="16">
        <v>51.666666666666664</v>
      </c>
      <c r="BY52" s="16">
        <v>0.16666666666666666</v>
      </c>
      <c r="BZ52" s="16">
        <v>81.531531531531527</v>
      </c>
      <c r="CA52" s="16">
        <v>12.074265144839197</v>
      </c>
      <c r="CB52" s="16">
        <v>18.468468468468473</v>
      </c>
      <c r="CC52" s="16">
        <v>0</v>
      </c>
      <c r="CD52" s="16">
        <v>0</v>
      </c>
      <c r="CE52" s="16">
        <v>0</v>
      </c>
      <c r="CF52" s="16">
        <v>0</v>
      </c>
      <c r="CG52" s="16">
        <v>0</v>
      </c>
      <c r="CI52" t="str">
        <f t="shared" si="0"/>
        <v>/*17*/ 000  1 17.1 8.85 10.36 203 260 450 913 6.57174151150055E-02 2.0625 1.95 2.51875 2.17708333333333 0.535273023927907 0.258888888888889 0.3125 0.3875 0.3172 0.126079340099796 0.36 0.44 0.74 0.74 6.86344052122741 0 28 0 28 0 72 0 72 72 0.4975 0.58125 0.39125 0.4924 0.214850335505129 0.79 1.05 0.78 1.05 4.16666666666667 0.91304347826087 0 0 12.5 4.16666666666667 87.5 0.916666666666667 16.6666666666667 0.125 0 0 4.16666666666667E-02 0.625 1.5 1.25 1.25 1.33333333333333 0 0 0 0 0 0 0.25 8.33333333333333E-02 0 54.1666666666667 45.8333333333333 51.6666666666667 0.166666666666667 81.5315315315315 12.0742651448392 18.4684684684685 0 0 0 0 0;</v>
      </c>
    </row>
    <row r="53" spans="1:87" x14ac:dyDescent="0.25">
      <c r="A53" s="12">
        <v>20</v>
      </c>
      <c r="B53" s="12">
        <v>0</v>
      </c>
      <c r="C53" s="12">
        <v>0</v>
      </c>
      <c r="D53" s="12">
        <v>0</v>
      </c>
      <c r="E53" s="12">
        <v>1</v>
      </c>
      <c r="F53" s="16">
        <v>13.4</v>
      </c>
      <c r="G53" s="16">
        <v>8.8000000000000007</v>
      </c>
      <c r="H53" s="16">
        <v>13.01</v>
      </c>
      <c r="I53" s="16">
        <v>1987</v>
      </c>
      <c r="J53" s="16">
        <v>1464</v>
      </c>
      <c r="K53" s="16">
        <v>1064</v>
      </c>
      <c r="L53" s="16">
        <v>4515</v>
      </c>
      <c r="M53" s="16">
        <v>0.95681063122923593</v>
      </c>
      <c r="N53" s="16">
        <v>4.3874999999999993</v>
      </c>
      <c r="O53" s="16">
        <v>4.8375000000000004</v>
      </c>
      <c r="P53" s="16">
        <v>3.9375</v>
      </c>
      <c r="Q53" s="16">
        <v>4.3875000000000002</v>
      </c>
      <c r="R53" s="16">
        <v>1.1880976756801278</v>
      </c>
      <c r="S53" s="16">
        <v>0.25624999999999998</v>
      </c>
      <c r="T53" s="16">
        <v>0.20600000000000004</v>
      </c>
      <c r="U53" s="16">
        <v>0.2106666666666667</v>
      </c>
      <c r="V53" s="16">
        <v>0.22500000000000001</v>
      </c>
      <c r="W53" s="16">
        <v>0.11377853732385372</v>
      </c>
      <c r="X53" s="16">
        <v>0.56000000000000005</v>
      </c>
      <c r="Y53" s="16">
        <v>0.4</v>
      </c>
      <c r="Z53" s="16">
        <v>0.32</v>
      </c>
      <c r="AA53" s="16">
        <v>0.56000000000000005</v>
      </c>
      <c r="AB53" s="16">
        <v>19.5</v>
      </c>
      <c r="AC53" s="16">
        <v>0</v>
      </c>
      <c r="AD53" s="16">
        <v>13.043478260869565</v>
      </c>
      <c r="AE53" s="16">
        <v>0</v>
      </c>
      <c r="AF53" s="16">
        <v>13.043478260869565</v>
      </c>
      <c r="AG53" s="16">
        <v>8.695652173913043</v>
      </c>
      <c r="AH53" s="16">
        <v>73.91304347826086</v>
      </c>
      <c r="AI53" s="16">
        <v>4.3478260869565215</v>
      </c>
      <c r="AJ53" s="16">
        <v>86.956521739130423</v>
      </c>
      <c r="AK53" s="16">
        <v>73.91304347826086</v>
      </c>
      <c r="AL53" s="16">
        <v>0.21249999999999999</v>
      </c>
      <c r="AM53" s="16">
        <v>0.16666666666666666</v>
      </c>
      <c r="AN53" s="16">
        <v>0.19466666666666668</v>
      </c>
      <c r="AO53" s="16">
        <v>0.19173913043478258</v>
      </c>
      <c r="AP53" s="16">
        <v>0.16349385782314188</v>
      </c>
      <c r="AQ53" s="16">
        <v>0.61</v>
      </c>
      <c r="AR53" s="16">
        <v>0.49</v>
      </c>
      <c r="AS53" s="16">
        <v>0.46</v>
      </c>
      <c r="AT53" s="16">
        <v>0.61</v>
      </c>
      <c r="AU53" s="16">
        <v>54.166666666666664</v>
      </c>
      <c r="AV53" s="16">
        <v>0.16666666666666666</v>
      </c>
      <c r="AW53" s="16">
        <v>25</v>
      </c>
      <c r="AX53" s="16">
        <v>37.5</v>
      </c>
      <c r="AY53" s="16">
        <v>25</v>
      </c>
      <c r="AZ53" s="16">
        <v>29.166666666666668</v>
      </c>
      <c r="BA53" s="16">
        <v>54.166666666666664</v>
      </c>
      <c r="BB53" s="16">
        <v>0.83333333333333337</v>
      </c>
      <c r="BC53" s="16">
        <v>25</v>
      </c>
      <c r="BD53" s="16">
        <v>0.125</v>
      </c>
      <c r="BE53" s="16">
        <v>0.25</v>
      </c>
      <c r="BF53" s="16">
        <v>0.25</v>
      </c>
      <c r="BG53" s="16">
        <v>0.20833333333333334</v>
      </c>
      <c r="BH53" s="16">
        <v>0.75</v>
      </c>
      <c r="BI53" s="16">
        <v>0</v>
      </c>
      <c r="BJ53" s="16">
        <v>0</v>
      </c>
      <c r="BK53" s="16">
        <v>0</v>
      </c>
      <c r="BL53" s="16">
        <v>0</v>
      </c>
      <c r="BM53" s="16">
        <v>1</v>
      </c>
      <c r="BN53" s="16">
        <v>1.75</v>
      </c>
      <c r="BO53" s="16">
        <v>0.5</v>
      </c>
      <c r="BP53" s="16">
        <v>1.0833333333333333</v>
      </c>
      <c r="BQ53" s="16">
        <v>0.75</v>
      </c>
      <c r="BR53" s="16">
        <v>0.75</v>
      </c>
      <c r="BS53" s="16">
        <v>0.75</v>
      </c>
      <c r="BT53" s="16">
        <v>0.75</v>
      </c>
      <c r="BU53" s="16">
        <v>12.5</v>
      </c>
      <c r="BV53" s="16">
        <v>79.166666666666657</v>
      </c>
      <c r="BW53" s="16">
        <v>8.3333333333333321</v>
      </c>
      <c r="BX53" s="16">
        <v>33.541666666666664</v>
      </c>
      <c r="BY53" s="16">
        <v>0.70833333333333337</v>
      </c>
      <c r="BZ53" s="16">
        <v>6.563706563706563</v>
      </c>
      <c r="CA53" s="16">
        <v>4.7544759981313103</v>
      </c>
      <c r="CB53" s="16">
        <v>93.43629343629344</v>
      </c>
      <c r="CC53" s="16">
        <v>0</v>
      </c>
      <c r="CD53" s="16">
        <v>0</v>
      </c>
      <c r="CE53" s="16">
        <v>0</v>
      </c>
      <c r="CF53" s="16">
        <v>0</v>
      </c>
      <c r="CG53" s="16">
        <v>0</v>
      </c>
      <c r="CI53" t="str">
        <f t="shared" si="0"/>
        <v>/*20*/ 000  1 13.4 8.8 13.01 1987 1464 1064 4515 0.956810631229236 4.3875 4.8375 3.9375 4.3875 1.18809767568013 0.25625 0.206 0.210666666666667 0.225 0.113778537323854 0.56 0.4 0.32 0.56 19.5 0 13.0434782608696 0 13.0434782608696 8.69565217391304 73.9130434782609 4.34782608695652 86.9565217391304 73.9130434782609 0.2125 0.166666666666667 0.194666666666667 0.191739130434783 0.163493857823142 0.61 0.49 0.46 0.61 54.1666666666667 0.166666666666667 25 37.5 25 29.1666666666667 54.1666666666667 0.833333333333333 25 0.125 0.25 0.25 0.208333333333333 0.75 0 0 0 0 1 1.75 0.5 1.08333333333333 0.75 0.75 0.75 0.75 12.5 79.1666666666667 8.33333333333333 33.5416666666667 0.708333333333333 6.56370656370656 4.75447599813131 93.4362934362934 0 0 0 0 0;</v>
      </c>
    </row>
    <row r="54" spans="1:87" x14ac:dyDescent="0.25">
      <c r="A54" s="12">
        <v>25</v>
      </c>
      <c r="B54" s="12">
        <v>1</v>
      </c>
      <c r="C54" s="12">
        <v>1</v>
      </c>
      <c r="D54" s="12">
        <v>1</v>
      </c>
      <c r="E54" s="12">
        <v>1</v>
      </c>
      <c r="F54" s="16">
        <v>15.7</v>
      </c>
      <c r="G54" s="16">
        <v>8.1199999999999992</v>
      </c>
      <c r="H54" s="16">
        <v>11.67</v>
      </c>
      <c r="I54" s="16">
        <v>432</v>
      </c>
      <c r="J54" s="16">
        <v>293</v>
      </c>
      <c r="K54" s="16">
        <v>220</v>
      </c>
      <c r="L54" s="16">
        <v>945</v>
      </c>
      <c r="M54" s="16">
        <v>0</v>
      </c>
      <c r="N54" s="16">
        <v>1.0375000000000001</v>
      </c>
      <c r="O54" s="16">
        <v>0.92499999999999993</v>
      </c>
      <c r="P54" s="16">
        <v>0.95</v>
      </c>
      <c r="Q54" s="16">
        <v>0.97083333333333355</v>
      </c>
      <c r="R54" s="16">
        <v>0.27263475593718317</v>
      </c>
      <c r="S54" s="16">
        <v>0.23249999999999998</v>
      </c>
      <c r="T54" s="16">
        <v>0.17750000000000002</v>
      </c>
      <c r="U54" s="16">
        <v>0.22000000000000003</v>
      </c>
      <c r="V54" s="16">
        <v>0.21000000000000005</v>
      </c>
      <c r="W54" s="16">
        <v>0.10210821199355966</v>
      </c>
      <c r="X54" s="16">
        <v>0.53</v>
      </c>
      <c r="Y54" s="16">
        <v>0.32</v>
      </c>
      <c r="Z54" s="16">
        <v>0.36</v>
      </c>
      <c r="AA54" s="16">
        <v>0.53</v>
      </c>
      <c r="AB54" s="16">
        <v>4.6230158730158726</v>
      </c>
      <c r="AC54" s="16">
        <v>0</v>
      </c>
      <c r="AD54" s="16">
        <v>12.5</v>
      </c>
      <c r="AE54" s="16">
        <v>0</v>
      </c>
      <c r="AF54" s="16">
        <v>12.5</v>
      </c>
      <c r="AG54" s="16">
        <v>8.3333333333333321</v>
      </c>
      <c r="AH54" s="16">
        <v>79.166666666666657</v>
      </c>
      <c r="AI54" s="16">
        <v>0</v>
      </c>
      <c r="AJ54" s="16">
        <v>87.499999999999986</v>
      </c>
      <c r="AK54" s="16">
        <v>79.166666666666657</v>
      </c>
      <c r="AL54" s="16">
        <v>0.30249999999999999</v>
      </c>
      <c r="AM54" s="16">
        <v>0.41375000000000001</v>
      </c>
      <c r="AN54" s="16">
        <v>0.26500000000000001</v>
      </c>
      <c r="AO54" s="16">
        <v>0.32708333333333334</v>
      </c>
      <c r="AP54" s="16">
        <v>0.19068478808178985</v>
      </c>
      <c r="AQ54" s="16">
        <v>0.67</v>
      </c>
      <c r="AR54" s="16">
        <v>0.93</v>
      </c>
      <c r="AS54" s="16">
        <v>0.36</v>
      </c>
      <c r="AT54" s="16">
        <v>0.93</v>
      </c>
      <c r="AU54" s="16">
        <v>20.833333333333336</v>
      </c>
      <c r="AV54" s="16">
        <v>0.70833333333333337</v>
      </c>
      <c r="AW54" s="16">
        <v>25</v>
      </c>
      <c r="AX54" s="16">
        <v>0</v>
      </c>
      <c r="AY54" s="16">
        <v>0</v>
      </c>
      <c r="AZ54" s="16">
        <v>8.3333333333333321</v>
      </c>
      <c r="BA54" s="16">
        <v>70.833333333333343</v>
      </c>
      <c r="BB54" s="16">
        <v>0.58333333333333337</v>
      </c>
      <c r="BC54" s="16">
        <v>16.666666666666664</v>
      </c>
      <c r="BD54" s="16">
        <v>0</v>
      </c>
      <c r="BE54" s="16">
        <v>0</v>
      </c>
      <c r="BF54" s="16">
        <v>0</v>
      </c>
      <c r="BG54" s="16">
        <v>0</v>
      </c>
      <c r="BH54" s="16">
        <v>0.20833333333333334</v>
      </c>
      <c r="BI54" s="16">
        <v>1</v>
      </c>
      <c r="BJ54" s="16">
        <v>1.5</v>
      </c>
      <c r="BK54" s="16">
        <v>1.25</v>
      </c>
      <c r="BL54" s="16">
        <v>1.25</v>
      </c>
      <c r="BM54" s="16">
        <v>0</v>
      </c>
      <c r="BN54" s="16">
        <v>0</v>
      </c>
      <c r="BO54" s="16">
        <v>0</v>
      </c>
      <c r="BP54" s="16">
        <v>0</v>
      </c>
      <c r="BQ54" s="16">
        <v>0</v>
      </c>
      <c r="BR54" s="16">
        <v>0.25</v>
      </c>
      <c r="BS54" s="16">
        <v>0</v>
      </c>
      <c r="BT54" s="16">
        <v>8.3333333333333329E-2</v>
      </c>
      <c r="BU54" s="16">
        <v>0</v>
      </c>
      <c r="BV54" s="16">
        <v>70.833333333333343</v>
      </c>
      <c r="BW54" s="16">
        <v>29.166666666666668</v>
      </c>
      <c r="BX54" s="16">
        <v>47.5</v>
      </c>
      <c r="BY54" s="16">
        <v>0</v>
      </c>
      <c r="BZ54" s="16">
        <v>98.198198198198199</v>
      </c>
      <c r="CA54" s="16">
        <v>1.7752507291971895</v>
      </c>
      <c r="CB54" s="16">
        <v>1.8018018018018012</v>
      </c>
      <c r="CC54" s="16">
        <v>0</v>
      </c>
      <c r="CD54" s="16">
        <v>0</v>
      </c>
      <c r="CE54" s="16">
        <v>0</v>
      </c>
      <c r="CF54" s="16">
        <v>0</v>
      </c>
      <c r="CG54" s="16">
        <v>0</v>
      </c>
      <c r="CI54" t="str">
        <f t="shared" si="0"/>
        <v>/*25*/ 111  1 15.7 8.12 11.67 432 293 220 945 0 1.0375 0.925 0.95 0.970833333333334 0.272634755937183 0.2325 0.1775 0.22 0.21 0.10210821199356 0.53 0.32 0.36 0.53 4.62301587301587 0 12.5 0 12.5 8.33333333333333 79.1666666666667 0 87.5 79.1666666666667 0.3025 0.41375 0.265 0.327083333333333 0.19068478808179 0.67 0.93 0.36 0.93 20.8333333333333 0.708333333333333 25 0 0 8.33333333333333 70.8333333333333 0.583333333333333 16.6666666666667 0 0 0 0 0.208333333333333 1 1.5 1.25 1.25 0 0 0 0 0 0.25 0 8.33333333333333E-02 0 70.8333333333333 29.1666666666667 47.5 0 98.1981981981982 1.77525072919719 1.8018018018018 0 0 0 0 0;</v>
      </c>
    </row>
    <row r="55" spans="1:87" x14ac:dyDescent="0.25">
      <c r="A55" s="12">
        <v>29</v>
      </c>
      <c r="B55" s="12">
        <v>0</v>
      </c>
      <c r="C55" s="12">
        <v>0</v>
      </c>
      <c r="D55" s="12">
        <v>0</v>
      </c>
      <c r="E55" s="12">
        <v>1</v>
      </c>
      <c r="F55" s="16">
        <v>23.2</v>
      </c>
      <c r="G55" s="16">
        <v>7.96</v>
      </c>
      <c r="H55" s="16">
        <v>10.3</v>
      </c>
      <c r="I55" s="16">
        <v>476</v>
      </c>
      <c r="J55" s="16">
        <v>504</v>
      </c>
      <c r="K55" s="16">
        <v>313</v>
      </c>
      <c r="L55" s="16">
        <v>1293</v>
      </c>
      <c r="M55" s="16">
        <v>9.2807424593967514E-2</v>
      </c>
      <c r="N55" s="16">
        <v>1.5750000000000002</v>
      </c>
      <c r="O55" s="16">
        <v>3.6749999999999998</v>
      </c>
      <c r="P55" s="16">
        <v>2.7</v>
      </c>
      <c r="Q55" s="16">
        <v>2.6499999999999995</v>
      </c>
      <c r="R55" s="16">
        <v>1.2215457064897246</v>
      </c>
      <c r="S55" s="16">
        <v>0.22000000000000003</v>
      </c>
      <c r="T55" s="16">
        <v>0.29833333333333328</v>
      </c>
      <c r="U55" s="16">
        <v>0.16818181818181818</v>
      </c>
      <c r="V55" s="16">
        <v>0.23193548387096771</v>
      </c>
      <c r="W55" s="16">
        <v>8.6116949738469437E-2</v>
      </c>
      <c r="X55" s="16">
        <v>0.3</v>
      </c>
      <c r="Y55" s="16">
        <v>0.42</v>
      </c>
      <c r="Z55" s="16">
        <v>0.3</v>
      </c>
      <c r="AA55" s="16">
        <v>0.42</v>
      </c>
      <c r="AB55" s="16">
        <v>11.42559109874826</v>
      </c>
      <c r="AC55" s="16">
        <v>0</v>
      </c>
      <c r="AD55" s="16">
        <v>20.689655172413794</v>
      </c>
      <c r="AE55" s="16">
        <v>0</v>
      </c>
      <c r="AF55" s="16">
        <v>20.689655172413794</v>
      </c>
      <c r="AG55" s="16">
        <v>0</v>
      </c>
      <c r="AH55" s="16">
        <v>79.310344827586206</v>
      </c>
      <c r="AI55" s="16">
        <v>0</v>
      </c>
      <c r="AJ55" s="16">
        <v>79.310344827586206</v>
      </c>
      <c r="AK55" s="16">
        <v>79.310344827586206</v>
      </c>
      <c r="AL55" s="16">
        <v>0.28000000000000003</v>
      </c>
      <c r="AM55" s="16">
        <v>8.2727272727272733E-2</v>
      </c>
      <c r="AN55" s="16">
        <v>0.25</v>
      </c>
      <c r="AO55" s="16">
        <v>0.19161290322580646</v>
      </c>
      <c r="AP55" s="16">
        <v>0.18615579092422471</v>
      </c>
      <c r="AQ55" s="16">
        <v>0.68</v>
      </c>
      <c r="AR55" s="16">
        <v>0.18</v>
      </c>
      <c r="AS55" s="16">
        <v>0.67</v>
      </c>
      <c r="AT55" s="16">
        <v>0.68</v>
      </c>
      <c r="AU55" s="16">
        <v>25</v>
      </c>
      <c r="AV55" s="16">
        <v>0.375</v>
      </c>
      <c r="AW55" s="16">
        <v>25</v>
      </c>
      <c r="AX55" s="16">
        <v>75</v>
      </c>
      <c r="AY55" s="16">
        <v>12.5</v>
      </c>
      <c r="AZ55" s="16">
        <v>37.5</v>
      </c>
      <c r="BA55" s="16">
        <v>37.5</v>
      </c>
      <c r="BB55" s="16">
        <v>1.25</v>
      </c>
      <c r="BC55" s="16">
        <v>41.666666666666671</v>
      </c>
      <c r="BD55" s="16">
        <v>0</v>
      </c>
      <c r="BE55" s="16">
        <v>0</v>
      </c>
      <c r="BF55" s="16">
        <v>0.125</v>
      </c>
      <c r="BG55" s="16">
        <v>4.1666666666666664E-2</v>
      </c>
      <c r="BH55" s="16">
        <v>0.625</v>
      </c>
      <c r="BI55" s="16">
        <v>1</v>
      </c>
      <c r="BJ55" s="16">
        <v>0.5</v>
      </c>
      <c r="BK55" s="16">
        <v>1</v>
      </c>
      <c r="BL55" s="16">
        <v>0.83333333333333337</v>
      </c>
      <c r="BM55" s="16">
        <v>0</v>
      </c>
      <c r="BN55" s="16">
        <v>0</v>
      </c>
      <c r="BO55" s="16">
        <v>0.5</v>
      </c>
      <c r="BP55" s="16">
        <v>0.16666666666666666</v>
      </c>
      <c r="BQ55" s="16">
        <v>0.5</v>
      </c>
      <c r="BR55" s="16">
        <v>1.25</v>
      </c>
      <c r="BS55" s="16">
        <v>0.5</v>
      </c>
      <c r="BT55" s="16">
        <v>0.75</v>
      </c>
      <c r="BU55" s="16">
        <v>16.666666666666664</v>
      </c>
      <c r="BV55" s="16">
        <v>54.166666666666664</v>
      </c>
      <c r="BW55" s="16">
        <v>29.166666666666668</v>
      </c>
      <c r="BX55" s="16">
        <v>36.25</v>
      </c>
      <c r="BY55" s="16">
        <v>0.16666666666666666</v>
      </c>
      <c r="BZ55" s="16">
        <v>42.117117117117118</v>
      </c>
      <c r="CA55" s="16">
        <v>12.078969954077836</v>
      </c>
      <c r="CB55" s="16">
        <v>57.882882882882882</v>
      </c>
      <c r="CC55" s="16">
        <v>0</v>
      </c>
      <c r="CD55" s="16">
        <v>0</v>
      </c>
      <c r="CE55" s="16">
        <v>0</v>
      </c>
      <c r="CF55" s="16">
        <v>0</v>
      </c>
      <c r="CG55" s="16">
        <v>0</v>
      </c>
      <c r="CI55" t="str">
        <f t="shared" si="0"/>
        <v>/*29*/ 000  1 23.2 7.96 10.3 476 504 313 1293 9.28074245939675E-02 1.575 3.675 2.7 2.65 1.22154570648972 0.22 0.298333333333333 0.168181818181818 0.231935483870968 8.61169497384694E-02 0.3 0.42 0.3 0.42 11.4255910987483 0 20.6896551724138 0 20.6896551724138 0 79.3103448275862 0 79.3103448275862 79.3103448275862 0.28 8.27272727272727E-02 0.25 0.191612903225806 0.186155790924225 0.68 0.18 0.67 0.68 25 0.375 25 75 12.5 37.5 37.5 1.25 41.6666666666667 0 0 0.125 4.16666666666667E-02 0.625 1 0.5 1 0.833333333333333 0 0 0.5 0.166666666666667 0.5 1.25 0.5 0.75 16.6666666666667 54.1666666666667 29.1666666666667 36.25 0.166666666666667 42.1171171171171 12.0789699540778 57.8828828828829 0 0 0 0 0;</v>
      </c>
    </row>
    <row r="56" spans="1:87" x14ac:dyDescent="0.25">
      <c r="A56" s="15">
        <v>33</v>
      </c>
      <c r="B56" s="12">
        <v>0</v>
      </c>
      <c r="C56" s="12">
        <v>0</v>
      </c>
      <c r="D56" s="12">
        <v>0</v>
      </c>
      <c r="E56" s="12">
        <v>1</v>
      </c>
      <c r="F56" s="16">
        <v>13.1</v>
      </c>
      <c r="G56" s="16">
        <v>7.91</v>
      </c>
      <c r="H56" s="16">
        <v>12.12</v>
      </c>
      <c r="I56" s="16">
        <v>251</v>
      </c>
      <c r="J56" s="16">
        <v>307</v>
      </c>
      <c r="K56" s="16">
        <v>178</v>
      </c>
      <c r="L56" s="16">
        <v>736</v>
      </c>
      <c r="M56" s="16">
        <v>0</v>
      </c>
      <c r="N56" s="16">
        <v>1.9624999999999999</v>
      </c>
      <c r="O56" s="16">
        <v>2.0625</v>
      </c>
      <c r="P56" s="16">
        <v>1.8875</v>
      </c>
      <c r="Q56" s="16">
        <v>1.9708333333333332</v>
      </c>
      <c r="R56" s="16">
        <v>0.74219367369667266</v>
      </c>
      <c r="S56" s="16">
        <v>0.26</v>
      </c>
      <c r="T56" s="16">
        <v>0.21250000000000002</v>
      </c>
      <c r="U56" s="16">
        <v>0.20250000000000001</v>
      </c>
      <c r="V56" s="16">
        <v>0.22500000000000001</v>
      </c>
      <c r="W56" s="16">
        <v>0.2029564099697915</v>
      </c>
      <c r="X56" s="16">
        <v>0.7</v>
      </c>
      <c r="Y56" s="16">
        <v>0.84</v>
      </c>
      <c r="Z56" s="16">
        <v>0.4</v>
      </c>
      <c r="AA56" s="16">
        <v>0.84</v>
      </c>
      <c r="AB56" s="16">
        <v>8.7592592592592577</v>
      </c>
      <c r="AC56" s="16">
        <v>0</v>
      </c>
      <c r="AD56" s="16">
        <v>4.3478260869565215</v>
      </c>
      <c r="AE56" s="16">
        <v>0</v>
      </c>
      <c r="AF56" s="16">
        <v>4.3478260869565215</v>
      </c>
      <c r="AG56" s="16">
        <v>0</v>
      </c>
      <c r="AH56" s="16">
        <v>95.652173913043484</v>
      </c>
      <c r="AI56" s="16">
        <v>0</v>
      </c>
      <c r="AJ56" s="16">
        <v>95.652173913043484</v>
      </c>
      <c r="AK56" s="16">
        <v>95.652173913043484</v>
      </c>
      <c r="AL56" s="16">
        <v>0.16125</v>
      </c>
      <c r="AM56" s="16">
        <v>0.12499999999999999</v>
      </c>
      <c r="AN56" s="16">
        <v>0.13625000000000001</v>
      </c>
      <c r="AO56" s="16">
        <v>0.14083333333333334</v>
      </c>
      <c r="AP56" s="16">
        <v>8.7074014826301727E-2</v>
      </c>
      <c r="AQ56" s="16">
        <v>0.28999999999999998</v>
      </c>
      <c r="AR56" s="16">
        <v>0.25</v>
      </c>
      <c r="AS56" s="16">
        <v>0.28000000000000003</v>
      </c>
      <c r="AT56" s="16">
        <v>0.28999999999999998</v>
      </c>
      <c r="AU56" s="16">
        <v>41.666666666666671</v>
      </c>
      <c r="AV56" s="16">
        <v>0.29166666666666669</v>
      </c>
      <c r="AW56" s="16">
        <v>37.5</v>
      </c>
      <c r="AX56" s="16">
        <v>12.5</v>
      </c>
      <c r="AY56" s="16">
        <v>37.5</v>
      </c>
      <c r="AZ56" s="16">
        <v>29.166666666666668</v>
      </c>
      <c r="BA56" s="16">
        <v>41.666666666666671</v>
      </c>
      <c r="BB56" s="16">
        <v>1.75</v>
      </c>
      <c r="BC56" s="16">
        <v>58.333333333333336</v>
      </c>
      <c r="BD56" s="16">
        <v>0.375</v>
      </c>
      <c r="BE56" s="16">
        <v>0.625</v>
      </c>
      <c r="BF56" s="16">
        <v>0.5</v>
      </c>
      <c r="BG56" s="16">
        <v>0.5</v>
      </c>
      <c r="BH56" s="16">
        <v>1.1666666666666667</v>
      </c>
      <c r="BI56" s="16">
        <v>0.5</v>
      </c>
      <c r="BJ56" s="16">
        <v>0</v>
      </c>
      <c r="BK56" s="16">
        <v>0.75</v>
      </c>
      <c r="BL56" s="16">
        <v>0.41666666666666669</v>
      </c>
      <c r="BM56" s="16">
        <v>0.75</v>
      </c>
      <c r="BN56" s="16">
        <v>0.25</v>
      </c>
      <c r="BO56" s="16">
        <v>1.25</v>
      </c>
      <c r="BP56" s="16">
        <v>0.75</v>
      </c>
      <c r="BQ56" s="16">
        <v>0.75</v>
      </c>
      <c r="BR56" s="16">
        <v>0.25</v>
      </c>
      <c r="BS56" s="16">
        <v>0.75</v>
      </c>
      <c r="BT56" s="16">
        <v>0.58333333333333337</v>
      </c>
      <c r="BU56" s="16">
        <v>37.5</v>
      </c>
      <c r="BV56" s="16">
        <v>54.166666666666664</v>
      </c>
      <c r="BW56" s="16">
        <v>8.3333333333333321</v>
      </c>
      <c r="BX56" s="16">
        <v>25.416666666666668</v>
      </c>
      <c r="BY56" s="16">
        <v>1.2083333333333333</v>
      </c>
      <c r="BZ56" s="16">
        <v>7.8078078078078077</v>
      </c>
      <c r="CA56" s="16">
        <v>6.1865188816503158</v>
      </c>
      <c r="CB56" s="16">
        <v>92.192192192192195</v>
      </c>
      <c r="CC56" s="16">
        <v>0</v>
      </c>
      <c r="CD56" s="16">
        <v>0</v>
      </c>
      <c r="CE56" s="16">
        <v>0</v>
      </c>
      <c r="CF56" s="16">
        <v>0</v>
      </c>
      <c r="CG56" s="16">
        <v>0</v>
      </c>
      <c r="CI56" t="str">
        <f t="shared" si="0"/>
        <v>/*33*/ 000  1 13.1 7.91 12.12 251 307 178 736 0 1.9625 2.0625 1.8875 1.97083333333333 0.742193673696673 0.26 0.2125 0.2025 0.225 0.202956409969792 0.7 0.84 0.4 0.84 8.75925925925926 0 4.34782608695652 0 4.34782608695652 0 95.6521739130435 0 95.6521739130435 95.6521739130435 0.16125 0.125 0.13625 0.140833333333333 8.70740148263017E-02 0.29 0.25 0.28 0.29 41.6666666666667 0.291666666666667 37.5 12.5 37.5 29.1666666666667 41.6666666666667 1.75 58.3333333333333 0.375 0.625 0.5 0.5 1.16666666666667 0.5 0 0.75 0.416666666666667 0.75 0.25 1.25 0.75 0.75 0.25 0.75 0.583333333333333 37.5 54.1666666666667 8.33333333333333 25.4166666666667 1.20833333333333 7.80780780780781 6.18651888165032 92.1921921921922 0 0 0 0 0;</v>
      </c>
    </row>
    <row r="57" spans="1:87" x14ac:dyDescent="0.25">
      <c r="A57" s="12">
        <v>36</v>
      </c>
      <c r="B57" s="12">
        <v>0</v>
      </c>
      <c r="C57" s="12">
        <v>0</v>
      </c>
      <c r="D57" s="12">
        <v>0</v>
      </c>
      <c r="E57" s="12">
        <v>1</v>
      </c>
      <c r="F57" s="16">
        <v>25.7</v>
      </c>
      <c r="G57" s="16">
        <v>8.67</v>
      </c>
      <c r="H57" s="16">
        <v>12.74</v>
      </c>
      <c r="I57" s="16">
        <v>249</v>
      </c>
      <c r="J57" s="16">
        <v>225</v>
      </c>
      <c r="K57" s="16">
        <v>159</v>
      </c>
      <c r="L57" s="16">
        <v>633</v>
      </c>
      <c r="M57" s="16">
        <v>0</v>
      </c>
      <c r="N57" s="16">
        <v>2.0374999999999996</v>
      </c>
      <c r="O57" s="16">
        <v>1.6124999999999998</v>
      </c>
      <c r="P57" s="16">
        <v>1.9375</v>
      </c>
      <c r="Q57" s="16">
        <v>1.8625</v>
      </c>
      <c r="R57" s="16">
        <v>0.59695786756870328</v>
      </c>
      <c r="S57" s="16">
        <v>0.13125000000000001</v>
      </c>
      <c r="T57" s="16">
        <v>0.22727272727272732</v>
      </c>
      <c r="U57" s="16">
        <v>0.14833333333333334</v>
      </c>
      <c r="V57" s="16">
        <v>0.17193548387096771</v>
      </c>
      <c r="W57" s="16">
        <v>0.17702013736368549</v>
      </c>
      <c r="X57" s="16">
        <v>0.24</v>
      </c>
      <c r="Y57" s="16">
        <v>0.86</v>
      </c>
      <c r="Z57" s="16">
        <v>0.42</v>
      </c>
      <c r="AA57" s="16">
        <v>0.86</v>
      </c>
      <c r="AB57" s="16">
        <v>10.832551594746718</v>
      </c>
      <c r="AC57" s="16">
        <v>7.1428571428571423</v>
      </c>
      <c r="AD57" s="16">
        <v>3.5714285714285712</v>
      </c>
      <c r="AE57" s="16">
        <v>0</v>
      </c>
      <c r="AF57" s="16">
        <v>10.714285714285714</v>
      </c>
      <c r="AG57" s="16">
        <v>3.5714285714285712</v>
      </c>
      <c r="AH57" s="16">
        <v>82.142857142857139</v>
      </c>
      <c r="AI57" s="16">
        <v>3.5714285714285712</v>
      </c>
      <c r="AJ57" s="16">
        <v>89.285714285714278</v>
      </c>
      <c r="AK57" s="16">
        <v>82.142857142857139</v>
      </c>
      <c r="AL57" s="16">
        <v>0.16250000000000001</v>
      </c>
      <c r="AM57" s="16">
        <v>0.15</v>
      </c>
      <c r="AN57" s="16">
        <v>0.12727272727272729</v>
      </c>
      <c r="AO57" s="16">
        <v>0.16774193548387092</v>
      </c>
      <c r="AP57" s="16">
        <v>0.18800194462503764</v>
      </c>
      <c r="AQ57" s="16">
        <v>0.36</v>
      </c>
      <c r="AR57" s="16">
        <v>0.39</v>
      </c>
      <c r="AS57" s="16">
        <v>0.25</v>
      </c>
      <c r="AT57" s="16">
        <v>0.39</v>
      </c>
      <c r="AU57" s="16">
        <v>29.166666666666668</v>
      </c>
      <c r="AV57" s="16">
        <v>0.58333333333333337</v>
      </c>
      <c r="AW57" s="16">
        <v>0</v>
      </c>
      <c r="AX57" s="16">
        <v>25</v>
      </c>
      <c r="AY57" s="16">
        <v>12.5</v>
      </c>
      <c r="AZ57" s="16">
        <v>12.5</v>
      </c>
      <c r="BA57" s="16">
        <v>58.333333333333336</v>
      </c>
      <c r="BB57" s="16">
        <v>1.8333333333333333</v>
      </c>
      <c r="BC57" s="16">
        <v>75</v>
      </c>
      <c r="BD57" s="16">
        <v>0.125</v>
      </c>
      <c r="BE57" s="16">
        <v>0.25</v>
      </c>
      <c r="BF57" s="16">
        <v>0</v>
      </c>
      <c r="BG57" s="16">
        <v>0.125</v>
      </c>
      <c r="BH57" s="16">
        <v>0.29166666666666669</v>
      </c>
      <c r="BI57" s="16">
        <v>0.25</v>
      </c>
      <c r="BJ57" s="16">
        <v>0.25</v>
      </c>
      <c r="BK57" s="16">
        <v>0</v>
      </c>
      <c r="BL57" s="16">
        <v>0.16666666666666666</v>
      </c>
      <c r="BM57" s="16">
        <v>0.5</v>
      </c>
      <c r="BN57" s="16">
        <v>1</v>
      </c>
      <c r="BO57" s="16">
        <v>0.25</v>
      </c>
      <c r="BP57" s="16">
        <v>0.58333333333333337</v>
      </c>
      <c r="BQ57" s="16">
        <v>0.25</v>
      </c>
      <c r="BR57" s="16">
        <v>1</v>
      </c>
      <c r="BS57" s="16">
        <v>0.5</v>
      </c>
      <c r="BT57" s="16">
        <v>0.58333333333333337</v>
      </c>
      <c r="BU57" s="16">
        <v>37.5</v>
      </c>
      <c r="BV57" s="16">
        <v>41.666666666666671</v>
      </c>
      <c r="BW57" s="16">
        <v>20.833333333333336</v>
      </c>
      <c r="BX57" s="16">
        <v>30.833333333333332</v>
      </c>
      <c r="BY57" s="16">
        <v>0.75</v>
      </c>
      <c r="BZ57" s="16">
        <v>55.067567567567565</v>
      </c>
      <c r="CA57" s="16">
        <v>15.759789584316648</v>
      </c>
      <c r="CB57" s="16">
        <v>44.932432432432435</v>
      </c>
      <c r="CC57" s="16">
        <v>0</v>
      </c>
      <c r="CD57" s="16">
        <v>0</v>
      </c>
      <c r="CE57" s="16">
        <v>0</v>
      </c>
      <c r="CF57" s="16">
        <v>0</v>
      </c>
      <c r="CG57" s="16">
        <v>0</v>
      </c>
      <c r="CI57" t="str">
        <f t="shared" si="0"/>
        <v>/*36*/ 000  1 25.7 8.67 12.74 249 225 159 633 0 2.0375 1.6125 1.9375 1.8625 0.596957867568703 0.13125 0.227272727272727 0.148333333333333 0.171935483870968 0.177020137363685 0.24 0.86 0.42 0.86 10.8325515947467 7.14285714285714 3.57142857142857 0 10.7142857142857 3.57142857142857 82.1428571428571 3.57142857142857 89.2857142857143 82.1428571428571 0.1625 0.15 0.127272727272727 0.167741935483871 0.188001944625038 0.36 0.39 0.25 0.39 29.1666666666667 0.583333333333333 0 25 12.5 12.5 58.3333333333333 1.83333333333333 75 0.125 0.25 0 0.125 0.291666666666667 0.25 0.25 0 0.166666666666667 0.5 1 0.25 0.583333333333333 0.25 1 0.5 0.583333333333333 37.5 41.6666666666667 20.8333333333333 30.8333333333333 0.75 55.0675675675676 15.7597895843166 44.9324324324324 0 0 0 0 0;</v>
      </c>
    </row>
    <row r="58" spans="1:87" x14ac:dyDescent="0.25">
      <c r="A58" s="12">
        <v>39</v>
      </c>
      <c r="B58" s="12">
        <v>0</v>
      </c>
      <c r="C58" s="12">
        <v>0</v>
      </c>
      <c r="D58" s="12">
        <v>0</v>
      </c>
      <c r="E58" s="12">
        <v>1</v>
      </c>
      <c r="F58" s="16">
        <v>12.5</v>
      </c>
      <c r="G58" s="16">
        <v>8.5</v>
      </c>
      <c r="H58" s="16">
        <v>10.3</v>
      </c>
      <c r="I58" s="16">
        <v>477</v>
      </c>
      <c r="J58" s="16">
        <v>537</v>
      </c>
      <c r="K58" s="16">
        <v>484</v>
      </c>
      <c r="L58" s="16">
        <v>1498</v>
      </c>
      <c r="M58" s="16">
        <v>0</v>
      </c>
      <c r="N58" s="16">
        <v>0.95</v>
      </c>
      <c r="O58" s="16">
        <v>0.68749999999999989</v>
      </c>
      <c r="P58" s="16">
        <v>1.1000000000000001</v>
      </c>
      <c r="Q58" s="16">
        <v>0.91250000000000009</v>
      </c>
      <c r="R58" s="16">
        <v>0.24013130466113874</v>
      </c>
      <c r="S58" s="16">
        <v>0.28249999999999997</v>
      </c>
      <c r="T58" s="16">
        <v>0.30500000000000005</v>
      </c>
      <c r="U58" s="16">
        <v>0.46000000000000008</v>
      </c>
      <c r="V58" s="16">
        <v>0.34916666666666668</v>
      </c>
      <c r="W58" s="16">
        <v>0.35907994346259642</v>
      </c>
      <c r="X58" s="16">
        <v>0.42</v>
      </c>
      <c r="Y58" s="16">
        <v>0.4</v>
      </c>
      <c r="Z58" s="16">
        <v>2</v>
      </c>
      <c r="AA58" s="16">
        <v>2</v>
      </c>
      <c r="AB58" s="16">
        <v>2.6133651551312651</v>
      </c>
      <c r="AC58" s="16">
        <v>0</v>
      </c>
      <c r="AD58" s="16">
        <v>100</v>
      </c>
      <c r="AE58" s="16">
        <v>0</v>
      </c>
      <c r="AF58" s="16">
        <v>100</v>
      </c>
      <c r="AG58" s="16">
        <v>0</v>
      </c>
      <c r="AH58" s="16">
        <v>0</v>
      </c>
      <c r="AI58" s="16">
        <v>0</v>
      </c>
      <c r="AJ58" s="16">
        <v>0</v>
      </c>
      <c r="AK58" s="16">
        <v>100</v>
      </c>
      <c r="AL58" s="16">
        <v>7.0000000000000007E-2</v>
      </c>
      <c r="AM58" s="16">
        <v>0.13250000000000001</v>
      </c>
      <c r="AN58" s="16">
        <v>0.13</v>
      </c>
      <c r="AO58" s="16">
        <v>0.11083333333333334</v>
      </c>
      <c r="AP58" s="16">
        <v>6.268740020871448E-2</v>
      </c>
      <c r="AQ58" s="16">
        <v>0.14000000000000001</v>
      </c>
      <c r="AR58" s="16">
        <v>0.28999999999999998</v>
      </c>
      <c r="AS58" s="16">
        <v>0.19</v>
      </c>
      <c r="AT58" s="16">
        <v>0.28999999999999998</v>
      </c>
      <c r="AU58" s="16">
        <v>0</v>
      </c>
      <c r="AV58" s="16">
        <v>0.20833333333333334</v>
      </c>
      <c r="AW58" s="16">
        <v>50</v>
      </c>
      <c r="AX58" s="16">
        <v>100</v>
      </c>
      <c r="AY58" s="16">
        <v>87.5</v>
      </c>
      <c r="AZ58" s="16">
        <v>79.166666666666657</v>
      </c>
      <c r="BA58" s="16">
        <v>75</v>
      </c>
      <c r="BB58" s="16">
        <v>0</v>
      </c>
      <c r="BC58" s="16">
        <v>0</v>
      </c>
      <c r="BD58" s="16">
        <v>0</v>
      </c>
      <c r="BE58" s="16">
        <v>0</v>
      </c>
      <c r="BF58" s="16">
        <v>0</v>
      </c>
      <c r="BG58" s="16">
        <v>0</v>
      </c>
      <c r="BH58" s="16">
        <v>0.125</v>
      </c>
      <c r="BI58" s="16">
        <v>0</v>
      </c>
      <c r="BJ58" s="16">
        <v>0</v>
      </c>
      <c r="BK58" s="16">
        <v>0</v>
      </c>
      <c r="BL58" s="16">
        <v>0</v>
      </c>
      <c r="BM58" s="16">
        <v>0</v>
      </c>
      <c r="BN58" s="16">
        <v>0</v>
      </c>
      <c r="BO58" s="16">
        <v>0</v>
      </c>
      <c r="BP58" s="16">
        <v>0</v>
      </c>
      <c r="BQ58" s="16">
        <v>0.75</v>
      </c>
      <c r="BR58" s="16">
        <v>0</v>
      </c>
      <c r="BS58" s="16">
        <v>1</v>
      </c>
      <c r="BT58" s="16">
        <v>0.58333333333333337</v>
      </c>
      <c r="BU58" s="16">
        <v>8.3333333333333321</v>
      </c>
      <c r="BV58" s="16">
        <v>91.666666666666657</v>
      </c>
      <c r="BW58" s="16">
        <v>0</v>
      </c>
      <c r="BX58" s="16">
        <v>32.708333333333336</v>
      </c>
      <c r="BY58" s="16">
        <v>0.54166666666666663</v>
      </c>
      <c r="BZ58" s="16">
        <v>80.180180180180187</v>
      </c>
      <c r="CA58" s="16">
        <v>11.260012379561523</v>
      </c>
      <c r="CB58" s="16">
        <v>19.819819819819813</v>
      </c>
      <c r="CC58" s="16">
        <v>0</v>
      </c>
      <c r="CD58" s="16">
        <v>0</v>
      </c>
      <c r="CE58" s="16">
        <v>0</v>
      </c>
      <c r="CF58" s="16">
        <v>0</v>
      </c>
      <c r="CG58" s="16">
        <v>0</v>
      </c>
      <c r="CI58" t="str">
        <f t="shared" si="0"/>
        <v>/*39*/ 000  1 12.5 8.5 10.3 477 537 484 1498 0 0.95 0.6875 1.1 0.9125 0.240131304661139 0.2825 0.305 0.46 0.349166666666667 0.359079943462596 0.42 0.4 2 2 2.61336515513127 0 100 0 100 0 0 0 0 100 0.07 0.1325 0.13 0.110833333333333 6.26874002087145E-02 0.14 0.29 0.19 0.29 0 0.208333333333333 50 100 87.5 79.1666666666667 75 0 0 0 0 0 0 0.125 0 0 0 0 0 0 0 0 0.75 0 1 0.583333333333333 8.33333333333333 91.6666666666667 0 32.7083333333333 0.541666666666667 80.1801801801802 11.2600123795615 19.8198198198198 0 0 0 0 0;</v>
      </c>
    </row>
    <row r="59" spans="1:87" x14ac:dyDescent="0.25">
      <c r="A59" s="12">
        <v>40</v>
      </c>
      <c r="B59" s="12">
        <v>0</v>
      </c>
      <c r="C59" s="12">
        <v>0</v>
      </c>
      <c r="D59" s="12">
        <v>0</v>
      </c>
      <c r="E59" s="12">
        <v>1</v>
      </c>
      <c r="F59" s="16">
        <v>15.4</v>
      </c>
      <c r="G59" s="16">
        <v>8.1300000000000008</v>
      </c>
      <c r="H59" s="16">
        <v>10.86</v>
      </c>
      <c r="I59" s="16">
        <v>1173</v>
      </c>
      <c r="J59" s="16">
        <v>674</v>
      </c>
      <c r="K59" s="16">
        <v>1484</v>
      </c>
      <c r="L59" s="16">
        <v>3331</v>
      </c>
      <c r="M59" s="16">
        <v>1.5490843590513359</v>
      </c>
      <c r="N59" s="16">
        <v>7.5625</v>
      </c>
      <c r="O59" s="16">
        <v>5.1500000000000012</v>
      </c>
      <c r="P59" s="16">
        <v>5.7249999999999996</v>
      </c>
      <c r="Q59" s="16">
        <v>6.145833333333333</v>
      </c>
      <c r="R59" s="16">
        <v>1.7788562927187028</v>
      </c>
      <c r="S59" s="16">
        <v>0.30375000000000002</v>
      </c>
      <c r="T59" s="16">
        <v>0.26749999999999996</v>
      </c>
      <c r="U59" s="16">
        <v>0.17125000000000001</v>
      </c>
      <c r="V59" s="16">
        <v>0.24749999999999997</v>
      </c>
      <c r="W59" s="16">
        <v>0.12912965610233151</v>
      </c>
      <c r="X59" s="16">
        <v>0.5</v>
      </c>
      <c r="Y59" s="16">
        <v>0.48</v>
      </c>
      <c r="Z59" s="16">
        <v>0.62</v>
      </c>
      <c r="AA59" s="16">
        <v>0.62</v>
      </c>
      <c r="AB59" s="16">
        <v>24.831649831649834</v>
      </c>
      <c r="AC59" s="16">
        <v>0</v>
      </c>
      <c r="AD59" s="16">
        <v>4.5454545454545459</v>
      </c>
      <c r="AE59" s="16">
        <v>0</v>
      </c>
      <c r="AF59" s="16">
        <v>4.5454545454545459</v>
      </c>
      <c r="AG59" s="16">
        <v>2.2727272727272729</v>
      </c>
      <c r="AH59" s="16">
        <v>93.181818181818173</v>
      </c>
      <c r="AI59" s="16">
        <v>0</v>
      </c>
      <c r="AJ59" s="16">
        <v>95.454545454545439</v>
      </c>
      <c r="AK59" s="16">
        <v>93.181818181818173</v>
      </c>
      <c r="AL59" s="16">
        <v>0.31</v>
      </c>
      <c r="AM59" s="16">
        <v>0.39266666666666666</v>
      </c>
      <c r="AN59" s="16">
        <v>0.40266666666666673</v>
      </c>
      <c r="AO59" s="16">
        <v>0.3664583333333335</v>
      </c>
      <c r="AP59" s="16">
        <v>0.24621811454293518</v>
      </c>
      <c r="AQ59" s="16">
        <v>1.04</v>
      </c>
      <c r="AR59" s="16">
        <v>0.88</v>
      </c>
      <c r="AS59" s="16">
        <v>0.86</v>
      </c>
      <c r="AT59" s="16">
        <v>1.04</v>
      </c>
      <c r="AU59" s="16">
        <v>50</v>
      </c>
      <c r="AV59" s="16">
        <v>0.39130434782608697</v>
      </c>
      <c r="AW59" s="16">
        <v>0</v>
      </c>
      <c r="AX59" s="16">
        <v>12.5</v>
      </c>
      <c r="AY59" s="16">
        <v>12.5</v>
      </c>
      <c r="AZ59" s="16">
        <v>8.3333333333333321</v>
      </c>
      <c r="BA59" s="16">
        <v>50</v>
      </c>
      <c r="BB59" s="16">
        <v>1.1666666666666667</v>
      </c>
      <c r="BC59" s="16">
        <v>41.666666666666671</v>
      </c>
      <c r="BD59" s="16">
        <v>0</v>
      </c>
      <c r="BE59" s="16">
        <v>0</v>
      </c>
      <c r="BF59" s="16">
        <v>0.25</v>
      </c>
      <c r="BG59" s="16">
        <v>8.3333333333333329E-2</v>
      </c>
      <c r="BH59" s="16">
        <v>0.33333333333333331</v>
      </c>
      <c r="BI59" s="16">
        <v>0.5</v>
      </c>
      <c r="BJ59" s="16">
        <v>1</v>
      </c>
      <c r="BK59" s="16">
        <v>0</v>
      </c>
      <c r="BL59" s="16">
        <v>0.5</v>
      </c>
      <c r="BM59" s="16">
        <v>0.75</v>
      </c>
      <c r="BN59" s="16">
        <v>1.75</v>
      </c>
      <c r="BO59" s="16">
        <v>0.25</v>
      </c>
      <c r="BP59" s="16">
        <v>0.91666666666666663</v>
      </c>
      <c r="BQ59" s="16">
        <v>0.75</v>
      </c>
      <c r="BR59" s="16">
        <v>0.25</v>
      </c>
      <c r="BS59" s="16">
        <v>0</v>
      </c>
      <c r="BT59" s="16">
        <v>0.33333333333333331</v>
      </c>
      <c r="BU59" s="16">
        <v>12.5</v>
      </c>
      <c r="BV59" s="16">
        <v>87.5</v>
      </c>
      <c r="BW59" s="16">
        <v>0</v>
      </c>
      <c r="BX59" s="16">
        <v>33.333333333333336</v>
      </c>
      <c r="BY59" s="16">
        <v>0.20833333333333334</v>
      </c>
      <c r="BZ59" s="16">
        <v>61.636636636636645</v>
      </c>
      <c r="CA59" s="16">
        <v>15.105002850417181</v>
      </c>
      <c r="CB59" s="16">
        <v>38.363363363363355</v>
      </c>
      <c r="CC59" s="16">
        <v>0</v>
      </c>
      <c r="CD59" s="16">
        <v>0</v>
      </c>
      <c r="CE59" s="16">
        <v>0</v>
      </c>
      <c r="CF59" s="16">
        <v>0</v>
      </c>
      <c r="CG59" s="16">
        <v>0</v>
      </c>
      <c r="CI59" t="str">
        <f t="shared" si="0"/>
        <v>/*40*/ 000  1 15.4 8.13 10.86 1173 674 1484 3331 1.54908435905134 7.5625 5.15 5.725 6.14583333333333 1.7788562927187 0.30375 0.2675 0.17125 0.2475 0.129129656102332 0.5 0.48 0.62 0.62 24.8316498316498 0 4.54545454545455 0 4.54545454545455 2.27272727272727 93.1818181818182 0 95.4545454545454 93.1818181818182 0.31 0.392666666666667 0.402666666666667 0.366458333333334 0.246218114542935 1.04 0.88 0.86 1.04 50 0.391304347826087 0 12.5 12.5 8.33333333333333 50 1.16666666666667 41.6666666666667 0 0 0.25 8.33333333333333E-02 0.333333333333333 0.5 1 0 0.5 0.75 1.75 0.25 0.916666666666667 0.75 0.25 0 0.333333333333333 12.5 87.5 0 33.3333333333333 0.208333333333333 61.6366366366366 15.1050028504172 38.3633633633634 0 0 0 0 0;</v>
      </c>
    </row>
    <row r="60" spans="1:87" x14ac:dyDescent="0.25">
      <c r="A60" s="12">
        <v>41</v>
      </c>
      <c r="B60" s="12">
        <v>0</v>
      </c>
      <c r="C60" s="12">
        <v>0</v>
      </c>
      <c r="D60" s="12">
        <v>0</v>
      </c>
      <c r="E60" s="12">
        <v>1</v>
      </c>
      <c r="F60" s="16">
        <v>19.2</v>
      </c>
      <c r="G60" s="16">
        <v>8.32</v>
      </c>
      <c r="H60" s="16">
        <v>14.31</v>
      </c>
      <c r="I60" s="16">
        <v>739</v>
      </c>
      <c r="J60" s="16">
        <v>554</v>
      </c>
      <c r="K60" s="16">
        <v>555</v>
      </c>
      <c r="L60" s="16">
        <v>1848</v>
      </c>
      <c r="M60" s="16">
        <v>0</v>
      </c>
      <c r="N60" s="16">
        <v>3.0750000000000002</v>
      </c>
      <c r="O60" s="16">
        <v>2.6999999999999997</v>
      </c>
      <c r="P60" s="16">
        <v>3.1857142857142859</v>
      </c>
      <c r="Q60" s="16">
        <v>2.9782608695652173</v>
      </c>
      <c r="R60" s="16">
        <v>0.83826472372131411</v>
      </c>
      <c r="S60" s="16">
        <v>0.27499999999999997</v>
      </c>
      <c r="T60" s="16">
        <v>0.23333333333333336</v>
      </c>
      <c r="U60" s="16">
        <v>0.19090909090909092</v>
      </c>
      <c r="V60" s="16">
        <v>0.23428571428571426</v>
      </c>
      <c r="W60" s="16">
        <v>0.13638797847416362</v>
      </c>
      <c r="X60" s="16">
        <v>0.62</v>
      </c>
      <c r="Y60" s="16">
        <v>0.52</v>
      </c>
      <c r="Z60" s="16">
        <v>0.5</v>
      </c>
      <c r="AA60" s="16">
        <v>0.62</v>
      </c>
      <c r="AB60" s="16">
        <v>12.712089077412514</v>
      </c>
      <c r="AC60" s="16">
        <v>2.9411764705882351</v>
      </c>
      <c r="AD60" s="16">
        <v>5.8823529411764701</v>
      </c>
      <c r="AE60" s="16">
        <v>0</v>
      </c>
      <c r="AF60" s="16">
        <v>8.8235294117647047</v>
      </c>
      <c r="AG60" s="16">
        <v>14.705882352941178</v>
      </c>
      <c r="AH60" s="16">
        <v>76.470588235294116</v>
      </c>
      <c r="AI60" s="16">
        <v>0</v>
      </c>
      <c r="AJ60" s="16">
        <v>91.17647058823529</v>
      </c>
      <c r="AK60" s="16">
        <v>76.470588235294116</v>
      </c>
      <c r="AL60" s="16">
        <v>0.14636363636363636</v>
      </c>
      <c r="AM60" s="16">
        <v>0.31</v>
      </c>
      <c r="AN60" s="16">
        <v>0.26999999999999996</v>
      </c>
      <c r="AO60" s="16">
        <v>0.24200000000000008</v>
      </c>
      <c r="AP60" s="16">
        <v>0.17176933918005541</v>
      </c>
      <c r="AQ60" s="16">
        <v>0.26</v>
      </c>
      <c r="AR60" s="16">
        <v>0.86</v>
      </c>
      <c r="AS60" s="16">
        <v>0.5</v>
      </c>
      <c r="AT60" s="16">
        <v>0.86</v>
      </c>
      <c r="AU60" s="16">
        <v>37.5</v>
      </c>
      <c r="AV60" s="16">
        <v>0.41666666666666669</v>
      </c>
      <c r="AW60" s="16">
        <v>12.5</v>
      </c>
      <c r="AX60" s="16">
        <v>37.5</v>
      </c>
      <c r="AY60" s="16">
        <v>12.5</v>
      </c>
      <c r="AZ60" s="16">
        <v>20.833333333333336</v>
      </c>
      <c r="BA60" s="16">
        <v>41.666666666666671</v>
      </c>
      <c r="BB60" s="16">
        <v>2</v>
      </c>
      <c r="BC60" s="16">
        <v>75</v>
      </c>
      <c r="BD60" s="16">
        <v>0.125</v>
      </c>
      <c r="BE60" s="16">
        <v>0</v>
      </c>
      <c r="BF60" s="16">
        <v>0</v>
      </c>
      <c r="BG60" s="16">
        <v>4.1666666666666664E-2</v>
      </c>
      <c r="BH60" s="16">
        <v>0</v>
      </c>
      <c r="BI60" s="16">
        <v>1</v>
      </c>
      <c r="BJ60" s="16">
        <v>1</v>
      </c>
      <c r="BK60" s="16">
        <v>0</v>
      </c>
      <c r="BL60" s="16">
        <v>0.66666666666666663</v>
      </c>
      <c r="BM60" s="16">
        <v>0</v>
      </c>
      <c r="BN60" s="16">
        <v>0</v>
      </c>
      <c r="BO60" s="16">
        <v>0</v>
      </c>
      <c r="BP60" s="16">
        <v>0</v>
      </c>
      <c r="BQ60" s="16">
        <v>0.75</v>
      </c>
      <c r="BR60" s="16">
        <v>1</v>
      </c>
      <c r="BS60" s="16">
        <v>1</v>
      </c>
      <c r="BT60" s="16">
        <v>0.91666666666666663</v>
      </c>
      <c r="BU60" s="16">
        <v>20.833333333333336</v>
      </c>
      <c r="BV60" s="16">
        <v>58.333333333333336</v>
      </c>
      <c r="BW60" s="16">
        <v>20.833333333333336</v>
      </c>
      <c r="BX60" s="16">
        <v>34.791666666666664</v>
      </c>
      <c r="BY60" s="16">
        <v>1.7083333333333333</v>
      </c>
      <c r="BZ60" s="16">
        <v>100</v>
      </c>
      <c r="CA60" s="16">
        <v>0</v>
      </c>
      <c r="CB60" s="16">
        <v>0</v>
      </c>
      <c r="CC60" s="16">
        <v>0</v>
      </c>
      <c r="CD60" s="16">
        <v>0</v>
      </c>
      <c r="CE60" s="16">
        <v>0</v>
      </c>
      <c r="CF60" s="16">
        <v>0</v>
      </c>
      <c r="CG60" s="16">
        <v>0</v>
      </c>
      <c r="CI60" t="str">
        <f t="shared" si="0"/>
        <v>/*41*/ 000  1 19.2 8.32 14.31 739 554 555 1848 0 3.075 2.7 3.18571428571429 2.97826086956522 0.838264723721314 0.275 0.233333333333333 0.190909090909091 0.234285714285714 0.136387978474164 0.62 0.52 0.5 0.62 12.7120890774125 2.94117647058824 5.88235294117647 0 8.8235294117647 14.7058823529412 76.4705882352941 0 91.1764705882353 76.4705882352941 0.146363636363636 0.31 0.27 0.242 0.171769339180055 0.26 0.86 0.5 0.86 37.5 0.416666666666667 12.5 37.5 12.5 20.8333333333333 41.6666666666667 2 75 0.125 0 0 4.16666666666667E-02 0 1 1 0 0.666666666666667 0 0 0 0 0.75 1 1 0.916666666666667 20.8333333333333 58.3333333333333 20.8333333333333 34.7916666666667 1.70833333333333 100 0 0 0 0 0 0 0;</v>
      </c>
    </row>
    <row r="61" spans="1:87" x14ac:dyDescent="0.25">
      <c r="A61" s="12">
        <v>52</v>
      </c>
      <c r="B61" s="12">
        <v>0</v>
      </c>
      <c r="C61" s="12">
        <v>0</v>
      </c>
      <c r="D61" s="12">
        <v>0</v>
      </c>
      <c r="E61" s="12">
        <v>1</v>
      </c>
      <c r="F61" s="16">
        <v>14.3</v>
      </c>
      <c r="G61" s="16">
        <v>8.66</v>
      </c>
      <c r="H61" s="16">
        <v>9.94</v>
      </c>
      <c r="I61" s="16">
        <v>214</v>
      </c>
      <c r="J61" s="16">
        <v>276</v>
      </c>
      <c r="K61" s="16">
        <v>882</v>
      </c>
      <c r="L61" s="16">
        <v>1372</v>
      </c>
      <c r="M61" s="16">
        <v>4.3731778425655975E-2</v>
      </c>
      <c r="N61" s="16">
        <v>1.4125000000000001</v>
      </c>
      <c r="O61" s="16">
        <v>1.9625000000000001</v>
      </c>
      <c r="P61" s="16">
        <v>2.3000000000000003</v>
      </c>
      <c r="Q61" s="16">
        <v>1.8916666666666664</v>
      </c>
      <c r="R61" s="16">
        <v>0.55082283640155183</v>
      </c>
      <c r="S61" s="16">
        <v>0.2</v>
      </c>
      <c r="T61" s="16">
        <v>0.21800000000000003</v>
      </c>
      <c r="U61" s="16">
        <v>0.26500000000000001</v>
      </c>
      <c r="V61" s="16">
        <v>0.22692307692307698</v>
      </c>
      <c r="W61" s="16">
        <v>7.8779146010564433E-2</v>
      </c>
      <c r="X61" s="16">
        <v>0.28000000000000003</v>
      </c>
      <c r="Y61" s="16">
        <v>0.4</v>
      </c>
      <c r="Z61" s="16">
        <v>0.38</v>
      </c>
      <c r="AA61" s="16">
        <v>0.4</v>
      </c>
      <c r="AB61" s="16">
        <v>8.3361581920903927</v>
      </c>
      <c r="AC61" s="16">
        <v>0</v>
      </c>
      <c r="AD61" s="16">
        <v>11.538461538461538</v>
      </c>
      <c r="AE61" s="16">
        <v>0</v>
      </c>
      <c r="AF61" s="16">
        <v>11.538461538461538</v>
      </c>
      <c r="AG61" s="16">
        <v>19.230769230769234</v>
      </c>
      <c r="AH61" s="16">
        <v>69.230769230769226</v>
      </c>
      <c r="AI61" s="16">
        <v>0</v>
      </c>
      <c r="AJ61" s="16">
        <v>88.461538461538453</v>
      </c>
      <c r="AK61" s="16">
        <v>69.230769230769226</v>
      </c>
      <c r="AL61" s="16">
        <v>0.58624999999999994</v>
      </c>
      <c r="AM61" s="16">
        <v>0.52100000000000002</v>
      </c>
      <c r="AN61" s="16">
        <v>0.30375000000000002</v>
      </c>
      <c r="AO61" s="16">
        <v>0.47423076923076912</v>
      </c>
      <c r="AP61" s="16">
        <v>0.20856026614718517</v>
      </c>
      <c r="AQ61" s="16">
        <v>0.99</v>
      </c>
      <c r="AR61" s="16">
        <v>0.95</v>
      </c>
      <c r="AS61" s="16">
        <v>0.42</v>
      </c>
      <c r="AT61" s="16">
        <v>0.99</v>
      </c>
      <c r="AU61" s="16">
        <v>29.166666666666668</v>
      </c>
      <c r="AV61" s="16">
        <v>0.70833333333333337</v>
      </c>
      <c r="AW61" s="16">
        <v>0</v>
      </c>
      <c r="AX61" s="16">
        <v>0</v>
      </c>
      <c r="AY61" s="16">
        <v>0</v>
      </c>
      <c r="AZ61" s="16">
        <v>0</v>
      </c>
      <c r="BA61" s="16">
        <v>70.833333333333343</v>
      </c>
      <c r="BB61" s="16">
        <v>2.5454545454545454</v>
      </c>
      <c r="BC61" s="16">
        <v>75</v>
      </c>
      <c r="BD61" s="16">
        <v>0.5</v>
      </c>
      <c r="BE61" s="16">
        <v>0.75</v>
      </c>
      <c r="BF61" s="16">
        <v>0.875</v>
      </c>
      <c r="BG61" s="16">
        <v>0.70833333333333337</v>
      </c>
      <c r="BH61" s="16">
        <v>0.41666666666666669</v>
      </c>
      <c r="BI61" s="16">
        <v>0.5</v>
      </c>
      <c r="BJ61" s="16">
        <v>0</v>
      </c>
      <c r="BK61" s="16">
        <v>0</v>
      </c>
      <c r="BL61" s="16">
        <v>0.16666666666666666</v>
      </c>
      <c r="BM61" s="16">
        <v>0.25</v>
      </c>
      <c r="BN61" s="16">
        <v>1.25</v>
      </c>
      <c r="BO61" s="16">
        <v>0.25</v>
      </c>
      <c r="BP61" s="16">
        <v>0.58333333333333337</v>
      </c>
      <c r="BQ61" s="16">
        <v>0</v>
      </c>
      <c r="BR61" s="16">
        <v>0</v>
      </c>
      <c r="BS61" s="16">
        <v>0.25</v>
      </c>
      <c r="BT61" s="16">
        <v>8.3333333333333329E-2</v>
      </c>
      <c r="BU61" s="16">
        <v>4.1666666666666661</v>
      </c>
      <c r="BV61" s="16">
        <v>75</v>
      </c>
      <c r="BW61" s="16">
        <v>20.833333333333336</v>
      </c>
      <c r="BX61" s="16">
        <v>39.125</v>
      </c>
      <c r="BY61" s="16">
        <v>0.83333333333333337</v>
      </c>
      <c r="BZ61" s="16">
        <v>7.4324324324324325</v>
      </c>
      <c r="CA61" s="16">
        <v>5.1190375515857918</v>
      </c>
      <c r="CB61" s="16">
        <v>92.567567567567565</v>
      </c>
      <c r="CC61" s="16">
        <v>0</v>
      </c>
      <c r="CD61" s="16">
        <v>0</v>
      </c>
      <c r="CE61" s="16">
        <v>0</v>
      </c>
      <c r="CF61" s="16">
        <v>0</v>
      </c>
      <c r="CG61" s="16">
        <v>0</v>
      </c>
      <c r="CI61" t="str">
        <f t="shared" si="0"/>
        <v>/*52*/ 000  1 14.3 8.66 9.94 214 276 882 1372 0.043731778425656 1.4125 1.9625 2.3 1.89166666666667 0.550822836401552 0.2 0.218 0.265 0.226923076923077 7.87791460105644E-02 0.28 0.4 0.38 0.4 8.33615819209039 0 11.5384615384615 0 11.5384615384615 19.2307692307692 69.2307692307692 0 88.4615384615385 69.2307692307692 0.58625 0.521 0.30375 0.474230769230769 0.208560266147185 0.99 0.95 0.42 0.99 29.1666666666667 0.708333333333333 0 0 0 0 70.8333333333333 2.54545454545455 75 0.5 0.75 0.875 0.708333333333333 0.416666666666667 0.5 0 0 0.166666666666667 0.25 1.25 0.25 0.583333333333333 0 0 0.25 8.33333333333333E-02 4.16666666666667 75 20.8333333333333 39.125 0.833333333333333 7.43243243243243 5.11903755158579 92.5675675675676 0 0 0 0 0;</v>
      </c>
    </row>
    <row r="62" spans="1:87" x14ac:dyDescent="0.25">
      <c r="A62" s="12">
        <v>56</v>
      </c>
      <c r="B62" s="12">
        <v>0</v>
      </c>
      <c r="C62" s="12">
        <v>0</v>
      </c>
      <c r="D62" s="12">
        <v>0</v>
      </c>
      <c r="E62" s="12">
        <v>1</v>
      </c>
      <c r="F62" s="16">
        <v>18</v>
      </c>
      <c r="G62" s="16">
        <v>8.33</v>
      </c>
      <c r="H62" s="16">
        <v>12.17</v>
      </c>
      <c r="I62" s="16">
        <v>531</v>
      </c>
      <c r="J62" s="16">
        <v>357</v>
      </c>
      <c r="K62" s="16">
        <v>664</v>
      </c>
      <c r="L62" s="16">
        <v>1552</v>
      </c>
      <c r="M62" s="16">
        <v>0.65721649484536082</v>
      </c>
      <c r="N62" s="16">
        <v>3.8124999999999996</v>
      </c>
      <c r="O62" s="16">
        <v>2.6875</v>
      </c>
      <c r="P62" s="16">
        <v>2.7375000000000003</v>
      </c>
      <c r="Q62" s="16">
        <v>3.0791666666666671</v>
      </c>
      <c r="R62" s="16">
        <v>0.93342714331867127</v>
      </c>
      <c r="S62" s="16">
        <v>0.31</v>
      </c>
      <c r="T62" s="16">
        <v>0.16818181818181818</v>
      </c>
      <c r="U62" s="16">
        <v>0.26666666666666666</v>
      </c>
      <c r="V62" s="16">
        <v>0.25057142857142861</v>
      </c>
      <c r="W62" s="16">
        <v>0.17806051279968677</v>
      </c>
      <c r="X62" s="16">
        <v>0.74</v>
      </c>
      <c r="Y62" s="16">
        <v>0.26</v>
      </c>
      <c r="Z62" s="16">
        <v>0.72</v>
      </c>
      <c r="AA62" s="16">
        <v>0.74</v>
      </c>
      <c r="AB62" s="16">
        <v>12.288578487267198</v>
      </c>
      <c r="AC62" s="16">
        <v>0</v>
      </c>
      <c r="AD62" s="16">
        <v>0</v>
      </c>
      <c r="AE62" s="16">
        <v>0</v>
      </c>
      <c r="AF62" s="16">
        <v>0</v>
      </c>
      <c r="AG62" s="16">
        <v>3.3333333333333335</v>
      </c>
      <c r="AH62" s="16">
        <v>96.666666666666671</v>
      </c>
      <c r="AI62" s="16">
        <v>0</v>
      </c>
      <c r="AJ62" s="16">
        <v>100</v>
      </c>
      <c r="AK62" s="16">
        <v>96.666666666666671</v>
      </c>
      <c r="AL62" s="16">
        <v>0.11545454545454546</v>
      </c>
      <c r="AM62" s="16">
        <v>0.28999999999999998</v>
      </c>
      <c r="AN62" s="16">
        <v>0.24090909090909091</v>
      </c>
      <c r="AO62" s="16">
        <v>0.19771428571428576</v>
      </c>
      <c r="AP62" s="16">
        <v>0.20315287947005517</v>
      </c>
      <c r="AQ62" s="16">
        <v>0.45</v>
      </c>
      <c r="AR62" s="16">
        <v>0.94</v>
      </c>
      <c r="AS62" s="16">
        <v>0.56999999999999995</v>
      </c>
      <c r="AT62" s="16">
        <v>0.94</v>
      </c>
      <c r="AU62" s="16">
        <v>33.333333333333329</v>
      </c>
      <c r="AV62" s="16">
        <v>0.45833333333333331</v>
      </c>
      <c r="AW62" s="16">
        <v>50</v>
      </c>
      <c r="AX62" s="16">
        <v>0</v>
      </c>
      <c r="AY62" s="16">
        <v>12.5</v>
      </c>
      <c r="AZ62" s="16">
        <v>20.833333333333336</v>
      </c>
      <c r="BA62" s="16">
        <v>45.833333333333329</v>
      </c>
      <c r="BB62" s="16">
        <v>1.5</v>
      </c>
      <c r="BC62" s="16">
        <v>50</v>
      </c>
      <c r="BD62" s="16">
        <v>0.125</v>
      </c>
      <c r="BE62" s="16">
        <v>0.25</v>
      </c>
      <c r="BF62" s="16">
        <v>0.375</v>
      </c>
      <c r="BG62" s="16">
        <v>0.25</v>
      </c>
      <c r="BH62" s="16">
        <v>0.58333333333333337</v>
      </c>
      <c r="BI62" s="16">
        <v>0.25</v>
      </c>
      <c r="BJ62" s="16">
        <v>1</v>
      </c>
      <c r="BK62" s="16">
        <v>0.5</v>
      </c>
      <c r="BL62" s="16">
        <v>0.58333333333333337</v>
      </c>
      <c r="BM62" s="16">
        <v>0.25</v>
      </c>
      <c r="BN62" s="16">
        <v>0</v>
      </c>
      <c r="BO62" s="16">
        <v>0.25</v>
      </c>
      <c r="BP62" s="16">
        <v>0.16666666666666666</v>
      </c>
      <c r="BQ62" s="16">
        <v>1.5</v>
      </c>
      <c r="BR62" s="16">
        <v>0</v>
      </c>
      <c r="BS62" s="16">
        <v>0.75</v>
      </c>
      <c r="BT62" s="16">
        <v>0.75</v>
      </c>
      <c r="BU62" s="16">
        <v>29.166666666666668</v>
      </c>
      <c r="BV62" s="16">
        <v>45.833333333333329</v>
      </c>
      <c r="BW62" s="16">
        <v>25</v>
      </c>
      <c r="BX62" s="16">
        <v>31.875</v>
      </c>
      <c r="BY62" s="16">
        <v>0.83333333333333337</v>
      </c>
      <c r="BZ62" s="16">
        <v>53.753753753753756</v>
      </c>
      <c r="CA62" s="16">
        <v>15.920835903714849</v>
      </c>
      <c r="CB62" s="16">
        <v>46.246246246246244</v>
      </c>
      <c r="CC62" s="16">
        <v>0</v>
      </c>
      <c r="CD62" s="16">
        <v>0</v>
      </c>
      <c r="CE62" s="16">
        <v>0</v>
      </c>
      <c r="CF62" s="16">
        <v>0</v>
      </c>
      <c r="CG62" s="16">
        <v>0</v>
      </c>
      <c r="CI62" t="str">
        <f t="shared" si="0"/>
        <v>/*56*/ 000  1 18 8.33 12.17 531 357 664 1552 0.657216494845361 3.8125 2.6875 2.7375 3.07916666666667 0.933427143318671 0.31 0.168181818181818 0.266666666666667 0.250571428571429 0.178060512799687 0.74 0.26 0.72 0.74 12.2885784872672 0 0 0 0 3.33333333333333 96.6666666666667 0 100 96.6666666666667 0.115454545454545 0.29 0.240909090909091 0.197714285714286 0.203152879470055 0.45 0.94 0.57 0.94 33.3333333333333 0.458333333333333 50 0 12.5 20.8333333333333 45.8333333333333 1.5 50 0.125 0.25 0.375 0.25 0.583333333333333 0.25 1 0.5 0.583333333333333 0.25 0 0.25 0.166666666666667 1.5 0 0.75 0.75 29.1666666666667 45.8333333333333 25 31.875 0.833333333333333 53.7537537537538 15.9208359037148 46.2462462462462 0 0 0 0 0;</v>
      </c>
    </row>
    <row r="63" spans="1:87" x14ac:dyDescent="0.25">
      <c r="A63" s="12">
        <v>57</v>
      </c>
      <c r="B63" s="12">
        <v>0</v>
      </c>
      <c r="C63" s="12">
        <v>0</v>
      </c>
      <c r="D63" s="12">
        <v>0</v>
      </c>
      <c r="E63" s="12">
        <v>1</v>
      </c>
      <c r="F63" s="16">
        <v>20</v>
      </c>
      <c r="G63" s="16">
        <v>8.6199999999999992</v>
      </c>
      <c r="H63" s="16">
        <v>9.92</v>
      </c>
      <c r="I63" s="16">
        <v>234</v>
      </c>
      <c r="J63" s="16">
        <v>234</v>
      </c>
      <c r="K63" s="16">
        <v>234</v>
      </c>
      <c r="L63" s="16">
        <v>702</v>
      </c>
      <c r="M63" s="16">
        <v>0</v>
      </c>
      <c r="N63" s="16">
        <v>1.5375000000000001</v>
      </c>
      <c r="O63" s="16">
        <v>1.5249999999999999</v>
      </c>
      <c r="P63" s="16">
        <v>1.125</v>
      </c>
      <c r="Q63" s="16">
        <v>1.3958333333333337</v>
      </c>
      <c r="R63" s="16">
        <v>0.32900266507003795</v>
      </c>
      <c r="S63" s="16">
        <v>0.25375000000000003</v>
      </c>
      <c r="T63" s="16">
        <v>0.26</v>
      </c>
      <c r="U63" s="16">
        <v>0.33624999999999999</v>
      </c>
      <c r="V63" s="16">
        <v>0.28333333333333338</v>
      </c>
      <c r="W63" s="16">
        <v>8.4424737085075099E-2</v>
      </c>
      <c r="X63" s="16">
        <v>0.36</v>
      </c>
      <c r="Y63" s="16">
        <v>0.4</v>
      </c>
      <c r="Z63" s="16">
        <v>0.46</v>
      </c>
      <c r="AA63" s="16">
        <v>0.46</v>
      </c>
      <c r="AB63" s="16">
        <v>4.9264705882352944</v>
      </c>
      <c r="AC63" s="16">
        <v>0</v>
      </c>
      <c r="AD63" s="16">
        <v>29.166666666666668</v>
      </c>
      <c r="AE63" s="16">
        <v>8.3333333333333321</v>
      </c>
      <c r="AF63" s="16">
        <v>37.5</v>
      </c>
      <c r="AG63" s="16">
        <v>12.5</v>
      </c>
      <c r="AH63" s="16">
        <v>50</v>
      </c>
      <c r="AI63" s="16">
        <v>0</v>
      </c>
      <c r="AJ63" s="16">
        <v>62.5</v>
      </c>
      <c r="AK63" s="16">
        <v>50</v>
      </c>
      <c r="AL63" s="16">
        <v>0.42124999999999996</v>
      </c>
      <c r="AM63" s="16">
        <v>0.43374999999999997</v>
      </c>
      <c r="AN63" s="16">
        <v>0.23374999999999999</v>
      </c>
      <c r="AO63" s="16">
        <v>0.36291666666666661</v>
      </c>
      <c r="AP63" s="16">
        <v>0.15894979154400951</v>
      </c>
      <c r="AQ63" s="16">
        <v>0.67</v>
      </c>
      <c r="AR63" s="16">
        <v>0.72</v>
      </c>
      <c r="AS63" s="16">
        <v>0.44</v>
      </c>
      <c r="AT63" s="16">
        <v>0.72</v>
      </c>
      <c r="AU63" s="16">
        <v>16.666666666666664</v>
      </c>
      <c r="AV63" s="16">
        <v>0.75</v>
      </c>
      <c r="AW63" s="16">
        <v>0</v>
      </c>
      <c r="AX63" s="16">
        <v>0</v>
      </c>
      <c r="AY63" s="16">
        <v>25</v>
      </c>
      <c r="AZ63" s="16">
        <v>8.3333333333333321</v>
      </c>
      <c r="BA63" s="16">
        <v>75</v>
      </c>
      <c r="BB63" s="16">
        <v>1</v>
      </c>
      <c r="BC63" s="16">
        <v>33.333333333333329</v>
      </c>
      <c r="BD63" s="16">
        <v>0</v>
      </c>
      <c r="BE63" s="16">
        <v>0</v>
      </c>
      <c r="BF63" s="16">
        <v>0</v>
      </c>
      <c r="BG63" s="16">
        <v>0</v>
      </c>
      <c r="BH63" s="16">
        <v>8.3333333333333329E-2</v>
      </c>
      <c r="BI63" s="16">
        <v>1</v>
      </c>
      <c r="BJ63" s="16">
        <v>2</v>
      </c>
      <c r="BK63" s="16">
        <v>1</v>
      </c>
      <c r="BL63" s="16">
        <v>1.3333333333333333</v>
      </c>
      <c r="BM63" s="16">
        <v>0</v>
      </c>
      <c r="BN63" s="16">
        <v>0</v>
      </c>
      <c r="BO63" s="16">
        <v>0</v>
      </c>
      <c r="BP63" s="16">
        <v>0</v>
      </c>
      <c r="BQ63" s="16">
        <v>0.25</v>
      </c>
      <c r="BR63" s="16">
        <v>0.25</v>
      </c>
      <c r="BS63" s="16">
        <v>0.5</v>
      </c>
      <c r="BT63" s="16">
        <v>0.33333333333333331</v>
      </c>
      <c r="BU63" s="16">
        <v>16.666666666666664</v>
      </c>
      <c r="BV63" s="16">
        <v>83.333333333333343</v>
      </c>
      <c r="BW63" s="16">
        <v>0</v>
      </c>
      <c r="BX63" s="16">
        <v>25.416666666666668</v>
      </c>
      <c r="BY63" s="16">
        <v>0.33333333333333331</v>
      </c>
      <c r="BZ63" s="16">
        <v>74.324324324324323</v>
      </c>
      <c r="CA63" s="16">
        <v>12.957974027952476</v>
      </c>
      <c r="CB63" s="16">
        <v>25.675675675675677</v>
      </c>
      <c r="CC63" s="16">
        <v>0</v>
      </c>
      <c r="CD63" s="16">
        <v>0</v>
      </c>
      <c r="CE63" s="16">
        <v>0</v>
      </c>
      <c r="CF63" s="16">
        <v>0</v>
      </c>
      <c r="CG63" s="16">
        <v>0</v>
      </c>
      <c r="CI63" t="str">
        <f t="shared" si="0"/>
        <v>/*57*/ 000  1 20 8.62 9.92 234 234 234 702 0 1.5375 1.525 1.125 1.39583333333333 0.329002665070038 0.25375 0.26 0.33625 0.283333333333333 8.44247370850751E-02 0.36 0.4 0.46 0.46 4.92647058823529 0 29.1666666666667 8.33333333333333 37.5 12.5 50 0 62.5 50 0.42125 0.43375 0.23375 0.362916666666667 0.15894979154401 0.67 0.72 0.44 0.72 16.6666666666667 0.75 0 0 25 8.33333333333333 75 1 33.3333333333333 0 0 0 0 8.33333333333333E-02 1 2 1 1.33333333333333 0 0 0 0 0.25 0.25 0.5 0.333333333333333 16.6666666666667 83.3333333333333 0 25.4166666666667 0.333333333333333 74.3243243243243 12.9579740279525 25.6756756756757 0 0 0 0 0;</v>
      </c>
    </row>
    <row r="64" spans="1:87" x14ac:dyDescent="0.25">
      <c r="A64" s="12">
        <v>65</v>
      </c>
      <c r="B64" s="12">
        <v>0</v>
      </c>
      <c r="C64" s="12">
        <v>0</v>
      </c>
      <c r="D64" s="12">
        <v>0</v>
      </c>
      <c r="E64" s="12">
        <v>1</v>
      </c>
      <c r="F64" s="16">
        <v>13.9</v>
      </c>
      <c r="G64" s="16">
        <v>8.73</v>
      </c>
      <c r="H64" s="16">
        <v>12.13</v>
      </c>
      <c r="I64" s="16">
        <v>692</v>
      </c>
      <c r="J64" s="16">
        <v>484</v>
      </c>
      <c r="K64" s="16">
        <v>418</v>
      </c>
      <c r="L64" s="16">
        <v>1594</v>
      </c>
      <c r="M64" s="16">
        <v>0.60225846925972393</v>
      </c>
      <c r="N64" s="16">
        <v>2</v>
      </c>
      <c r="O64" s="16">
        <v>1.7000000000000002</v>
      </c>
      <c r="P64" s="16">
        <v>1.6875</v>
      </c>
      <c r="Q64" s="16">
        <v>1.7958333333333334</v>
      </c>
      <c r="R64" s="16">
        <v>0.38839599544197451</v>
      </c>
      <c r="S64" s="16">
        <v>0.16833333333333336</v>
      </c>
      <c r="T64" s="16">
        <v>0.20333333333333337</v>
      </c>
      <c r="U64" s="16">
        <v>0.21166666666666667</v>
      </c>
      <c r="V64" s="16">
        <v>0.19444444444444453</v>
      </c>
      <c r="W64" s="16">
        <v>7.1331998207353933E-2</v>
      </c>
      <c r="X64" s="16">
        <v>0.3</v>
      </c>
      <c r="Y64" s="16">
        <v>0.3</v>
      </c>
      <c r="Z64" s="16">
        <v>0.32</v>
      </c>
      <c r="AA64" s="16">
        <v>0.32</v>
      </c>
      <c r="AB64" s="16">
        <v>9.2357142857142822</v>
      </c>
      <c r="AC64" s="16">
        <v>0</v>
      </c>
      <c r="AD64" s="16">
        <v>2.7777777777777777</v>
      </c>
      <c r="AE64" s="16">
        <v>0</v>
      </c>
      <c r="AF64" s="16">
        <v>2.7777777777777777</v>
      </c>
      <c r="AG64" s="16">
        <v>2.7777777777777777</v>
      </c>
      <c r="AH64" s="16">
        <v>94.444444444444443</v>
      </c>
      <c r="AI64" s="16">
        <v>0</v>
      </c>
      <c r="AJ64" s="16">
        <v>97.222222222222214</v>
      </c>
      <c r="AK64" s="16">
        <v>94.444444444444443</v>
      </c>
      <c r="AL64" s="16">
        <v>0.3741666666666667</v>
      </c>
      <c r="AM64" s="16">
        <v>0.34</v>
      </c>
      <c r="AN64" s="16">
        <v>0.29166666666666669</v>
      </c>
      <c r="AO64" s="16">
        <v>0.33527777777777773</v>
      </c>
      <c r="AP64" s="16">
        <v>0.2227039817606849</v>
      </c>
      <c r="AQ64" s="16">
        <v>0.75</v>
      </c>
      <c r="AR64" s="16">
        <v>0.8</v>
      </c>
      <c r="AS64" s="16">
        <v>0.88</v>
      </c>
      <c r="AT64" s="16">
        <v>0.88</v>
      </c>
      <c r="AU64" s="16">
        <v>37.5</v>
      </c>
      <c r="AV64" s="16">
        <v>0.58333333333333337</v>
      </c>
      <c r="AW64" s="16">
        <v>12.5</v>
      </c>
      <c r="AX64" s="16">
        <v>0</v>
      </c>
      <c r="AY64" s="16">
        <v>0</v>
      </c>
      <c r="AZ64" s="16">
        <v>4.1666666666666661</v>
      </c>
      <c r="BA64" s="16">
        <v>58.333333333333336</v>
      </c>
      <c r="BB64" s="16">
        <v>1.6</v>
      </c>
      <c r="BC64" s="16">
        <v>33.333333333333329</v>
      </c>
      <c r="BD64" s="16">
        <v>0</v>
      </c>
      <c r="BE64" s="16">
        <v>0</v>
      </c>
      <c r="BF64" s="16">
        <v>0</v>
      </c>
      <c r="BG64" s="16">
        <v>0</v>
      </c>
      <c r="BH64" s="16">
        <v>4.3478260869565216E-2</v>
      </c>
      <c r="BI64" s="16">
        <v>0.25</v>
      </c>
      <c r="BJ64" s="16">
        <v>0.25</v>
      </c>
      <c r="BK64" s="16">
        <v>0</v>
      </c>
      <c r="BL64" s="16">
        <v>0.18181818181818182</v>
      </c>
      <c r="BM64" s="16">
        <v>0</v>
      </c>
      <c r="BN64" s="16">
        <v>0</v>
      </c>
      <c r="BO64" s="16">
        <v>0.33333333333333331</v>
      </c>
      <c r="BP64" s="16">
        <v>9.0909090909090912E-2</v>
      </c>
      <c r="BQ64" s="16">
        <v>1.25</v>
      </c>
      <c r="BR64" s="16">
        <v>1.25</v>
      </c>
      <c r="BS64" s="16">
        <v>0</v>
      </c>
      <c r="BT64" s="16">
        <v>0.90909090909090906</v>
      </c>
      <c r="BU64" s="16">
        <v>0</v>
      </c>
      <c r="BV64" s="16">
        <v>83.333333333333343</v>
      </c>
      <c r="BW64" s="16">
        <v>16.666666666666664</v>
      </c>
      <c r="BX64" s="16">
        <v>41.458333333333336</v>
      </c>
      <c r="BY64" s="16">
        <v>1</v>
      </c>
      <c r="BZ64" s="16">
        <v>100</v>
      </c>
      <c r="CA64" s="16">
        <v>0</v>
      </c>
      <c r="CB64" s="16">
        <v>0</v>
      </c>
      <c r="CC64" s="16">
        <v>0</v>
      </c>
      <c r="CD64" s="16">
        <v>0</v>
      </c>
      <c r="CE64" s="16">
        <v>0</v>
      </c>
      <c r="CF64" s="16">
        <v>0</v>
      </c>
      <c r="CG64" s="16">
        <v>0</v>
      </c>
      <c r="CI64" t="str">
        <f t="shared" si="0"/>
        <v>/*65*/ 000  1 13.9 8.73 12.13 692 484 418 1594 0.602258469259724 2 1.7 1.6875 1.79583333333333 0.388395995441975 0.168333333333333 0.203333333333333 0.211666666666667 0.194444444444445 7.13319982073539E-02 0.3 0.3 0.32 0.32 9.23571428571428 0 2.77777777777778 0 2.77777777777778 2.77777777777778 94.4444444444444 0 97.2222222222222 94.4444444444444 0.374166666666667 0.34 0.291666666666667 0.335277777777778 0.222703981760685 0.75 0.8 0.88 0.88 37.5 0.583333333333333 12.5 0 0 4.16666666666667 58.3333333333333 1.6 33.3333333333333 0 0 0 0 4.34782608695652E-02 0.25 0.25 0 0.181818181818182 0 0 0.333333333333333 9.09090909090909E-02 1.25 1.25 0 0.909090909090909 0 83.3333333333333 16.6666666666667 41.4583333333333 1 100 0 0 0 0 0 0 0;</v>
      </c>
    </row>
    <row r="65" spans="1:87" x14ac:dyDescent="0.25">
      <c r="A65" s="12">
        <v>73</v>
      </c>
      <c r="B65" s="12">
        <v>0</v>
      </c>
      <c r="C65" s="12">
        <v>0</v>
      </c>
      <c r="D65" s="12">
        <v>0</v>
      </c>
      <c r="E65" s="12">
        <v>1</v>
      </c>
      <c r="F65" s="16">
        <v>14.9</v>
      </c>
      <c r="G65" s="16">
        <v>8.61</v>
      </c>
      <c r="H65" s="16">
        <v>12.52</v>
      </c>
      <c r="I65" s="16">
        <v>717</v>
      </c>
      <c r="J65" s="16">
        <v>717</v>
      </c>
      <c r="K65" s="16">
        <v>717</v>
      </c>
      <c r="L65" s="16">
        <v>2151</v>
      </c>
      <c r="M65" s="16">
        <v>5.5788005578800558E-2</v>
      </c>
      <c r="N65" s="16">
        <v>3.2250000000000001</v>
      </c>
      <c r="O65" s="16">
        <v>2.5750000000000002</v>
      </c>
      <c r="P65" s="16">
        <v>2.9499999999999997</v>
      </c>
      <c r="Q65" s="16">
        <v>2.9166666666666674</v>
      </c>
      <c r="R65" s="16">
        <v>0.58582284506247884</v>
      </c>
      <c r="S65" s="16">
        <v>0.47555555555555556</v>
      </c>
      <c r="T65" s="16">
        <v>0.38500000000000001</v>
      </c>
      <c r="U65" s="16">
        <v>0.45600000000000007</v>
      </c>
      <c r="V65" s="16">
        <v>0.44148148148148147</v>
      </c>
      <c r="W65" s="16">
        <v>0.12960602145626124</v>
      </c>
      <c r="X65" s="16">
        <v>0.68</v>
      </c>
      <c r="Y65" s="16">
        <v>0.64</v>
      </c>
      <c r="Z65" s="16">
        <v>0.66</v>
      </c>
      <c r="AA65" s="16">
        <v>0.68</v>
      </c>
      <c r="AB65" s="16">
        <v>6.606543624161076</v>
      </c>
      <c r="AC65" s="16">
        <v>0</v>
      </c>
      <c r="AD65" s="16">
        <v>29.629629629629626</v>
      </c>
      <c r="AE65" s="16">
        <v>0</v>
      </c>
      <c r="AF65" s="16">
        <v>29.629629629629626</v>
      </c>
      <c r="AG65" s="16">
        <v>11.111111111111111</v>
      </c>
      <c r="AH65" s="16">
        <v>59.259259259259252</v>
      </c>
      <c r="AI65" s="16">
        <v>0</v>
      </c>
      <c r="AJ65" s="16">
        <v>70.370370370370367</v>
      </c>
      <c r="AK65" s="16">
        <v>59.259259259259252</v>
      </c>
      <c r="AL65" s="16">
        <v>0.30777777777777771</v>
      </c>
      <c r="AM65" s="16">
        <v>0.65499999999999992</v>
      </c>
      <c r="AN65" s="16">
        <v>0.25700000000000001</v>
      </c>
      <c r="AO65" s="16">
        <v>0.39185185185185178</v>
      </c>
      <c r="AP65" s="16">
        <v>0.29929451711851995</v>
      </c>
      <c r="AQ65" s="16">
        <v>0.71</v>
      </c>
      <c r="AR65" s="16">
        <v>1.23</v>
      </c>
      <c r="AS65" s="16">
        <v>0.6</v>
      </c>
      <c r="AT65" s="16">
        <v>1.23</v>
      </c>
      <c r="AU65" s="16">
        <v>8.3333333333333321</v>
      </c>
      <c r="AV65" s="16">
        <v>0.90909090909090906</v>
      </c>
      <c r="AW65" s="16">
        <v>0</v>
      </c>
      <c r="AX65" s="16">
        <v>0</v>
      </c>
      <c r="AY65" s="16">
        <v>0</v>
      </c>
      <c r="AZ65" s="16">
        <v>0</v>
      </c>
      <c r="BA65" s="16">
        <v>83.333333333333343</v>
      </c>
      <c r="BB65" s="16">
        <v>1.3333333333333333</v>
      </c>
      <c r="BC65" s="16">
        <v>41.666666666666671</v>
      </c>
      <c r="BD65" s="16">
        <v>0</v>
      </c>
      <c r="BE65" s="16">
        <v>0.125</v>
      </c>
      <c r="BF65" s="16">
        <v>0</v>
      </c>
      <c r="BG65" s="16">
        <v>4.1666666666666664E-2</v>
      </c>
      <c r="BH65" s="16">
        <v>0.45833333333333331</v>
      </c>
      <c r="BI65" s="16">
        <v>0.5</v>
      </c>
      <c r="BJ65" s="16">
        <v>0.25</v>
      </c>
      <c r="BK65" s="16">
        <v>1</v>
      </c>
      <c r="BL65" s="16">
        <v>0.58333333333333337</v>
      </c>
      <c r="BM65" s="16">
        <v>0.25</v>
      </c>
      <c r="BN65" s="16">
        <v>0.75</v>
      </c>
      <c r="BO65" s="16">
        <v>0</v>
      </c>
      <c r="BP65" s="16">
        <v>0.33333333333333331</v>
      </c>
      <c r="BQ65" s="16">
        <v>1</v>
      </c>
      <c r="BR65" s="16">
        <v>0.75</v>
      </c>
      <c r="BS65" s="16">
        <v>1.75</v>
      </c>
      <c r="BT65" s="16">
        <v>1.1666666666666667</v>
      </c>
      <c r="BU65" s="16">
        <v>12.5</v>
      </c>
      <c r="BV65" s="16">
        <v>75</v>
      </c>
      <c r="BW65" s="16">
        <v>12.5</v>
      </c>
      <c r="BX65" s="16">
        <v>36.875</v>
      </c>
      <c r="BY65" s="16">
        <v>0.41666666666666669</v>
      </c>
      <c r="BZ65" s="16">
        <v>92.342342342342334</v>
      </c>
      <c r="CA65" s="16">
        <v>8.3212032929393214</v>
      </c>
      <c r="CB65" s="16">
        <v>7.6576576576576656</v>
      </c>
      <c r="CC65" s="16">
        <v>0</v>
      </c>
      <c r="CD65" s="16">
        <v>0</v>
      </c>
      <c r="CE65" s="16">
        <v>0</v>
      </c>
      <c r="CF65" s="16">
        <v>0</v>
      </c>
      <c r="CG65" s="16">
        <v>0</v>
      </c>
      <c r="CI65" t="str">
        <f t="shared" si="0"/>
        <v>/*73*/ 000  1 14.9 8.61 12.52 717 717 717 2151 5.57880055788006E-02 3.225 2.575 2.95 2.91666666666667 0.585822845062479 0.475555555555556 0.385 0.456 0.441481481481481 0.129606021456261 0.68 0.64 0.66 0.68 6.60654362416108 0 29.6296296296296 0 29.6296296296296 11.1111111111111 59.2592592592593 0 70.3703703703704 59.2592592592593 0.307777777777778 0.655 0.257 0.391851851851852 0.29929451711852 0.71 1.23 0.6 1.23 8.33333333333333 0.909090909090909 0 0 0 0 83.3333333333333 1.33333333333333 41.6666666666667 0 0.125 0 4.16666666666667E-02 0.458333333333333 0.5 0.25 1 0.583333333333333 0.25 0.75 0 0.333333333333333 1 0.75 1.75 1.16666666666667 12.5 75 12.5 36.875 0.416666666666667 92.3423423423423 8.32120329293932 7.65765765765767 0 0 0 0 0;</v>
      </c>
    </row>
    <row r="66" spans="1:87" x14ac:dyDescent="0.25">
      <c r="A66" s="12">
        <v>77</v>
      </c>
      <c r="B66" s="12">
        <v>0</v>
      </c>
      <c r="C66" s="12">
        <v>0</v>
      </c>
      <c r="D66" s="12">
        <v>0</v>
      </c>
      <c r="E66" s="12">
        <v>1</v>
      </c>
      <c r="F66" s="16">
        <v>21.2</v>
      </c>
      <c r="G66" s="16">
        <v>8.31</v>
      </c>
      <c r="H66" s="16">
        <v>11.61</v>
      </c>
      <c r="I66" s="16">
        <v>663</v>
      </c>
      <c r="J66" s="16">
        <v>412</v>
      </c>
      <c r="K66" s="16">
        <v>529</v>
      </c>
      <c r="L66" s="16">
        <v>1604</v>
      </c>
      <c r="M66" s="16">
        <v>0.14962593516209477</v>
      </c>
      <c r="N66" s="16">
        <v>2.5125000000000002</v>
      </c>
      <c r="O66" s="16">
        <v>3.3499999999999996</v>
      </c>
      <c r="P66" s="16">
        <v>2.65</v>
      </c>
      <c r="Q66" s="16">
        <v>2.8374999999999999</v>
      </c>
      <c r="R66" s="16">
        <v>0.93892283333430715</v>
      </c>
      <c r="S66" s="16">
        <v>0.31384615384615394</v>
      </c>
      <c r="T66" s="16">
        <v>0.39090909090909087</v>
      </c>
      <c r="U66" s="16">
        <v>0.21555555555555558</v>
      </c>
      <c r="V66" s="16">
        <v>0.31272727272727274</v>
      </c>
      <c r="W66" s="16">
        <v>0.13129815134058251</v>
      </c>
      <c r="X66" s="16">
        <v>0.4</v>
      </c>
      <c r="Y66" s="16">
        <v>0.62</v>
      </c>
      <c r="Z66" s="16">
        <v>0.38</v>
      </c>
      <c r="AA66" s="16">
        <v>0.62</v>
      </c>
      <c r="AB66" s="16">
        <v>9.073401162790697</v>
      </c>
      <c r="AC66" s="16">
        <v>3.225806451612903</v>
      </c>
      <c r="AD66" s="16">
        <v>3.225806451612903</v>
      </c>
      <c r="AE66" s="16">
        <v>0</v>
      </c>
      <c r="AF66" s="16">
        <v>6.4516129032258061</v>
      </c>
      <c r="AG66" s="16">
        <v>0</v>
      </c>
      <c r="AH66" s="16">
        <v>87.096774193548384</v>
      </c>
      <c r="AI66" s="16">
        <v>6.4516129032258061</v>
      </c>
      <c r="AJ66" s="16">
        <v>93.548387096774192</v>
      </c>
      <c r="AK66" s="16">
        <v>87.096774193548384</v>
      </c>
      <c r="AL66" s="16">
        <v>0.37916666666666665</v>
      </c>
      <c r="AM66" s="16">
        <v>0.28272727272727277</v>
      </c>
      <c r="AN66" s="16">
        <v>0.46111111111111103</v>
      </c>
      <c r="AO66" s="16">
        <v>0.36151515151515157</v>
      </c>
      <c r="AP66" s="16">
        <v>0.278670069393463</v>
      </c>
      <c r="AQ66" s="16">
        <v>0.86</v>
      </c>
      <c r="AR66" s="16">
        <v>1.1200000000000001</v>
      </c>
      <c r="AS66" s="16">
        <v>0.94</v>
      </c>
      <c r="AT66" s="16">
        <v>1.1200000000000001</v>
      </c>
      <c r="AU66" s="16">
        <v>45.833333333333329</v>
      </c>
      <c r="AV66" s="16">
        <v>0.34782608695652173</v>
      </c>
      <c r="AW66" s="16">
        <v>12.5</v>
      </c>
      <c r="AX66" s="16">
        <v>37.5</v>
      </c>
      <c r="AY66" s="16">
        <v>0</v>
      </c>
      <c r="AZ66" s="16">
        <v>16.666666666666664</v>
      </c>
      <c r="BA66" s="16">
        <v>45.833333333333329</v>
      </c>
      <c r="BB66" s="16">
        <v>0.91666666666666663</v>
      </c>
      <c r="BC66" s="16">
        <v>25</v>
      </c>
      <c r="BD66" s="16">
        <v>0.125</v>
      </c>
      <c r="BE66" s="16">
        <v>0</v>
      </c>
      <c r="BF66" s="16">
        <v>0</v>
      </c>
      <c r="BG66" s="16">
        <v>4.1666666666666664E-2</v>
      </c>
      <c r="BH66" s="16">
        <v>0.20833333333333334</v>
      </c>
      <c r="BI66" s="16">
        <v>0</v>
      </c>
      <c r="BJ66" s="16">
        <v>0</v>
      </c>
      <c r="BK66" s="16">
        <v>0</v>
      </c>
      <c r="BL66" s="16">
        <v>0</v>
      </c>
      <c r="BM66" s="16">
        <v>0</v>
      </c>
      <c r="BN66" s="16">
        <v>0</v>
      </c>
      <c r="BO66" s="16">
        <v>0.75</v>
      </c>
      <c r="BP66" s="16">
        <v>0.25</v>
      </c>
      <c r="BQ66" s="16">
        <v>0.75</v>
      </c>
      <c r="BR66" s="16">
        <v>1.75</v>
      </c>
      <c r="BS66" s="16">
        <v>0</v>
      </c>
      <c r="BT66" s="16">
        <v>0.83333333333333337</v>
      </c>
      <c r="BU66" s="16">
        <v>8.3333333333333321</v>
      </c>
      <c r="BV66" s="16">
        <v>62.5</v>
      </c>
      <c r="BW66" s="16">
        <v>29.166666666666668</v>
      </c>
      <c r="BX66" s="16">
        <v>48.75</v>
      </c>
      <c r="BY66" s="16">
        <v>0.5</v>
      </c>
      <c r="BZ66" s="16">
        <v>94.069069069069073</v>
      </c>
      <c r="CA66" s="16">
        <v>7.9384037418270692</v>
      </c>
      <c r="CB66" s="16">
        <v>5.930930930930927</v>
      </c>
      <c r="CC66" s="16">
        <v>0</v>
      </c>
      <c r="CD66" s="16">
        <v>0</v>
      </c>
      <c r="CE66" s="16">
        <v>0</v>
      </c>
      <c r="CF66" s="16">
        <v>0</v>
      </c>
      <c r="CG66" s="16">
        <v>0</v>
      </c>
      <c r="CI66" t="str">
        <f t="shared" si="0"/>
        <v>/*77*/ 000  1 21.2 8.31 11.61 663 412 529 1604 0.149625935162095 2.5125 3.35 2.65 2.8375 0.938922833334307 0.313846153846154 0.390909090909091 0.215555555555556 0.312727272727273 0.131298151340583 0.4 0.62 0.38 0.62 9.0734011627907 3.2258064516129 3.2258064516129 0 6.45161290322581 0 87.0967741935484 6.45161290322581 93.5483870967742 87.0967741935484 0.379166666666667 0.282727272727273 0.461111111111111 0.361515151515152 0.278670069393463 0.86 1.12 0.94 1.12 45.8333333333333 0.347826086956522 12.5 37.5 0 16.6666666666667 45.8333333333333 0.916666666666667 25 0.125 0 0 4.16666666666667E-02 0.208333333333333 0 0 0 0 0 0 0.75 0.25 0.75 1.75 0 0.833333333333333 8.33333333333333 62.5 29.1666666666667 48.75 0.5 94.0690690690691 7.93840374182707 5.93093093093093 0 0 0 0 0;</v>
      </c>
    </row>
    <row r="67" spans="1:87" x14ac:dyDescent="0.25">
      <c r="A67" s="12">
        <v>80</v>
      </c>
      <c r="B67" s="12">
        <v>0</v>
      </c>
      <c r="C67" s="12">
        <v>0</v>
      </c>
      <c r="D67" s="12">
        <v>0</v>
      </c>
      <c r="E67" s="12">
        <v>1</v>
      </c>
      <c r="F67" s="16">
        <v>18.3</v>
      </c>
      <c r="G67" s="16">
        <v>9.0299999999999994</v>
      </c>
      <c r="H67" s="16">
        <v>11.55</v>
      </c>
      <c r="I67" s="16">
        <v>570</v>
      </c>
      <c r="J67" s="16">
        <v>720</v>
      </c>
      <c r="K67" s="16">
        <v>392</v>
      </c>
      <c r="L67" s="16">
        <v>1682</v>
      </c>
      <c r="M67" s="16">
        <v>0</v>
      </c>
      <c r="N67" s="16">
        <v>4.0375000000000005</v>
      </c>
      <c r="O67" s="16">
        <v>3.2124999999999995</v>
      </c>
      <c r="P67" s="16">
        <v>2.8250000000000002</v>
      </c>
      <c r="Q67" s="16">
        <v>3.3583333333333329</v>
      </c>
      <c r="R67" s="16">
        <v>1.2863553727207506</v>
      </c>
      <c r="S67" s="16">
        <v>0.22363636363636363</v>
      </c>
      <c r="T67" s="16">
        <v>0.22272727272727275</v>
      </c>
      <c r="U67" s="16">
        <v>0.18666666666666665</v>
      </c>
      <c r="V67" s="16">
        <v>0.21029411764705883</v>
      </c>
      <c r="W67" s="16">
        <v>0.14044270467946246</v>
      </c>
      <c r="X67" s="16">
        <v>0.54</v>
      </c>
      <c r="Y67" s="16">
        <v>0.5</v>
      </c>
      <c r="Z67" s="16">
        <v>0.4</v>
      </c>
      <c r="AA67" s="16">
        <v>0.54</v>
      </c>
      <c r="AB67" s="16">
        <v>15.969696969696967</v>
      </c>
      <c r="AC67" s="16">
        <v>0</v>
      </c>
      <c r="AD67" s="16">
        <v>32.352941176470587</v>
      </c>
      <c r="AE67" s="16">
        <v>0</v>
      </c>
      <c r="AF67" s="16">
        <v>32.352941176470587</v>
      </c>
      <c r="AG67" s="16">
        <v>2.9411764705882351</v>
      </c>
      <c r="AH67" s="16">
        <v>64.705882352941174</v>
      </c>
      <c r="AI67" s="16">
        <v>0</v>
      </c>
      <c r="AJ67" s="16">
        <v>67.647058823529406</v>
      </c>
      <c r="AK67" s="16">
        <v>64.705882352941174</v>
      </c>
      <c r="AL67" s="16">
        <v>0.14899999999999999</v>
      </c>
      <c r="AM67" s="16">
        <v>8.6999999999999994E-2</v>
      </c>
      <c r="AN67" s="16">
        <v>0.13636363636363635</v>
      </c>
      <c r="AO67" s="16">
        <v>0.12</v>
      </c>
      <c r="AP67" s="16">
        <v>0.1162807469928368</v>
      </c>
      <c r="AQ67" s="16">
        <v>0.47</v>
      </c>
      <c r="AR67" s="16">
        <v>0.27</v>
      </c>
      <c r="AS67" s="16">
        <v>0.26</v>
      </c>
      <c r="AT67" s="16">
        <v>0.47</v>
      </c>
      <c r="AU67" s="16">
        <v>16.666666666666664</v>
      </c>
      <c r="AV67" s="16">
        <v>0.29166666666666669</v>
      </c>
      <c r="AW67" s="16">
        <v>62.5</v>
      </c>
      <c r="AX67" s="16">
        <v>62.5</v>
      </c>
      <c r="AY67" s="16">
        <v>37.5</v>
      </c>
      <c r="AZ67" s="16">
        <v>54.166666666666664</v>
      </c>
      <c r="BA67" s="16">
        <v>45.833333333333329</v>
      </c>
      <c r="BB67" s="16">
        <v>0.58333333333333337</v>
      </c>
      <c r="BC67" s="16">
        <v>16.666666666666664</v>
      </c>
      <c r="BD67" s="16">
        <v>0.625</v>
      </c>
      <c r="BE67" s="16">
        <v>0.75</v>
      </c>
      <c r="BF67" s="16">
        <v>0.125</v>
      </c>
      <c r="BG67" s="16">
        <v>0.5</v>
      </c>
      <c r="BH67" s="16">
        <v>0.95833333333333337</v>
      </c>
      <c r="BI67" s="16">
        <v>0.5</v>
      </c>
      <c r="BJ67" s="16">
        <v>0.25</v>
      </c>
      <c r="BK67" s="16">
        <v>0.25</v>
      </c>
      <c r="BL67" s="16">
        <v>0.33333333333333331</v>
      </c>
      <c r="BM67" s="16">
        <v>1.5</v>
      </c>
      <c r="BN67" s="16">
        <v>1</v>
      </c>
      <c r="BO67" s="16">
        <v>1</v>
      </c>
      <c r="BP67" s="16">
        <v>1.1666666666666667</v>
      </c>
      <c r="BQ67" s="16">
        <v>1.5</v>
      </c>
      <c r="BR67" s="16">
        <v>2</v>
      </c>
      <c r="BS67" s="16">
        <v>0.5</v>
      </c>
      <c r="BT67" s="16">
        <v>1.3333333333333333</v>
      </c>
      <c r="BU67" s="16">
        <v>37.5</v>
      </c>
      <c r="BV67" s="16">
        <v>41.666666666666671</v>
      </c>
      <c r="BW67" s="16">
        <v>20.833333333333336</v>
      </c>
      <c r="BX67" s="16">
        <v>32.291666666666664</v>
      </c>
      <c r="BY67" s="16">
        <v>0.66666666666666663</v>
      </c>
      <c r="BZ67" s="16">
        <v>9.7774244833068362</v>
      </c>
      <c r="CA67" s="16">
        <v>8.2020496547097554</v>
      </c>
      <c r="CB67" s="16">
        <v>90.222575516693169</v>
      </c>
      <c r="CC67" s="16">
        <v>0</v>
      </c>
      <c r="CD67" s="16">
        <v>0</v>
      </c>
      <c r="CE67" s="16">
        <v>0</v>
      </c>
      <c r="CF67" s="16">
        <v>0</v>
      </c>
      <c r="CG67" s="16">
        <v>0</v>
      </c>
      <c r="CI67" t="str">
        <f t="shared" si="0"/>
        <v>/*80*/ 000  1 18.3 9.03 11.55 570 720 392 1682 0 4.0375 3.2125 2.825 3.35833333333333 1.28635537272075 0.223636363636364 0.222727272727273 0.186666666666667 0.210294117647059 0.140442704679462 0.54 0.5 0.4 0.54 15.969696969697 0 32.3529411764706 0 32.3529411764706 2.94117647058824 64.7058823529412 0 67.6470588235294 64.7058823529412 0.149 0.087 0.136363636363636 0.12 0.116280746992837 0.47 0.27 0.26 0.47 16.6666666666667 0.291666666666667 62.5 62.5 37.5 54.1666666666667 45.8333333333333 0.583333333333333 16.6666666666667 0.625 0.75 0.125 0.5 0.958333333333333 0.5 0.25 0.25 0.333333333333333 1.5 1 1 1.16666666666667 1.5 2 0.5 1.33333333333333 37.5 41.6666666666667 20.8333333333333 32.2916666666667 0.666666666666667 9.77742448330684 8.20204965470976 90.2225755166932 0 0 0 0 0;</v>
      </c>
    </row>
    <row r="68" spans="1:87" x14ac:dyDescent="0.25">
      <c r="A68" s="12">
        <v>82</v>
      </c>
      <c r="B68" s="12">
        <v>0</v>
      </c>
      <c r="C68" s="12">
        <v>0</v>
      </c>
      <c r="D68" s="12">
        <v>0</v>
      </c>
      <c r="E68" s="12">
        <v>1</v>
      </c>
      <c r="F68" s="16">
        <v>17.899999999999999</v>
      </c>
      <c r="G68" s="16">
        <v>8.2100000000000009</v>
      </c>
      <c r="H68" s="16">
        <v>12.86</v>
      </c>
      <c r="I68" s="16">
        <v>630</v>
      </c>
      <c r="J68" s="16">
        <v>515</v>
      </c>
      <c r="K68" s="16">
        <v>818</v>
      </c>
      <c r="L68" s="16">
        <v>1963</v>
      </c>
      <c r="M68" s="16">
        <v>1.7116658176260824</v>
      </c>
      <c r="N68" s="16">
        <v>3.6124999999999998</v>
      </c>
      <c r="O68" s="16">
        <v>3.9624999999999999</v>
      </c>
      <c r="P68" s="16">
        <v>3.9250000000000003</v>
      </c>
      <c r="Q68" s="16">
        <v>3.8333333333333335</v>
      </c>
      <c r="R68" s="16">
        <v>1.051155334016757</v>
      </c>
      <c r="S68" s="16">
        <v>0.44687500000000008</v>
      </c>
      <c r="T68" s="16">
        <v>0.2207142857142857</v>
      </c>
      <c r="U68" s="16">
        <v>0.22785714285714284</v>
      </c>
      <c r="V68" s="16">
        <v>0.30522727272727268</v>
      </c>
      <c r="W68" s="16">
        <v>0.22443198209644241</v>
      </c>
      <c r="X68" s="16">
        <v>1.08</v>
      </c>
      <c r="Y68" s="16">
        <v>0.62</v>
      </c>
      <c r="Z68" s="16">
        <v>0.44</v>
      </c>
      <c r="AA68" s="16">
        <v>1.08</v>
      </c>
      <c r="AB68" s="16">
        <v>12.558947629684788</v>
      </c>
      <c r="AC68" s="16">
        <v>0</v>
      </c>
      <c r="AD68" s="16">
        <v>4.5454545454545459</v>
      </c>
      <c r="AE68" s="16">
        <v>2.2727272727272729</v>
      </c>
      <c r="AF68" s="16">
        <v>6.8181818181818183</v>
      </c>
      <c r="AG68" s="16">
        <v>0</v>
      </c>
      <c r="AH68" s="16">
        <v>93.181818181818173</v>
      </c>
      <c r="AI68" s="16">
        <v>0</v>
      </c>
      <c r="AJ68" s="16">
        <v>93.181818181818173</v>
      </c>
      <c r="AK68" s="16">
        <v>93.181818181818173</v>
      </c>
      <c r="AL68" s="16">
        <v>0.17799999999999999</v>
      </c>
      <c r="AM68" s="16">
        <v>0.30615384615384617</v>
      </c>
      <c r="AN68" s="16">
        <v>0.23538461538461541</v>
      </c>
      <c r="AO68" s="16">
        <v>0.23227272727272724</v>
      </c>
      <c r="AP68" s="16">
        <v>0.22567587001863557</v>
      </c>
      <c r="AQ68" s="16">
        <v>0.89</v>
      </c>
      <c r="AR68" s="16">
        <v>0.78</v>
      </c>
      <c r="AS68" s="16">
        <v>0.63</v>
      </c>
      <c r="AT68" s="16">
        <v>0.89</v>
      </c>
      <c r="AU68" s="16">
        <v>41.666666666666671</v>
      </c>
      <c r="AV68" s="16">
        <v>0.29166666666666669</v>
      </c>
      <c r="AW68" s="16">
        <v>62.5</v>
      </c>
      <c r="AX68" s="16">
        <v>12.5</v>
      </c>
      <c r="AY68" s="16">
        <v>12.5</v>
      </c>
      <c r="AZ68" s="16">
        <v>29.166666666666668</v>
      </c>
      <c r="BA68" s="16">
        <v>41.666666666666671</v>
      </c>
      <c r="BB68" s="16">
        <v>1</v>
      </c>
      <c r="BC68" s="16">
        <v>25</v>
      </c>
      <c r="BD68" s="16">
        <v>0.25</v>
      </c>
      <c r="BE68" s="16">
        <v>0</v>
      </c>
      <c r="BF68" s="16">
        <v>0</v>
      </c>
      <c r="BG68" s="16">
        <v>8.3333333333333329E-2</v>
      </c>
      <c r="BH68" s="16">
        <v>0.54166666666666663</v>
      </c>
      <c r="BI68" s="16">
        <v>0.75</v>
      </c>
      <c r="BJ68" s="16">
        <v>0.25</v>
      </c>
      <c r="BK68" s="16">
        <v>0</v>
      </c>
      <c r="BL68" s="16">
        <v>0.33333333333333331</v>
      </c>
      <c r="BM68" s="16">
        <v>0</v>
      </c>
      <c r="BN68" s="16">
        <v>0.25</v>
      </c>
      <c r="BO68" s="16">
        <v>1</v>
      </c>
      <c r="BP68" s="16">
        <v>0.41666666666666669</v>
      </c>
      <c r="BQ68" s="16">
        <v>2</v>
      </c>
      <c r="BR68" s="16">
        <v>1</v>
      </c>
      <c r="BS68" s="16">
        <v>0.75</v>
      </c>
      <c r="BT68" s="16">
        <v>1.25</v>
      </c>
      <c r="BU68" s="16">
        <v>54.166666666666664</v>
      </c>
      <c r="BV68" s="16">
        <v>29.166666666666668</v>
      </c>
      <c r="BW68" s="16">
        <v>16.666666666666664</v>
      </c>
      <c r="BX68" s="16">
        <v>24.875</v>
      </c>
      <c r="BY68" s="16">
        <v>0.20833333333333334</v>
      </c>
      <c r="BZ68" s="16">
        <v>33.38632750397457</v>
      </c>
      <c r="CA68" s="16">
        <v>12.389835406105052</v>
      </c>
      <c r="CB68" s="16">
        <v>66.61367249602543</v>
      </c>
      <c r="CC68" s="16">
        <v>0</v>
      </c>
      <c r="CD68" s="16">
        <v>0</v>
      </c>
      <c r="CE68" s="16">
        <v>0</v>
      </c>
      <c r="CF68" s="16">
        <v>0</v>
      </c>
      <c r="CG68" s="16">
        <v>0</v>
      </c>
      <c r="CI68" t="str">
        <f t="shared" ref="CI68:CI90" si="1">CONCATENATE("/*",A68,"*/ ",B68,C68,D68," "," 1 ")&amp;ConcatRange(F68:CG68," ")&amp;";"</f>
        <v>/*82*/ 000  1 17.9 8.21 12.86 630 515 818 1963 1.71166581762608 3.6125 3.9625 3.925 3.83333333333333 1.05115533401676 0.446875 0.220714285714286 0.227857142857143 0.305227272727273 0.224431982096442 1.08 0.62 0.44 1.08 12.5589476296848 0 4.54545454545455 2.27272727272727 6.81818181818182 0 93.1818181818182 0 93.1818181818182 93.1818181818182 0.178 0.306153846153846 0.235384615384615 0.232272727272727 0.225675870018636 0.89 0.78 0.63 0.89 41.6666666666667 0.291666666666667 62.5 12.5 12.5 29.1666666666667 41.6666666666667 1 25 0.25 0 0 8.33333333333333E-02 0.541666666666667 0.75 0.25 0 0.333333333333333 0 0.25 1 0.416666666666667 2 1 0.75 1.25 54.1666666666667 29.1666666666667 16.6666666666667 24.875 0.208333333333333 33.3863275039746 12.3898354061051 66.6136724960254 0 0 0 0 0;</v>
      </c>
    </row>
    <row r="69" spans="1:87" x14ac:dyDescent="0.25">
      <c r="A69" s="12">
        <v>101</v>
      </c>
      <c r="B69" s="12">
        <v>0</v>
      </c>
      <c r="C69" s="12">
        <v>0</v>
      </c>
      <c r="D69" s="12">
        <v>0</v>
      </c>
      <c r="E69" s="12">
        <v>1</v>
      </c>
      <c r="F69" s="16">
        <v>17.7</v>
      </c>
      <c r="G69" s="16">
        <v>7.86</v>
      </c>
      <c r="H69" s="16">
        <v>12.59</v>
      </c>
      <c r="I69" s="16">
        <v>232</v>
      </c>
      <c r="J69" s="16">
        <v>278</v>
      </c>
      <c r="K69" s="16">
        <v>393</v>
      </c>
      <c r="L69" s="16">
        <v>903</v>
      </c>
      <c r="M69" s="16">
        <v>0</v>
      </c>
      <c r="N69" s="16">
        <v>2</v>
      </c>
      <c r="O69" s="16">
        <v>2.1625000000000001</v>
      </c>
      <c r="P69" s="16">
        <v>2.1250000000000004</v>
      </c>
      <c r="Q69" s="16">
        <v>2.0958333333333337</v>
      </c>
      <c r="R69" s="16">
        <v>0.57368311709564779</v>
      </c>
      <c r="S69" s="16">
        <v>0.12444444444444445</v>
      </c>
      <c r="T69" s="16">
        <v>0.2218181818181818</v>
      </c>
      <c r="U69" s="16">
        <v>0.20666666666666669</v>
      </c>
      <c r="V69" s="16">
        <v>0.18689655172413794</v>
      </c>
      <c r="W69" s="16">
        <v>0.11035991276196074</v>
      </c>
      <c r="X69" s="16">
        <v>0.24</v>
      </c>
      <c r="Y69" s="16">
        <v>0.38</v>
      </c>
      <c r="Z69" s="16">
        <v>0.42</v>
      </c>
      <c r="AA69" s="16">
        <v>0.42</v>
      </c>
      <c r="AB69" s="16">
        <v>11.213868388683888</v>
      </c>
      <c r="AC69" s="16">
        <v>6.8965517241379306</v>
      </c>
      <c r="AD69" s="16">
        <v>3.4482758620689653</v>
      </c>
      <c r="AE69" s="16">
        <v>10.344827586206897</v>
      </c>
      <c r="AF69" s="16">
        <v>20.689655172413794</v>
      </c>
      <c r="AG69" s="16">
        <v>13.793103448275861</v>
      </c>
      <c r="AH69" s="16">
        <v>65.517241379310349</v>
      </c>
      <c r="AI69" s="16">
        <v>0</v>
      </c>
      <c r="AJ69" s="16">
        <v>79.310344827586206</v>
      </c>
      <c r="AK69" s="16">
        <v>65.517241379310349</v>
      </c>
      <c r="AL69" s="16">
        <v>0.22750000000000004</v>
      </c>
      <c r="AM69" s="16">
        <v>0.10909090909090911</v>
      </c>
      <c r="AN69" s="16">
        <v>0.14777777777777776</v>
      </c>
      <c r="AO69" s="16">
        <v>0.15586206896551721</v>
      </c>
      <c r="AP69" s="16">
        <v>0.14363936093512886</v>
      </c>
      <c r="AQ69" s="16">
        <v>0.44</v>
      </c>
      <c r="AR69" s="16">
        <v>0.52</v>
      </c>
      <c r="AS69" s="16">
        <v>0.41</v>
      </c>
      <c r="AT69" s="16">
        <v>0.52</v>
      </c>
      <c r="AU69" s="16">
        <v>33.333333333333329</v>
      </c>
      <c r="AV69" s="16">
        <v>0.33333333333333331</v>
      </c>
      <c r="AW69" s="16">
        <v>0</v>
      </c>
      <c r="AX69" s="16">
        <v>50</v>
      </c>
      <c r="AY69" s="16">
        <v>50</v>
      </c>
      <c r="AZ69" s="16">
        <v>33.333333333333329</v>
      </c>
      <c r="BA69" s="16">
        <v>33.333333333333329</v>
      </c>
      <c r="BB69" s="16">
        <v>1.5833333333333333</v>
      </c>
      <c r="BC69" s="16">
        <v>58.333333333333336</v>
      </c>
      <c r="BD69" s="16">
        <v>0</v>
      </c>
      <c r="BE69" s="16">
        <v>0</v>
      </c>
      <c r="BF69" s="16">
        <v>0</v>
      </c>
      <c r="BG69" s="16">
        <v>0</v>
      </c>
      <c r="BH69" s="16">
        <v>0.16666666666666666</v>
      </c>
      <c r="BI69" s="16">
        <v>0</v>
      </c>
      <c r="BJ69" s="16">
        <v>0</v>
      </c>
      <c r="BK69" s="16">
        <v>0.25</v>
      </c>
      <c r="BL69" s="16">
        <v>8.3333333333333329E-2</v>
      </c>
      <c r="BM69" s="16">
        <v>0</v>
      </c>
      <c r="BN69" s="16">
        <v>0</v>
      </c>
      <c r="BO69" s="16">
        <v>0.25</v>
      </c>
      <c r="BP69" s="16">
        <v>8.3333333333333329E-2</v>
      </c>
      <c r="BQ69" s="16">
        <v>0</v>
      </c>
      <c r="BR69" s="16">
        <v>1</v>
      </c>
      <c r="BS69" s="16">
        <v>1.25</v>
      </c>
      <c r="BT69" s="16">
        <v>0.75</v>
      </c>
      <c r="BU69" s="16">
        <v>12.5</v>
      </c>
      <c r="BV69" s="16">
        <v>62.5</v>
      </c>
      <c r="BW69" s="16">
        <v>25</v>
      </c>
      <c r="BX69" s="16">
        <v>36.875</v>
      </c>
      <c r="BY69" s="16">
        <v>1.3913043478260869</v>
      </c>
      <c r="BZ69" s="16">
        <v>98.198198198198199</v>
      </c>
      <c r="CA69" s="16">
        <v>1.6143297699232979</v>
      </c>
      <c r="CB69" s="16">
        <v>1.8018018018018012</v>
      </c>
      <c r="CC69" s="16">
        <v>0</v>
      </c>
      <c r="CD69" s="16">
        <v>0</v>
      </c>
      <c r="CE69" s="16">
        <v>0</v>
      </c>
      <c r="CF69" s="16">
        <v>0</v>
      </c>
      <c r="CG69" s="16">
        <v>0</v>
      </c>
      <c r="CI69" t="str">
        <f t="shared" si="1"/>
        <v>/*101*/ 000  1 17.7 7.86 12.59 232 278 393 903 0 2 2.1625 2.125 2.09583333333333 0.573683117095648 0.124444444444444 0.221818181818182 0.206666666666667 0.186896551724138 0.110359912761961 0.24 0.38 0.42 0.42 11.2138683886839 6.89655172413793 3.44827586206897 10.3448275862069 20.6896551724138 13.7931034482759 65.5172413793103 0 79.3103448275862 65.5172413793103 0.2275 0.109090909090909 0.147777777777778 0.155862068965517 0.143639360935129 0.44 0.52 0.41 0.52 33.3333333333333 0.333333333333333 0 50 50 33.3333333333333 33.3333333333333 1.58333333333333 58.3333333333333 0 0 0 0 0.166666666666667 0 0 0.25 8.33333333333333E-02 0 0 0.25 8.33333333333333E-02 0 1 1.25 0.75 12.5 62.5 25 36.875 1.39130434782609 98.1981981981982 1.6143297699233 1.8018018018018 0 0 0 0 0;</v>
      </c>
    </row>
    <row r="70" spans="1:87" x14ac:dyDescent="0.25">
      <c r="A70" s="12">
        <v>103</v>
      </c>
      <c r="B70" s="12">
        <v>1</v>
      </c>
      <c r="C70" s="12">
        <v>1</v>
      </c>
      <c r="D70" s="12">
        <v>1</v>
      </c>
      <c r="E70" s="12">
        <v>1</v>
      </c>
      <c r="F70" s="16">
        <v>15.6</v>
      </c>
      <c r="G70" s="16">
        <v>8.1199999999999992</v>
      </c>
      <c r="H70" s="16">
        <v>10.89</v>
      </c>
      <c r="I70" s="16">
        <v>838</v>
      </c>
      <c r="J70" s="16">
        <v>621</v>
      </c>
      <c r="K70" s="16">
        <v>377</v>
      </c>
      <c r="L70" s="16">
        <v>1836</v>
      </c>
      <c r="M70" s="16">
        <v>0.16339869281045752</v>
      </c>
      <c r="N70" s="16">
        <v>2.4750000000000001</v>
      </c>
      <c r="O70" s="16">
        <v>2.625</v>
      </c>
      <c r="P70" s="16">
        <v>2.7250000000000001</v>
      </c>
      <c r="Q70" s="16">
        <v>2.6083333333333329</v>
      </c>
      <c r="R70" s="16">
        <v>0.82615751033568574</v>
      </c>
      <c r="S70" s="16">
        <v>0.14000000000000001</v>
      </c>
      <c r="T70" s="16">
        <v>0.21000000000000005</v>
      </c>
      <c r="U70" s="16">
        <v>0.12333333333333335</v>
      </c>
      <c r="V70" s="16">
        <v>0.15777777777777777</v>
      </c>
      <c r="W70" s="16">
        <v>0.11551403405427442</v>
      </c>
      <c r="X70" s="16">
        <v>0.28000000000000003</v>
      </c>
      <c r="Y70" s="16">
        <v>0.52</v>
      </c>
      <c r="Z70" s="16">
        <v>0.26</v>
      </c>
      <c r="AA70" s="16">
        <v>0.52</v>
      </c>
      <c r="AB70" s="16">
        <v>16.531690140845068</v>
      </c>
      <c r="AC70" s="16">
        <v>0</v>
      </c>
      <c r="AD70" s="16">
        <v>5.5555555555555554</v>
      </c>
      <c r="AE70" s="16">
        <v>8.3333333333333321</v>
      </c>
      <c r="AF70" s="16">
        <v>13.888888888888888</v>
      </c>
      <c r="AG70" s="16">
        <v>5.5555555555555554</v>
      </c>
      <c r="AH70" s="16">
        <v>80.555555555555557</v>
      </c>
      <c r="AI70" s="16">
        <v>0</v>
      </c>
      <c r="AJ70" s="16">
        <v>86.111111111111114</v>
      </c>
      <c r="AK70" s="16">
        <v>80.555555555555557</v>
      </c>
      <c r="AL70" s="16">
        <v>0.28750000000000003</v>
      </c>
      <c r="AM70" s="16">
        <v>0.23333333333333336</v>
      </c>
      <c r="AN70" s="16">
        <v>0.16583333333333333</v>
      </c>
      <c r="AO70" s="16">
        <v>0.22888888888888895</v>
      </c>
      <c r="AP70" s="16">
        <v>0.23089611489372411</v>
      </c>
      <c r="AQ70" s="16">
        <v>1.04</v>
      </c>
      <c r="AR70" s="16">
        <v>0.52</v>
      </c>
      <c r="AS70" s="16">
        <v>0.53</v>
      </c>
      <c r="AT70" s="16">
        <v>1.04</v>
      </c>
      <c r="AU70" s="16">
        <v>33.333333333333329</v>
      </c>
      <c r="AV70" s="16">
        <v>0.43478260869565216</v>
      </c>
      <c r="AW70" s="16">
        <v>25</v>
      </c>
      <c r="AX70" s="16">
        <v>37.5</v>
      </c>
      <c r="AY70" s="16">
        <v>0</v>
      </c>
      <c r="AZ70" s="16">
        <v>20.833333333333336</v>
      </c>
      <c r="BA70" s="16">
        <v>41.666666666666671</v>
      </c>
      <c r="BB70" s="16">
        <v>1</v>
      </c>
      <c r="BC70" s="16">
        <v>25</v>
      </c>
      <c r="BD70" s="16">
        <v>0.375</v>
      </c>
      <c r="BE70" s="16">
        <v>0.75</v>
      </c>
      <c r="BF70" s="16">
        <v>0</v>
      </c>
      <c r="BG70" s="16">
        <v>0.375</v>
      </c>
      <c r="BH70" s="16">
        <v>1</v>
      </c>
      <c r="BI70" s="16">
        <v>0.25</v>
      </c>
      <c r="BJ70" s="16">
        <v>0.75</v>
      </c>
      <c r="BK70" s="16">
        <v>0</v>
      </c>
      <c r="BL70" s="16">
        <v>0.33333333333333331</v>
      </c>
      <c r="BM70" s="16">
        <v>0.5</v>
      </c>
      <c r="BN70" s="16">
        <v>0.75</v>
      </c>
      <c r="BO70" s="16">
        <v>0.25</v>
      </c>
      <c r="BP70" s="16">
        <v>0.5</v>
      </c>
      <c r="BQ70" s="16">
        <v>0.5</v>
      </c>
      <c r="BR70" s="16">
        <v>1.25</v>
      </c>
      <c r="BS70" s="16">
        <v>0.25</v>
      </c>
      <c r="BT70" s="16">
        <v>0.66666666666666663</v>
      </c>
      <c r="BU70" s="16">
        <v>41.666666666666671</v>
      </c>
      <c r="BV70" s="16">
        <v>45.833333333333329</v>
      </c>
      <c r="BW70" s="16">
        <v>12.5</v>
      </c>
      <c r="BX70" s="16">
        <v>25.833333333333332</v>
      </c>
      <c r="BY70" s="16">
        <v>0.5</v>
      </c>
      <c r="BZ70" s="16">
        <v>24.662162162162161</v>
      </c>
      <c r="CA70" s="16">
        <v>13.727180477831846</v>
      </c>
      <c r="CB70" s="16">
        <v>75.337837837837839</v>
      </c>
      <c r="CC70" s="16">
        <v>0</v>
      </c>
      <c r="CD70" s="16">
        <v>0</v>
      </c>
      <c r="CE70" s="16">
        <v>0</v>
      </c>
      <c r="CF70" s="16">
        <v>0</v>
      </c>
      <c r="CG70" s="16">
        <v>0</v>
      </c>
      <c r="CI70" t="str">
        <f t="shared" si="1"/>
        <v>/*103*/ 111  1 15.6 8.12 10.89 838 621 377 1836 0.163398692810458 2.475 2.625 2.725 2.60833333333333 0.826157510335686 0.14 0.21 0.123333333333333 0.157777777777778 0.115514034054274 0.28 0.52 0.26 0.52 16.5316901408451 0 5.55555555555556 8.33333333333333 13.8888888888889 5.55555555555556 80.5555555555556 0 86.1111111111111 80.5555555555556 0.2875 0.233333333333333 0.165833333333333 0.228888888888889 0.230896114893724 1.04 0.52 0.53 1.04 33.3333333333333 0.434782608695652 25 37.5 0 20.8333333333333 41.6666666666667 1 25 0.375 0.75 0 0.375 1 0.25 0.75 0 0.333333333333333 0.5 0.75 0.25 0.5 0.5 1.25 0.25 0.666666666666667 41.6666666666667 45.8333333333333 12.5 25.8333333333333 0.5 24.6621621621622 13.7271804778318 75.3378378378378 0 0 0 0 0;</v>
      </c>
    </row>
    <row r="71" spans="1:87" x14ac:dyDescent="0.25">
      <c r="A71" s="12">
        <v>105</v>
      </c>
      <c r="B71" s="12">
        <v>0</v>
      </c>
      <c r="C71" s="12">
        <v>0</v>
      </c>
      <c r="D71" s="12">
        <v>0</v>
      </c>
      <c r="E71" s="12">
        <v>1</v>
      </c>
      <c r="F71" s="16">
        <v>12.7</v>
      </c>
      <c r="G71" s="16">
        <v>8.24</v>
      </c>
      <c r="H71" s="16">
        <v>12.28</v>
      </c>
      <c r="I71" s="16">
        <v>641</v>
      </c>
      <c r="J71" s="16">
        <v>422</v>
      </c>
      <c r="K71" s="16">
        <v>212</v>
      </c>
      <c r="L71" s="16">
        <v>1275</v>
      </c>
      <c r="M71" s="16">
        <v>0</v>
      </c>
      <c r="N71" s="16">
        <v>2.6625000000000001</v>
      </c>
      <c r="O71" s="16">
        <v>2.3624999999999998</v>
      </c>
      <c r="P71" s="16">
        <v>2.5999999999999996</v>
      </c>
      <c r="Q71" s="16">
        <v>2.5416666666666665</v>
      </c>
      <c r="R71" s="16">
        <v>0.67817957520990313</v>
      </c>
      <c r="S71" s="16">
        <v>0.11833333333333335</v>
      </c>
      <c r="T71" s="16">
        <v>0.14000000000000001</v>
      </c>
      <c r="U71" s="16">
        <v>0.10249999999999999</v>
      </c>
      <c r="V71" s="16">
        <v>0.11971428571428573</v>
      </c>
      <c r="W71" s="16">
        <v>5.8535344490502877E-2</v>
      </c>
      <c r="X71" s="16">
        <v>0.26</v>
      </c>
      <c r="Y71" s="16">
        <v>0.3</v>
      </c>
      <c r="Z71" s="16">
        <v>0.22</v>
      </c>
      <c r="AA71" s="16">
        <v>0.3</v>
      </c>
      <c r="AB71" s="16">
        <v>21.231105807478119</v>
      </c>
      <c r="AC71" s="16">
        <v>0</v>
      </c>
      <c r="AD71" s="16">
        <v>0</v>
      </c>
      <c r="AE71" s="16">
        <v>0</v>
      </c>
      <c r="AF71" s="16">
        <v>0</v>
      </c>
      <c r="AG71" s="16">
        <v>0</v>
      </c>
      <c r="AH71" s="16">
        <v>100</v>
      </c>
      <c r="AI71" s="16">
        <v>0</v>
      </c>
      <c r="AJ71" s="16">
        <v>100</v>
      </c>
      <c r="AK71" s="16">
        <v>100</v>
      </c>
      <c r="AL71" s="16">
        <v>0.36166666666666664</v>
      </c>
      <c r="AM71" s="16">
        <v>0.27181818181818185</v>
      </c>
      <c r="AN71" s="16">
        <v>0.27416666666666667</v>
      </c>
      <c r="AO71" s="16">
        <v>0.30342857142857138</v>
      </c>
      <c r="AP71" s="16">
        <v>0.19380012227797488</v>
      </c>
      <c r="AQ71" s="16">
        <v>0.7</v>
      </c>
      <c r="AR71" s="16">
        <v>0.75</v>
      </c>
      <c r="AS71" s="16">
        <v>0.52</v>
      </c>
      <c r="AT71" s="16">
        <v>0.75</v>
      </c>
      <c r="AU71" s="16">
        <v>66.666666666666657</v>
      </c>
      <c r="AV71" s="16">
        <v>0.33333333333333331</v>
      </c>
      <c r="AW71" s="16">
        <v>0</v>
      </c>
      <c r="AX71" s="16">
        <v>0</v>
      </c>
      <c r="AY71" s="16">
        <v>0</v>
      </c>
      <c r="AZ71" s="16">
        <v>0</v>
      </c>
      <c r="BA71" s="16">
        <v>66.666666666666657</v>
      </c>
      <c r="BB71" s="16">
        <v>1.1666666666666667</v>
      </c>
      <c r="BC71" s="16">
        <v>16.666666666666664</v>
      </c>
      <c r="BD71" s="16">
        <v>0.125</v>
      </c>
      <c r="BE71" s="16">
        <v>0</v>
      </c>
      <c r="BF71" s="16">
        <v>0</v>
      </c>
      <c r="BG71" s="16">
        <v>4.1666666666666664E-2</v>
      </c>
      <c r="BH71" s="16">
        <v>4.1666666666666664E-2</v>
      </c>
      <c r="BI71" s="16">
        <v>0</v>
      </c>
      <c r="BJ71" s="16">
        <v>0.25</v>
      </c>
      <c r="BK71" s="16">
        <v>0</v>
      </c>
      <c r="BL71" s="16">
        <v>8.3333333333333329E-2</v>
      </c>
      <c r="BM71" s="16">
        <v>0</v>
      </c>
      <c r="BN71" s="16">
        <v>0</v>
      </c>
      <c r="BO71" s="16">
        <v>1</v>
      </c>
      <c r="BP71" s="16">
        <v>0.33333333333333331</v>
      </c>
      <c r="BQ71" s="16">
        <v>0</v>
      </c>
      <c r="BR71" s="16">
        <v>1</v>
      </c>
      <c r="BS71" s="16">
        <v>0</v>
      </c>
      <c r="BT71" s="16">
        <v>0.33333333333333331</v>
      </c>
      <c r="BU71" s="16">
        <v>33.333333333333329</v>
      </c>
      <c r="BV71" s="16">
        <v>58.333333333333336</v>
      </c>
      <c r="BW71" s="16">
        <v>8.3333333333333321</v>
      </c>
      <c r="BX71" s="16">
        <v>24.791666666666668</v>
      </c>
      <c r="BY71" s="16">
        <v>0</v>
      </c>
      <c r="BZ71" s="16">
        <v>23.501762632197416</v>
      </c>
      <c r="CA71" s="16">
        <v>9.3099886857108061</v>
      </c>
      <c r="CB71" s="16">
        <v>76.498237367802588</v>
      </c>
      <c r="CC71" s="16">
        <v>0</v>
      </c>
      <c r="CD71" s="16">
        <v>0</v>
      </c>
      <c r="CE71" s="16">
        <v>0</v>
      </c>
      <c r="CF71" s="16">
        <v>0</v>
      </c>
      <c r="CG71" s="16">
        <v>0</v>
      </c>
      <c r="CI71" t="str">
        <f t="shared" si="1"/>
        <v>/*105*/ 000  1 12.7 8.24 12.28 641 422 212 1275 0 2.6625 2.3625 2.6 2.54166666666667 0.678179575209903 0.118333333333333 0.14 0.1025 0.119714285714286 5.85353444905029E-02 0.26 0.3 0.22 0.3 21.2311058074781 0 0 0 0 0 100 0 100 100 0.361666666666667 0.271818181818182 0.274166666666667 0.303428571428571 0.193800122277975 0.7 0.75 0.52 0.75 66.6666666666667 0.333333333333333 0 0 0 0 66.6666666666667 1.16666666666667 16.6666666666667 0.125 0 0 4.16666666666667E-02 4.16666666666667E-02 0 0.25 0 8.33333333333333E-02 0 0 1 0.333333333333333 0 1 0 0.333333333333333 33.3333333333333 58.3333333333333 8.33333333333333 24.7916666666667 0 23.5017626321974 9.30998868571081 76.4982373678026 0 0 0 0 0;</v>
      </c>
    </row>
    <row r="72" spans="1:87" x14ac:dyDescent="0.25">
      <c r="A72" s="12">
        <v>113</v>
      </c>
      <c r="B72" s="12">
        <v>0</v>
      </c>
      <c r="C72" s="12">
        <v>0</v>
      </c>
      <c r="D72" s="12">
        <v>0</v>
      </c>
      <c r="E72" s="12">
        <v>1</v>
      </c>
      <c r="F72" s="16">
        <v>19.600000000000001</v>
      </c>
      <c r="G72" s="16">
        <v>8.76</v>
      </c>
      <c r="H72" s="16">
        <v>10.48</v>
      </c>
      <c r="I72" s="16">
        <v>164</v>
      </c>
      <c r="J72" s="16">
        <v>101</v>
      </c>
      <c r="K72" s="16">
        <v>148</v>
      </c>
      <c r="L72" s="16">
        <v>413</v>
      </c>
      <c r="M72" s="16">
        <v>0</v>
      </c>
      <c r="N72" s="16">
        <v>1.1875</v>
      </c>
      <c r="O72" s="16">
        <v>1.3875000000000002</v>
      </c>
      <c r="P72" s="16">
        <v>1.4124999999999999</v>
      </c>
      <c r="Q72" s="16">
        <v>1.3291666666666668</v>
      </c>
      <c r="R72" s="16">
        <v>0.21564698743178751</v>
      </c>
      <c r="S72" s="16">
        <v>0.13500000000000001</v>
      </c>
      <c r="T72" s="16">
        <v>0.11555555555555556</v>
      </c>
      <c r="U72" s="16">
        <v>0.23125000000000001</v>
      </c>
      <c r="V72" s="16">
        <v>0.15880000000000005</v>
      </c>
      <c r="W72" s="16">
        <v>0.13207699774500223</v>
      </c>
      <c r="X72" s="16">
        <v>0.18</v>
      </c>
      <c r="Y72" s="16">
        <v>0.18</v>
      </c>
      <c r="Z72" s="16">
        <v>0.77</v>
      </c>
      <c r="AA72" s="16">
        <v>0.77</v>
      </c>
      <c r="AB72" s="16">
        <v>8.3700671704450027</v>
      </c>
      <c r="AC72" s="16">
        <v>0</v>
      </c>
      <c r="AD72" s="16">
        <v>24</v>
      </c>
      <c r="AE72" s="16">
        <v>0</v>
      </c>
      <c r="AF72" s="16">
        <v>24</v>
      </c>
      <c r="AG72" s="16">
        <v>20</v>
      </c>
      <c r="AH72" s="16">
        <v>56.000000000000007</v>
      </c>
      <c r="AI72" s="16">
        <v>0</v>
      </c>
      <c r="AJ72" s="16">
        <v>76</v>
      </c>
      <c r="AK72" s="16">
        <v>56.000000000000007</v>
      </c>
      <c r="AL72" s="16">
        <v>0.34875</v>
      </c>
      <c r="AM72" s="16">
        <v>0.29777777777777781</v>
      </c>
      <c r="AN72" s="16">
        <v>0.31</v>
      </c>
      <c r="AO72" s="16">
        <v>0.31799999999999995</v>
      </c>
      <c r="AP72" s="16">
        <v>0.12760616495034002</v>
      </c>
      <c r="AQ72" s="16">
        <v>0.42</v>
      </c>
      <c r="AR72" s="16">
        <v>0.75</v>
      </c>
      <c r="AS72" s="16">
        <v>0.42</v>
      </c>
      <c r="AT72" s="16">
        <v>0.75</v>
      </c>
      <c r="AU72" s="16">
        <v>25</v>
      </c>
      <c r="AV72" s="16">
        <v>0.75</v>
      </c>
      <c r="AW72" s="16">
        <v>0</v>
      </c>
      <c r="AX72" s="16">
        <v>0</v>
      </c>
      <c r="AY72" s="16">
        <v>0</v>
      </c>
      <c r="AZ72" s="16">
        <v>0</v>
      </c>
      <c r="BA72" s="16">
        <v>75</v>
      </c>
      <c r="BB72" s="16">
        <v>0.83333333333333337</v>
      </c>
      <c r="BC72" s="16">
        <v>16.666666666666664</v>
      </c>
      <c r="BD72" s="16">
        <v>0.125</v>
      </c>
      <c r="BE72" s="16">
        <v>1.125</v>
      </c>
      <c r="BF72" s="16">
        <v>0.75</v>
      </c>
      <c r="BG72" s="16">
        <v>0.66666666666666663</v>
      </c>
      <c r="BH72" s="16">
        <v>1.3333333333333333</v>
      </c>
      <c r="BI72" s="16">
        <v>0</v>
      </c>
      <c r="BJ72" s="16">
        <v>0</v>
      </c>
      <c r="BK72" s="16">
        <v>0</v>
      </c>
      <c r="BL72" s="16">
        <v>0</v>
      </c>
      <c r="BM72" s="16">
        <v>0</v>
      </c>
      <c r="BN72" s="16">
        <v>0</v>
      </c>
      <c r="BO72" s="16">
        <v>0</v>
      </c>
      <c r="BP72" s="16">
        <v>0</v>
      </c>
      <c r="BQ72" s="16">
        <v>0</v>
      </c>
      <c r="BR72" s="16">
        <v>0</v>
      </c>
      <c r="BS72" s="16">
        <v>0.25</v>
      </c>
      <c r="BT72" s="16">
        <v>8.3333333333333329E-2</v>
      </c>
      <c r="BU72" s="16">
        <v>4.1666666666666661</v>
      </c>
      <c r="BV72" s="16">
        <v>58.333333333333336</v>
      </c>
      <c r="BW72" s="16">
        <v>37.5</v>
      </c>
      <c r="BX72" s="16">
        <v>45.208333333333336</v>
      </c>
      <c r="BY72" s="16">
        <v>1.6666666666666667</v>
      </c>
      <c r="BZ72" s="16">
        <v>1.8018018018018018</v>
      </c>
      <c r="CA72" s="16">
        <v>2.3094010767585029</v>
      </c>
      <c r="CB72" s="16">
        <v>98.198198198198199</v>
      </c>
      <c r="CC72" s="16">
        <v>0</v>
      </c>
      <c r="CD72" s="16">
        <v>0</v>
      </c>
      <c r="CE72" s="16">
        <v>0</v>
      </c>
      <c r="CF72" s="16">
        <v>0</v>
      </c>
      <c r="CG72" s="16">
        <v>0</v>
      </c>
      <c r="CI72" t="str">
        <f t="shared" si="1"/>
        <v>/*113*/ 000  1 19.6 8.76 10.48 164 101 148 413 0 1.1875 1.3875 1.4125 1.32916666666667 0.215646987431788 0.135 0.115555555555556 0.23125 0.1588 0.132076997745002 0.18 0.18 0.77 0.77 8.370067170445 0 24 0 24 20 56 0 76 56 0.34875 0.297777777777778 0.31 0.318 0.12760616495034 0.42 0.75 0.42 0.75 25 0.75 0 0 0 0 75 0.833333333333333 16.6666666666667 0.125 1.125 0.75 0.666666666666667 1.33333333333333 0 0 0 0 0 0 0 0 0 0 0.25 8.33333333333333E-02 4.16666666666667 58.3333333333333 37.5 45.2083333333333 1.66666666666667 1.8018018018018 2.3094010767585 98.1981981981982 0 0 0 0 0;</v>
      </c>
    </row>
    <row r="73" spans="1:87" x14ac:dyDescent="0.25">
      <c r="A73" s="12">
        <v>119</v>
      </c>
      <c r="B73" s="12">
        <v>0</v>
      </c>
      <c r="C73" s="12">
        <v>0</v>
      </c>
      <c r="D73" s="12">
        <v>0</v>
      </c>
      <c r="E73" s="12">
        <v>1</v>
      </c>
      <c r="F73" s="16">
        <v>19</v>
      </c>
      <c r="G73" s="16">
        <v>8.23</v>
      </c>
      <c r="H73" s="16">
        <v>13.17</v>
      </c>
      <c r="I73" s="16">
        <v>799</v>
      </c>
      <c r="J73" s="16">
        <v>548</v>
      </c>
      <c r="K73" s="16">
        <v>490</v>
      </c>
      <c r="L73" s="16">
        <v>1837</v>
      </c>
      <c r="M73" s="16">
        <v>0</v>
      </c>
      <c r="N73" s="16">
        <v>2.6375000000000002</v>
      </c>
      <c r="O73" s="16">
        <v>3.3625000000000003</v>
      </c>
      <c r="P73" s="16">
        <v>2.8875000000000002</v>
      </c>
      <c r="Q73" s="16">
        <v>2.9624999999999999</v>
      </c>
      <c r="R73" s="16">
        <v>1.3887161728357784</v>
      </c>
      <c r="S73" s="16">
        <v>0.42399999999999999</v>
      </c>
      <c r="T73" s="16">
        <v>0.32437500000000002</v>
      </c>
      <c r="U73" s="16">
        <v>0.32187499999999997</v>
      </c>
      <c r="V73" s="16">
        <v>0.35531914893617028</v>
      </c>
      <c r="W73" s="16">
        <v>0.11507749872283193</v>
      </c>
      <c r="X73" s="16">
        <v>0.56000000000000005</v>
      </c>
      <c r="Y73" s="16">
        <v>0.5</v>
      </c>
      <c r="Z73" s="16">
        <v>0.54</v>
      </c>
      <c r="AA73" s="16">
        <v>0.56000000000000005</v>
      </c>
      <c r="AB73" s="16">
        <v>8.3375748502993989</v>
      </c>
      <c r="AC73" s="16">
        <v>0</v>
      </c>
      <c r="AD73" s="16">
        <v>65.957446808510639</v>
      </c>
      <c r="AE73" s="16">
        <v>25.531914893617021</v>
      </c>
      <c r="AF73" s="16">
        <v>91.489361702127667</v>
      </c>
      <c r="AG73" s="16">
        <v>2.1276595744680851</v>
      </c>
      <c r="AH73" s="16">
        <v>6.3829787234042552</v>
      </c>
      <c r="AI73" s="16">
        <v>0</v>
      </c>
      <c r="AJ73" s="16">
        <v>8.5106382978723403</v>
      </c>
      <c r="AK73" s="16">
        <v>65.957446808510639</v>
      </c>
      <c r="AL73" s="16">
        <v>0.16857142857142859</v>
      </c>
      <c r="AM73" s="16">
        <v>0.21733333333333335</v>
      </c>
      <c r="AN73" s="16">
        <v>0.17466666666666666</v>
      </c>
      <c r="AO73" s="16">
        <v>0.18723404255319145</v>
      </c>
      <c r="AP73" s="16">
        <v>0.11011263260584346</v>
      </c>
      <c r="AQ73" s="16">
        <v>0.39</v>
      </c>
      <c r="AR73" s="16">
        <v>0.4</v>
      </c>
      <c r="AS73" s="16">
        <v>0.43</v>
      </c>
      <c r="AT73" s="16">
        <v>0.43</v>
      </c>
      <c r="AU73" s="16">
        <v>8.3333333333333321</v>
      </c>
      <c r="AV73" s="16">
        <v>0.70833333333333337</v>
      </c>
      <c r="AW73" s="16">
        <v>0</v>
      </c>
      <c r="AX73" s="16">
        <v>37.5</v>
      </c>
      <c r="AY73" s="16">
        <v>25</v>
      </c>
      <c r="AZ73" s="16">
        <v>20.833333333333336</v>
      </c>
      <c r="BA73" s="16">
        <v>70.833333333333343</v>
      </c>
      <c r="BB73" s="16">
        <v>0.33333333333333331</v>
      </c>
      <c r="BC73" s="16">
        <v>8.3333333333333321</v>
      </c>
      <c r="BD73" s="16">
        <v>0</v>
      </c>
      <c r="BE73" s="16">
        <v>0</v>
      </c>
      <c r="BF73" s="16">
        <v>0.25</v>
      </c>
      <c r="BG73" s="16">
        <v>8.3333333333333329E-2</v>
      </c>
      <c r="BH73" s="16">
        <v>8.3333333333333329E-2</v>
      </c>
      <c r="BI73" s="16">
        <v>1.75</v>
      </c>
      <c r="BJ73" s="16">
        <v>1.75</v>
      </c>
      <c r="BK73" s="16">
        <v>1.5</v>
      </c>
      <c r="BL73" s="16">
        <v>1.6666666666666667</v>
      </c>
      <c r="BM73" s="16">
        <v>0.25</v>
      </c>
      <c r="BN73" s="16">
        <v>0</v>
      </c>
      <c r="BO73" s="16">
        <v>0</v>
      </c>
      <c r="BP73" s="16">
        <v>8.3333333333333329E-2</v>
      </c>
      <c r="BQ73" s="16">
        <v>0.75</v>
      </c>
      <c r="BR73" s="16">
        <v>1.75</v>
      </c>
      <c r="BS73" s="16">
        <v>1.5</v>
      </c>
      <c r="BT73" s="16">
        <v>1.3333333333333333</v>
      </c>
      <c r="BU73" s="16">
        <v>0</v>
      </c>
      <c r="BV73" s="16">
        <v>100</v>
      </c>
      <c r="BW73" s="16">
        <v>0</v>
      </c>
      <c r="BX73" s="16">
        <v>35.208333333333336</v>
      </c>
      <c r="BY73" s="16">
        <v>0.83333333333333337</v>
      </c>
      <c r="BZ73" s="16">
        <v>99.699699699699693</v>
      </c>
      <c r="CA73" s="16">
        <v>0.46462136829144618</v>
      </c>
      <c r="CB73" s="16">
        <v>0.3003003003003073</v>
      </c>
      <c r="CC73" s="16">
        <v>0</v>
      </c>
      <c r="CD73" s="16">
        <v>0</v>
      </c>
      <c r="CE73" s="16">
        <v>0</v>
      </c>
      <c r="CF73" s="16">
        <v>0</v>
      </c>
      <c r="CG73" s="16">
        <v>0</v>
      </c>
      <c r="CI73" t="str">
        <f t="shared" si="1"/>
        <v>/*119*/ 000  1 19 8.23 13.17 799 548 490 1837 0 2.6375 3.3625 2.8875 2.9625 1.38871617283578 0.424 0.324375 0.321875 0.35531914893617 0.115077498722832 0.56 0.5 0.54 0.56 8.3375748502994 0 65.9574468085106 25.531914893617 91.4893617021277 2.12765957446809 6.38297872340426 0 8.51063829787234 65.9574468085106 0.168571428571429 0.217333333333333 0.174666666666667 0.187234042553191 0.110112632605843 0.39 0.4 0.43 0.43 8.33333333333333 0.708333333333333 0 37.5 25 20.8333333333333 70.8333333333333 0.333333333333333 8.33333333333333 0 0 0.25 8.33333333333333E-02 8.33333333333333E-02 1.75 1.75 1.5 1.66666666666667 0.25 0 0 8.33333333333333E-02 0.75 1.75 1.5 1.33333333333333 0 100 0 35.2083333333333 0.833333333333333 99.6996996996997 0.464621368291446 0.300300300300307 0 0 0 0 0;</v>
      </c>
    </row>
    <row r="74" spans="1:87" x14ac:dyDescent="0.25">
      <c r="A74" s="12">
        <v>120</v>
      </c>
      <c r="B74" s="12">
        <v>0</v>
      </c>
      <c r="C74" s="12">
        <v>0</v>
      </c>
      <c r="D74" s="12">
        <v>0</v>
      </c>
      <c r="E74" s="12">
        <v>1</v>
      </c>
      <c r="F74" s="16">
        <v>14.2</v>
      </c>
      <c r="G74" s="16">
        <v>7.92</v>
      </c>
      <c r="H74" s="16">
        <v>11.5</v>
      </c>
      <c r="I74" s="16">
        <v>1290</v>
      </c>
      <c r="J74" s="16">
        <v>984</v>
      </c>
      <c r="K74" s="16">
        <v>855</v>
      </c>
      <c r="L74" s="16">
        <v>3129</v>
      </c>
      <c r="M74" s="16">
        <v>0.84372003835091081</v>
      </c>
      <c r="N74" s="16">
        <v>5.4</v>
      </c>
      <c r="O74" s="16">
        <v>4.1375000000000002</v>
      </c>
      <c r="P74" s="16">
        <v>3.9999999999999996</v>
      </c>
      <c r="Q74" s="16">
        <v>4.5125000000000002</v>
      </c>
      <c r="R74" s="16">
        <v>1.3482073443941254</v>
      </c>
      <c r="S74" s="16">
        <v>0.26357142857142857</v>
      </c>
      <c r="T74" s="16">
        <v>0.24933333333333335</v>
      </c>
      <c r="U74" s="16">
        <v>0.19133333333333333</v>
      </c>
      <c r="V74" s="16">
        <v>0.23409090909090907</v>
      </c>
      <c r="W74" s="16">
        <v>0.13411758433203805</v>
      </c>
      <c r="X74" s="16">
        <v>0.57999999999999996</v>
      </c>
      <c r="Y74" s="16">
        <v>0.44</v>
      </c>
      <c r="Z74" s="16">
        <v>0.54</v>
      </c>
      <c r="AA74" s="16">
        <v>0.57999999999999996</v>
      </c>
      <c r="AB74" s="16">
        <v>19.276699029126217</v>
      </c>
      <c r="AC74" s="16">
        <v>2.2727272727272729</v>
      </c>
      <c r="AD74" s="16">
        <v>18.181818181818183</v>
      </c>
      <c r="AE74" s="16">
        <v>29.545454545454547</v>
      </c>
      <c r="AF74" s="16">
        <v>50</v>
      </c>
      <c r="AG74" s="16">
        <v>2.2727272727272729</v>
      </c>
      <c r="AH74" s="16">
        <v>47.727272727272727</v>
      </c>
      <c r="AI74" s="16">
        <v>0</v>
      </c>
      <c r="AJ74" s="16">
        <v>50</v>
      </c>
      <c r="AK74" s="16">
        <v>47.727272727272727</v>
      </c>
      <c r="AL74" s="16">
        <v>0.11769230769230769</v>
      </c>
      <c r="AM74" s="16">
        <v>0.23500000000000001</v>
      </c>
      <c r="AN74" s="16">
        <v>0.24071428571428574</v>
      </c>
      <c r="AO74" s="16">
        <v>0.20272727272727276</v>
      </c>
      <c r="AP74" s="16">
        <v>0.19151007789820107</v>
      </c>
      <c r="AQ74" s="16">
        <v>0.28000000000000003</v>
      </c>
      <c r="AR74" s="16">
        <v>0.69</v>
      </c>
      <c r="AS74" s="16">
        <v>0.66</v>
      </c>
      <c r="AT74" s="16">
        <v>0.69</v>
      </c>
      <c r="AU74" s="16">
        <v>25</v>
      </c>
      <c r="AV74" s="16">
        <v>0.5</v>
      </c>
      <c r="AW74" s="16">
        <v>25</v>
      </c>
      <c r="AX74" s="16">
        <v>25</v>
      </c>
      <c r="AY74" s="16">
        <v>25</v>
      </c>
      <c r="AZ74" s="16">
        <v>25</v>
      </c>
      <c r="BA74" s="16">
        <v>50</v>
      </c>
      <c r="BB74" s="16">
        <v>1.25</v>
      </c>
      <c r="BC74" s="16">
        <v>41.666666666666671</v>
      </c>
      <c r="BD74" s="16">
        <v>1.25</v>
      </c>
      <c r="BE74" s="16">
        <v>0.75</v>
      </c>
      <c r="BF74" s="16">
        <v>0.25</v>
      </c>
      <c r="BG74" s="16">
        <v>0.75</v>
      </c>
      <c r="BH74" s="16">
        <v>1.25</v>
      </c>
      <c r="BI74" s="16">
        <v>0.5</v>
      </c>
      <c r="BJ74" s="16">
        <v>1.25</v>
      </c>
      <c r="BK74" s="16">
        <v>0.25</v>
      </c>
      <c r="BL74" s="16">
        <v>0.66666666666666663</v>
      </c>
      <c r="BM74" s="16">
        <v>0</v>
      </c>
      <c r="BN74" s="16">
        <v>0.25</v>
      </c>
      <c r="BO74" s="16">
        <v>0.25</v>
      </c>
      <c r="BP74" s="16">
        <v>0.16666666666666666</v>
      </c>
      <c r="BQ74" s="16">
        <v>1.75</v>
      </c>
      <c r="BR74" s="16">
        <v>1.25</v>
      </c>
      <c r="BS74" s="16">
        <v>1</v>
      </c>
      <c r="BT74" s="16">
        <v>1.3333333333333333</v>
      </c>
      <c r="BU74" s="16">
        <v>25</v>
      </c>
      <c r="BV74" s="16">
        <v>75</v>
      </c>
      <c r="BW74" s="16">
        <v>0</v>
      </c>
      <c r="BX74" s="16">
        <v>30.833333333333332</v>
      </c>
      <c r="BY74" s="16">
        <v>1.2083333333333333</v>
      </c>
      <c r="BZ74" s="16">
        <v>36.561561561561561</v>
      </c>
      <c r="CA74" s="16">
        <v>15.738008788754716</v>
      </c>
      <c r="CB74" s="16">
        <v>63.438438438438439</v>
      </c>
      <c r="CC74" s="16">
        <v>0</v>
      </c>
      <c r="CD74" s="16">
        <v>0</v>
      </c>
      <c r="CE74" s="16">
        <v>0</v>
      </c>
      <c r="CF74" s="16">
        <v>0</v>
      </c>
      <c r="CG74" s="16">
        <v>0</v>
      </c>
      <c r="CI74" t="str">
        <f t="shared" si="1"/>
        <v>/*120*/ 000  1 14.2 7.92 11.5 1290 984 855 3129 0.843720038350911 5.4 4.1375 4 4.5125 1.34820734439413 0.263571428571429 0.249333333333333 0.191333333333333 0.234090909090909 0.134117584332038 0.58 0.44 0.54 0.58 19.2766990291262 2.27272727272727 18.1818181818182 29.5454545454545 50 2.27272727272727 47.7272727272727 0 50 47.7272727272727 0.117692307692308 0.235 0.240714285714286 0.202727272727273 0.191510077898201 0.28 0.69 0.66 0.69 25 0.5 25 25 25 25 50 1.25 41.6666666666667 1.25 0.75 0.25 0.75 1.25 0.5 1.25 0.25 0.666666666666667 0 0.25 0.25 0.166666666666667 1.75 1.25 1 1.33333333333333 25 75 0 30.8333333333333 1.20833333333333 36.5615615615616 15.7380087887547 63.4384384384384 0 0 0 0 0;</v>
      </c>
    </row>
    <row r="75" spans="1:87" x14ac:dyDescent="0.25">
      <c r="A75" s="12">
        <v>129</v>
      </c>
      <c r="B75" s="12">
        <v>0</v>
      </c>
      <c r="C75" s="12">
        <v>0</v>
      </c>
      <c r="D75" s="12">
        <v>0</v>
      </c>
      <c r="E75" s="12">
        <v>1</v>
      </c>
      <c r="F75" s="16">
        <v>16.899999999999999</v>
      </c>
      <c r="G75" s="16">
        <v>7.59</v>
      </c>
      <c r="H75" s="16">
        <v>10.25</v>
      </c>
      <c r="I75" s="16">
        <v>436</v>
      </c>
      <c r="J75" s="16">
        <v>407</v>
      </c>
      <c r="K75" s="16">
        <v>348</v>
      </c>
      <c r="L75" s="16">
        <v>1191</v>
      </c>
      <c r="M75" s="16">
        <v>0</v>
      </c>
      <c r="N75" s="16">
        <v>1.35</v>
      </c>
      <c r="O75" s="16">
        <v>1.35</v>
      </c>
      <c r="P75" s="16">
        <v>0.97499999999999998</v>
      </c>
      <c r="Q75" s="16">
        <v>1.2249999999999999</v>
      </c>
      <c r="R75" s="16">
        <v>0.41624616462523506</v>
      </c>
      <c r="S75" s="16">
        <v>0.37000000000000005</v>
      </c>
      <c r="T75" s="16">
        <v>0.38222222222222219</v>
      </c>
      <c r="U75" s="16">
        <v>0.40499999999999997</v>
      </c>
      <c r="V75" s="16">
        <v>0.3856</v>
      </c>
      <c r="W75" s="16">
        <v>0.11409352888456596</v>
      </c>
      <c r="X75" s="16">
        <v>0.6</v>
      </c>
      <c r="Y75" s="16">
        <v>0.52</v>
      </c>
      <c r="Z75" s="16">
        <v>0.52</v>
      </c>
      <c r="AA75" s="16">
        <v>0.6</v>
      </c>
      <c r="AB75" s="16">
        <v>3.1768672199170123</v>
      </c>
      <c r="AC75" s="16">
        <v>0</v>
      </c>
      <c r="AD75" s="16">
        <v>4</v>
      </c>
      <c r="AE75" s="16">
        <v>4</v>
      </c>
      <c r="AF75" s="16">
        <v>8</v>
      </c>
      <c r="AG75" s="16">
        <v>4</v>
      </c>
      <c r="AH75" s="16">
        <v>88</v>
      </c>
      <c r="AI75" s="16">
        <v>0</v>
      </c>
      <c r="AJ75" s="16">
        <v>92</v>
      </c>
      <c r="AK75" s="16">
        <v>88</v>
      </c>
      <c r="AL75" s="16">
        <v>0.33124999999999999</v>
      </c>
      <c r="AM75" s="16">
        <v>0.40249999999999997</v>
      </c>
      <c r="AN75" s="16">
        <v>0.40625</v>
      </c>
      <c r="AO75" s="16">
        <v>0.38160000000000005</v>
      </c>
      <c r="AP75" s="16">
        <v>0.21318380176114057</v>
      </c>
      <c r="AQ75" s="16">
        <v>0.86</v>
      </c>
      <c r="AR75" s="16">
        <v>0.96</v>
      </c>
      <c r="AS75" s="16">
        <v>0.72</v>
      </c>
      <c r="AT75" s="16">
        <v>0.96</v>
      </c>
      <c r="AU75" s="16">
        <v>8.3333333333333321</v>
      </c>
      <c r="AV75" s="16">
        <v>0.83333333333333337</v>
      </c>
      <c r="AW75" s="16">
        <v>12.5</v>
      </c>
      <c r="AX75" s="16">
        <v>12.5</v>
      </c>
      <c r="AY75" s="16">
        <v>0</v>
      </c>
      <c r="AZ75" s="16">
        <v>8.3333333333333321</v>
      </c>
      <c r="BA75" s="16">
        <v>83.333333333333343</v>
      </c>
      <c r="BB75" s="16">
        <v>0.75</v>
      </c>
      <c r="BC75" s="16">
        <v>16.666666666666664</v>
      </c>
      <c r="BD75" s="16">
        <v>0</v>
      </c>
      <c r="BE75" s="16">
        <v>0</v>
      </c>
      <c r="BF75" s="16">
        <v>0.125</v>
      </c>
      <c r="BG75" s="16">
        <v>4.1666666666666664E-2</v>
      </c>
      <c r="BH75" s="16">
        <v>0.20833333333333334</v>
      </c>
      <c r="BI75" s="16">
        <v>1.75</v>
      </c>
      <c r="BJ75" s="16">
        <v>1.75</v>
      </c>
      <c r="BK75" s="16">
        <v>1.75</v>
      </c>
      <c r="BL75" s="16">
        <v>1.75</v>
      </c>
      <c r="BM75" s="16">
        <v>0</v>
      </c>
      <c r="BN75" s="16">
        <v>0</v>
      </c>
      <c r="BO75" s="16">
        <v>0</v>
      </c>
      <c r="BP75" s="16">
        <v>0</v>
      </c>
      <c r="BQ75" s="16">
        <v>1</v>
      </c>
      <c r="BR75" s="16">
        <v>0</v>
      </c>
      <c r="BS75" s="16">
        <v>0.25</v>
      </c>
      <c r="BT75" s="16">
        <v>0.41666666666666669</v>
      </c>
      <c r="BU75" s="16">
        <v>0</v>
      </c>
      <c r="BV75" s="16">
        <v>37.5</v>
      </c>
      <c r="BW75" s="16">
        <v>62.5</v>
      </c>
      <c r="BX75" s="16">
        <v>55.625</v>
      </c>
      <c r="BY75" s="16">
        <v>4.1666666666666664E-2</v>
      </c>
      <c r="BZ75" s="16">
        <v>84.009009009009006</v>
      </c>
      <c r="CA75" s="16">
        <v>11.54011448921727</v>
      </c>
      <c r="CB75" s="16">
        <v>15.990990990990994</v>
      </c>
      <c r="CC75" s="16">
        <v>0</v>
      </c>
      <c r="CD75" s="16">
        <v>0</v>
      </c>
      <c r="CE75" s="16">
        <v>0</v>
      </c>
      <c r="CF75" s="16">
        <v>0</v>
      </c>
      <c r="CG75" s="16">
        <v>0</v>
      </c>
      <c r="CI75" t="str">
        <f t="shared" si="1"/>
        <v>/*129*/ 000  1 16.9 7.59 10.25 436 407 348 1191 0 1.35 1.35 0.975 1.225 0.416246164625235 0.37 0.382222222222222 0.405 0.3856 0.114093528884566 0.6 0.52 0.52 0.6 3.17686721991701 0 4 4 8 4 88 0 92 88 0.33125 0.4025 0.40625 0.3816 0.213183801761141 0.86 0.96 0.72 0.96 8.33333333333333 0.833333333333333 12.5 12.5 0 8.33333333333333 83.3333333333333 0.75 16.6666666666667 0 0 0.125 4.16666666666667E-02 0.208333333333333 1.75 1.75 1.75 1.75 0 0 0 0 1 0 0.25 0.416666666666667 0 37.5 62.5 55.625 4.16666666666667E-02 84.009009009009 11.5401144892173 15.990990990991 0 0 0 0 0;</v>
      </c>
    </row>
    <row r="76" spans="1:87" x14ac:dyDescent="0.25">
      <c r="A76" s="12">
        <v>150</v>
      </c>
      <c r="B76" s="12">
        <v>0</v>
      </c>
      <c r="C76" s="12">
        <v>0</v>
      </c>
      <c r="D76" s="12">
        <v>0</v>
      </c>
      <c r="E76" s="12">
        <v>1</v>
      </c>
      <c r="F76" s="16">
        <v>17.100000000000001</v>
      </c>
      <c r="G76" s="16">
        <v>7.47</v>
      </c>
      <c r="H76" s="16">
        <v>10.4</v>
      </c>
      <c r="I76" s="16">
        <v>290</v>
      </c>
      <c r="J76" s="16">
        <v>218</v>
      </c>
      <c r="K76" s="16">
        <v>160</v>
      </c>
      <c r="L76" s="16">
        <v>668</v>
      </c>
      <c r="M76" s="16">
        <v>0</v>
      </c>
      <c r="N76" s="16">
        <v>1.7249999999999999</v>
      </c>
      <c r="O76" s="16">
        <v>2.3250000000000002</v>
      </c>
      <c r="P76" s="16">
        <v>1.4125000000000001</v>
      </c>
      <c r="Q76" s="16">
        <v>1.8208333333333335</v>
      </c>
      <c r="R76" s="16">
        <v>1.0790411067910841</v>
      </c>
      <c r="S76" s="16">
        <v>0.17222222222222219</v>
      </c>
      <c r="T76" s="16">
        <v>0.1125</v>
      </c>
      <c r="U76" s="16">
        <v>0.17750000000000005</v>
      </c>
      <c r="V76" s="16">
        <v>0.15480000000000005</v>
      </c>
      <c r="W76" s="16">
        <v>8.8370432460938633E-2</v>
      </c>
      <c r="X76" s="16">
        <v>0.44</v>
      </c>
      <c r="Y76" s="16">
        <v>0.18</v>
      </c>
      <c r="Z76" s="16">
        <v>0.28000000000000003</v>
      </c>
      <c r="AA76" s="16">
        <v>0.44</v>
      </c>
      <c r="AB76" s="16">
        <v>11.762489233419464</v>
      </c>
      <c r="AC76" s="16">
        <v>0</v>
      </c>
      <c r="AD76" s="16">
        <v>12</v>
      </c>
      <c r="AE76" s="16">
        <v>8</v>
      </c>
      <c r="AF76" s="16">
        <v>20</v>
      </c>
      <c r="AG76" s="16">
        <v>16</v>
      </c>
      <c r="AH76" s="16">
        <v>64</v>
      </c>
      <c r="AI76" s="16">
        <v>0</v>
      </c>
      <c r="AJ76" s="16">
        <v>80</v>
      </c>
      <c r="AK76" s="16">
        <v>64</v>
      </c>
      <c r="AL76" s="16">
        <v>0.18555555555555558</v>
      </c>
      <c r="AM76" s="16">
        <v>0.20875000000000005</v>
      </c>
      <c r="AN76" s="16">
        <v>0.15750000000000003</v>
      </c>
      <c r="AO76" s="16">
        <v>0.184</v>
      </c>
      <c r="AP76" s="16">
        <v>0.13503086067019396</v>
      </c>
      <c r="AQ76" s="16">
        <v>0.34</v>
      </c>
      <c r="AR76" s="16">
        <v>0.45</v>
      </c>
      <c r="AS76" s="16">
        <v>0.44</v>
      </c>
      <c r="AT76" s="16">
        <v>0.45</v>
      </c>
      <c r="AU76" s="16">
        <v>41.666666666666671</v>
      </c>
      <c r="AV76" s="16">
        <v>0.41666666666666669</v>
      </c>
      <c r="AW76" s="16">
        <v>0</v>
      </c>
      <c r="AX76" s="16">
        <v>25</v>
      </c>
      <c r="AY76" s="16">
        <v>25</v>
      </c>
      <c r="AZ76" s="16">
        <v>16.666666666666664</v>
      </c>
      <c r="BA76" s="16">
        <v>41.666666666666671</v>
      </c>
      <c r="BB76" s="16">
        <v>1.5833333333333333</v>
      </c>
      <c r="BC76" s="16">
        <v>58.333333333333336</v>
      </c>
      <c r="BD76" s="16">
        <v>0</v>
      </c>
      <c r="BE76" s="16">
        <v>0</v>
      </c>
      <c r="BF76" s="16">
        <v>0</v>
      </c>
      <c r="BG76" s="16">
        <v>0</v>
      </c>
      <c r="BH76" s="16">
        <v>4.1666666666666664E-2</v>
      </c>
      <c r="BI76" s="16">
        <v>0</v>
      </c>
      <c r="BJ76" s="16">
        <v>0</v>
      </c>
      <c r="BK76" s="16">
        <v>0.25</v>
      </c>
      <c r="BL76" s="16">
        <v>8.3333333333333329E-2</v>
      </c>
      <c r="BM76" s="16">
        <v>1</v>
      </c>
      <c r="BN76" s="16">
        <v>1.5</v>
      </c>
      <c r="BO76" s="16">
        <v>0.75</v>
      </c>
      <c r="BP76" s="16">
        <v>1.0833333333333333</v>
      </c>
      <c r="BQ76" s="16">
        <v>0.25</v>
      </c>
      <c r="BR76" s="16">
        <v>0</v>
      </c>
      <c r="BS76" s="16">
        <v>1.25</v>
      </c>
      <c r="BT76" s="16">
        <v>0.5</v>
      </c>
      <c r="BU76" s="16">
        <v>58.333333333333336</v>
      </c>
      <c r="BV76" s="16">
        <v>33.333333333333329</v>
      </c>
      <c r="BW76" s="16">
        <v>8.3333333333333321</v>
      </c>
      <c r="BX76" s="16">
        <v>21.666666666666668</v>
      </c>
      <c r="BY76" s="16">
        <v>0.58333333333333337</v>
      </c>
      <c r="BZ76" s="16">
        <v>62.93436293436293</v>
      </c>
      <c r="CA76" s="16">
        <v>16.967972416057492</v>
      </c>
      <c r="CB76" s="16">
        <v>37.06563706563707</v>
      </c>
      <c r="CC76" s="16">
        <v>0</v>
      </c>
      <c r="CD76" s="16">
        <v>0</v>
      </c>
      <c r="CE76" s="16">
        <v>0</v>
      </c>
      <c r="CF76" s="16">
        <v>0</v>
      </c>
      <c r="CG76" s="16">
        <v>0</v>
      </c>
      <c r="CI76" t="str">
        <f t="shared" si="1"/>
        <v>/*150*/ 000  1 17.1 7.47 10.4 290 218 160 668 0 1.725 2.325 1.4125 1.82083333333333 1.07904110679108 0.172222222222222 0.1125 0.1775 0.1548 8.83704324609386E-02 0.44 0.18 0.28 0.44 11.7624892334195 0 12 8 20 16 64 0 80 64 0.185555555555556 0.20875 0.1575 0.184 0.135030860670194 0.34 0.45 0.44 0.45 41.6666666666667 0.416666666666667 0 25 25 16.6666666666667 41.6666666666667 1.58333333333333 58.3333333333333 0 0 0 0 4.16666666666667E-02 0 0 0.25 8.33333333333333E-02 1 1.5 0.75 1.08333333333333 0.25 0 1.25 0.5 58.3333333333333 33.3333333333333 8.33333333333333 21.6666666666667 0.583333333333333 62.9343629343629 16.9679724160575 37.0656370656371 0 0 0 0 0;</v>
      </c>
    </row>
    <row r="77" spans="1:87" x14ac:dyDescent="0.25">
      <c r="A77" s="12">
        <v>161</v>
      </c>
      <c r="B77" s="12">
        <v>0</v>
      </c>
      <c r="C77" s="12">
        <v>0</v>
      </c>
      <c r="D77" s="12">
        <v>0</v>
      </c>
      <c r="E77" s="12">
        <v>1</v>
      </c>
      <c r="F77" s="16">
        <v>16</v>
      </c>
      <c r="G77" s="16">
        <v>8.2200000000000006</v>
      </c>
      <c r="H77" s="16">
        <v>11.12</v>
      </c>
      <c r="I77" s="16">
        <v>837</v>
      </c>
      <c r="J77" s="16">
        <v>1358</v>
      </c>
      <c r="K77" s="16">
        <v>657</v>
      </c>
      <c r="L77" s="16">
        <v>2852</v>
      </c>
      <c r="M77" s="16">
        <v>0.16830294530154277</v>
      </c>
      <c r="N77" s="16">
        <v>2.6499999999999995</v>
      </c>
      <c r="O77" s="16">
        <v>3.9</v>
      </c>
      <c r="P77" s="16">
        <v>3.2</v>
      </c>
      <c r="Q77" s="16">
        <v>3.25</v>
      </c>
      <c r="R77" s="16">
        <v>1.1617078881505918</v>
      </c>
      <c r="S77" s="16">
        <v>0.23250000000000001</v>
      </c>
      <c r="T77" s="16">
        <v>0.28307692307692311</v>
      </c>
      <c r="U77" s="16">
        <v>0.23833333333333337</v>
      </c>
      <c r="V77" s="16">
        <v>0.25216216216216214</v>
      </c>
      <c r="W77" s="16">
        <v>0.14255866502241449</v>
      </c>
      <c r="X77" s="16">
        <v>0.55000000000000004</v>
      </c>
      <c r="Y77" s="16">
        <v>0.69</v>
      </c>
      <c r="Z77" s="16">
        <v>0.52</v>
      </c>
      <c r="AA77" s="16">
        <v>0.69</v>
      </c>
      <c r="AB77" s="16">
        <v>12.888531618435156</v>
      </c>
      <c r="AC77" s="16">
        <v>0</v>
      </c>
      <c r="AD77" s="16">
        <v>10.810810810810811</v>
      </c>
      <c r="AE77" s="16">
        <v>0</v>
      </c>
      <c r="AF77" s="16">
        <v>10.810810810810811</v>
      </c>
      <c r="AG77" s="16">
        <v>16.216216216216218</v>
      </c>
      <c r="AH77" s="16">
        <v>72.972972972972968</v>
      </c>
      <c r="AI77" s="16">
        <v>0</v>
      </c>
      <c r="AJ77" s="16">
        <v>89.189189189189193</v>
      </c>
      <c r="AK77" s="16">
        <v>72.972972972972968</v>
      </c>
      <c r="AL77" s="16">
        <v>0.27181818181818185</v>
      </c>
      <c r="AM77" s="16">
        <v>0.20499999999999999</v>
      </c>
      <c r="AN77" s="16">
        <v>0.21090909090909093</v>
      </c>
      <c r="AO77" s="16">
        <v>0.22945945945945947</v>
      </c>
      <c r="AP77" s="16">
        <v>0.16978656447869336</v>
      </c>
      <c r="AQ77" s="16">
        <v>0.54</v>
      </c>
      <c r="AR77" s="16">
        <v>0.45</v>
      </c>
      <c r="AS77" s="16">
        <v>0.6</v>
      </c>
      <c r="AT77" s="16">
        <v>0.6</v>
      </c>
      <c r="AU77" s="16">
        <v>25</v>
      </c>
      <c r="AV77" s="16">
        <v>0.45833333333333331</v>
      </c>
      <c r="AW77" s="16">
        <v>12.5</v>
      </c>
      <c r="AX77" s="16">
        <v>25</v>
      </c>
      <c r="AY77" s="16">
        <v>50</v>
      </c>
      <c r="AZ77" s="16">
        <v>29.166666666666668</v>
      </c>
      <c r="BA77" s="16">
        <v>45.833333333333329</v>
      </c>
      <c r="BB77" s="16">
        <v>0.75</v>
      </c>
      <c r="BC77" s="16">
        <v>16.666666666666664</v>
      </c>
      <c r="BD77" s="16">
        <v>0</v>
      </c>
      <c r="BE77" s="16">
        <v>0</v>
      </c>
      <c r="BF77" s="16">
        <v>0</v>
      </c>
      <c r="BG77" s="16">
        <v>0</v>
      </c>
      <c r="BH77" s="16">
        <v>0.45833333333333331</v>
      </c>
      <c r="BI77" s="16">
        <v>0.5</v>
      </c>
      <c r="BJ77" s="16">
        <v>0.25</v>
      </c>
      <c r="BK77" s="16">
        <v>0.25</v>
      </c>
      <c r="BL77" s="16">
        <v>0.33333333333333331</v>
      </c>
      <c r="BM77" s="16">
        <v>0.25</v>
      </c>
      <c r="BN77" s="16">
        <v>0.75</v>
      </c>
      <c r="BO77" s="16">
        <v>0</v>
      </c>
      <c r="BP77" s="16">
        <v>0.33333333333333331</v>
      </c>
      <c r="BQ77" s="16">
        <v>0</v>
      </c>
      <c r="BR77" s="16">
        <v>1.25</v>
      </c>
      <c r="BS77" s="16">
        <v>0.5</v>
      </c>
      <c r="BT77" s="16">
        <v>0.58333333333333337</v>
      </c>
      <c r="BU77" s="16">
        <v>16.666666666666664</v>
      </c>
      <c r="BV77" s="16">
        <v>79.166666666666657</v>
      </c>
      <c r="BW77" s="16">
        <v>4.1666666666666661</v>
      </c>
      <c r="BX77" s="16">
        <v>27.916666666666668</v>
      </c>
      <c r="BY77" s="16">
        <v>0.91666666666666663</v>
      </c>
      <c r="BZ77" s="16">
        <v>93.018018018018012</v>
      </c>
      <c r="CA77" s="16">
        <v>8.9837154260997636</v>
      </c>
      <c r="CB77" s="16">
        <v>6.9819819819819884</v>
      </c>
      <c r="CC77" s="16">
        <v>0</v>
      </c>
      <c r="CD77" s="16">
        <v>0</v>
      </c>
      <c r="CE77" s="16">
        <v>0</v>
      </c>
      <c r="CF77" s="16">
        <v>0</v>
      </c>
      <c r="CG77" s="16">
        <v>0</v>
      </c>
      <c r="CI77" t="str">
        <f t="shared" si="1"/>
        <v>/*161*/ 000  1 16 8.22 11.12 837 1358 657 2852 0.168302945301543 2.65 3.9 3.2 3.25 1.16170788815059 0.2325 0.283076923076923 0.238333333333333 0.252162162162162 0.142558665022414 0.55 0.69 0.52 0.69 12.8885316184352 0 10.8108108108108 0 10.8108108108108 16.2162162162162 72.972972972973 0 89.1891891891892 72.972972972973 0.271818181818182 0.205 0.210909090909091 0.229459459459459 0.169786564478693 0.54 0.45 0.6 0.6 25 0.458333333333333 12.5 25 50 29.1666666666667 45.8333333333333 0.75 16.6666666666667 0 0 0 0 0.458333333333333 0.5 0.25 0.25 0.333333333333333 0.25 0.75 0 0.333333333333333 0 1.25 0.5 0.583333333333333 16.6666666666667 79.1666666666667 4.16666666666667 27.9166666666667 0.916666666666667 93.018018018018 8.98371542609976 6.98198198198199 0 0 0 0 0;</v>
      </c>
    </row>
    <row r="78" spans="1:87" x14ac:dyDescent="0.25">
      <c r="A78" s="12">
        <v>178</v>
      </c>
      <c r="B78" s="12">
        <v>0</v>
      </c>
      <c r="C78" s="12">
        <v>0</v>
      </c>
      <c r="D78" s="12">
        <v>0</v>
      </c>
      <c r="E78" s="12">
        <v>1</v>
      </c>
      <c r="F78" s="16">
        <v>19.600000000000001</v>
      </c>
      <c r="G78" s="16">
        <v>8.4700000000000006</v>
      </c>
      <c r="H78" s="16">
        <v>13.28</v>
      </c>
      <c r="I78" s="16">
        <v>1893</v>
      </c>
      <c r="J78" s="16">
        <v>1834</v>
      </c>
      <c r="K78" s="16">
        <v>1528</v>
      </c>
      <c r="L78" s="16">
        <v>5255</v>
      </c>
      <c r="M78" s="16">
        <v>1.8953377735490011</v>
      </c>
      <c r="N78" s="16">
        <v>4.2374999999999998</v>
      </c>
      <c r="O78" s="16">
        <v>4.6499999999999995</v>
      </c>
      <c r="P78" s="16">
        <v>5</v>
      </c>
      <c r="Q78" s="16">
        <v>4.6291666666666673</v>
      </c>
      <c r="R78" s="16">
        <v>1.5886770998337663</v>
      </c>
      <c r="S78" s="16">
        <v>0.3116666666666667</v>
      </c>
      <c r="T78" s="16">
        <v>0.31333333333333335</v>
      </c>
      <c r="U78" s="16">
        <v>0.28666666666666663</v>
      </c>
      <c r="V78" s="16">
        <v>0.30388888888888899</v>
      </c>
      <c r="W78" s="16">
        <v>0.14027071332203639</v>
      </c>
      <c r="X78" s="16">
        <v>0.5</v>
      </c>
      <c r="Y78" s="16">
        <v>0.74</v>
      </c>
      <c r="Z78" s="16">
        <v>0.52</v>
      </c>
      <c r="AA78" s="16">
        <v>0.74</v>
      </c>
      <c r="AB78" s="16">
        <v>15.233089579524677</v>
      </c>
      <c r="AC78" s="16">
        <v>0</v>
      </c>
      <c r="AD78" s="16">
        <v>2.7777777777777777</v>
      </c>
      <c r="AE78" s="16">
        <v>22.222222222222221</v>
      </c>
      <c r="AF78" s="16">
        <v>25</v>
      </c>
      <c r="AG78" s="16">
        <v>8.3333333333333321</v>
      </c>
      <c r="AH78" s="16">
        <v>66.666666666666657</v>
      </c>
      <c r="AI78" s="16">
        <v>0</v>
      </c>
      <c r="AJ78" s="16">
        <v>74.999999999999986</v>
      </c>
      <c r="AK78" s="16">
        <v>66.666666666666657</v>
      </c>
      <c r="AL78" s="16">
        <v>0.21333333333333329</v>
      </c>
      <c r="AM78" s="16">
        <v>0.25499999999999995</v>
      </c>
      <c r="AN78" s="16">
        <v>0.26666666666666666</v>
      </c>
      <c r="AO78" s="16">
        <v>0.245</v>
      </c>
      <c r="AP78" s="16">
        <v>0.16739175606940748</v>
      </c>
      <c r="AQ78" s="16">
        <v>0.48</v>
      </c>
      <c r="AR78" s="16">
        <v>0.53</v>
      </c>
      <c r="AS78" s="16">
        <v>0.56000000000000005</v>
      </c>
      <c r="AT78" s="16">
        <v>0.56000000000000005</v>
      </c>
      <c r="AU78" s="16">
        <v>20.833333333333336</v>
      </c>
      <c r="AV78" s="16">
        <v>0.5</v>
      </c>
      <c r="AW78" s="16">
        <v>25</v>
      </c>
      <c r="AX78" s="16">
        <v>37.5</v>
      </c>
      <c r="AY78" s="16">
        <v>25</v>
      </c>
      <c r="AZ78" s="16">
        <v>29.166666666666668</v>
      </c>
      <c r="BA78" s="16">
        <v>50</v>
      </c>
      <c r="BB78" s="16">
        <v>1</v>
      </c>
      <c r="BC78" s="16">
        <v>41.666666666666671</v>
      </c>
      <c r="BD78" s="16">
        <v>0.125</v>
      </c>
      <c r="BE78" s="16">
        <v>0.75</v>
      </c>
      <c r="BF78" s="16">
        <v>0.5</v>
      </c>
      <c r="BG78" s="16">
        <v>0.45833333333333331</v>
      </c>
      <c r="BH78" s="16">
        <v>0.95833333333333337</v>
      </c>
      <c r="BI78" s="16">
        <v>1</v>
      </c>
      <c r="BJ78" s="16">
        <v>0.66666666666666663</v>
      </c>
      <c r="BK78" s="16">
        <v>0</v>
      </c>
      <c r="BL78" s="16">
        <v>0.54545454545454541</v>
      </c>
      <c r="BM78" s="16">
        <v>0</v>
      </c>
      <c r="BN78" s="16">
        <v>0</v>
      </c>
      <c r="BO78" s="16">
        <v>0.25</v>
      </c>
      <c r="BP78" s="16">
        <v>8.3333333333333329E-2</v>
      </c>
      <c r="BQ78" s="16">
        <v>2</v>
      </c>
      <c r="BR78" s="16">
        <v>1.75</v>
      </c>
      <c r="BS78" s="16">
        <v>0.5</v>
      </c>
      <c r="BT78" s="16">
        <v>1.4166666666666667</v>
      </c>
      <c r="BU78" s="16">
        <v>29.166666666666668</v>
      </c>
      <c r="BV78" s="16">
        <v>54.166666666666664</v>
      </c>
      <c r="BW78" s="16">
        <v>16.666666666666664</v>
      </c>
      <c r="BX78" s="16">
        <v>31.875</v>
      </c>
      <c r="BY78" s="16">
        <v>0.5</v>
      </c>
      <c r="BZ78" s="16">
        <v>55.200655200655206</v>
      </c>
      <c r="CA78" s="16">
        <v>12.673866574151472</v>
      </c>
      <c r="CB78" s="16">
        <v>44.799344799344794</v>
      </c>
      <c r="CC78" s="16">
        <v>0</v>
      </c>
      <c r="CD78" s="16">
        <v>0</v>
      </c>
      <c r="CE78" s="16">
        <v>0</v>
      </c>
      <c r="CF78" s="16">
        <v>0</v>
      </c>
      <c r="CG78" s="16">
        <v>0</v>
      </c>
      <c r="CI78" t="str">
        <f t="shared" si="1"/>
        <v>/*178*/ 000  1 19.6 8.47 13.28 1893 1834 1528 5255 1.895337773549 4.2375 4.65 5 4.62916666666667 1.58867709983377 0.311666666666667 0.313333333333333 0.286666666666667 0.303888888888889 0.140270713322036 0.5 0.74 0.52 0.74 15.2330895795247 0 2.77777777777778 22.2222222222222 25 8.33333333333333 66.6666666666667 0 75 66.6666666666667 0.213333333333333 0.255 0.266666666666667 0.245 0.167391756069407 0.48 0.53 0.56 0.56 20.8333333333333 0.5 25 37.5 25 29.1666666666667 50 1 41.6666666666667 0.125 0.75 0.5 0.458333333333333 0.958333333333333 1 0.666666666666667 0 0.545454545454545 0 0 0.25 8.33333333333333E-02 2 1.75 0.5 1.41666666666667 29.1666666666667 54.1666666666667 16.6666666666667 31.875 0.5 55.2006552006552 12.6738665741515 44.7993447993448 0 0 0 0 0;</v>
      </c>
    </row>
    <row r="79" spans="1:87" x14ac:dyDescent="0.25">
      <c r="A79" s="12">
        <v>193</v>
      </c>
      <c r="B79" s="12">
        <v>0</v>
      </c>
      <c r="C79" s="12">
        <v>0</v>
      </c>
      <c r="D79" s="12">
        <v>0</v>
      </c>
      <c r="E79" s="12">
        <v>1</v>
      </c>
      <c r="F79" s="16">
        <v>16.7</v>
      </c>
      <c r="G79" s="16">
        <v>8.31</v>
      </c>
      <c r="H79" s="16">
        <v>12.28</v>
      </c>
      <c r="I79" s="16">
        <v>1110</v>
      </c>
      <c r="J79" s="16">
        <v>1140</v>
      </c>
      <c r="K79" s="16">
        <v>1886</v>
      </c>
      <c r="L79" s="16">
        <v>4136</v>
      </c>
      <c r="M79" s="16">
        <v>2.7127659574468082</v>
      </c>
      <c r="N79" s="16">
        <v>7.416666666666667</v>
      </c>
      <c r="O79" s="16">
        <v>7.2624999999999993</v>
      </c>
      <c r="P79" s="16">
        <v>7.7999999999999989</v>
      </c>
      <c r="Q79" s="16">
        <v>7.5000000000000009</v>
      </c>
      <c r="R79" s="16">
        <v>2.957637409761213</v>
      </c>
      <c r="S79" s="16">
        <v>0.46928571428571431</v>
      </c>
      <c r="T79" s="16">
        <v>0.45333333333333325</v>
      </c>
      <c r="U79" s="16">
        <v>0.21937500000000004</v>
      </c>
      <c r="V79" s="16">
        <v>0.37511111111111117</v>
      </c>
      <c r="W79" s="16">
        <v>0.28208333892842746</v>
      </c>
      <c r="X79" s="16">
        <v>1.1000000000000001</v>
      </c>
      <c r="Y79" s="16">
        <v>0.86</v>
      </c>
      <c r="Z79" s="16">
        <v>0.6</v>
      </c>
      <c r="AA79" s="16">
        <v>1.1000000000000001</v>
      </c>
      <c r="AB79" s="16">
        <v>19.994075829383885</v>
      </c>
      <c r="AC79" s="16">
        <v>2.2222222222222223</v>
      </c>
      <c r="AD79" s="16">
        <v>6.666666666666667</v>
      </c>
      <c r="AE79" s="16">
        <v>8.8888888888888893</v>
      </c>
      <c r="AF79" s="16">
        <v>17.777777777777779</v>
      </c>
      <c r="AG79" s="16">
        <v>0</v>
      </c>
      <c r="AH79" s="16">
        <v>82.222222222222214</v>
      </c>
      <c r="AI79" s="16">
        <v>0</v>
      </c>
      <c r="AJ79" s="16">
        <v>82.222222222222214</v>
      </c>
      <c r="AK79" s="16">
        <v>82.222222222222214</v>
      </c>
      <c r="AL79" s="16">
        <v>0.23642857142857143</v>
      </c>
      <c r="AM79" s="16">
        <v>0.23357142857142854</v>
      </c>
      <c r="AN79" s="16">
        <v>0.40066666666666667</v>
      </c>
      <c r="AO79" s="16">
        <v>0.31555555555555559</v>
      </c>
      <c r="AP79" s="16">
        <v>0.26554879328696185</v>
      </c>
      <c r="AQ79" s="16">
        <v>0.54</v>
      </c>
      <c r="AR79" s="16">
        <v>0.81</v>
      </c>
      <c r="AS79" s="16">
        <v>1.1599999999999999</v>
      </c>
      <c r="AT79" s="16">
        <v>1.1599999999999999</v>
      </c>
      <c r="AU79" s="16">
        <v>41.666666666666671</v>
      </c>
      <c r="AV79" s="16">
        <v>0.29166666666666669</v>
      </c>
      <c r="AW79" s="16">
        <v>50</v>
      </c>
      <c r="AX79" s="16">
        <v>25</v>
      </c>
      <c r="AY79" s="16">
        <v>12.5</v>
      </c>
      <c r="AZ79" s="16">
        <v>29.166666666666668</v>
      </c>
      <c r="BA79" s="16">
        <v>41.666666666666671</v>
      </c>
      <c r="BB79" s="16">
        <v>0.5</v>
      </c>
      <c r="BC79" s="16">
        <v>16.666666666666664</v>
      </c>
      <c r="BD79" s="16">
        <v>0</v>
      </c>
      <c r="BE79" s="16">
        <v>0.25</v>
      </c>
      <c r="BF79" s="16">
        <v>0</v>
      </c>
      <c r="BG79" s="16">
        <v>8.3333333333333329E-2</v>
      </c>
      <c r="BH79" s="16">
        <v>0.33333333333333331</v>
      </c>
      <c r="BI79" s="16">
        <v>0.5</v>
      </c>
      <c r="BJ79" s="16">
        <v>0</v>
      </c>
      <c r="BK79" s="16">
        <v>0</v>
      </c>
      <c r="BL79" s="16">
        <v>0.16666666666666666</v>
      </c>
      <c r="BM79" s="16">
        <v>0.25</v>
      </c>
      <c r="BN79" s="16">
        <v>0.25</v>
      </c>
      <c r="BO79" s="16">
        <v>0.25</v>
      </c>
      <c r="BP79" s="16">
        <v>0.25</v>
      </c>
      <c r="BQ79" s="16">
        <v>1.75</v>
      </c>
      <c r="BR79" s="16">
        <v>1.5</v>
      </c>
      <c r="BS79" s="16">
        <v>0.75</v>
      </c>
      <c r="BT79" s="16">
        <v>1.3333333333333333</v>
      </c>
      <c r="BU79" s="16">
        <v>45.833333333333329</v>
      </c>
      <c r="BV79" s="16">
        <v>16.666666666666664</v>
      </c>
      <c r="BW79" s="16">
        <v>33.333333333333329</v>
      </c>
      <c r="BX79" s="16">
        <v>33.043478260869563</v>
      </c>
      <c r="BY79" s="16">
        <v>0.79166666666666663</v>
      </c>
      <c r="BZ79" s="16">
        <v>59.534534534534536</v>
      </c>
      <c r="CA79" s="16">
        <v>16.185506940489535</v>
      </c>
      <c r="CB79" s="16">
        <v>40.465465465465464</v>
      </c>
      <c r="CC79" s="16">
        <v>0</v>
      </c>
      <c r="CD79" s="16">
        <v>0</v>
      </c>
      <c r="CE79" s="16">
        <v>0</v>
      </c>
      <c r="CF79" s="16">
        <v>0</v>
      </c>
      <c r="CG79" s="16">
        <v>0</v>
      </c>
      <c r="CI79" t="str">
        <f t="shared" si="1"/>
        <v>/*193*/ 000  1 16.7 8.31 12.28 1110 1140 1886 4136 2.71276595744681 7.41666666666667 7.2625 7.8 7.5 2.95763740976121 0.469285714285714 0.453333333333333 0.219375 0.375111111111111 0.282083338928427 1.1 0.86 0.6 1.1 19.9940758293839 2.22222222222222 6.66666666666667 8.88888888888889 17.7777777777778 0 82.2222222222222 0 82.2222222222222 82.2222222222222 0.236428571428571 0.233571428571429 0.400666666666667 0.315555555555556 0.265548793286962 0.54 0.81 1.16 1.16 41.6666666666667 0.291666666666667 50 25 12.5 29.1666666666667 41.6666666666667 0.5 16.6666666666667 0 0.25 0 8.33333333333333E-02 0.333333333333333 0.5 0 0 0.166666666666667 0.25 0.25 0.25 0.25 1.75 1.5 0.75 1.33333333333333 45.8333333333333 16.6666666666667 33.3333333333333 33.0434782608696 0.791666666666667 59.5345345345345 16.1855069404895 40.4654654654655 0 0 0 0 0;</v>
      </c>
    </row>
    <row r="80" spans="1:87" x14ac:dyDescent="0.25">
      <c r="A80" s="12">
        <v>201</v>
      </c>
      <c r="B80" s="12">
        <v>0</v>
      </c>
      <c r="C80" s="12">
        <v>0</v>
      </c>
      <c r="D80" s="12">
        <v>0</v>
      </c>
      <c r="E80" s="12">
        <v>1</v>
      </c>
      <c r="F80" s="16">
        <v>16</v>
      </c>
      <c r="G80" s="16">
        <v>8.6</v>
      </c>
      <c r="H80" s="16">
        <v>12.35</v>
      </c>
      <c r="I80" s="16">
        <v>1123</v>
      </c>
      <c r="J80" s="16">
        <v>995</v>
      </c>
      <c r="K80" s="16">
        <v>766</v>
      </c>
      <c r="L80" s="16">
        <v>2884</v>
      </c>
      <c r="M80" s="16">
        <v>2.1012482662968099</v>
      </c>
      <c r="N80" s="16">
        <v>3.25</v>
      </c>
      <c r="O80" s="16">
        <v>3.0625</v>
      </c>
      <c r="P80" s="16">
        <v>2.4249999999999998</v>
      </c>
      <c r="Q80" s="16">
        <v>2.9125000000000001</v>
      </c>
      <c r="R80" s="16">
        <v>1.2563966764902113</v>
      </c>
      <c r="S80" s="16">
        <v>0.3428571428571428</v>
      </c>
      <c r="T80" s="16">
        <v>0.31</v>
      </c>
      <c r="U80" s="16">
        <v>0.33499999999999996</v>
      </c>
      <c r="V80" s="16">
        <v>0.32948717948717948</v>
      </c>
      <c r="W80" s="16">
        <v>0.23513656410409131</v>
      </c>
      <c r="X80" s="16">
        <v>0.6</v>
      </c>
      <c r="Y80" s="16">
        <v>0.52</v>
      </c>
      <c r="Z80" s="16">
        <v>1.4</v>
      </c>
      <c r="AA80" s="16">
        <v>1.4</v>
      </c>
      <c r="AB80" s="16">
        <v>8.8394941634241242</v>
      </c>
      <c r="AC80" s="16">
        <v>0</v>
      </c>
      <c r="AD80" s="16">
        <v>31.578947368421051</v>
      </c>
      <c r="AE80" s="16">
        <v>2.6315789473684208</v>
      </c>
      <c r="AF80" s="16">
        <v>34.210526315789473</v>
      </c>
      <c r="AG80" s="16">
        <v>5.2631578947368416</v>
      </c>
      <c r="AH80" s="16">
        <v>60.526315789473685</v>
      </c>
      <c r="AI80" s="16">
        <v>0</v>
      </c>
      <c r="AJ80" s="16">
        <v>65.78947368421052</v>
      </c>
      <c r="AK80" s="16">
        <v>60.526315789473685</v>
      </c>
      <c r="AL80" s="16">
        <v>0.1435714285714286</v>
      </c>
      <c r="AM80" s="16">
        <v>0.23846153846153845</v>
      </c>
      <c r="AN80" s="16">
        <v>0.29833333333333328</v>
      </c>
      <c r="AO80" s="16">
        <v>0.22282051282051279</v>
      </c>
      <c r="AP80" s="16">
        <v>0.25483687990089821</v>
      </c>
      <c r="AQ80" s="16">
        <v>1.03</v>
      </c>
      <c r="AR80" s="16">
        <v>0.97</v>
      </c>
      <c r="AS80" s="16">
        <v>0.72</v>
      </c>
      <c r="AT80" s="16">
        <v>1.03</v>
      </c>
      <c r="AU80" s="16">
        <v>20.833333333333336</v>
      </c>
      <c r="AV80" s="16">
        <v>0.41666666666666669</v>
      </c>
      <c r="AW80" s="16">
        <v>62.5</v>
      </c>
      <c r="AX80" s="16">
        <v>25</v>
      </c>
      <c r="AY80" s="16">
        <v>25</v>
      </c>
      <c r="AZ80" s="16">
        <v>37.5</v>
      </c>
      <c r="BA80" s="16">
        <v>41.666666666666671</v>
      </c>
      <c r="BB80" s="16">
        <v>0.91666666666666663</v>
      </c>
      <c r="BC80" s="16">
        <v>33.333333333333329</v>
      </c>
      <c r="BD80" s="16">
        <v>0.125</v>
      </c>
      <c r="BE80" s="16">
        <v>0</v>
      </c>
      <c r="BF80" s="16">
        <v>0.25</v>
      </c>
      <c r="BG80" s="16">
        <v>0.125</v>
      </c>
      <c r="BH80" s="16">
        <v>0.33333333333333331</v>
      </c>
      <c r="BI80" s="16">
        <v>0</v>
      </c>
      <c r="BJ80" s="16">
        <v>0.75</v>
      </c>
      <c r="BK80" s="16">
        <v>1</v>
      </c>
      <c r="BL80" s="16">
        <v>0.58333333333333337</v>
      </c>
      <c r="BM80" s="16">
        <v>0</v>
      </c>
      <c r="BN80" s="16">
        <v>1</v>
      </c>
      <c r="BO80" s="16">
        <v>0.25</v>
      </c>
      <c r="BP80" s="16">
        <v>0.41666666666666669</v>
      </c>
      <c r="BQ80" s="16">
        <v>2.5</v>
      </c>
      <c r="BR80" s="16">
        <v>0.5</v>
      </c>
      <c r="BS80" s="16">
        <v>0.75</v>
      </c>
      <c r="BT80" s="16">
        <v>1.25</v>
      </c>
      <c r="BU80" s="16">
        <v>0</v>
      </c>
      <c r="BV80" s="16">
        <v>70.833333333333343</v>
      </c>
      <c r="BW80" s="16">
        <v>29.166666666666668</v>
      </c>
      <c r="BX80" s="16">
        <v>44.583333333333336</v>
      </c>
      <c r="BY80" s="16">
        <v>0.625</v>
      </c>
      <c r="BZ80" s="16">
        <v>89.268680445151034</v>
      </c>
      <c r="CA80" s="16">
        <v>9.586876427882741</v>
      </c>
      <c r="CB80" s="16">
        <v>10.731319554848966</v>
      </c>
      <c r="CC80" s="16">
        <v>0</v>
      </c>
      <c r="CD80" s="16">
        <v>0</v>
      </c>
      <c r="CE80" s="16">
        <v>0</v>
      </c>
      <c r="CF80" s="16">
        <v>0</v>
      </c>
      <c r="CG80" s="16">
        <v>0</v>
      </c>
      <c r="CI80" t="str">
        <f t="shared" si="1"/>
        <v>/*201*/ 000  1 16 8.6 12.35 1123 995 766 2884 2.10124826629681 3.25 3.0625 2.425 2.9125 1.25639667649021 0.342857142857143 0.31 0.335 0.329487179487179 0.235136564104091 0.6 0.52 1.4 1.4 8.83949416342412 0 31.5789473684211 2.63157894736842 34.2105263157895 5.26315789473684 60.5263157894737 0 65.7894736842105 60.5263157894737 0.143571428571429 0.238461538461538 0.298333333333333 0.222820512820513 0.254836879900898 1.03 0.97 0.72 1.03 20.8333333333333 0.416666666666667 62.5 25 25 37.5 41.6666666666667 0.916666666666667 33.3333333333333 0.125 0 0.25 0.125 0.333333333333333 0 0.75 1 0.583333333333333 0 1 0.25 0.416666666666667 2.5 0.5 0.75 1.25 0 70.8333333333333 29.1666666666667 44.5833333333333 0.625 89.268680445151 9.58687642788274 10.731319554849 0 0 0 0 0;</v>
      </c>
    </row>
    <row r="81" spans="1:87" x14ac:dyDescent="0.25">
      <c r="A81" s="12">
        <v>202</v>
      </c>
      <c r="B81" s="12">
        <v>0</v>
      </c>
      <c r="C81" s="12">
        <v>0</v>
      </c>
      <c r="D81" s="12">
        <v>0</v>
      </c>
      <c r="E81" s="12">
        <v>1</v>
      </c>
      <c r="F81" s="16">
        <v>15.3</v>
      </c>
      <c r="G81" s="16">
        <v>8.0500000000000007</v>
      </c>
      <c r="H81" s="16">
        <v>11.21</v>
      </c>
      <c r="I81" s="16">
        <v>638</v>
      </c>
      <c r="J81" s="16">
        <v>368</v>
      </c>
      <c r="K81" s="16">
        <v>370</v>
      </c>
      <c r="L81" s="16">
        <v>1376</v>
      </c>
      <c r="M81" s="16">
        <v>0</v>
      </c>
      <c r="N81" s="16">
        <v>1.3250000000000002</v>
      </c>
      <c r="O81" s="16">
        <v>1.2749999999999999</v>
      </c>
      <c r="P81" s="16">
        <v>1.6499999999999997</v>
      </c>
      <c r="Q81" s="16">
        <v>1.4166666666666667</v>
      </c>
      <c r="R81" s="16">
        <v>0.61337744012799444</v>
      </c>
      <c r="S81" s="16">
        <v>0.29375000000000001</v>
      </c>
      <c r="T81" s="16">
        <v>0.3175</v>
      </c>
      <c r="U81" s="16">
        <v>0.23</v>
      </c>
      <c r="V81" s="16">
        <v>0.28041666666666659</v>
      </c>
      <c r="W81" s="16">
        <v>0.13989061461717517</v>
      </c>
      <c r="X81" s="16">
        <v>0.5</v>
      </c>
      <c r="Y81" s="16">
        <v>0.5</v>
      </c>
      <c r="Z81" s="16">
        <v>0.42</v>
      </c>
      <c r="AA81" s="16">
        <v>0.5</v>
      </c>
      <c r="AB81" s="16">
        <v>5.0520059435364058</v>
      </c>
      <c r="AC81" s="16">
        <v>0</v>
      </c>
      <c r="AD81" s="16">
        <v>45.833333333333329</v>
      </c>
      <c r="AE81" s="16">
        <v>0</v>
      </c>
      <c r="AF81" s="16">
        <v>45.833333333333329</v>
      </c>
      <c r="AG81" s="16">
        <v>20.833333333333336</v>
      </c>
      <c r="AH81" s="16">
        <v>33.333333333333329</v>
      </c>
      <c r="AI81" s="16">
        <v>0</v>
      </c>
      <c r="AJ81" s="16">
        <v>54.166666666666664</v>
      </c>
      <c r="AK81" s="16">
        <v>45.833333333333329</v>
      </c>
      <c r="AL81" s="16">
        <v>4.2500000000000003E-2</v>
      </c>
      <c r="AM81" s="16">
        <v>5.2500000000000005E-2</v>
      </c>
      <c r="AN81" s="16">
        <v>7.4999999999999997E-2</v>
      </c>
      <c r="AO81" s="16">
        <v>5.6666666666666671E-2</v>
      </c>
      <c r="AP81" s="16">
        <v>5.4904396487195702E-2</v>
      </c>
      <c r="AQ81" s="16">
        <v>0.13</v>
      </c>
      <c r="AR81" s="16">
        <v>0.12</v>
      </c>
      <c r="AS81" s="16">
        <v>0.2</v>
      </c>
      <c r="AT81" s="16">
        <v>0.2</v>
      </c>
      <c r="AU81" s="16">
        <v>12.5</v>
      </c>
      <c r="AV81" s="16">
        <v>0.16666666666666666</v>
      </c>
      <c r="AW81" s="16">
        <v>62.5</v>
      </c>
      <c r="AX81" s="16">
        <v>87.5</v>
      </c>
      <c r="AY81" s="16">
        <v>62.5</v>
      </c>
      <c r="AZ81" s="16">
        <v>70.833333333333343</v>
      </c>
      <c r="BA81" s="16">
        <v>66.666666666666657</v>
      </c>
      <c r="BB81" s="16">
        <v>0.41666666666666669</v>
      </c>
      <c r="BC81" s="16">
        <v>16.666666666666664</v>
      </c>
      <c r="BD81" s="16">
        <v>0</v>
      </c>
      <c r="BE81" s="16">
        <v>0</v>
      </c>
      <c r="BF81" s="16">
        <v>0</v>
      </c>
      <c r="BG81" s="16">
        <v>0</v>
      </c>
      <c r="BH81" s="16">
        <v>4.1666666666666664E-2</v>
      </c>
      <c r="BI81" s="16">
        <v>1.25</v>
      </c>
      <c r="BJ81" s="16">
        <v>1.5</v>
      </c>
      <c r="BK81" s="16">
        <v>0.75</v>
      </c>
      <c r="BL81" s="16">
        <v>1.1666666666666667</v>
      </c>
      <c r="BM81" s="16">
        <v>0</v>
      </c>
      <c r="BN81" s="16">
        <v>0</v>
      </c>
      <c r="BO81" s="16">
        <v>0</v>
      </c>
      <c r="BP81" s="16">
        <v>0</v>
      </c>
      <c r="BQ81" s="16">
        <v>2.25</v>
      </c>
      <c r="BR81" s="16">
        <v>3.25</v>
      </c>
      <c r="BS81" s="16">
        <v>2.5</v>
      </c>
      <c r="BT81" s="16">
        <v>2.6666666666666665</v>
      </c>
      <c r="BU81" s="16">
        <v>0</v>
      </c>
      <c r="BV81" s="16">
        <v>54.166666666666664</v>
      </c>
      <c r="BW81" s="16">
        <v>45.833333333333329</v>
      </c>
      <c r="BX81" s="16">
        <v>47.291666666666664</v>
      </c>
      <c r="BY81" s="16">
        <v>0.58333333333333337</v>
      </c>
      <c r="BZ81" s="16">
        <v>88.513513513513516</v>
      </c>
      <c r="CA81" s="16">
        <v>10.872191382354591</v>
      </c>
      <c r="CB81" s="16">
        <v>11.486486486486484</v>
      </c>
      <c r="CC81" s="16">
        <v>0</v>
      </c>
      <c r="CD81" s="16">
        <v>0</v>
      </c>
      <c r="CE81" s="16">
        <v>0</v>
      </c>
      <c r="CF81" s="16">
        <v>0</v>
      </c>
      <c r="CG81" s="16">
        <v>0</v>
      </c>
      <c r="CI81" t="str">
        <f t="shared" si="1"/>
        <v>/*202*/ 000  1 15.3 8.05 11.21 638 368 370 1376 0 1.325 1.275 1.65 1.41666666666667 0.613377440127994 0.29375 0.3175 0.23 0.280416666666667 0.139890614617175 0.5 0.5 0.42 0.5 5.05200594353641 0 45.8333333333333 0 45.8333333333333 20.8333333333333 33.3333333333333 0 54.1666666666667 45.8333333333333 0.0425 0.0525 0.075 5.66666666666667E-02 5.49043964871957E-02 0.13 0.12 0.2 0.2 12.5 0.166666666666667 62.5 87.5 62.5 70.8333333333333 66.6666666666667 0.416666666666667 16.6666666666667 0 0 0 0 4.16666666666667E-02 1.25 1.5 0.75 1.16666666666667 0 0 0 0 2.25 3.25 2.5 2.66666666666667 0 54.1666666666667 45.8333333333333 47.2916666666667 0.583333333333333 88.5135135135135 10.8721913823546 11.4864864864865 0 0 0 0 0;</v>
      </c>
    </row>
    <row r="82" spans="1:87" x14ac:dyDescent="0.25">
      <c r="A82" s="12">
        <v>203</v>
      </c>
      <c r="B82" s="12">
        <v>0</v>
      </c>
      <c r="C82" s="12">
        <v>0</v>
      </c>
      <c r="D82" s="12">
        <v>0</v>
      </c>
      <c r="E82" s="12">
        <v>1</v>
      </c>
      <c r="F82" s="16">
        <v>11.5</v>
      </c>
      <c r="G82" s="16">
        <v>7.53</v>
      </c>
      <c r="H82" s="16">
        <v>10.94</v>
      </c>
      <c r="I82" s="16">
        <v>1509</v>
      </c>
      <c r="J82" s="16">
        <v>789</v>
      </c>
      <c r="K82" s="16">
        <v>1427</v>
      </c>
      <c r="L82" s="16">
        <v>3725</v>
      </c>
      <c r="M82" s="16">
        <v>0.59597315436241605</v>
      </c>
      <c r="N82" s="16">
        <v>6.8250000000000011</v>
      </c>
      <c r="O82" s="16">
        <v>6.2</v>
      </c>
      <c r="P82" s="16">
        <v>6.2750000000000012</v>
      </c>
      <c r="Q82" s="16">
        <v>6.4333333333333327</v>
      </c>
      <c r="R82" s="16">
        <v>1.6833369206447679</v>
      </c>
      <c r="S82" s="16">
        <v>0.41999999999999993</v>
      </c>
      <c r="T82" s="16">
        <v>0.38375000000000004</v>
      </c>
      <c r="U82" s="16">
        <v>0.43687500000000001</v>
      </c>
      <c r="V82" s="16">
        <v>0.41354166666666653</v>
      </c>
      <c r="W82" s="16">
        <v>0.20334950086869211</v>
      </c>
      <c r="X82" s="16">
        <v>0.74</v>
      </c>
      <c r="Y82" s="16">
        <v>0.68</v>
      </c>
      <c r="Z82" s="16">
        <v>1</v>
      </c>
      <c r="AA82" s="16">
        <v>1</v>
      </c>
      <c r="AB82" s="16">
        <v>15.556675062972296</v>
      </c>
      <c r="AC82" s="16">
        <v>8.5106382978723403</v>
      </c>
      <c r="AD82" s="16">
        <v>0</v>
      </c>
      <c r="AE82" s="16">
        <v>4.2553191489361701</v>
      </c>
      <c r="AF82" s="16">
        <v>12.76595744680851</v>
      </c>
      <c r="AG82" s="16">
        <v>10.638297872340425</v>
      </c>
      <c r="AH82" s="16">
        <v>76.59574468085107</v>
      </c>
      <c r="AI82" s="16">
        <v>0</v>
      </c>
      <c r="AJ82" s="16">
        <v>87.2340425531915</v>
      </c>
      <c r="AK82" s="16">
        <v>76.59574468085107</v>
      </c>
      <c r="AL82" s="16">
        <v>0.28333333333333333</v>
      </c>
      <c r="AM82" s="16">
        <v>0.34333333333333338</v>
      </c>
      <c r="AN82" s="16">
        <v>0.39799999999999996</v>
      </c>
      <c r="AO82" s="16">
        <v>0.34937499999999999</v>
      </c>
      <c r="AP82" s="16">
        <v>0.21239672083456607</v>
      </c>
      <c r="AQ82" s="16">
        <v>0.62</v>
      </c>
      <c r="AR82" s="16">
        <v>0.71</v>
      </c>
      <c r="AS82" s="16">
        <v>0.87</v>
      </c>
      <c r="AT82" s="16">
        <v>0.87</v>
      </c>
      <c r="AU82" s="16">
        <v>45.833333333333329</v>
      </c>
      <c r="AV82" s="16">
        <v>0.5</v>
      </c>
      <c r="AW82" s="16">
        <v>0</v>
      </c>
      <c r="AX82" s="16">
        <v>12.5</v>
      </c>
      <c r="AY82" s="16">
        <v>0</v>
      </c>
      <c r="AZ82" s="16">
        <v>4.1666666666666661</v>
      </c>
      <c r="BA82" s="16">
        <v>50</v>
      </c>
      <c r="BB82" s="16">
        <v>1.5</v>
      </c>
      <c r="BC82" s="16">
        <v>50</v>
      </c>
      <c r="BD82" s="16">
        <v>1.25</v>
      </c>
      <c r="BE82" s="16">
        <v>0.375</v>
      </c>
      <c r="BF82" s="16">
        <v>0.25</v>
      </c>
      <c r="BG82" s="16">
        <v>0.625</v>
      </c>
      <c r="BH82" s="16">
        <v>1</v>
      </c>
      <c r="BI82" s="16">
        <v>0.5</v>
      </c>
      <c r="BJ82" s="16">
        <v>1.5</v>
      </c>
      <c r="BK82" s="16">
        <v>0.75</v>
      </c>
      <c r="BL82" s="16">
        <v>0.91666666666666663</v>
      </c>
      <c r="BM82" s="16">
        <v>0</v>
      </c>
      <c r="BN82" s="16">
        <v>0.5</v>
      </c>
      <c r="BO82" s="16">
        <v>0.25</v>
      </c>
      <c r="BP82" s="16">
        <v>0.25</v>
      </c>
      <c r="BQ82" s="16">
        <v>0.75</v>
      </c>
      <c r="BR82" s="16">
        <v>0</v>
      </c>
      <c r="BS82" s="16">
        <v>1.25</v>
      </c>
      <c r="BT82" s="16">
        <v>0.66666666666666663</v>
      </c>
      <c r="BU82" s="16">
        <v>8.3333333333333321</v>
      </c>
      <c r="BV82" s="16">
        <v>75</v>
      </c>
      <c r="BW82" s="16">
        <v>16.666666666666664</v>
      </c>
      <c r="BX82" s="16">
        <v>40.625</v>
      </c>
      <c r="BY82" s="16">
        <v>1.4583333333333333</v>
      </c>
      <c r="BZ82" s="16">
        <v>60.810810810810814</v>
      </c>
      <c r="CA82" s="16">
        <v>14.531738663058476</v>
      </c>
      <c r="CB82" s="16">
        <v>39.189189189189186</v>
      </c>
      <c r="CC82" s="16">
        <v>0</v>
      </c>
      <c r="CD82" s="16">
        <v>0</v>
      </c>
      <c r="CE82" s="16">
        <v>0</v>
      </c>
      <c r="CF82" s="16">
        <v>0</v>
      </c>
      <c r="CG82" s="16">
        <v>0</v>
      </c>
      <c r="CI82" t="str">
        <f t="shared" si="1"/>
        <v>/*203*/ 000  1 11.5 7.53 10.94 1509 789 1427 3725 0.595973154362416 6.825 6.2 6.275 6.43333333333333 1.68333692064477 0.42 0.38375 0.436875 0.413541666666667 0.203349500868692 0.74 0.68 1 1 15.5566750629723 8.51063829787234 0 4.25531914893617 12.7659574468085 10.6382978723404 76.5957446808511 0 87.2340425531915 76.5957446808511 0.283333333333333 0.343333333333333 0.398 0.349375 0.212396720834566 0.62 0.71 0.87 0.87 45.8333333333333 0.5 0 12.5 0 4.16666666666667 50 1.5 50 1.25 0.375 0.25 0.625 1 0.5 1.5 0.75 0.916666666666667 0 0.5 0.25 0.25 0.75 0 1.25 0.666666666666667 8.33333333333333 75 16.6666666666667 40.625 1.45833333333333 60.8108108108108 14.5317386630585 39.1891891891892 0 0 0 0 0;</v>
      </c>
    </row>
    <row r="83" spans="1:87" x14ac:dyDescent="0.25">
      <c r="A83" s="12">
        <v>204</v>
      </c>
      <c r="B83" s="12">
        <v>0</v>
      </c>
      <c r="C83" s="12">
        <v>0</v>
      </c>
      <c r="D83" s="12">
        <v>0</v>
      </c>
      <c r="E83" s="12">
        <v>1</v>
      </c>
      <c r="F83" s="16">
        <v>12.5</v>
      </c>
      <c r="G83" s="16">
        <v>8.09</v>
      </c>
      <c r="H83" s="16">
        <v>9.7899999999999991</v>
      </c>
      <c r="I83" s="16">
        <v>1775</v>
      </c>
      <c r="J83" s="16">
        <v>1830</v>
      </c>
      <c r="K83" s="16">
        <v>1720</v>
      </c>
      <c r="L83" s="16">
        <v>5325</v>
      </c>
      <c r="M83" s="16">
        <v>1.7577464788732395</v>
      </c>
      <c r="N83" s="16">
        <v>4.9999999999999991</v>
      </c>
      <c r="O83" s="16">
        <v>4.3624999999999998</v>
      </c>
      <c r="P83" s="16">
        <v>4.2750000000000004</v>
      </c>
      <c r="Q83" s="16">
        <v>4.5458333333333334</v>
      </c>
      <c r="R83" s="16">
        <v>1.5511508116813513</v>
      </c>
      <c r="S83" s="16">
        <v>0.30250000000000005</v>
      </c>
      <c r="T83" s="16">
        <v>0.37249999999999994</v>
      </c>
      <c r="U83" s="16">
        <v>0.58250000000000002</v>
      </c>
      <c r="V83" s="16">
        <v>0.41916666666666652</v>
      </c>
      <c r="W83" s="16">
        <v>0.26945866290489329</v>
      </c>
      <c r="X83" s="16">
        <v>0.86</v>
      </c>
      <c r="Y83" s="16">
        <v>0.6</v>
      </c>
      <c r="Z83" s="16">
        <v>0.92</v>
      </c>
      <c r="AA83" s="16">
        <v>0.92</v>
      </c>
      <c r="AB83" s="16">
        <v>10.844930417495034</v>
      </c>
      <c r="AC83" s="16">
        <v>0</v>
      </c>
      <c r="AD83" s="16">
        <v>25</v>
      </c>
      <c r="AE83" s="16">
        <v>0</v>
      </c>
      <c r="AF83" s="16">
        <v>25</v>
      </c>
      <c r="AG83" s="16">
        <v>0</v>
      </c>
      <c r="AH83" s="16">
        <v>75</v>
      </c>
      <c r="AI83" s="16">
        <v>0</v>
      </c>
      <c r="AJ83" s="16">
        <v>75</v>
      </c>
      <c r="AK83" s="16">
        <v>75</v>
      </c>
      <c r="AL83" s="16">
        <v>0.21000000000000002</v>
      </c>
      <c r="AM83" s="16">
        <v>0.20250000000000001</v>
      </c>
      <c r="AN83" s="16">
        <v>0.20375000000000001</v>
      </c>
      <c r="AO83" s="16">
        <v>0.20541666666666666</v>
      </c>
      <c r="AP83" s="16">
        <v>0.22463456636456711</v>
      </c>
      <c r="AQ83" s="16">
        <v>0.41</v>
      </c>
      <c r="AR83" s="16">
        <v>0.61</v>
      </c>
      <c r="AS83" s="16">
        <v>0.89</v>
      </c>
      <c r="AT83" s="16">
        <v>0.89</v>
      </c>
      <c r="AU83" s="16">
        <v>20.833333333333336</v>
      </c>
      <c r="AV83" s="16">
        <v>0.25</v>
      </c>
      <c r="AW83" s="16">
        <v>37.5</v>
      </c>
      <c r="AX83" s="16">
        <v>62.5</v>
      </c>
      <c r="AY83" s="16">
        <v>62.5</v>
      </c>
      <c r="AZ83" s="16">
        <v>54.166666666666664</v>
      </c>
      <c r="BA83" s="16">
        <v>50</v>
      </c>
      <c r="BB83" s="16">
        <v>0.58333333333333337</v>
      </c>
      <c r="BC83" s="16">
        <v>25</v>
      </c>
      <c r="BD83" s="16">
        <v>0.125</v>
      </c>
      <c r="BE83" s="16">
        <v>0.125</v>
      </c>
      <c r="BF83" s="16">
        <v>0.125</v>
      </c>
      <c r="BG83" s="16">
        <v>0.125</v>
      </c>
      <c r="BH83" s="16">
        <v>1</v>
      </c>
      <c r="BI83" s="16">
        <v>0.75</v>
      </c>
      <c r="BJ83" s="16">
        <v>1</v>
      </c>
      <c r="BK83" s="16">
        <v>1.25</v>
      </c>
      <c r="BL83" s="16">
        <v>1</v>
      </c>
      <c r="BM83" s="16">
        <v>0.25</v>
      </c>
      <c r="BN83" s="16">
        <v>0</v>
      </c>
      <c r="BO83" s="16">
        <v>0</v>
      </c>
      <c r="BP83" s="16">
        <v>8.3333333333333329E-2</v>
      </c>
      <c r="BQ83" s="16">
        <v>3</v>
      </c>
      <c r="BR83" s="16">
        <v>2.25</v>
      </c>
      <c r="BS83" s="16">
        <v>3.25</v>
      </c>
      <c r="BT83" s="16">
        <v>2.8333333333333335</v>
      </c>
      <c r="BU83" s="16">
        <v>4.1666666666666661</v>
      </c>
      <c r="BV83" s="16">
        <v>54.166666666666664</v>
      </c>
      <c r="BW83" s="16">
        <v>41.666666666666671</v>
      </c>
      <c r="BX83" s="16">
        <v>48.75</v>
      </c>
      <c r="BY83" s="16">
        <v>0.91666666666666663</v>
      </c>
      <c r="BZ83" s="16">
        <v>34.384384384384383</v>
      </c>
      <c r="CA83" s="16">
        <v>14.290078698395934</v>
      </c>
      <c r="CB83" s="16">
        <v>65.61561561561561</v>
      </c>
      <c r="CC83" s="16">
        <v>0</v>
      </c>
      <c r="CD83" s="16">
        <v>0</v>
      </c>
      <c r="CE83" s="16">
        <v>0</v>
      </c>
      <c r="CF83" s="16">
        <v>0</v>
      </c>
      <c r="CG83" s="16">
        <v>0</v>
      </c>
      <c r="CI83" t="str">
        <f t="shared" si="1"/>
        <v>/*204*/ 000  1 12.5 8.09 9.79 1775 1830 1720 5325 1.75774647887324 5 4.3625 4.275 4.54583333333333 1.55115081168135 0.3025 0.3725 0.5825 0.419166666666667 0.269458662904893 0.86 0.6 0.92 0.92 10.844930417495 0 25 0 25 0 75 0 75 75 0.21 0.2025 0.20375 0.205416666666667 0.224634566364567 0.41 0.61 0.89 0.89 20.8333333333333 0.25 37.5 62.5 62.5 54.1666666666667 50 0.583333333333333 25 0.125 0.125 0.125 0.125 1 0.75 1 1.25 1 0.25 0 0 8.33333333333333E-02 3 2.25 3.25 2.83333333333333 4.16666666666667 54.1666666666667 41.6666666666667 48.75 0.916666666666667 34.3843843843844 14.2900786983959 65.6156156156156 0 0 0 0 0;</v>
      </c>
    </row>
    <row r="84" spans="1:87" x14ac:dyDescent="0.25">
      <c r="A84" s="12">
        <v>5</v>
      </c>
      <c r="B84" s="12">
        <v>0</v>
      </c>
      <c r="C84" s="12">
        <v>0</v>
      </c>
      <c r="D84" s="12">
        <v>0</v>
      </c>
      <c r="E84" s="12">
        <v>2</v>
      </c>
      <c r="F84" s="16">
        <v>16.899999999999999</v>
      </c>
      <c r="G84" s="16">
        <v>8.4600000000000009</v>
      </c>
      <c r="H84" s="16">
        <v>12.22</v>
      </c>
      <c r="I84" s="16">
        <v>593</v>
      </c>
      <c r="J84" s="16">
        <v>713</v>
      </c>
      <c r="K84" s="16">
        <v>653</v>
      </c>
      <c r="L84" s="16">
        <v>1959</v>
      </c>
      <c r="M84" s="16">
        <v>6.1255742725880552E-2</v>
      </c>
      <c r="N84" s="16">
        <v>2.4499999999999997</v>
      </c>
      <c r="O84" s="16">
        <v>2.6999999999999997</v>
      </c>
      <c r="P84" s="16">
        <v>3.4999999999999996</v>
      </c>
      <c r="Q84" s="16">
        <v>2.8833333333333342</v>
      </c>
      <c r="R84" s="16">
        <v>0.96082693852592138</v>
      </c>
      <c r="S84" s="16">
        <v>0.11833333333333335</v>
      </c>
      <c r="T84" s="16">
        <v>0.13499999999999998</v>
      </c>
      <c r="U84" s="16">
        <v>0.18500000000000003</v>
      </c>
      <c r="V84" s="16">
        <v>0.14611111111111114</v>
      </c>
      <c r="W84" s="16">
        <v>7.9112136608298952E-2</v>
      </c>
      <c r="X84" s="16">
        <v>0.3</v>
      </c>
      <c r="Y84" s="16">
        <v>0.34</v>
      </c>
      <c r="Z84" s="16">
        <v>0.36</v>
      </c>
      <c r="AA84" s="16">
        <v>0.36</v>
      </c>
      <c r="AB84" s="16">
        <v>19.733840304182511</v>
      </c>
      <c r="AC84" s="16">
        <v>5.5555555555555554</v>
      </c>
      <c r="AD84" s="16">
        <v>13.888888888888889</v>
      </c>
      <c r="AE84" s="16">
        <v>0</v>
      </c>
      <c r="AF84" s="16">
        <v>19.444444444444443</v>
      </c>
      <c r="AG84" s="16">
        <v>2.7777777777777777</v>
      </c>
      <c r="AH84" s="16">
        <v>77.777777777777786</v>
      </c>
      <c r="AI84" s="16">
        <v>0</v>
      </c>
      <c r="AJ84" s="16">
        <v>80.555555555555557</v>
      </c>
      <c r="AK84" s="16">
        <v>77.777777777777786</v>
      </c>
      <c r="AL84" s="16">
        <v>0.22090909090909089</v>
      </c>
      <c r="AM84" s="16">
        <v>0.12636363636363637</v>
      </c>
      <c r="AN84" s="16">
        <v>0.10909090909090911</v>
      </c>
      <c r="AO84" s="16">
        <v>0.14999999999999997</v>
      </c>
      <c r="AP84" s="16">
        <v>0.17647338933351153</v>
      </c>
      <c r="AQ84" s="16">
        <v>0.69</v>
      </c>
      <c r="AR84" s="16">
        <v>0.51</v>
      </c>
      <c r="AS84" s="16">
        <v>0.41</v>
      </c>
      <c r="AT84" s="16">
        <v>0.69</v>
      </c>
      <c r="AU84" s="16">
        <v>20.833333333333336</v>
      </c>
      <c r="AV84" s="16">
        <v>0.20833333333333334</v>
      </c>
      <c r="AW84" s="16">
        <v>37.5</v>
      </c>
      <c r="AX84" s="16">
        <v>75</v>
      </c>
      <c r="AY84" s="16">
        <v>62.5</v>
      </c>
      <c r="AZ84" s="16">
        <v>58.333333333333336</v>
      </c>
      <c r="BA84" s="16">
        <v>33.333333333333329</v>
      </c>
      <c r="BB84" s="16">
        <v>1</v>
      </c>
      <c r="BC84" s="16">
        <v>16.666666666666664</v>
      </c>
      <c r="BD84" s="16">
        <v>0.5</v>
      </c>
      <c r="BE84" s="16">
        <v>0.625</v>
      </c>
      <c r="BF84" s="16">
        <v>0.75</v>
      </c>
      <c r="BG84" s="16">
        <v>0.625</v>
      </c>
      <c r="BH84" s="16">
        <v>1.0833333333333333</v>
      </c>
      <c r="BI84" s="16">
        <v>0.25</v>
      </c>
      <c r="BJ84" s="16">
        <v>0</v>
      </c>
      <c r="BK84" s="16">
        <v>0</v>
      </c>
      <c r="BL84" s="16">
        <v>8.3333333333333329E-2</v>
      </c>
      <c r="BM84" s="16">
        <v>1.25</v>
      </c>
      <c r="BN84" s="16">
        <v>0.75</v>
      </c>
      <c r="BO84" s="16">
        <v>1.5</v>
      </c>
      <c r="BP84" s="16">
        <v>1.1666666666666667</v>
      </c>
      <c r="BQ84" s="16">
        <v>0.25</v>
      </c>
      <c r="BR84" s="16">
        <v>0.5</v>
      </c>
      <c r="BS84" s="16">
        <v>1</v>
      </c>
      <c r="BT84" s="16">
        <v>0.58333333333333337</v>
      </c>
      <c r="BU84" s="16">
        <v>4.1666666666666661</v>
      </c>
      <c r="BV84" s="16">
        <v>91.666666666666657</v>
      </c>
      <c r="BW84" s="16">
        <v>4.1666666666666661</v>
      </c>
      <c r="BX84" s="16">
        <v>32.5</v>
      </c>
      <c r="BY84" s="16">
        <v>1.25</v>
      </c>
      <c r="BZ84" s="16">
        <v>9.9849849849849868</v>
      </c>
      <c r="CA84" s="16">
        <v>6.9644790367958072</v>
      </c>
      <c r="CB84" s="16">
        <v>90.01501501501501</v>
      </c>
      <c r="CC84" s="16">
        <v>0</v>
      </c>
      <c r="CD84" s="16">
        <v>0</v>
      </c>
      <c r="CE84" s="16">
        <v>0</v>
      </c>
      <c r="CF84" s="16">
        <v>0</v>
      </c>
      <c r="CG84" s="16">
        <v>0</v>
      </c>
      <c r="CI84" t="str">
        <f t="shared" si="1"/>
        <v>/*5*/ 000  1 16.9 8.46 12.22 593 713 653 1959 6.12557427258806E-02 2.45 2.7 3.5 2.88333333333333 0.960826938525921 0.118333333333333 0.135 0.185 0.146111111111111 0.079112136608299 0.3 0.34 0.36 0.36 19.7338403041825 5.55555555555556 13.8888888888889 0 19.4444444444444 2.77777777777778 77.7777777777778 0 80.5555555555556 77.7777777777778 0.220909090909091 0.126363636363636 0.109090909090909 0.15 0.176473389333512 0.69 0.51 0.41 0.69 20.8333333333333 0.208333333333333 37.5 75 62.5 58.3333333333333 33.3333333333333 1 16.6666666666667 0.5 0.625 0.75 0.625 1.08333333333333 0.25 0 0 8.33333333333333E-02 1.25 0.75 1.5 1.16666666666667 0.25 0.5 1 0.583333333333333 4.16666666666667 91.6666666666667 4.16666666666667 32.5 1.25 9.98498498498499 6.96447903679581 90.015015015015 0 0 0 0 0;</v>
      </c>
    </row>
    <row r="85" spans="1:87" x14ac:dyDescent="0.25">
      <c r="A85" s="12">
        <v>8</v>
      </c>
      <c r="B85" s="12">
        <v>0</v>
      </c>
      <c r="C85" s="12">
        <v>0</v>
      </c>
      <c r="D85" s="12">
        <v>0</v>
      </c>
      <c r="E85" s="12">
        <v>2</v>
      </c>
      <c r="F85" s="16">
        <v>16.3</v>
      </c>
      <c r="G85" s="16">
        <v>8.32</v>
      </c>
      <c r="H85" s="16">
        <v>13.7</v>
      </c>
      <c r="I85" s="16">
        <v>364</v>
      </c>
      <c r="J85" s="16">
        <v>455</v>
      </c>
      <c r="K85" s="16">
        <v>437</v>
      </c>
      <c r="L85" s="16">
        <v>1256</v>
      </c>
      <c r="M85" s="16">
        <v>0</v>
      </c>
      <c r="N85" s="16">
        <v>2.7500000000000004</v>
      </c>
      <c r="O85" s="16">
        <v>2.5</v>
      </c>
      <c r="P85" s="16">
        <v>3.4250000000000003</v>
      </c>
      <c r="Q85" s="16">
        <v>2.8916666666666662</v>
      </c>
      <c r="R85" s="16">
        <v>0.77230128535586506</v>
      </c>
      <c r="S85" s="16">
        <v>0.15916666666666668</v>
      </c>
      <c r="T85" s="16">
        <v>0.17000000000000004</v>
      </c>
      <c r="U85" s="16">
        <v>0.12249999999999998</v>
      </c>
      <c r="V85" s="16">
        <v>0.15055555555555561</v>
      </c>
      <c r="W85" s="16">
        <v>9.4625410191809686E-2</v>
      </c>
      <c r="X85" s="16">
        <v>0.38</v>
      </c>
      <c r="Y85" s="16">
        <v>0.4</v>
      </c>
      <c r="Z85" s="16">
        <v>0.3</v>
      </c>
      <c r="AA85" s="16">
        <v>0.4</v>
      </c>
      <c r="AB85" s="16">
        <v>19.206642066420653</v>
      </c>
      <c r="AC85" s="16">
        <v>0</v>
      </c>
      <c r="AD85" s="16">
        <v>9.375</v>
      </c>
      <c r="AE85" s="16">
        <v>3.125</v>
      </c>
      <c r="AF85" s="16">
        <v>12.5</v>
      </c>
      <c r="AG85" s="16">
        <v>28.125</v>
      </c>
      <c r="AH85" s="16">
        <v>59.375</v>
      </c>
      <c r="AI85" s="16">
        <v>0</v>
      </c>
      <c r="AJ85" s="16">
        <v>87.5</v>
      </c>
      <c r="AK85" s="16">
        <v>59.375</v>
      </c>
      <c r="AL85" s="16">
        <v>0.15666666666666665</v>
      </c>
      <c r="AM85" s="16">
        <v>0.18500000000000003</v>
      </c>
      <c r="AN85" s="16">
        <v>0.17666666666666667</v>
      </c>
      <c r="AO85" s="16">
        <v>0.17277777777777775</v>
      </c>
      <c r="AP85" s="16">
        <v>0.13863850446623743</v>
      </c>
      <c r="AQ85" s="16">
        <v>0.3</v>
      </c>
      <c r="AR85" s="16">
        <v>0.62</v>
      </c>
      <c r="AS85" s="16">
        <v>0.3</v>
      </c>
      <c r="AT85" s="16">
        <v>0.62</v>
      </c>
      <c r="AU85" s="16">
        <v>66.666666666666657</v>
      </c>
      <c r="AV85" s="16">
        <v>0.16666666666666666</v>
      </c>
      <c r="AW85" s="16">
        <v>25</v>
      </c>
      <c r="AX85" s="16">
        <v>12.5</v>
      </c>
      <c r="AY85" s="16">
        <v>12.5</v>
      </c>
      <c r="AZ85" s="16">
        <v>16.666666666666664</v>
      </c>
      <c r="BA85" s="16">
        <v>66.666666666666657</v>
      </c>
      <c r="BB85" s="16">
        <v>0.83333333333333337</v>
      </c>
      <c r="BC85" s="16">
        <v>16.666666666666664</v>
      </c>
      <c r="BD85" s="16">
        <v>0.25</v>
      </c>
      <c r="BE85" s="16">
        <v>0.25</v>
      </c>
      <c r="BF85" s="16">
        <v>0.25</v>
      </c>
      <c r="BG85" s="16">
        <v>0.25</v>
      </c>
      <c r="BH85" s="16">
        <v>0.625</v>
      </c>
      <c r="BI85" s="16">
        <v>0.25</v>
      </c>
      <c r="BJ85" s="16">
        <v>0.5</v>
      </c>
      <c r="BK85" s="16">
        <v>0</v>
      </c>
      <c r="BL85" s="16">
        <v>0.25</v>
      </c>
      <c r="BM85" s="16">
        <v>0.75</v>
      </c>
      <c r="BN85" s="16">
        <v>0.75</v>
      </c>
      <c r="BO85" s="16">
        <v>2.5</v>
      </c>
      <c r="BP85" s="16">
        <v>1.3333333333333333</v>
      </c>
      <c r="BQ85" s="16">
        <v>0.5</v>
      </c>
      <c r="BR85" s="16">
        <v>0.75</v>
      </c>
      <c r="BS85" s="16">
        <v>0.5</v>
      </c>
      <c r="BT85" s="16">
        <v>0.58333333333333337</v>
      </c>
      <c r="BU85" s="16">
        <v>16.666666666666664</v>
      </c>
      <c r="BV85" s="16">
        <v>66.666666666666657</v>
      </c>
      <c r="BW85" s="16">
        <v>16.666666666666664</v>
      </c>
      <c r="BX85" s="16">
        <v>33.958333333333336</v>
      </c>
      <c r="BY85" s="16">
        <v>1.125</v>
      </c>
      <c r="BZ85" s="16">
        <v>16.816816816816818</v>
      </c>
      <c r="CA85" s="16">
        <v>6.3835105035713964</v>
      </c>
      <c r="CB85" s="16">
        <v>83.183183183183189</v>
      </c>
      <c r="CC85" s="16">
        <v>0</v>
      </c>
      <c r="CD85" s="16">
        <v>0</v>
      </c>
      <c r="CE85" s="16">
        <v>0</v>
      </c>
      <c r="CF85" s="16">
        <v>0</v>
      </c>
      <c r="CG85" s="16">
        <v>0</v>
      </c>
      <c r="CI85" t="str">
        <f t="shared" si="1"/>
        <v>/*8*/ 000  1 16.3 8.32 13.7 364 455 437 1256 0 2.75 2.5 3.425 2.89166666666667 0.772301285355865 0.159166666666667 0.17 0.1225 0.150555555555556 9.46254101918097E-02 0.38 0.4 0.3 0.4 19.2066420664207 0 9.375 3.125 12.5 28.125 59.375 0 87.5 59.375 0.156666666666667 0.185 0.176666666666667 0.172777777777778 0.138638504466237 0.3 0.62 0.3 0.62 66.6666666666667 0.166666666666667 25 12.5 12.5 16.6666666666667 66.6666666666667 0.833333333333333 16.6666666666667 0.25 0.25 0.25 0.25 0.625 0.25 0.5 0 0.25 0.75 0.75 2.5 1.33333333333333 0.5 0.75 0.5 0.583333333333333 16.6666666666667 66.6666666666667 16.6666666666667 33.9583333333333 1.125 16.8168168168168 6.3835105035714 83.1831831831832 0 0 0 0 0;</v>
      </c>
    </row>
    <row r="86" spans="1:87" x14ac:dyDescent="0.25">
      <c r="A86" s="12">
        <v>10</v>
      </c>
      <c r="B86" s="12">
        <v>0</v>
      </c>
      <c r="C86" s="12">
        <v>0</v>
      </c>
      <c r="D86" s="12">
        <v>0</v>
      </c>
      <c r="E86" s="12">
        <v>2</v>
      </c>
      <c r="F86" s="16">
        <v>12.2</v>
      </c>
      <c r="G86" s="16">
        <v>7.73</v>
      </c>
      <c r="H86" s="16">
        <v>12.74</v>
      </c>
      <c r="I86" s="16">
        <v>272</v>
      </c>
      <c r="J86" s="16">
        <v>306</v>
      </c>
      <c r="K86" s="16">
        <v>333</v>
      </c>
      <c r="L86" s="16">
        <v>911</v>
      </c>
      <c r="M86" s="16">
        <v>0</v>
      </c>
      <c r="N86" s="16">
        <v>3.1124999999999994</v>
      </c>
      <c r="O86" s="16">
        <v>2.7125000000000004</v>
      </c>
      <c r="P86" s="16">
        <v>2.875</v>
      </c>
      <c r="Q86" s="16">
        <v>2.9</v>
      </c>
      <c r="R86" s="16">
        <v>1.0986157297886885</v>
      </c>
      <c r="S86" s="16">
        <v>0.16</v>
      </c>
      <c r="T86" s="16">
        <v>0.11600000000000002</v>
      </c>
      <c r="U86" s="16">
        <v>0.12545454545454546</v>
      </c>
      <c r="V86" s="16">
        <v>0.13172413793103452</v>
      </c>
      <c r="W86" s="16">
        <v>5.4580802846869676E-2</v>
      </c>
      <c r="X86" s="16">
        <v>0.24</v>
      </c>
      <c r="Y86" s="16">
        <v>0.19</v>
      </c>
      <c r="Z86" s="16">
        <v>0.22</v>
      </c>
      <c r="AA86" s="16">
        <v>0.24</v>
      </c>
      <c r="AB86" s="16">
        <v>22.015706806282715</v>
      </c>
      <c r="AC86" s="16">
        <v>0</v>
      </c>
      <c r="AD86" s="16">
        <v>11.111111111111111</v>
      </c>
      <c r="AE86" s="16">
        <v>11.111111111111111</v>
      </c>
      <c r="AF86" s="16">
        <v>22.222222222222221</v>
      </c>
      <c r="AG86" s="16">
        <v>7.4074074074074066</v>
      </c>
      <c r="AH86" s="16">
        <v>70.370370370370367</v>
      </c>
      <c r="AI86" s="16">
        <v>0</v>
      </c>
      <c r="AJ86" s="16">
        <v>77.777777777777771</v>
      </c>
      <c r="AK86" s="16">
        <v>70.370370370370367</v>
      </c>
      <c r="AL86" s="16">
        <v>0.17625000000000002</v>
      </c>
      <c r="AM86" s="16">
        <v>0.17</v>
      </c>
      <c r="AN86" s="16">
        <v>0.11099999999999999</v>
      </c>
      <c r="AO86" s="16">
        <v>0.19</v>
      </c>
      <c r="AP86" s="16">
        <v>0.21505813167606569</v>
      </c>
      <c r="AQ86" s="16">
        <v>0.39</v>
      </c>
      <c r="AR86" s="16">
        <v>0.39</v>
      </c>
      <c r="AS86" s="16">
        <v>0.38</v>
      </c>
      <c r="AT86" s="16">
        <v>0.39</v>
      </c>
      <c r="AU86" s="16">
        <v>50</v>
      </c>
      <c r="AV86" s="16">
        <v>0.29166666666666669</v>
      </c>
      <c r="AW86" s="16">
        <v>37.5</v>
      </c>
      <c r="AX86" s="16">
        <v>0</v>
      </c>
      <c r="AY86" s="16">
        <v>25</v>
      </c>
      <c r="AZ86" s="16">
        <v>20.833333333333336</v>
      </c>
      <c r="BA86" s="16">
        <v>50</v>
      </c>
      <c r="BB86" s="16">
        <v>1</v>
      </c>
      <c r="BC86" s="16">
        <v>8.3333333333333321</v>
      </c>
      <c r="BD86" s="16">
        <v>0.125</v>
      </c>
      <c r="BE86" s="16">
        <v>0</v>
      </c>
      <c r="BF86" s="16">
        <v>0.25</v>
      </c>
      <c r="BG86" s="16">
        <v>0.125</v>
      </c>
      <c r="BH86" s="16">
        <v>0.91666666666666663</v>
      </c>
      <c r="BI86" s="16">
        <v>0.25</v>
      </c>
      <c r="BJ86" s="16">
        <v>0.25</v>
      </c>
      <c r="BK86" s="16">
        <v>0.75</v>
      </c>
      <c r="BL86" s="16">
        <v>0.41666666666666669</v>
      </c>
      <c r="BM86" s="16">
        <v>1</v>
      </c>
      <c r="BN86" s="16">
        <v>2.5</v>
      </c>
      <c r="BO86" s="16">
        <v>2.25</v>
      </c>
      <c r="BP86" s="16">
        <v>1.9166666666666667</v>
      </c>
      <c r="BQ86" s="16">
        <v>0</v>
      </c>
      <c r="BR86" s="16">
        <v>0.5</v>
      </c>
      <c r="BS86" s="16">
        <v>0.75</v>
      </c>
      <c r="BT86" s="16">
        <v>0.41666666666666669</v>
      </c>
      <c r="BU86" s="16">
        <v>54.166666666666664</v>
      </c>
      <c r="BV86" s="16">
        <v>41.666666666666671</v>
      </c>
      <c r="BW86" s="16">
        <v>4.1666666666666661</v>
      </c>
      <c r="BX86" s="16">
        <v>20.583333333333332</v>
      </c>
      <c r="BY86" s="16">
        <v>1.3333333333333333</v>
      </c>
      <c r="BZ86" s="16">
        <v>3.1531531531531534</v>
      </c>
      <c r="CA86" s="16">
        <v>2.1509153357603816</v>
      </c>
      <c r="CB86" s="16">
        <v>96.846846846846844</v>
      </c>
      <c r="CC86" s="16">
        <v>0</v>
      </c>
      <c r="CD86" s="16">
        <v>0</v>
      </c>
      <c r="CE86" s="16">
        <v>0</v>
      </c>
      <c r="CF86" s="16">
        <v>0</v>
      </c>
      <c r="CG86" s="16">
        <v>0</v>
      </c>
      <c r="CI86" t="str">
        <f t="shared" si="1"/>
        <v>/*10*/ 000  1 12.2 7.73 12.74 272 306 333 911 0 3.1125 2.7125 2.875 2.9 1.09861572978869 0.16 0.116 0.125454545454545 0.131724137931035 5.45808028468697E-02 0.24 0.19 0.22 0.24 22.0157068062827 0 11.1111111111111 11.1111111111111 22.2222222222222 7.40740740740741 70.3703703703704 0 77.7777777777778 70.3703703703704 0.17625 0.17 0.111 0.19 0.215058131676066 0.39 0.39 0.38 0.39 50 0.291666666666667 37.5 0 25 20.8333333333333 50 1 8.33333333333333 0.125 0 0.25 0.125 0.916666666666667 0.25 0.25 0.75 0.416666666666667 1 2.5 2.25 1.91666666666667 0 0.5 0.75 0.416666666666667 54.1666666666667 41.6666666666667 4.16666666666667 20.5833333333333 1.33333333333333 3.15315315315315 2.15091533576038 96.8468468468468 0 0 0 0 0;</v>
      </c>
    </row>
    <row r="87" spans="1:87" x14ac:dyDescent="0.25">
      <c r="A87" s="12">
        <v>17</v>
      </c>
      <c r="B87" s="12">
        <v>0</v>
      </c>
      <c r="C87" s="12">
        <v>0</v>
      </c>
      <c r="D87" s="12">
        <v>0</v>
      </c>
      <c r="E87" s="12">
        <v>2</v>
      </c>
      <c r="F87" s="16">
        <v>13.9</v>
      </c>
      <c r="G87" s="16">
        <v>8.32</v>
      </c>
      <c r="H87" s="16">
        <v>11.65</v>
      </c>
      <c r="I87" s="16">
        <v>888</v>
      </c>
      <c r="J87" s="16">
        <v>786</v>
      </c>
      <c r="K87" s="16">
        <v>813</v>
      </c>
      <c r="L87" s="16">
        <v>2487</v>
      </c>
      <c r="M87" s="16">
        <v>7.2376357056694818E-2</v>
      </c>
      <c r="N87" s="16">
        <v>5.2874999999999996</v>
      </c>
      <c r="O87" s="16">
        <v>4.9124999999999996</v>
      </c>
      <c r="P87" s="16">
        <v>4.1999999999999993</v>
      </c>
      <c r="Q87" s="16">
        <v>4.8000000000000016</v>
      </c>
      <c r="R87" s="16">
        <v>1.8308942932467371</v>
      </c>
      <c r="S87" s="16">
        <v>0.21312500000000004</v>
      </c>
      <c r="T87" s="16">
        <v>0.23999999999999996</v>
      </c>
      <c r="U87" s="16">
        <v>0.25875000000000004</v>
      </c>
      <c r="V87" s="16">
        <v>0.23723404255319153</v>
      </c>
      <c r="W87" s="16">
        <v>0.15364699982440799</v>
      </c>
      <c r="X87" s="16">
        <v>0.59</v>
      </c>
      <c r="Y87" s="16">
        <v>0.72</v>
      </c>
      <c r="Z87" s="16">
        <v>0.57999999999999996</v>
      </c>
      <c r="AA87" s="16">
        <v>0.72</v>
      </c>
      <c r="AB87" s="16">
        <v>20.233183856502247</v>
      </c>
      <c r="AC87" s="16">
        <v>0</v>
      </c>
      <c r="AD87" s="16">
        <v>9.5238095238095237</v>
      </c>
      <c r="AE87" s="16">
        <v>7.1428571428571423</v>
      </c>
      <c r="AF87" s="16">
        <v>16.666666666666664</v>
      </c>
      <c r="AG87" s="16">
        <v>0</v>
      </c>
      <c r="AH87" s="16">
        <v>80.952380952380949</v>
      </c>
      <c r="AI87" s="16">
        <v>2.3809523809523809</v>
      </c>
      <c r="AJ87" s="16">
        <v>83.333333333333329</v>
      </c>
      <c r="AK87" s="16">
        <v>80.952380952380949</v>
      </c>
      <c r="AL87" s="16">
        <v>0.18999999999999995</v>
      </c>
      <c r="AM87" s="16">
        <v>0.13799999999999998</v>
      </c>
      <c r="AN87" s="16">
        <v>0.19874999999999995</v>
      </c>
      <c r="AO87" s="16">
        <v>0.17638297872340425</v>
      </c>
      <c r="AP87" s="16">
        <v>0.15216446382714946</v>
      </c>
      <c r="AQ87" s="16">
        <v>0.56999999999999995</v>
      </c>
      <c r="AR87" s="16">
        <v>0.4</v>
      </c>
      <c r="AS87" s="16">
        <v>0.53</v>
      </c>
      <c r="AT87" s="16">
        <v>0.56999999999999995</v>
      </c>
      <c r="AU87" s="16">
        <v>41.666666666666671</v>
      </c>
      <c r="AV87" s="16">
        <v>0.20833333333333334</v>
      </c>
      <c r="AW87" s="16">
        <v>37.5</v>
      </c>
      <c r="AX87" s="16">
        <v>37.5</v>
      </c>
      <c r="AY87" s="16">
        <v>37.5</v>
      </c>
      <c r="AZ87" s="16">
        <v>37.5</v>
      </c>
      <c r="BA87" s="16">
        <v>41.666666666666671</v>
      </c>
      <c r="BB87" s="16">
        <v>1</v>
      </c>
      <c r="BC87" s="16">
        <v>25</v>
      </c>
      <c r="BD87" s="16">
        <v>0.625</v>
      </c>
      <c r="BE87" s="16">
        <v>0.625</v>
      </c>
      <c r="BF87" s="16">
        <v>0.75</v>
      </c>
      <c r="BG87" s="16">
        <v>0.66666666666666663</v>
      </c>
      <c r="BH87" s="16">
        <v>1.0416666666666667</v>
      </c>
      <c r="BI87" s="16">
        <v>0.5</v>
      </c>
      <c r="BJ87" s="16">
        <v>0.25</v>
      </c>
      <c r="BK87" s="16">
        <v>0.75</v>
      </c>
      <c r="BL87" s="16">
        <v>0.5</v>
      </c>
      <c r="BM87" s="16">
        <v>0.75</v>
      </c>
      <c r="BN87" s="16">
        <v>2</v>
      </c>
      <c r="BO87" s="16">
        <v>1</v>
      </c>
      <c r="BP87" s="16">
        <v>1.25</v>
      </c>
      <c r="BQ87" s="16">
        <v>1</v>
      </c>
      <c r="BR87" s="16">
        <v>1.25</v>
      </c>
      <c r="BS87" s="16">
        <v>2</v>
      </c>
      <c r="BT87" s="16">
        <v>1.4166666666666667</v>
      </c>
      <c r="BU87" s="16">
        <v>25</v>
      </c>
      <c r="BV87" s="16">
        <v>58.333333333333336</v>
      </c>
      <c r="BW87" s="16">
        <v>16.666666666666664</v>
      </c>
      <c r="BX87" s="16">
        <v>32.083333333333336</v>
      </c>
      <c r="BY87" s="16">
        <v>0.41666666666666669</v>
      </c>
      <c r="BZ87" s="16">
        <v>18.918918918918919</v>
      </c>
      <c r="CA87" s="16">
        <v>6.2335497797918364</v>
      </c>
      <c r="CB87" s="16">
        <v>81.081081081081081</v>
      </c>
      <c r="CC87" s="16">
        <v>0</v>
      </c>
      <c r="CD87" s="16">
        <v>0</v>
      </c>
      <c r="CE87" s="16">
        <v>0</v>
      </c>
      <c r="CF87" s="16">
        <v>0</v>
      </c>
      <c r="CG87" s="16">
        <v>0</v>
      </c>
      <c r="CI87" t="str">
        <f t="shared" si="1"/>
        <v>/*17*/ 000  1 13.9 8.32 11.65 888 786 813 2487 7.23763570566948E-02 5.2875 4.9125 4.2 4.8 1.83089429324674 0.213125 0.24 0.25875 0.237234042553192 0.153646999824408 0.59 0.72 0.58 0.72 20.2331838565022 0 9.52380952380952 7.14285714285714 16.6666666666667 0 80.9523809523809 2.38095238095238 83.3333333333333 80.9523809523809 0.19 0.138 0.19875 0.176382978723404 0.152164463827149 0.57 0.4 0.53 0.57 41.6666666666667 0.208333333333333 37.5 37.5 37.5 37.5 41.6666666666667 1 25 0.625 0.625 0.75 0.666666666666667 1.04166666666667 0.5 0.25 0.75 0.5 0.75 2 1 1.25 1 1.25 2 1.41666666666667 25 58.3333333333333 16.6666666666667 32.0833333333333 0.416666666666667 18.9189189189189 6.23354977979184 81.0810810810811 0 0 0 0 0;</v>
      </c>
    </row>
    <row r="88" spans="1:87" x14ac:dyDescent="0.25">
      <c r="A88" s="12" t="s">
        <v>11</v>
      </c>
      <c r="B88" s="12">
        <v>0</v>
      </c>
      <c r="C88" s="12">
        <v>0</v>
      </c>
      <c r="D88" s="12">
        <v>0</v>
      </c>
      <c r="E88" s="12">
        <v>2</v>
      </c>
      <c r="F88" s="16">
        <v>16</v>
      </c>
      <c r="G88" s="16">
        <v>8.07</v>
      </c>
      <c r="H88" s="16">
        <v>11.17</v>
      </c>
      <c r="I88" s="16">
        <v>283</v>
      </c>
      <c r="J88" s="16">
        <v>353</v>
      </c>
      <c r="K88" s="16">
        <v>384</v>
      </c>
      <c r="L88" s="16">
        <v>1020</v>
      </c>
      <c r="M88" s="16">
        <v>0</v>
      </c>
      <c r="N88" s="16">
        <v>1.675</v>
      </c>
      <c r="O88" s="16">
        <v>1.6749999999999998</v>
      </c>
      <c r="P88" s="16">
        <v>2.375</v>
      </c>
      <c r="Q88" s="16">
        <v>1.9083333333333332</v>
      </c>
      <c r="R88" s="16">
        <v>0.52743568877835878</v>
      </c>
      <c r="S88" s="16">
        <v>0.22999999999999998</v>
      </c>
      <c r="T88" s="16">
        <v>0.21600000000000003</v>
      </c>
      <c r="U88" s="16">
        <v>0.26285714285714284</v>
      </c>
      <c r="V88" s="16">
        <v>0.23941176470588238</v>
      </c>
      <c r="W88" s="16">
        <v>7.8583720130308898E-2</v>
      </c>
      <c r="X88" s="16">
        <v>0.3</v>
      </c>
      <c r="Y88" s="16">
        <v>0.3</v>
      </c>
      <c r="Z88" s="16">
        <v>0.38</v>
      </c>
      <c r="AA88" s="16">
        <v>0.38</v>
      </c>
      <c r="AB88" s="16">
        <v>7.9709254709254695</v>
      </c>
      <c r="AC88" s="16">
        <v>2.9411764705882351</v>
      </c>
      <c r="AD88" s="16">
        <v>50</v>
      </c>
      <c r="AE88" s="16">
        <v>8.8235294117647065</v>
      </c>
      <c r="AF88" s="16">
        <v>61.764705882352942</v>
      </c>
      <c r="AG88" s="16">
        <v>14.705882352941178</v>
      </c>
      <c r="AH88" s="16">
        <v>23.52941176470588</v>
      </c>
      <c r="AI88" s="16">
        <v>0</v>
      </c>
      <c r="AJ88" s="16">
        <v>38.235294117647058</v>
      </c>
      <c r="AK88" s="16">
        <v>50</v>
      </c>
      <c r="AL88" s="16">
        <v>6.7777777777777784E-2</v>
      </c>
      <c r="AM88" s="16">
        <v>0.15333333333333332</v>
      </c>
      <c r="AN88" s="16">
        <v>4.4615384615384626E-2</v>
      </c>
      <c r="AO88" s="16">
        <v>8.5882352941176465E-2</v>
      </c>
      <c r="AP88" s="16">
        <v>0.11297942014417534</v>
      </c>
      <c r="AQ88" s="16">
        <v>0.18</v>
      </c>
      <c r="AR88" s="16">
        <v>0.57999999999999996</v>
      </c>
      <c r="AS88" s="16">
        <v>0.17</v>
      </c>
      <c r="AT88" s="16">
        <v>0.57999999999999996</v>
      </c>
      <c r="AU88" s="16">
        <v>8.3333333333333321</v>
      </c>
      <c r="AV88" s="16">
        <v>0.41666666666666669</v>
      </c>
      <c r="AW88" s="16">
        <v>37.5</v>
      </c>
      <c r="AX88" s="16">
        <v>37.5</v>
      </c>
      <c r="AY88" s="16">
        <v>75</v>
      </c>
      <c r="AZ88" s="16">
        <v>50</v>
      </c>
      <c r="BA88" s="16">
        <v>41.666666666666671</v>
      </c>
      <c r="BB88" s="16">
        <v>0.16666666666666666</v>
      </c>
      <c r="BC88" s="16">
        <v>8.3333333333333321</v>
      </c>
      <c r="BD88" s="16">
        <v>0.125</v>
      </c>
      <c r="BE88" s="16">
        <v>0.125</v>
      </c>
      <c r="BF88" s="16">
        <v>0</v>
      </c>
      <c r="BG88" s="16">
        <v>8.3333333333333329E-2</v>
      </c>
      <c r="BH88" s="16">
        <v>8.3333333333333329E-2</v>
      </c>
      <c r="BI88" s="16">
        <v>1.25</v>
      </c>
      <c r="BJ88" s="16">
        <v>2.5</v>
      </c>
      <c r="BK88" s="16">
        <v>1.75</v>
      </c>
      <c r="BL88" s="16">
        <v>1.8333333333333333</v>
      </c>
      <c r="BM88" s="16">
        <v>0</v>
      </c>
      <c r="BN88" s="16">
        <v>0</v>
      </c>
      <c r="BO88" s="16">
        <v>0</v>
      </c>
      <c r="BP88" s="16">
        <v>0</v>
      </c>
      <c r="BQ88" s="16">
        <v>1.75</v>
      </c>
      <c r="BR88" s="16">
        <v>2.25</v>
      </c>
      <c r="BS88" s="16">
        <v>2.5</v>
      </c>
      <c r="BT88" s="16">
        <v>2.1666666666666665</v>
      </c>
      <c r="BU88" s="16">
        <v>0</v>
      </c>
      <c r="BV88" s="16">
        <v>66.666666666666657</v>
      </c>
      <c r="BW88" s="16">
        <v>33.333333333333329</v>
      </c>
      <c r="BX88" s="16">
        <v>47.083333333333336</v>
      </c>
      <c r="BY88" s="16">
        <v>0.41666666666666669</v>
      </c>
      <c r="BZ88" s="16">
        <v>43.693693693693696</v>
      </c>
      <c r="CA88" s="16">
        <v>10.294222384073194</v>
      </c>
      <c r="CB88" s="16">
        <v>56.306306306306304</v>
      </c>
      <c r="CC88" s="16">
        <v>0</v>
      </c>
      <c r="CD88" s="16">
        <v>0</v>
      </c>
      <c r="CE88" s="16">
        <v>0</v>
      </c>
      <c r="CF88" s="16">
        <v>0</v>
      </c>
      <c r="CG88" s="16">
        <v>0</v>
      </c>
      <c r="CI88" t="str">
        <f t="shared" si="1"/>
        <v>/*28b*/ 000  1 16 8.07 11.17 283 353 384 1020 0 1.675 1.675 2.375 1.90833333333333 0.527435688778359 0.23 0.216 0.262857142857143 0.239411764705882 7.85837201303089E-02 0.3 0.3 0.38 0.38 7.97092547092547 2.94117647058824 50 8.82352941176471 61.7647058823529 14.7058823529412 23.5294117647059 0 38.2352941176471 50 6.77777777777778E-02 0.153333333333333 4.46153846153846E-02 8.58823529411765E-02 0.112979420144175 0.18 0.58 0.17 0.58 8.33333333333333 0.416666666666667 37.5 37.5 75 50 41.6666666666667 0.166666666666667 8.33333333333333 0.125 0.125 0 8.33333333333333E-02 8.33333333333333E-02 1.25 2.5 1.75 1.83333333333333 0 0 0 0 1.75 2.25 2.5 2.16666666666667 0 66.6666666666667 33.3333333333333 47.0833333333333 0.416666666666667 43.6936936936937 10.2942223840732 56.3063063063063 0 0 0 0 0;</v>
      </c>
    </row>
    <row r="89" spans="1:87" x14ac:dyDescent="0.25">
      <c r="A89" s="12">
        <v>24</v>
      </c>
      <c r="B89" s="12">
        <v>1</v>
      </c>
      <c r="C89" s="12">
        <v>1</v>
      </c>
      <c r="D89" s="12">
        <v>1</v>
      </c>
      <c r="E89" s="12">
        <v>2</v>
      </c>
      <c r="F89" s="16">
        <v>14.9</v>
      </c>
      <c r="G89" s="16">
        <v>7.69</v>
      </c>
      <c r="H89" s="16">
        <v>10.23</v>
      </c>
      <c r="I89" s="16">
        <v>868</v>
      </c>
      <c r="J89" s="16">
        <v>520</v>
      </c>
      <c r="K89" s="16">
        <v>488</v>
      </c>
      <c r="L89" s="16">
        <v>1876</v>
      </c>
      <c r="M89" s="16">
        <v>0.89552238805970152</v>
      </c>
      <c r="N89" s="16">
        <v>3.2875000000000001</v>
      </c>
      <c r="O89" s="16">
        <v>3.7</v>
      </c>
      <c r="P89" s="16">
        <v>3.45</v>
      </c>
      <c r="Q89" s="16">
        <v>3.4791666666666674</v>
      </c>
      <c r="R89" s="16">
        <v>0.89295755128997722</v>
      </c>
      <c r="S89" s="16">
        <v>0.28000000000000008</v>
      </c>
      <c r="T89" s="16">
        <v>0.15076923076923079</v>
      </c>
      <c r="U89" s="16">
        <v>0.29428571428571432</v>
      </c>
      <c r="V89" s="16">
        <v>0.24476190476190482</v>
      </c>
      <c r="W89" s="16">
        <v>0.14913143810219801</v>
      </c>
      <c r="X89" s="16">
        <v>0.6</v>
      </c>
      <c r="Y89" s="16">
        <v>0.4</v>
      </c>
      <c r="Z89" s="16">
        <v>0.54</v>
      </c>
      <c r="AA89" s="16">
        <v>0.6</v>
      </c>
      <c r="AB89" s="16">
        <v>14.214494163424124</v>
      </c>
      <c r="AC89" s="16">
        <v>2.5</v>
      </c>
      <c r="AD89" s="16">
        <v>5</v>
      </c>
      <c r="AE89" s="16">
        <v>0</v>
      </c>
      <c r="AF89" s="16">
        <v>7.5</v>
      </c>
      <c r="AG89" s="16">
        <v>5</v>
      </c>
      <c r="AH89" s="16">
        <v>85</v>
      </c>
      <c r="AI89" s="16">
        <v>2.5</v>
      </c>
      <c r="AJ89" s="16">
        <v>92.5</v>
      </c>
      <c r="AK89" s="16">
        <v>85</v>
      </c>
      <c r="AL89" s="16">
        <v>0.11600000000000002</v>
      </c>
      <c r="AM89" s="16">
        <v>0.19916666666666669</v>
      </c>
      <c r="AN89" s="16">
        <v>0.12153846153846154</v>
      </c>
      <c r="AO89" s="16">
        <v>0.14619047619047612</v>
      </c>
      <c r="AP89" s="16">
        <v>0.14573534952854356</v>
      </c>
      <c r="AQ89" s="16">
        <v>0.31</v>
      </c>
      <c r="AR89" s="16">
        <v>0.44</v>
      </c>
      <c r="AS89" s="16">
        <v>0.69</v>
      </c>
      <c r="AT89" s="16">
        <v>0.69</v>
      </c>
      <c r="AU89" s="16">
        <v>29.166666666666668</v>
      </c>
      <c r="AV89" s="16">
        <v>0.33333333333333331</v>
      </c>
      <c r="AW89" s="16">
        <v>50</v>
      </c>
      <c r="AX89" s="16">
        <v>0</v>
      </c>
      <c r="AY89" s="16">
        <v>62.5</v>
      </c>
      <c r="AZ89" s="16">
        <v>37.5</v>
      </c>
      <c r="BA89" s="16">
        <v>33.333333333333329</v>
      </c>
      <c r="BB89" s="16">
        <v>1.25</v>
      </c>
      <c r="BC89" s="16">
        <v>41.666666666666671</v>
      </c>
      <c r="BD89" s="16">
        <v>0.125</v>
      </c>
      <c r="BE89" s="16">
        <v>0</v>
      </c>
      <c r="BF89" s="16">
        <v>0.375</v>
      </c>
      <c r="BG89" s="16">
        <v>0.16666666666666666</v>
      </c>
      <c r="BH89" s="16">
        <v>0.95833333333333337</v>
      </c>
      <c r="BI89" s="16">
        <v>1.25</v>
      </c>
      <c r="BJ89" s="16">
        <v>0.5</v>
      </c>
      <c r="BK89" s="16">
        <v>1.5</v>
      </c>
      <c r="BL89" s="16">
        <v>1.0833333333333333</v>
      </c>
      <c r="BM89" s="16">
        <v>0.5</v>
      </c>
      <c r="BN89" s="16">
        <v>1</v>
      </c>
      <c r="BO89" s="16">
        <v>0</v>
      </c>
      <c r="BP89" s="16">
        <v>0.5</v>
      </c>
      <c r="BQ89" s="16">
        <v>1.75</v>
      </c>
      <c r="BR89" s="16">
        <v>0.25</v>
      </c>
      <c r="BS89" s="16">
        <v>2.75</v>
      </c>
      <c r="BT89" s="16">
        <v>1.5833333333333333</v>
      </c>
      <c r="BU89" s="16">
        <v>8.3333333333333321</v>
      </c>
      <c r="BV89" s="16">
        <v>62.5</v>
      </c>
      <c r="BW89" s="16">
        <v>29.166666666666668</v>
      </c>
      <c r="BX89" s="16">
        <v>37.708333333333336</v>
      </c>
      <c r="BY89" s="16">
        <v>0.83333333333333337</v>
      </c>
      <c r="BZ89" s="16">
        <v>7.8828828828828827</v>
      </c>
      <c r="CA89" s="16">
        <v>8.0191734522419988</v>
      </c>
      <c r="CB89" s="16">
        <v>92.117117117117118</v>
      </c>
      <c r="CC89" s="16">
        <v>0</v>
      </c>
      <c r="CD89" s="16">
        <v>0</v>
      </c>
      <c r="CE89" s="16">
        <v>0</v>
      </c>
      <c r="CF89" s="16">
        <v>0</v>
      </c>
      <c r="CG89" s="16">
        <v>0</v>
      </c>
      <c r="CI89" t="str">
        <f t="shared" si="1"/>
        <v>/*24*/ 111  1 14.9 7.69 10.23 868 520 488 1876 0.895522388059702 3.2875 3.7 3.45 3.47916666666667 0.892957551289977 0.28 0.150769230769231 0.294285714285714 0.244761904761905 0.149131438102198 0.6 0.4 0.54 0.6 14.2144941634241 2.5 5 0 7.5 5 85 2.5 92.5 85 0.116 0.199166666666667 0.121538461538462 0.146190476190476 0.145735349528544 0.31 0.44 0.69 0.69 29.1666666666667 0.333333333333333 50 0 62.5 37.5 33.3333333333333 1.25 41.6666666666667 0.125 0 0.375 0.166666666666667 0.958333333333333 1.25 0.5 1.5 1.08333333333333 0.5 1 0 0.5 1.75 0.25 2.75 1.58333333333333 8.33333333333333 62.5 29.1666666666667 37.7083333333333 0.833333333333333 7.88288288288288 8.019173452242 92.1171171171171 0 0 0 0 0;</v>
      </c>
    </row>
    <row r="90" spans="1:87" x14ac:dyDescent="0.25">
      <c r="A90" s="12">
        <v>61</v>
      </c>
      <c r="B90" s="12">
        <v>0</v>
      </c>
      <c r="C90" s="12">
        <v>0</v>
      </c>
      <c r="D90" s="12">
        <v>0</v>
      </c>
      <c r="E90" s="12">
        <v>2</v>
      </c>
      <c r="F90" s="16">
        <v>22.2</v>
      </c>
      <c r="G90" s="16">
        <v>8.6</v>
      </c>
      <c r="H90" s="16">
        <v>12.61</v>
      </c>
      <c r="I90" s="16">
        <v>1875</v>
      </c>
      <c r="J90" s="16">
        <v>1456</v>
      </c>
      <c r="K90" s="16">
        <v>1552</v>
      </c>
      <c r="L90" s="16">
        <v>4883</v>
      </c>
      <c r="M90" s="16">
        <v>1.2287528158918698E-2</v>
      </c>
      <c r="N90" s="16">
        <v>3.2124999999999999</v>
      </c>
      <c r="O90" s="16">
        <v>4.9750000000000005</v>
      </c>
      <c r="P90" s="16">
        <v>8.7249999999999996</v>
      </c>
      <c r="Q90" s="16">
        <v>5.6375000000000002</v>
      </c>
      <c r="R90" s="16">
        <v>3.0394239299720849</v>
      </c>
      <c r="S90" s="16">
        <v>0.33799999999999997</v>
      </c>
      <c r="T90" s="16">
        <v>0.23374999999999996</v>
      </c>
      <c r="U90" s="16">
        <v>0.32133333333333336</v>
      </c>
      <c r="V90" s="16">
        <v>0.296304347826087</v>
      </c>
      <c r="W90" s="16">
        <v>0.18657567658134697</v>
      </c>
      <c r="X90" s="16">
        <v>0.64</v>
      </c>
      <c r="Y90" s="16">
        <v>0.52</v>
      </c>
      <c r="Z90" s="16">
        <v>1.08</v>
      </c>
      <c r="AA90" s="16">
        <v>1.08</v>
      </c>
      <c r="AB90" s="16">
        <v>19.026045487894347</v>
      </c>
      <c r="AC90" s="16">
        <v>2.1739130434782608</v>
      </c>
      <c r="AD90" s="16">
        <v>8.695652173913043</v>
      </c>
      <c r="AE90" s="16">
        <v>8.695652173913043</v>
      </c>
      <c r="AF90" s="16">
        <v>19.565217391304348</v>
      </c>
      <c r="AG90" s="16">
        <v>0</v>
      </c>
      <c r="AH90" s="16">
        <v>73.91304347826086</v>
      </c>
      <c r="AI90" s="16">
        <v>6.5217391304347823</v>
      </c>
      <c r="AJ90" s="16">
        <v>80.434782608695642</v>
      </c>
      <c r="AK90" s="16">
        <v>73.91304347826086</v>
      </c>
      <c r="AL90" s="16">
        <v>0.15642857142857142</v>
      </c>
      <c r="AM90" s="16">
        <v>0.28600000000000009</v>
      </c>
      <c r="AN90" s="16">
        <v>0.1242857142857143</v>
      </c>
      <c r="AO90" s="16">
        <v>0.18108695652173909</v>
      </c>
      <c r="AP90" s="16">
        <v>0.18876473612373879</v>
      </c>
      <c r="AQ90" s="16">
        <v>0.69</v>
      </c>
      <c r="AR90" s="16">
        <v>0.78</v>
      </c>
      <c r="AS90" s="16">
        <v>0.41</v>
      </c>
      <c r="AT90" s="16">
        <v>0.78</v>
      </c>
      <c r="AU90" s="16">
        <v>25</v>
      </c>
      <c r="AV90" s="16">
        <v>0.41666666666666669</v>
      </c>
      <c r="AW90" s="16">
        <v>25</v>
      </c>
      <c r="AX90" s="16">
        <v>12.5</v>
      </c>
      <c r="AY90" s="16">
        <v>62.5</v>
      </c>
      <c r="AZ90" s="16">
        <v>33.333333333333329</v>
      </c>
      <c r="BA90" s="16">
        <v>41.666666666666671</v>
      </c>
      <c r="BB90" s="16">
        <v>2.3333333333333335</v>
      </c>
      <c r="BC90" s="16">
        <v>66.666666666666657</v>
      </c>
      <c r="BD90" s="16">
        <v>0.125</v>
      </c>
      <c r="BE90" s="16">
        <v>0.25</v>
      </c>
      <c r="BF90" s="16">
        <v>0</v>
      </c>
      <c r="BG90" s="16">
        <v>0.125</v>
      </c>
      <c r="BH90" s="16">
        <v>0.625</v>
      </c>
      <c r="BI90" s="16">
        <v>0.75</v>
      </c>
      <c r="BJ90" s="16">
        <v>0.25</v>
      </c>
      <c r="BK90" s="16">
        <v>0</v>
      </c>
      <c r="BL90" s="16">
        <v>0.33333333333333331</v>
      </c>
      <c r="BM90" s="16">
        <v>1</v>
      </c>
      <c r="BN90" s="16">
        <v>3</v>
      </c>
      <c r="BO90" s="16">
        <v>1.5</v>
      </c>
      <c r="BP90" s="16">
        <v>1.8333333333333333</v>
      </c>
      <c r="BQ90" s="16">
        <v>1.25</v>
      </c>
      <c r="BR90" s="16">
        <v>0.5</v>
      </c>
      <c r="BS90" s="16">
        <v>0.75</v>
      </c>
      <c r="BT90" s="16">
        <v>0.83333333333333337</v>
      </c>
      <c r="BU90" s="16">
        <v>33.333333333333329</v>
      </c>
      <c r="BV90" s="16">
        <v>58.333333333333336</v>
      </c>
      <c r="BW90" s="16">
        <v>8.3333333333333321</v>
      </c>
      <c r="BX90" s="16">
        <v>29.166666666666668</v>
      </c>
      <c r="BY90" s="16">
        <v>0.625</v>
      </c>
      <c r="BZ90" s="16">
        <v>33.108108108108105</v>
      </c>
      <c r="CA90" s="16">
        <v>15.224744895821971</v>
      </c>
      <c r="CB90" s="16">
        <v>66.891891891891902</v>
      </c>
      <c r="CC90" s="16">
        <v>0</v>
      </c>
      <c r="CD90" s="16">
        <v>0</v>
      </c>
      <c r="CE90" s="16">
        <v>0</v>
      </c>
      <c r="CF90" s="16">
        <v>0</v>
      </c>
      <c r="CG90" s="16">
        <v>0</v>
      </c>
      <c r="CI90" t="str">
        <f t="shared" si="1"/>
        <v>/*61*/ 000  1 22.2 8.6 12.61 1875 1456 1552 4883 1.22875281589187E-02 3.2125 4.975 8.725 5.6375 3.03942392997208 0.338 0.23375 0.321333333333333 0.296304347826087 0.186575676581347 0.64 0.52 1.08 1.08 19.0260454878943 2.17391304347826 8.69565217391304 8.69565217391304 19.5652173913043 0 73.9130434782609 6.52173913043478 80.4347826086956 73.9130434782609 0.156428571428571 0.286 0.124285714285714 0.181086956521739 0.188764736123739 0.69 0.78 0.41 0.78 25 0.416666666666667 25 12.5 62.5 33.3333333333333 41.6666666666667 2.33333333333333 66.6666666666667 0.125 0.25 0 0.125 0.625 0.75 0.25 0 0.333333333333333 1 3 1.5 1.83333333333333 1.25 0.5 0.75 0.833333333333333 33.3333333333333 58.3333333333333 8.33333333333333 29.1666666666667 0.625 33.1081081081081 15.224744895822 66.8918918918919 0 0 0 0 0;</v>
      </c>
    </row>
    <row r="93" spans="1:87" x14ac:dyDescent="0.25">
      <c r="A93" t="s">
        <v>2</v>
      </c>
      <c r="B93" t="s">
        <v>60</v>
      </c>
      <c r="C93" t="s">
        <v>17</v>
      </c>
      <c r="D93" t="s">
        <v>59</v>
      </c>
      <c r="E93" t="s">
        <v>58</v>
      </c>
      <c r="F93" t="s">
        <v>57</v>
      </c>
      <c r="G93" t="s">
        <v>56</v>
      </c>
      <c r="H93" t="s">
        <v>55</v>
      </c>
      <c r="I93" t="s">
        <v>527</v>
      </c>
      <c r="J93" t="s">
        <v>54</v>
      </c>
      <c r="K93" t="s">
        <v>53</v>
      </c>
      <c r="L93" t="s">
        <v>52</v>
      </c>
      <c r="M93" t="s">
        <v>51</v>
      </c>
      <c r="N93" t="s">
        <v>50</v>
      </c>
      <c r="O93" t="s">
        <v>61</v>
      </c>
      <c r="P93" t="s">
        <v>62</v>
      </c>
      <c r="Q93" t="s">
        <v>63</v>
      </c>
      <c r="R93" t="s">
        <v>64</v>
      </c>
      <c r="S93" t="s">
        <v>503</v>
      </c>
      <c r="T93" t="s">
        <v>65</v>
      </c>
      <c r="U93" t="s">
        <v>66</v>
      </c>
      <c r="V93" t="s">
        <v>67</v>
      </c>
      <c r="W93" t="s">
        <v>32</v>
      </c>
      <c r="X93" t="s">
        <v>520</v>
      </c>
      <c r="Y93" t="s">
        <v>68</v>
      </c>
      <c r="Z93" t="s">
        <v>69</v>
      </c>
      <c r="AA93" t="s">
        <v>252</v>
      </c>
      <c r="AB93" t="s">
        <v>70</v>
      </c>
      <c r="AC93" t="s">
        <v>253</v>
      </c>
      <c r="AD93" t="s">
        <v>254</v>
      </c>
      <c r="AE93" t="s">
        <v>255</v>
      </c>
      <c r="AF93" t="s">
        <v>71</v>
      </c>
      <c r="AG93" t="s">
        <v>72</v>
      </c>
      <c r="AH93" t="s">
        <v>73</v>
      </c>
      <c r="AI93" t="s">
        <v>74</v>
      </c>
      <c r="AJ93" t="s">
        <v>75</v>
      </c>
      <c r="AK93" t="s">
        <v>257</v>
      </c>
      <c r="AL93" t="s">
        <v>256</v>
      </c>
      <c r="AM93" t="s">
        <v>76</v>
      </c>
      <c r="AN93" t="s">
        <v>77</v>
      </c>
      <c r="AO93" t="s">
        <v>78</v>
      </c>
      <c r="AP93" t="s">
        <v>258</v>
      </c>
      <c r="AQ93" t="s">
        <v>507</v>
      </c>
      <c r="AR93" t="s">
        <v>79</v>
      </c>
      <c r="AS93" t="s">
        <v>80</v>
      </c>
      <c r="AT93" t="s">
        <v>81</v>
      </c>
      <c r="AU93" t="s">
        <v>82</v>
      </c>
      <c r="AV93" t="s">
        <v>83</v>
      </c>
      <c r="AW93" t="s">
        <v>84</v>
      </c>
      <c r="AX93" t="s">
        <v>517</v>
      </c>
      <c r="AY93" t="s">
        <v>518</v>
      </c>
      <c r="AZ93" t="s">
        <v>493</v>
      </c>
      <c r="BA93" t="s">
        <v>494</v>
      </c>
      <c r="BB93" t="s">
        <v>495</v>
      </c>
      <c r="BC93" t="s">
        <v>496</v>
      </c>
      <c r="BD93" t="s">
        <v>497</v>
      </c>
      <c r="BE93" t="s">
        <v>85</v>
      </c>
      <c r="BF93" t="s">
        <v>86</v>
      </c>
      <c r="BG93" t="s">
        <v>87</v>
      </c>
      <c r="BH93" t="s">
        <v>88</v>
      </c>
      <c r="BI93" t="s">
        <v>89</v>
      </c>
      <c r="BJ93" t="s">
        <v>90</v>
      </c>
      <c r="BK93" t="s">
        <v>91</v>
      </c>
      <c r="BL93" t="s">
        <v>92</v>
      </c>
      <c r="BM93" t="s">
        <v>93</v>
      </c>
      <c r="BN93" t="s">
        <v>94</v>
      </c>
      <c r="BO93" t="s">
        <v>95</v>
      </c>
      <c r="BP93" t="s">
        <v>96</v>
      </c>
      <c r="BQ93" t="s">
        <v>22</v>
      </c>
      <c r="BR93" t="s">
        <v>23</v>
      </c>
      <c r="BS93" t="s">
        <v>24</v>
      </c>
      <c r="BT93" t="s">
        <v>498</v>
      </c>
      <c r="BU93" t="s">
        <v>25</v>
      </c>
      <c r="BV93" t="s">
        <v>502</v>
      </c>
      <c r="BW93" t="s">
        <v>519</v>
      </c>
      <c r="BX93" t="s">
        <v>506</v>
      </c>
      <c r="BY93" t="s">
        <v>522</v>
      </c>
      <c r="BZ93" t="s">
        <v>523</v>
      </c>
      <c r="CA93" t="s">
        <v>524</v>
      </c>
      <c r="CB93" t="s">
        <v>525</v>
      </c>
      <c r="CC93" t="s">
        <v>526</v>
      </c>
    </row>
    <row r="94" spans="1:87" x14ac:dyDescent="0.25">
      <c r="A94">
        <v>1</v>
      </c>
      <c r="B94" s="16">
        <f>ROUND(F3,4)</f>
        <v>16.899999999999999</v>
      </c>
      <c r="C94" s="16">
        <f t="shared" ref="C94:BN94" si="2">ROUND(G3,4)</f>
        <v>7.81</v>
      </c>
      <c r="D94" s="16">
        <f t="shared" si="2"/>
        <v>11.79</v>
      </c>
      <c r="E94" s="16">
        <f t="shared" si="2"/>
        <v>537</v>
      </c>
      <c r="F94" s="16">
        <f t="shared" si="2"/>
        <v>575</v>
      </c>
      <c r="G94" s="16">
        <f t="shared" si="2"/>
        <v>351</v>
      </c>
      <c r="H94" s="16">
        <f t="shared" si="2"/>
        <v>1463</v>
      </c>
      <c r="I94" s="16">
        <f t="shared" si="2"/>
        <v>0.57420000000000004</v>
      </c>
      <c r="J94" s="16">
        <f t="shared" si="2"/>
        <v>2.7875000000000001</v>
      </c>
      <c r="K94" s="16">
        <f t="shared" si="2"/>
        <v>3.2875000000000001</v>
      </c>
      <c r="L94" s="16">
        <f t="shared" si="2"/>
        <v>3.3</v>
      </c>
      <c r="M94" s="16">
        <f t="shared" si="2"/>
        <v>3.125</v>
      </c>
      <c r="N94" s="16">
        <f t="shared" si="2"/>
        <v>0.92610000000000003</v>
      </c>
      <c r="O94" s="16">
        <f t="shared" si="2"/>
        <v>0.2225</v>
      </c>
      <c r="P94" s="16">
        <f t="shared" si="2"/>
        <v>0.37690000000000001</v>
      </c>
      <c r="Q94" s="16">
        <f t="shared" si="2"/>
        <v>0.4138</v>
      </c>
      <c r="R94" s="16">
        <f t="shared" si="2"/>
        <v>0.3327</v>
      </c>
      <c r="S94" s="16">
        <f t="shared" si="2"/>
        <v>0.20599999999999999</v>
      </c>
      <c r="T94" s="16">
        <f t="shared" si="2"/>
        <v>0.32</v>
      </c>
      <c r="U94" s="16">
        <f t="shared" si="2"/>
        <v>1</v>
      </c>
      <c r="V94" s="16">
        <f t="shared" si="2"/>
        <v>0.92</v>
      </c>
      <c r="W94" s="16">
        <f t="shared" si="2"/>
        <v>1</v>
      </c>
      <c r="X94" s="16">
        <f t="shared" si="2"/>
        <v>9.3938000000000006</v>
      </c>
      <c r="Y94" s="16">
        <f t="shared" si="2"/>
        <v>2.2222</v>
      </c>
      <c r="Z94" s="16">
        <f t="shared" si="2"/>
        <v>26.666699999999999</v>
      </c>
      <c r="AA94" s="16">
        <f t="shared" si="2"/>
        <v>24.444400000000002</v>
      </c>
      <c r="AB94" s="16">
        <f t="shared" si="2"/>
        <v>53.333300000000001</v>
      </c>
      <c r="AC94" s="16">
        <f t="shared" si="2"/>
        <v>2.2222</v>
      </c>
      <c r="AD94" s="16">
        <f t="shared" si="2"/>
        <v>42.222200000000001</v>
      </c>
      <c r="AE94" s="16">
        <f t="shared" si="2"/>
        <v>0</v>
      </c>
      <c r="AF94" s="16">
        <f t="shared" si="2"/>
        <v>44.444400000000002</v>
      </c>
      <c r="AG94" s="16">
        <f t="shared" si="2"/>
        <v>42.222200000000001</v>
      </c>
      <c r="AH94" s="16">
        <f t="shared" si="2"/>
        <v>0.22559999999999999</v>
      </c>
      <c r="AI94" s="16">
        <f t="shared" si="2"/>
        <v>0.1263</v>
      </c>
      <c r="AJ94" s="16">
        <f t="shared" si="2"/>
        <v>0.1731</v>
      </c>
      <c r="AK94" s="16">
        <f t="shared" si="2"/>
        <v>0.17510000000000001</v>
      </c>
      <c r="AL94" s="16">
        <f t="shared" si="2"/>
        <v>0.18240000000000001</v>
      </c>
      <c r="AM94" s="16">
        <f t="shared" si="2"/>
        <v>0.57999999999999996</v>
      </c>
      <c r="AN94" s="16">
        <f t="shared" si="2"/>
        <v>0.5</v>
      </c>
      <c r="AO94" s="16">
        <f t="shared" si="2"/>
        <v>0.68</v>
      </c>
      <c r="AP94" s="16">
        <f t="shared" si="2"/>
        <v>0.68</v>
      </c>
      <c r="AQ94" s="16">
        <f t="shared" si="2"/>
        <v>50</v>
      </c>
      <c r="AR94" s="16">
        <f t="shared" si="2"/>
        <v>0.375</v>
      </c>
      <c r="AS94" s="16">
        <f t="shared" si="2"/>
        <v>0</v>
      </c>
      <c r="AT94" s="16">
        <f t="shared" si="2"/>
        <v>50</v>
      </c>
      <c r="AU94" s="16">
        <f t="shared" si="2"/>
        <v>62.5</v>
      </c>
      <c r="AV94" s="16">
        <f t="shared" si="2"/>
        <v>37.5</v>
      </c>
      <c r="AW94" s="16">
        <f t="shared" si="2"/>
        <v>37.5</v>
      </c>
      <c r="AX94" s="16">
        <f t="shared" si="2"/>
        <v>0.83330000000000004</v>
      </c>
      <c r="AY94" s="16">
        <f t="shared" si="2"/>
        <v>25</v>
      </c>
      <c r="AZ94" s="16">
        <f t="shared" si="2"/>
        <v>0</v>
      </c>
      <c r="BA94" s="16">
        <f t="shared" si="2"/>
        <v>0.375</v>
      </c>
      <c r="BB94" s="16">
        <f t="shared" si="2"/>
        <v>0</v>
      </c>
      <c r="BC94" s="16">
        <f t="shared" si="2"/>
        <v>0.13039999999999999</v>
      </c>
      <c r="BD94" s="16">
        <f t="shared" si="2"/>
        <v>0.30430000000000001</v>
      </c>
      <c r="BE94" s="16">
        <f t="shared" si="2"/>
        <v>0.5</v>
      </c>
      <c r="BF94" s="16">
        <f t="shared" si="2"/>
        <v>0.5</v>
      </c>
      <c r="BG94" s="16">
        <f t="shared" si="2"/>
        <v>0.33329999999999999</v>
      </c>
      <c r="BH94" s="16">
        <f t="shared" si="2"/>
        <v>0.45450000000000002</v>
      </c>
      <c r="BI94" s="16">
        <f t="shared" si="2"/>
        <v>0.25</v>
      </c>
      <c r="BJ94" s="16">
        <f t="shared" si="2"/>
        <v>0.25</v>
      </c>
      <c r="BK94" s="16">
        <f t="shared" si="2"/>
        <v>0</v>
      </c>
      <c r="BL94" s="16">
        <f t="shared" si="2"/>
        <v>0.18179999999999999</v>
      </c>
      <c r="BM94" s="16">
        <f t="shared" si="2"/>
        <v>0.75</v>
      </c>
      <c r="BN94" s="16">
        <f t="shared" si="2"/>
        <v>2.25</v>
      </c>
      <c r="BO94" s="16">
        <f t="shared" ref="BO94:CC94" si="3">ROUND(BS3,4)</f>
        <v>1</v>
      </c>
      <c r="BP94" s="16">
        <f t="shared" si="3"/>
        <v>1.3635999999999999</v>
      </c>
      <c r="BQ94" s="16">
        <f t="shared" si="3"/>
        <v>4.1666999999999996</v>
      </c>
      <c r="BR94" s="16">
        <f t="shared" si="3"/>
        <v>95.833299999999994</v>
      </c>
      <c r="BS94" s="16">
        <f t="shared" si="3"/>
        <v>0</v>
      </c>
      <c r="BT94" s="16">
        <f t="shared" si="3"/>
        <v>37.541699999999999</v>
      </c>
      <c r="BU94" s="16">
        <f t="shared" si="3"/>
        <v>1.3332999999999999</v>
      </c>
      <c r="BV94" s="16">
        <f t="shared" si="3"/>
        <v>72.178100000000001</v>
      </c>
      <c r="BW94" s="16">
        <f t="shared" si="3"/>
        <v>12.9229</v>
      </c>
      <c r="BX94" s="16">
        <f t="shared" si="3"/>
        <v>27.821899999999999</v>
      </c>
      <c r="BY94" s="16">
        <f t="shared" si="3"/>
        <v>0</v>
      </c>
      <c r="BZ94" s="16">
        <f t="shared" si="3"/>
        <v>0</v>
      </c>
      <c r="CA94" s="16">
        <f t="shared" si="3"/>
        <v>0</v>
      </c>
      <c r="CB94" s="16">
        <f t="shared" si="3"/>
        <v>0</v>
      </c>
      <c r="CC94" s="16">
        <f t="shared" si="3"/>
        <v>0</v>
      </c>
    </row>
    <row r="95" spans="1:87" x14ac:dyDescent="0.25">
      <c r="A95">
        <v>8</v>
      </c>
      <c r="B95" s="16">
        <f t="shared" ref="B95:B158" si="4">ROUND(F4,4)</f>
        <v>12.9</v>
      </c>
      <c r="C95" s="16">
        <f t="shared" ref="C95:C158" si="5">ROUND(G4,4)</f>
        <v>8.6</v>
      </c>
      <c r="D95" s="16">
        <f t="shared" ref="D95:D158" si="6">ROUND(H4,4)</f>
        <v>11.64</v>
      </c>
      <c r="E95" s="16">
        <f t="shared" ref="E95:E158" si="7">ROUND(I4,4)</f>
        <v>2133</v>
      </c>
      <c r="F95" s="16">
        <f t="shared" ref="F95:F158" si="8">ROUND(J4,4)</f>
        <v>1487</v>
      </c>
      <c r="G95" s="16">
        <f t="shared" ref="G95:G158" si="9">ROUND(K4,4)</f>
        <v>1810</v>
      </c>
      <c r="H95" s="16">
        <f t="shared" ref="H95:H158" si="10">ROUND(L4,4)</f>
        <v>5430</v>
      </c>
      <c r="I95" s="16">
        <f t="shared" ref="I95:I158" si="11">ROUND(M4,4)</f>
        <v>0</v>
      </c>
      <c r="J95" s="16">
        <f t="shared" ref="J95:J158" si="12">ROUND(N4,4)</f>
        <v>6.9375</v>
      </c>
      <c r="K95" s="16">
        <f t="shared" ref="K95:K158" si="13">ROUND(O4,4)</f>
        <v>7.0125000000000002</v>
      </c>
      <c r="L95" s="16">
        <f t="shared" ref="L95:L158" si="14">ROUND(P4,4)</f>
        <v>6.8</v>
      </c>
      <c r="M95" s="16">
        <f t="shared" ref="M95:M158" si="15">ROUND(Q4,4)</f>
        <v>6.9166999999999996</v>
      </c>
      <c r="N95" s="16">
        <f t="shared" ref="N95:N158" si="16">ROUND(R4,4)</f>
        <v>0.49490000000000001</v>
      </c>
      <c r="O95" s="16">
        <f t="shared" ref="O95:O158" si="17">ROUND(S4,4)</f>
        <v>0.44790000000000002</v>
      </c>
      <c r="P95" s="16">
        <f t="shared" ref="P95:P158" si="18">ROUND(T4,4)</f>
        <v>0.29170000000000001</v>
      </c>
      <c r="Q95" s="16">
        <f t="shared" ref="Q95:Q158" si="19">ROUND(U4,4)</f>
        <v>0.30690000000000001</v>
      </c>
      <c r="R95" s="16">
        <f t="shared" ref="R95:R158" si="20">ROUND(V4,4)</f>
        <v>0.36049999999999999</v>
      </c>
      <c r="S95" s="16">
        <f t="shared" ref="S95:S158" si="21">ROUND(W4,4)</f>
        <v>0.14410000000000001</v>
      </c>
      <c r="T95" s="16">
        <f t="shared" ref="T95:T158" si="22">ROUND(X4,4)</f>
        <v>0.7</v>
      </c>
      <c r="U95" s="16">
        <f t="shared" ref="U95:U158" si="23">ROUND(Y4,4)</f>
        <v>0.46</v>
      </c>
      <c r="V95" s="16">
        <f t="shared" ref="V95:V158" si="24">ROUND(Z4,4)</f>
        <v>0.54</v>
      </c>
      <c r="W95" s="16">
        <f t="shared" ref="W95:W158" si="25">ROUND(AA4,4)</f>
        <v>0.7</v>
      </c>
      <c r="X95" s="16">
        <f t="shared" ref="X95:X158" si="26">ROUND(AB4,4)</f>
        <v>19.185400000000001</v>
      </c>
      <c r="Y95" s="16">
        <f t="shared" ref="Y95:Y158" si="27">ROUND(AC4,4)</f>
        <v>0</v>
      </c>
      <c r="Z95" s="16">
        <f t="shared" ref="Z95:Z158" si="28">ROUND(AD4,4)</f>
        <v>7.0175000000000001</v>
      </c>
      <c r="AA95" s="16">
        <f t="shared" ref="AA95:AA158" si="29">ROUND(AE4,4)</f>
        <v>24.561399999999999</v>
      </c>
      <c r="AB95" s="16">
        <f t="shared" ref="AB95:AB158" si="30">ROUND(AF4,4)</f>
        <v>31.578900000000001</v>
      </c>
      <c r="AC95" s="16">
        <f t="shared" ref="AC95:AC158" si="31">ROUND(AG4,4)</f>
        <v>8.7719000000000005</v>
      </c>
      <c r="AD95" s="16">
        <f t="shared" ref="AD95:AD158" si="32">ROUND(AH4,4)</f>
        <v>57.8947</v>
      </c>
      <c r="AE95" s="16">
        <f t="shared" ref="AE95:AE158" si="33">ROUND(AI4,4)</f>
        <v>0</v>
      </c>
      <c r="AF95" s="16">
        <f t="shared" ref="AF95:AF158" si="34">ROUND(AJ4,4)</f>
        <v>66.666700000000006</v>
      </c>
      <c r="AG95" s="16">
        <f t="shared" ref="AG95:AG158" si="35">ROUND(AK4,4)</f>
        <v>57.8947</v>
      </c>
      <c r="AH95" s="16">
        <f t="shared" ref="AH95:AH158" si="36">ROUND(AL4,4)</f>
        <v>0.25090000000000001</v>
      </c>
      <c r="AI95" s="16">
        <f t="shared" ref="AI95:AI158" si="37">ROUND(AM4,4)</f>
        <v>0.3322</v>
      </c>
      <c r="AJ95" s="16">
        <f t="shared" ref="AJ95:AJ158" si="38">ROUND(AN4,4)</f>
        <v>0.3619</v>
      </c>
      <c r="AK95" s="16">
        <f t="shared" ref="AK95:AK158" si="39">ROUND(AO4,4)</f>
        <v>0.3029</v>
      </c>
      <c r="AL95" s="16">
        <f t="shared" ref="AL95:AL158" si="40">ROUND(AP4,4)</f>
        <v>0.20300000000000001</v>
      </c>
      <c r="AM95" s="16">
        <f t="shared" ref="AM95:AM158" si="41">ROUND(AQ4,4)</f>
        <v>0.83</v>
      </c>
      <c r="AN95" s="16">
        <f t="shared" ref="AN95:AN158" si="42">ROUND(AR4,4)</f>
        <v>0.75</v>
      </c>
      <c r="AO95" s="16">
        <f t="shared" ref="AO95:AO158" si="43">ROUND(AS4,4)</f>
        <v>0.75</v>
      </c>
      <c r="AP95" s="16">
        <f t="shared" ref="AP95:AP158" si="44">ROUND(AT4,4)</f>
        <v>0.83</v>
      </c>
      <c r="AQ95" s="16">
        <f t="shared" ref="AQ95:AQ158" si="45">ROUND(AU4,4)</f>
        <v>20.833300000000001</v>
      </c>
      <c r="AR95" s="16">
        <f t="shared" ref="AR95:AR158" si="46">ROUND(AV4,4)</f>
        <v>0.69569999999999999</v>
      </c>
      <c r="AS95" s="16">
        <f t="shared" ref="AS95:AS158" si="47">ROUND(AW4,4)</f>
        <v>25</v>
      </c>
      <c r="AT95" s="16">
        <f t="shared" ref="AT95:AT158" si="48">ROUND(AX4,4)</f>
        <v>0</v>
      </c>
      <c r="AU95" s="16">
        <f t="shared" ref="AU95:AU158" si="49">ROUND(AY4,4)</f>
        <v>0</v>
      </c>
      <c r="AV95" s="16">
        <f t="shared" ref="AV95:AV158" si="50">ROUND(AZ4,4)</f>
        <v>8.3332999999999995</v>
      </c>
      <c r="AW95" s="16">
        <f t="shared" ref="AW95:AW158" si="51">ROUND(BA4,4)</f>
        <v>66.666700000000006</v>
      </c>
      <c r="AX95" s="16">
        <f t="shared" ref="AX95:AX158" si="52">ROUND(BB4,4)</f>
        <v>0.66669999999999996</v>
      </c>
      <c r="AY95" s="16">
        <f t="shared" ref="AY95:AY158" si="53">ROUND(BC4,4)</f>
        <v>16.666699999999999</v>
      </c>
      <c r="AZ95" s="16">
        <f t="shared" ref="AZ95:AZ158" si="54">ROUND(BD4,4)</f>
        <v>0.75</v>
      </c>
      <c r="BA95" s="16">
        <f t="shared" ref="BA95:BA158" si="55">ROUND(BE4,4)</f>
        <v>0</v>
      </c>
      <c r="BB95" s="16">
        <f t="shared" ref="BB95:BB158" si="56">ROUND(BF4,4)</f>
        <v>0.25</v>
      </c>
      <c r="BC95" s="16">
        <f t="shared" ref="BC95:BC158" si="57">ROUND(BG4,4)</f>
        <v>0.33329999999999999</v>
      </c>
      <c r="BD95" s="16">
        <f t="shared" ref="BD95:BD158" si="58">ROUND(BH4,4)</f>
        <v>0.875</v>
      </c>
      <c r="BE95" s="16">
        <f t="shared" ref="BE95:BE158" si="59">ROUND(BI4,4)</f>
        <v>1.75</v>
      </c>
      <c r="BF95" s="16">
        <f t="shared" ref="BF95:BF158" si="60">ROUND(BJ4,4)</f>
        <v>0</v>
      </c>
      <c r="BG95" s="16">
        <f t="shared" ref="BG95:BG158" si="61">ROUND(BK4,4)</f>
        <v>0.25</v>
      </c>
      <c r="BH95" s="16">
        <f t="shared" ref="BH95:BH158" si="62">ROUND(BL4,4)</f>
        <v>0.66669999999999996</v>
      </c>
      <c r="BI95" s="16">
        <f t="shared" ref="BI95:BI158" si="63">ROUND(BM4,4)</f>
        <v>0</v>
      </c>
      <c r="BJ95" s="16">
        <f t="shared" ref="BJ95:BJ158" si="64">ROUND(BN4,4)</f>
        <v>0</v>
      </c>
      <c r="BK95" s="16">
        <f t="shared" ref="BK95:BK158" si="65">ROUND(BO4,4)</f>
        <v>0.25</v>
      </c>
      <c r="BL95" s="16">
        <f t="shared" ref="BL95:BL158" si="66">ROUND(BP4,4)</f>
        <v>8.3299999999999999E-2</v>
      </c>
      <c r="BM95" s="16">
        <f t="shared" ref="BM95:BM158" si="67">ROUND(BQ4,4)</f>
        <v>2.25</v>
      </c>
      <c r="BN95" s="16">
        <f t="shared" ref="BN95:BN158" si="68">ROUND(BR4,4)</f>
        <v>0.25</v>
      </c>
      <c r="BO95" s="16">
        <f t="shared" ref="BO95:BO158" si="69">ROUND(BS4,4)</f>
        <v>1.25</v>
      </c>
      <c r="BP95" s="16">
        <f t="shared" ref="BP95:BP158" si="70">ROUND(BT4,4)</f>
        <v>1.25</v>
      </c>
      <c r="BQ95" s="16">
        <f t="shared" ref="BQ95:BQ158" si="71">ROUND(BU4,4)</f>
        <v>4.1666999999999996</v>
      </c>
      <c r="BR95" s="16">
        <f t="shared" ref="BR95:BR158" si="72">ROUND(BV4,4)</f>
        <v>58.333300000000001</v>
      </c>
      <c r="BS95" s="16">
        <f t="shared" ref="BS95:BS158" si="73">ROUND(BW4,4)</f>
        <v>33.333300000000001</v>
      </c>
      <c r="BT95" s="16">
        <f t="shared" ref="BT95:BT158" si="74">ROUND(BX4,4)</f>
        <v>50</v>
      </c>
      <c r="BU95" s="16">
        <f t="shared" ref="BU95:BU158" si="75">ROUND(BY4,4)</f>
        <v>1.75</v>
      </c>
      <c r="BV95" s="16">
        <f t="shared" ref="BV95:BV158" si="76">ROUND(BZ4,4)</f>
        <v>78.528499999999994</v>
      </c>
      <c r="BW95" s="16">
        <f t="shared" ref="BW95:BW158" si="77">ROUND(CA4,4)</f>
        <v>11.4491</v>
      </c>
      <c r="BX95" s="16">
        <f t="shared" ref="BX95:BX158" si="78">ROUND(CB4,4)</f>
        <v>21.471499999999999</v>
      </c>
      <c r="BY95" s="16">
        <f t="shared" ref="BY95:BY158" si="79">ROUND(CC4,4)</f>
        <v>0</v>
      </c>
      <c r="BZ95" s="16">
        <f t="shared" ref="BZ95:BZ158" si="80">ROUND(CD4,4)</f>
        <v>0</v>
      </c>
      <c r="CA95" s="16">
        <f t="shared" ref="CA95:CA158" si="81">ROUND(CE4,4)</f>
        <v>0</v>
      </c>
      <c r="CB95" s="16">
        <f t="shared" ref="CB95:CB158" si="82">ROUND(CF4,4)</f>
        <v>0</v>
      </c>
      <c r="CC95" s="16">
        <f t="shared" ref="CC95:CC158" si="83">ROUND(CG4,4)</f>
        <v>0</v>
      </c>
    </row>
    <row r="96" spans="1:87" x14ac:dyDescent="0.25">
      <c r="A96">
        <v>10</v>
      </c>
      <c r="B96" s="16">
        <f t="shared" si="4"/>
        <v>13.1</v>
      </c>
      <c r="C96" s="16">
        <f t="shared" si="5"/>
        <v>9.4</v>
      </c>
      <c r="D96" s="16">
        <f t="shared" si="6"/>
        <v>13.5</v>
      </c>
      <c r="E96" s="16">
        <f t="shared" si="7"/>
        <v>1310</v>
      </c>
      <c r="F96" s="16">
        <f t="shared" si="8"/>
        <v>1447</v>
      </c>
      <c r="G96" s="16">
        <f t="shared" si="9"/>
        <v>1067</v>
      </c>
      <c r="H96" s="16">
        <f t="shared" si="10"/>
        <v>3824</v>
      </c>
      <c r="I96" s="16">
        <f t="shared" si="11"/>
        <v>1.5699999999999999E-2</v>
      </c>
      <c r="J96" s="16">
        <f t="shared" si="12"/>
        <v>3.9624999999999999</v>
      </c>
      <c r="K96" s="16">
        <f t="shared" si="13"/>
        <v>3.95</v>
      </c>
      <c r="L96" s="16">
        <f t="shared" si="14"/>
        <v>3.5625</v>
      </c>
      <c r="M96" s="16">
        <f t="shared" si="15"/>
        <v>3.8250000000000002</v>
      </c>
      <c r="N96" s="16">
        <f t="shared" si="16"/>
        <v>0.41830000000000001</v>
      </c>
      <c r="O96" s="16">
        <f t="shared" si="17"/>
        <v>0.54290000000000005</v>
      </c>
      <c r="P96" s="16">
        <f t="shared" si="18"/>
        <v>0.4546</v>
      </c>
      <c r="Q96" s="16">
        <f t="shared" si="19"/>
        <v>0.38879999999999998</v>
      </c>
      <c r="R96" s="16">
        <f t="shared" si="20"/>
        <v>0.46210000000000001</v>
      </c>
      <c r="S96" s="16">
        <f t="shared" si="21"/>
        <v>0.1222</v>
      </c>
      <c r="T96" s="16">
        <f t="shared" si="22"/>
        <v>0.7</v>
      </c>
      <c r="U96" s="16">
        <f t="shared" si="23"/>
        <v>0.68</v>
      </c>
      <c r="V96" s="16">
        <f t="shared" si="24"/>
        <v>0.61</v>
      </c>
      <c r="W96" s="16">
        <f t="shared" si="25"/>
        <v>0.7</v>
      </c>
      <c r="X96" s="16">
        <f t="shared" si="26"/>
        <v>8.2776999999999994</v>
      </c>
      <c r="Y96" s="16">
        <f t="shared" si="27"/>
        <v>1.3889</v>
      </c>
      <c r="Z96" s="16">
        <f t="shared" si="28"/>
        <v>55.555599999999998</v>
      </c>
      <c r="AA96" s="16">
        <f t="shared" si="29"/>
        <v>13.8889</v>
      </c>
      <c r="AB96" s="16">
        <f t="shared" si="30"/>
        <v>70.833299999999994</v>
      </c>
      <c r="AC96" s="16">
        <f t="shared" si="31"/>
        <v>8.3332999999999995</v>
      </c>
      <c r="AD96" s="16">
        <f t="shared" si="32"/>
        <v>18.055599999999998</v>
      </c>
      <c r="AE96" s="16">
        <f t="shared" si="33"/>
        <v>2.7778</v>
      </c>
      <c r="AF96" s="16">
        <f t="shared" si="34"/>
        <v>29.166699999999999</v>
      </c>
      <c r="AG96" s="16">
        <f t="shared" si="35"/>
        <v>55.555599999999998</v>
      </c>
      <c r="AH96" s="16">
        <f t="shared" si="36"/>
        <v>0.24729999999999999</v>
      </c>
      <c r="AI96" s="16">
        <f t="shared" si="37"/>
        <v>0.27760000000000001</v>
      </c>
      <c r="AJ96" s="16">
        <f t="shared" si="38"/>
        <v>0.44679999999999997</v>
      </c>
      <c r="AK96" s="16">
        <f t="shared" si="39"/>
        <v>0.31919999999999998</v>
      </c>
      <c r="AL96" s="16">
        <f t="shared" si="40"/>
        <v>0.1918</v>
      </c>
      <c r="AM96" s="16">
        <f t="shared" si="41"/>
        <v>0.39</v>
      </c>
      <c r="AN96" s="16">
        <f t="shared" si="42"/>
        <v>0.46</v>
      </c>
      <c r="AO96" s="16">
        <f t="shared" si="43"/>
        <v>1.01</v>
      </c>
      <c r="AP96" s="16">
        <f t="shared" si="44"/>
        <v>1.01</v>
      </c>
      <c r="AQ96" s="16">
        <f t="shared" si="45"/>
        <v>4.1666999999999996</v>
      </c>
      <c r="AR96" s="16">
        <f t="shared" si="46"/>
        <v>0.78259999999999996</v>
      </c>
      <c r="AS96" s="16">
        <f t="shared" si="47"/>
        <v>0</v>
      </c>
      <c r="AT96" s="16">
        <f t="shared" si="48"/>
        <v>50</v>
      </c>
      <c r="AU96" s="16">
        <f t="shared" si="49"/>
        <v>0</v>
      </c>
      <c r="AV96" s="16">
        <f t="shared" si="50"/>
        <v>16.666699999999999</v>
      </c>
      <c r="AW96" s="16">
        <f t="shared" si="51"/>
        <v>75</v>
      </c>
      <c r="AX96" s="16">
        <f t="shared" si="52"/>
        <v>0</v>
      </c>
      <c r="AY96" s="16">
        <f t="shared" si="53"/>
        <v>0</v>
      </c>
      <c r="AZ96" s="16">
        <f t="shared" si="54"/>
        <v>0</v>
      </c>
      <c r="BA96" s="16">
        <f t="shared" si="55"/>
        <v>0</v>
      </c>
      <c r="BB96" s="16">
        <f t="shared" si="56"/>
        <v>0</v>
      </c>
      <c r="BC96" s="16">
        <f t="shared" si="57"/>
        <v>0</v>
      </c>
      <c r="BD96" s="16">
        <f t="shared" si="58"/>
        <v>8.3299999999999999E-2</v>
      </c>
      <c r="BE96" s="16">
        <f t="shared" si="59"/>
        <v>3.5</v>
      </c>
      <c r="BF96" s="16">
        <f t="shared" si="60"/>
        <v>2</v>
      </c>
      <c r="BG96" s="16">
        <f t="shared" si="61"/>
        <v>1.75</v>
      </c>
      <c r="BH96" s="16">
        <f t="shared" si="62"/>
        <v>2.4167000000000001</v>
      </c>
      <c r="BI96" s="16">
        <f t="shared" si="63"/>
        <v>1.25</v>
      </c>
      <c r="BJ96" s="16">
        <f t="shared" si="64"/>
        <v>0</v>
      </c>
      <c r="BK96" s="16">
        <f t="shared" si="65"/>
        <v>0</v>
      </c>
      <c r="BL96" s="16">
        <f t="shared" si="66"/>
        <v>0.41670000000000001</v>
      </c>
      <c r="BM96" s="16">
        <f t="shared" si="67"/>
        <v>3.25</v>
      </c>
      <c r="BN96" s="16">
        <f t="shared" si="68"/>
        <v>3.25</v>
      </c>
      <c r="BO96" s="16">
        <f t="shared" si="69"/>
        <v>1.75</v>
      </c>
      <c r="BP96" s="16">
        <f t="shared" si="70"/>
        <v>2.75</v>
      </c>
      <c r="BQ96" s="16">
        <f t="shared" si="71"/>
        <v>4.1666999999999996</v>
      </c>
      <c r="BR96" s="16">
        <f t="shared" si="72"/>
        <v>75</v>
      </c>
      <c r="BS96" s="16">
        <f t="shared" si="73"/>
        <v>20.833300000000001</v>
      </c>
      <c r="BT96" s="16">
        <f t="shared" si="74"/>
        <v>44.583300000000001</v>
      </c>
      <c r="BU96" s="16">
        <f t="shared" si="75"/>
        <v>1.875</v>
      </c>
      <c r="BV96" s="16">
        <f t="shared" si="76"/>
        <v>97.297300000000007</v>
      </c>
      <c r="BW96" s="16">
        <f t="shared" si="77"/>
        <v>3.5697000000000001</v>
      </c>
      <c r="BX96" s="16">
        <f t="shared" si="78"/>
        <v>2.7027000000000001</v>
      </c>
      <c r="BY96" s="16">
        <f t="shared" si="79"/>
        <v>0</v>
      </c>
      <c r="BZ96" s="16">
        <f t="shared" si="80"/>
        <v>0</v>
      </c>
      <c r="CA96" s="16">
        <f t="shared" si="81"/>
        <v>0</v>
      </c>
      <c r="CB96" s="16">
        <f t="shared" si="82"/>
        <v>0</v>
      </c>
      <c r="CC96" s="16">
        <f t="shared" si="83"/>
        <v>0</v>
      </c>
    </row>
    <row r="97" spans="1:81" x14ac:dyDescent="0.25">
      <c r="A97">
        <v>11</v>
      </c>
      <c r="B97" s="16">
        <f t="shared" si="4"/>
        <v>10.6</v>
      </c>
      <c r="C97" s="16">
        <f t="shared" si="5"/>
        <v>8.4499999999999993</v>
      </c>
      <c r="D97" s="16">
        <f t="shared" si="6"/>
        <v>11.24</v>
      </c>
      <c r="E97" s="16">
        <f t="shared" si="7"/>
        <v>496</v>
      </c>
      <c r="F97" s="16">
        <f t="shared" si="8"/>
        <v>356</v>
      </c>
      <c r="G97" s="16">
        <f t="shared" si="9"/>
        <v>426</v>
      </c>
      <c r="H97" s="16">
        <f t="shared" si="10"/>
        <v>1278</v>
      </c>
      <c r="I97" s="16">
        <f t="shared" si="11"/>
        <v>0</v>
      </c>
      <c r="J97" s="16">
        <f t="shared" si="12"/>
        <v>1.7875000000000001</v>
      </c>
      <c r="K97" s="16">
        <f t="shared" si="13"/>
        <v>1.9375</v>
      </c>
      <c r="L97" s="16">
        <f t="shared" si="14"/>
        <v>2.5874999999999999</v>
      </c>
      <c r="M97" s="16">
        <f t="shared" si="15"/>
        <v>2.1042000000000001</v>
      </c>
      <c r="N97" s="16">
        <f t="shared" si="16"/>
        <v>0.60250000000000004</v>
      </c>
      <c r="O97" s="16">
        <f t="shared" si="17"/>
        <v>9.1300000000000006E-2</v>
      </c>
      <c r="P97" s="16">
        <f t="shared" si="18"/>
        <v>0.14330000000000001</v>
      </c>
      <c r="Q97" s="16">
        <f t="shared" si="19"/>
        <v>8.5400000000000004E-2</v>
      </c>
      <c r="R97" s="16">
        <f t="shared" si="20"/>
        <v>0.1079</v>
      </c>
      <c r="S97" s="16">
        <f t="shared" si="21"/>
        <v>4.3099999999999999E-2</v>
      </c>
      <c r="T97" s="16">
        <f t="shared" si="22"/>
        <v>0.13</v>
      </c>
      <c r="U97" s="16">
        <f t="shared" si="23"/>
        <v>0.24</v>
      </c>
      <c r="V97" s="16">
        <f t="shared" si="24"/>
        <v>0.15</v>
      </c>
      <c r="W97" s="16">
        <f t="shared" si="25"/>
        <v>0.24</v>
      </c>
      <c r="X97" s="16">
        <f t="shared" si="26"/>
        <v>19.504899999999999</v>
      </c>
      <c r="Y97" s="16">
        <f t="shared" si="27"/>
        <v>3.0303</v>
      </c>
      <c r="Z97" s="16">
        <f t="shared" si="28"/>
        <v>9.0908999999999995</v>
      </c>
      <c r="AA97" s="16">
        <f t="shared" si="29"/>
        <v>0</v>
      </c>
      <c r="AB97" s="16">
        <f t="shared" si="30"/>
        <v>12.1212</v>
      </c>
      <c r="AC97" s="16">
        <f t="shared" si="31"/>
        <v>0</v>
      </c>
      <c r="AD97" s="16">
        <f t="shared" si="32"/>
        <v>87.878799999999998</v>
      </c>
      <c r="AE97" s="16">
        <f t="shared" si="33"/>
        <v>0</v>
      </c>
      <c r="AF97" s="16">
        <f t="shared" si="34"/>
        <v>87.878799999999998</v>
      </c>
      <c r="AG97" s="16">
        <f t="shared" si="35"/>
        <v>87.878799999999998</v>
      </c>
      <c r="AH97" s="16">
        <f t="shared" si="36"/>
        <v>0.46750000000000003</v>
      </c>
      <c r="AI97" s="16">
        <f t="shared" si="37"/>
        <v>0.21329999999999999</v>
      </c>
      <c r="AJ97" s="16">
        <f t="shared" si="38"/>
        <v>0.36309999999999998</v>
      </c>
      <c r="AK97" s="16">
        <f t="shared" si="39"/>
        <v>0.33389999999999997</v>
      </c>
      <c r="AL97" s="16">
        <f t="shared" si="40"/>
        <v>0.18859999999999999</v>
      </c>
      <c r="AM97" s="16">
        <f t="shared" si="41"/>
        <v>0.69</v>
      </c>
      <c r="AN97" s="16">
        <f t="shared" si="42"/>
        <v>0.44</v>
      </c>
      <c r="AO97" s="16">
        <f t="shared" si="43"/>
        <v>0.65</v>
      </c>
      <c r="AP97" s="16">
        <f t="shared" si="44"/>
        <v>0.69</v>
      </c>
      <c r="AQ97" s="16">
        <f t="shared" si="45"/>
        <v>83.333299999999994</v>
      </c>
      <c r="AR97" s="16">
        <f t="shared" si="46"/>
        <v>0.16669999999999999</v>
      </c>
      <c r="AS97" s="16">
        <f t="shared" si="47"/>
        <v>0</v>
      </c>
      <c r="AT97" s="16">
        <f t="shared" si="48"/>
        <v>0</v>
      </c>
      <c r="AU97" s="16">
        <f t="shared" si="49"/>
        <v>0</v>
      </c>
      <c r="AV97" s="16">
        <f t="shared" si="50"/>
        <v>0</v>
      </c>
      <c r="AW97" s="16">
        <f t="shared" si="51"/>
        <v>83.333299999999994</v>
      </c>
      <c r="AX97" s="16">
        <f t="shared" si="52"/>
        <v>0.58330000000000004</v>
      </c>
      <c r="AY97" s="16">
        <f t="shared" si="53"/>
        <v>8.3332999999999995</v>
      </c>
      <c r="AZ97" s="16">
        <f t="shared" si="54"/>
        <v>0.375</v>
      </c>
      <c r="BA97" s="16">
        <f t="shared" si="55"/>
        <v>1</v>
      </c>
      <c r="BB97" s="16">
        <f t="shared" si="56"/>
        <v>0.5</v>
      </c>
      <c r="BC97" s="16">
        <f t="shared" si="57"/>
        <v>0.625</v>
      </c>
      <c r="BD97" s="16">
        <f t="shared" si="58"/>
        <v>1.1667000000000001</v>
      </c>
      <c r="BE97" s="16">
        <f t="shared" si="59"/>
        <v>0.5</v>
      </c>
      <c r="BF97" s="16">
        <f t="shared" si="60"/>
        <v>0.25</v>
      </c>
      <c r="BG97" s="16">
        <f t="shared" si="61"/>
        <v>0</v>
      </c>
      <c r="BH97" s="16">
        <f t="shared" si="62"/>
        <v>0.25</v>
      </c>
      <c r="BI97" s="16">
        <f t="shared" si="63"/>
        <v>0.25</v>
      </c>
      <c r="BJ97" s="16">
        <f t="shared" si="64"/>
        <v>0</v>
      </c>
      <c r="BK97" s="16">
        <f t="shared" si="65"/>
        <v>0.75</v>
      </c>
      <c r="BL97" s="16">
        <f t="shared" si="66"/>
        <v>0.33329999999999999</v>
      </c>
      <c r="BM97" s="16">
        <f t="shared" si="67"/>
        <v>0.25</v>
      </c>
      <c r="BN97" s="16">
        <f t="shared" si="68"/>
        <v>0.25</v>
      </c>
      <c r="BO97" s="16">
        <f t="shared" si="69"/>
        <v>0</v>
      </c>
      <c r="BP97" s="16">
        <f t="shared" si="70"/>
        <v>0.16669999999999999</v>
      </c>
      <c r="BQ97" s="16">
        <f t="shared" si="71"/>
        <v>41.666699999999999</v>
      </c>
      <c r="BR97" s="16">
        <f t="shared" si="72"/>
        <v>58.333300000000001</v>
      </c>
      <c r="BS97" s="16">
        <f t="shared" si="73"/>
        <v>0</v>
      </c>
      <c r="BT97" s="16">
        <f t="shared" si="74"/>
        <v>21.333300000000001</v>
      </c>
      <c r="BU97" s="16">
        <f t="shared" si="75"/>
        <v>0.41670000000000001</v>
      </c>
      <c r="BV97" s="16">
        <f t="shared" si="76"/>
        <v>11.036</v>
      </c>
      <c r="BW97" s="16">
        <f t="shared" si="77"/>
        <v>9.7728000000000002</v>
      </c>
      <c r="BX97" s="16">
        <f t="shared" si="78"/>
        <v>88.963999999999999</v>
      </c>
      <c r="BY97" s="16">
        <f t="shared" si="79"/>
        <v>0</v>
      </c>
      <c r="BZ97" s="16">
        <f t="shared" si="80"/>
        <v>0</v>
      </c>
      <c r="CA97" s="16">
        <f t="shared" si="81"/>
        <v>0</v>
      </c>
      <c r="CB97" s="16">
        <f t="shared" si="82"/>
        <v>0</v>
      </c>
      <c r="CC97" s="16">
        <f t="shared" si="83"/>
        <v>0</v>
      </c>
    </row>
    <row r="98" spans="1:81" x14ac:dyDescent="0.25">
      <c r="A98">
        <v>12</v>
      </c>
      <c r="B98" s="16">
        <f t="shared" si="4"/>
        <v>11.7</v>
      </c>
      <c r="C98" s="16">
        <f t="shared" si="5"/>
        <v>9.02</v>
      </c>
      <c r="D98" s="16">
        <f t="shared" si="6"/>
        <v>15.53</v>
      </c>
      <c r="E98" s="16">
        <f t="shared" si="7"/>
        <v>350</v>
      </c>
      <c r="F98" s="16">
        <f t="shared" si="8"/>
        <v>339</v>
      </c>
      <c r="G98" s="16">
        <f t="shared" si="9"/>
        <v>437</v>
      </c>
      <c r="H98" s="16">
        <f t="shared" si="10"/>
        <v>1126</v>
      </c>
      <c r="I98" s="16">
        <f t="shared" si="11"/>
        <v>0.21310000000000001</v>
      </c>
      <c r="J98" s="16">
        <f t="shared" si="12"/>
        <v>1.65</v>
      </c>
      <c r="K98" s="16">
        <f t="shared" si="13"/>
        <v>2.1875</v>
      </c>
      <c r="L98" s="16">
        <f t="shared" si="14"/>
        <v>2.3374999999999999</v>
      </c>
      <c r="M98" s="16">
        <f t="shared" si="15"/>
        <v>2.0583</v>
      </c>
      <c r="N98" s="16">
        <f t="shared" si="16"/>
        <v>0.94640000000000002</v>
      </c>
      <c r="O98" s="16">
        <f t="shared" si="17"/>
        <v>0.11</v>
      </c>
      <c r="P98" s="16">
        <f t="shared" si="18"/>
        <v>0.25059999999999999</v>
      </c>
      <c r="Q98" s="16">
        <f t="shared" si="19"/>
        <v>0.19</v>
      </c>
      <c r="R98" s="16">
        <f t="shared" si="20"/>
        <v>0.1835</v>
      </c>
      <c r="S98" s="16">
        <f t="shared" si="21"/>
        <v>0.1573</v>
      </c>
      <c r="T98" s="16">
        <f t="shared" si="22"/>
        <v>0.36</v>
      </c>
      <c r="U98" s="16">
        <f t="shared" si="23"/>
        <v>0.59</v>
      </c>
      <c r="V98" s="16">
        <f t="shared" si="24"/>
        <v>0.57999999999999996</v>
      </c>
      <c r="W98" s="16">
        <f t="shared" si="25"/>
        <v>0.59</v>
      </c>
      <c r="X98" s="16">
        <f t="shared" si="26"/>
        <v>11.214499999999999</v>
      </c>
      <c r="Y98" s="16">
        <f t="shared" si="27"/>
        <v>0</v>
      </c>
      <c r="Z98" s="16">
        <f t="shared" si="28"/>
        <v>27.659600000000001</v>
      </c>
      <c r="AA98" s="16">
        <f t="shared" si="29"/>
        <v>0</v>
      </c>
      <c r="AB98" s="16">
        <f t="shared" si="30"/>
        <v>27.659600000000001</v>
      </c>
      <c r="AC98" s="16">
        <f t="shared" si="31"/>
        <v>6.383</v>
      </c>
      <c r="AD98" s="16">
        <f t="shared" si="32"/>
        <v>65.957400000000007</v>
      </c>
      <c r="AE98" s="16">
        <f t="shared" si="33"/>
        <v>0</v>
      </c>
      <c r="AF98" s="16">
        <f t="shared" si="34"/>
        <v>72.340400000000002</v>
      </c>
      <c r="AG98" s="16">
        <f t="shared" si="35"/>
        <v>65.957400000000007</v>
      </c>
      <c r="AH98" s="16">
        <f t="shared" si="36"/>
        <v>0.16200000000000001</v>
      </c>
      <c r="AI98" s="16">
        <f t="shared" si="37"/>
        <v>6.13E-2</v>
      </c>
      <c r="AJ98" s="16">
        <f t="shared" si="38"/>
        <v>0.13869999999999999</v>
      </c>
      <c r="AK98" s="16">
        <f t="shared" si="39"/>
        <v>0.1144</v>
      </c>
      <c r="AL98" s="16">
        <f t="shared" si="40"/>
        <v>0.19109999999999999</v>
      </c>
      <c r="AM98" s="16">
        <f t="shared" si="41"/>
        <v>0.93</v>
      </c>
      <c r="AN98" s="16">
        <f t="shared" si="42"/>
        <v>0.52</v>
      </c>
      <c r="AO98" s="16">
        <f t="shared" si="43"/>
        <v>0.6</v>
      </c>
      <c r="AP98" s="16">
        <f t="shared" si="44"/>
        <v>0.93</v>
      </c>
      <c r="AQ98" s="16">
        <f t="shared" si="45"/>
        <v>41.666699999999999</v>
      </c>
      <c r="AR98" s="16">
        <f t="shared" si="46"/>
        <v>0.33329999999999999</v>
      </c>
      <c r="AS98" s="16">
        <f t="shared" si="47"/>
        <v>0</v>
      </c>
      <c r="AT98" s="16">
        <f t="shared" si="48"/>
        <v>37.5</v>
      </c>
      <c r="AU98" s="16">
        <f t="shared" si="49"/>
        <v>37.5</v>
      </c>
      <c r="AV98" s="16">
        <f t="shared" si="50"/>
        <v>25</v>
      </c>
      <c r="AW98" s="16">
        <f t="shared" si="51"/>
        <v>41.666699999999999</v>
      </c>
      <c r="AX98" s="16">
        <f t="shared" si="52"/>
        <v>1.5</v>
      </c>
      <c r="AY98" s="16">
        <f t="shared" si="53"/>
        <v>41.666699999999999</v>
      </c>
      <c r="AZ98" s="16">
        <f t="shared" si="54"/>
        <v>0</v>
      </c>
      <c r="BA98" s="16">
        <f t="shared" si="55"/>
        <v>0</v>
      </c>
      <c r="BB98" s="16">
        <f t="shared" si="56"/>
        <v>0</v>
      </c>
      <c r="BC98" s="16">
        <f t="shared" si="57"/>
        <v>0</v>
      </c>
      <c r="BD98" s="16">
        <f t="shared" si="58"/>
        <v>8.3299999999999999E-2</v>
      </c>
      <c r="BE98" s="16">
        <f t="shared" si="59"/>
        <v>1</v>
      </c>
      <c r="BF98" s="16">
        <f t="shared" si="60"/>
        <v>2</v>
      </c>
      <c r="BG98" s="16">
        <f t="shared" si="61"/>
        <v>0.5</v>
      </c>
      <c r="BH98" s="16">
        <f t="shared" si="62"/>
        <v>1.1667000000000001</v>
      </c>
      <c r="BI98" s="16">
        <f t="shared" si="63"/>
        <v>0.25</v>
      </c>
      <c r="BJ98" s="16">
        <f t="shared" si="64"/>
        <v>0.25</v>
      </c>
      <c r="BK98" s="16">
        <f t="shared" si="65"/>
        <v>0</v>
      </c>
      <c r="BL98" s="16">
        <f t="shared" si="66"/>
        <v>0.16669999999999999</v>
      </c>
      <c r="BM98" s="16">
        <f t="shared" si="67"/>
        <v>0.75</v>
      </c>
      <c r="BN98" s="16">
        <f t="shared" si="68"/>
        <v>2.75</v>
      </c>
      <c r="BO98" s="16">
        <f t="shared" si="69"/>
        <v>1.75</v>
      </c>
      <c r="BP98" s="16">
        <f t="shared" si="70"/>
        <v>1.75</v>
      </c>
      <c r="BQ98" s="16">
        <f t="shared" si="71"/>
        <v>20.833300000000001</v>
      </c>
      <c r="BR98" s="16">
        <f t="shared" si="72"/>
        <v>45.833300000000001</v>
      </c>
      <c r="BS98" s="16">
        <f t="shared" si="73"/>
        <v>33.333300000000001</v>
      </c>
      <c r="BT98" s="16">
        <f t="shared" si="74"/>
        <v>43.333300000000001</v>
      </c>
      <c r="BU98" s="16">
        <f t="shared" si="75"/>
        <v>1.4167000000000001</v>
      </c>
      <c r="BV98" s="16">
        <f t="shared" si="76"/>
        <v>68.693700000000007</v>
      </c>
      <c r="BW98" s="16">
        <f t="shared" si="77"/>
        <v>13.519</v>
      </c>
      <c r="BX98" s="16">
        <f t="shared" si="78"/>
        <v>31.3063</v>
      </c>
      <c r="BY98" s="16">
        <f t="shared" si="79"/>
        <v>0</v>
      </c>
      <c r="BZ98" s="16">
        <f t="shared" si="80"/>
        <v>0</v>
      </c>
      <c r="CA98" s="16">
        <f t="shared" si="81"/>
        <v>0</v>
      </c>
      <c r="CB98" s="16">
        <f t="shared" si="82"/>
        <v>0</v>
      </c>
      <c r="CC98" s="16">
        <f t="shared" si="83"/>
        <v>0</v>
      </c>
    </row>
    <row r="99" spans="1:81" x14ac:dyDescent="0.25">
      <c r="A99">
        <v>13</v>
      </c>
      <c r="B99" s="16">
        <f t="shared" si="4"/>
        <v>15.9</v>
      </c>
      <c r="C99" s="16">
        <f t="shared" si="5"/>
        <v>8.1</v>
      </c>
      <c r="D99" s="16">
        <f t="shared" si="6"/>
        <v>9.74</v>
      </c>
      <c r="E99" s="16">
        <f t="shared" si="7"/>
        <v>1054</v>
      </c>
      <c r="F99" s="16">
        <f t="shared" si="8"/>
        <v>633</v>
      </c>
      <c r="G99" s="16">
        <f t="shared" si="9"/>
        <v>599</v>
      </c>
      <c r="H99" s="16">
        <f t="shared" si="10"/>
        <v>2286</v>
      </c>
      <c r="I99" s="16">
        <f t="shared" si="11"/>
        <v>0</v>
      </c>
      <c r="J99" s="16">
        <f t="shared" si="12"/>
        <v>4.8250000000000002</v>
      </c>
      <c r="K99" s="16">
        <f t="shared" si="13"/>
        <v>2.3875000000000002</v>
      </c>
      <c r="L99" s="16">
        <f t="shared" si="14"/>
        <v>3.7625000000000002</v>
      </c>
      <c r="M99" s="16">
        <f t="shared" si="15"/>
        <v>3.6583000000000001</v>
      </c>
      <c r="N99" s="16">
        <f t="shared" si="16"/>
        <v>1.4945999999999999</v>
      </c>
      <c r="O99" s="16">
        <f t="shared" si="17"/>
        <v>0.45469999999999999</v>
      </c>
      <c r="P99" s="16">
        <f t="shared" si="18"/>
        <v>0.33</v>
      </c>
      <c r="Q99" s="16">
        <f t="shared" si="19"/>
        <v>0.53380000000000005</v>
      </c>
      <c r="R99" s="16">
        <f t="shared" si="20"/>
        <v>0.43940000000000001</v>
      </c>
      <c r="S99" s="16">
        <f t="shared" si="21"/>
        <v>0.20860000000000001</v>
      </c>
      <c r="T99" s="16">
        <f t="shared" si="22"/>
        <v>0.78</v>
      </c>
      <c r="U99" s="16">
        <f t="shared" si="23"/>
        <v>0.46</v>
      </c>
      <c r="V99" s="16">
        <f t="shared" si="24"/>
        <v>0.88</v>
      </c>
      <c r="W99" s="16">
        <f t="shared" si="25"/>
        <v>0.88</v>
      </c>
      <c r="X99" s="16">
        <f t="shared" si="26"/>
        <v>8.3262</v>
      </c>
      <c r="Y99" s="16">
        <f t="shared" si="27"/>
        <v>0</v>
      </c>
      <c r="Z99" s="16">
        <f t="shared" si="28"/>
        <v>37.5</v>
      </c>
      <c r="AA99" s="16">
        <f t="shared" si="29"/>
        <v>6.25</v>
      </c>
      <c r="AB99" s="16">
        <f t="shared" si="30"/>
        <v>43.75</v>
      </c>
      <c r="AC99" s="16">
        <f t="shared" si="31"/>
        <v>6.25</v>
      </c>
      <c r="AD99" s="16">
        <f t="shared" si="32"/>
        <v>50</v>
      </c>
      <c r="AE99" s="16">
        <f t="shared" si="33"/>
        <v>0</v>
      </c>
      <c r="AF99" s="16">
        <f t="shared" si="34"/>
        <v>56.25</v>
      </c>
      <c r="AG99" s="16">
        <f t="shared" si="35"/>
        <v>50</v>
      </c>
      <c r="AH99" s="16">
        <f t="shared" si="36"/>
        <v>9.2899999999999996E-2</v>
      </c>
      <c r="AI99" s="16">
        <f t="shared" si="37"/>
        <v>0.2838</v>
      </c>
      <c r="AJ99" s="16">
        <f t="shared" si="38"/>
        <v>0.1638</v>
      </c>
      <c r="AK99" s="16">
        <f t="shared" si="39"/>
        <v>0.1681</v>
      </c>
      <c r="AL99" s="16">
        <f t="shared" si="40"/>
        <v>0.15429999999999999</v>
      </c>
      <c r="AM99" s="16">
        <f t="shared" si="41"/>
        <v>0.28999999999999998</v>
      </c>
      <c r="AN99" s="16">
        <f t="shared" si="42"/>
        <v>0.43</v>
      </c>
      <c r="AO99" s="16">
        <f t="shared" si="43"/>
        <v>0.6</v>
      </c>
      <c r="AP99" s="16">
        <f t="shared" si="44"/>
        <v>0.6</v>
      </c>
      <c r="AQ99" s="16">
        <f t="shared" si="45"/>
        <v>25</v>
      </c>
      <c r="AR99" s="16">
        <f t="shared" si="46"/>
        <v>0.29170000000000001</v>
      </c>
      <c r="AS99" s="16">
        <f t="shared" si="47"/>
        <v>62.5</v>
      </c>
      <c r="AT99" s="16">
        <f t="shared" si="48"/>
        <v>12.5</v>
      </c>
      <c r="AU99" s="16">
        <f t="shared" si="49"/>
        <v>62.5</v>
      </c>
      <c r="AV99" s="16">
        <f t="shared" si="50"/>
        <v>45.833300000000001</v>
      </c>
      <c r="AW99" s="16">
        <f t="shared" si="51"/>
        <v>37.5</v>
      </c>
      <c r="AX99" s="16">
        <f t="shared" si="52"/>
        <v>0.75</v>
      </c>
      <c r="AY99" s="16">
        <f t="shared" si="53"/>
        <v>16.666699999999999</v>
      </c>
      <c r="AZ99" s="16">
        <f t="shared" si="54"/>
        <v>0.75</v>
      </c>
      <c r="BA99" s="16">
        <f t="shared" si="55"/>
        <v>0</v>
      </c>
      <c r="BB99" s="16">
        <f t="shared" si="56"/>
        <v>0</v>
      </c>
      <c r="BC99" s="16">
        <f t="shared" si="57"/>
        <v>0.25</v>
      </c>
      <c r="BD99" s="16">
        <f t="shared" si="58"/>
        <v>0.95830000000000004</v>
      </c>
      <c r="BE99" s="16">
        <f t="shared" si="59"/>
        <v>0.25</v>
      </c>
      <c r="BF99" s="16">
        <f t="shared" si="60"/>
        <v>0.5</v>
      </c>
      <c r="BG99" s="16">
        <f t="shared" si="61"/>
        <v>0</v>
      </c>
      <c r="BH99" s="16">
        <f t="shared" si="62"/>
        <v>0.25</v>
      </c>
      <c r="BI99" s="16">
        <f t="shared" si="63"/>
        <v>0</v>
      </c>
      <c r="BJ99" s="16">
        <f t="shared" si="64"/>
        <v>0</v>
      </c>
      <c r="BK99" s="16">
        <f t="shared" si="65"/>
        <v>0</v>
      </c>
      <c r="BL99" s="16">
        <f t="shared" si="66"/>
        <v>0</v>
      </c>
      <c r="BM99" s="16">
        <f t="shared" si="67"/>
        <v>2.5</v>
      </c>
      <c r="BN99" s="16">
        <f t="shared" si="68"/>
        <v>0</v>
      </c>
      <c r="BO99" s="16">
        <f t="shared" si="69"/>
        <v>2.5</v>
      </c>
      <c r="BP99" s="16">
        <f t="shared" si="70"/>
        <v>1.6667000000000001</v>
      </c>
      <c r="BQ99" s="16">
        <f t="shared" si="71"/>
        <v>0</v>
      </c>
      <c r="BR99" s="16">
        <f t="shared" si="72"/>
        <v>83.333299999999994</v>
      </c>
      <c r="BS99" s="16">
        <f t="shared" si="73"/>
        <v>16.666699999999999</v>
      </c>
      <c r="BT99" s="16">
        <f t="shared" si="74"/>
        <v>44.375</v>
      </c>
      <c r="BU99" s="16">
        <f t="shared" si="75"/>
        <v>2.7082999999999999</v>
      </c>
      <c r="BV99" s="16">
        <f t="shared" si="76"/>
        <v>37.537500000000001</v>
      </c>
      <c r="BW99" s="16">
        <f t="shared" si="77"/>
        <v>15.665800000000001</v>
      </c>
      <c r="BX99" s="16">
        <f t="shared" si="78"/>
        <v>62.462499999999999</v>
      </c>
      <c r="BY99" s="16">
        <f t="shared" si="79"/>
        <v>0</v>
      </c>
      <c r="BZ99" s="16">
        <f t="shared" si="80"/>
        <v>0</v>
      </c>
      <c r="CA99" s="16">
        <f t="shared" si="81"/>
        <v>0</v>
      </c>
      <c r="CB99" s="16">
        <f t="shared" si="82"/>
        <v>0</v>
      </c>
      <c r="CC99" s="16">
        <f t="shared" si="83"/>
        <v>0</v>
      </c>
    </row>
    <row r="100" spans="1:81" x14ac:dyDescent="0.25">
      <c r="A100">
        <v>14</v>
      </c>
      <c r="B100" s="16">
        <f t="shared" si="4"/>
        <v>13.4</v>
      </c>
      <c r="C100" s="16">
        <f t="shared" si="5"/>
        <v>8.68</v>
      </c>
      <c r="D100" s="16">
        <f t="shared" si="6"/>
        <v>11.84</v>
      </c>
      <c r="E100" s="16">
        <f t="shared" si="7"/>
        <v>417</v>
      </c>
      <c r="F100" s="16">
        <f t="shared" si="8"/>
        <v>429</v>
      </c>
      <c r="G100" s="16">
        <f t="shared" si="9"/>
        <v>199</v>
      </c>
      <c r="H100" s="16">
        <f t="shared" si="10"/>
        <v>1045</v>
      </c>
      <c r="I100" s="16">
        <f t="shared" si="11"/>
        <v>0.1148</v>
      </c>
      <c r="J100" s="16">
        <f t="shared" si="12"/>
        <v>2.5874999999999999</v>
      </c>
      <c r="K100" s="16">
        <f t="shared" si="13"/>
        <v>2.8125</v>
      </c>
      <c r="L100" s="16">
        <f t="shared" si="14"/>
        <v>2.3250000000000002</v>
      </c>
      <c r="M100" s="16">
        <f t="shared" si="15"/>
        <v>2.5750000000000002</v>
      </c>
      <c r="N100" s="16">
        <f t="shared" si="16"/>
        <v>0.71030000000000004</v>
      </c>
      <c r="O100" s="16">
        <f t="shared" si="17"/>
        <v>0.18629999999999999</v>
      </c>
      <c r="P100" s="16">
        <f t="shared" si="18"/>
        <v>0.35560000000000003</v>
      </c>
      <c r="Q100" s="16">
        <f t="shared" si="19"/>
        <v>0.17469999999999999</v>
      </c>
      <c r="R100" s="16">
        <f t="shared" si="20"/>
        <v>0.2402</v>
      </c>
      <c r="S100" s="16">
        <f t="shared" si="21"/>
        <v>0.15970000000000001</v>
      </c>
      <c r="T100" s="16">
        <f t="shared" si="22"/>
        <v>0.36</v>
      </c>
      <c r="U100" s="16">
        <f t="shared" si="23"/>
        <v>0.62</v>
      </c>
      <c r="V100" s="16">
        <f t="shared" si="24"/>
        <v>0.28000000000000003</v>
      </c>
      <c r="W100" s="16">
        <f t="shared" si="25"/>
        <v>0.62</v>
      </c>
      <c r="X100" s="16">
        <f t="shared" si="26"/>
        <v>10.7197</v>
      </c>
      <c r="Y100" s="16">
        <f t="shared" si="27"/>
        <v>8.6957000000000004</v>
      </c>
      <c r="Z100" s="16">
        <f t="shared" si="28"/>
        <v>4.3478000000000003</v>
      </c>
      <c r="AA100" s="16">
        <f t="shared" si="29"/>
        <v>34.782600000000002</v>
      </c>
      <c r="AB100" s="16">
        <f t="shared" si="30"/>
        <v>47.826099999999997</v>
      </c>
      <c r="AC100" s="16">
        <f t="shared" si="31"/>
        <v>23.913</v>
      </c>
      <c r="AD100" s="16">
        <f t="shared" si="32"/>
        <v>28.260899999999999</v>
      </c>
      <c r="AE100" s="16">
        <f t="shared" si="33"/>
        <v>0</v>
      </c>
      <c r="AF100" s="16">
        <f t="shared" si="34"/>
        <v>52.173900000000003</v>
      </c>
      <c r="AG100" s="16">
        <f t="shared" si="35"/>
        <v>34.782600000000002</v>
      </c>
      <c r="AH100" s="16">
        <f t="shared" si="36"/>
        <v>0.32879999999999998</v>
      </c>
      <c r="AI100" s="16">
        <f t="shared" si="37"/>
        <v>0.18129999999999999</v>
      </c>
      <c r="AJ100" s="16">
        <f t="shared" si="38"/>
        <v>0.218</v>
      </c>
      <c r="AK100" s="16">
        <f t="shared" si="39"/>
        <v>0.2432</v>
      </c>
      <c r="AL100" s="16">
        <f t="shared" si="40"/>
        <v>0.1472</v>
      </c>
      <c r="AM100" s="16">
        <f t="shared" si="41"/>
        <v>0.74</v>
      </c>
      <c r="AN100" s="16">
        <f t="shared" si="42"/>
        <v>0.53</v>
      </c>
      <c r="AO100" s="16">
        <f t="shared" si="43"/>
        <v>0.42</v>
      </c>
      <c r="AP100" s="16">
        <f t="shared" si="44"/>
        <v>0.74</v>
      </c>
      <c r="AQ100" s="16">
        <f t="shared" si="45"/>
        <v>29.166699999999999</v>
      </c>
      <c r="AR100" s="16">
        <f t="shared" si="46"/>
        <v>0.58330000000000004</v>
      </c>
      <c r="AS100" s="16">
        <f t="shared" si="47"/>
        <v>0</v>
      </c>
      <c r="AT100" s="16">
        <f t="shared" si="48"/>
        <v>37.5</v>
      </c>
      <c r="AU100" s="16">
        <f t="shared" si="49"/>
        <v>0</v>
      </c>
      <c r="AV100" s="16">
        <f t="shared" si="50"/>
        <v>12.5</v>
      </c>
      <c r="AW100" s="16">
        <f t="shared" si="51"/>
        <v>58.333300000000001</v>
      </c>
      <c r="AX100" s="16">
        <f t="shared" si="52"/>
        <v>0.75</v>
      </c>
      <c r="AY100" s="16">
        <f t="shared" si="53"/>
        <v>25</v>
      </c>
      <c r="AZ100" s="16">
        <f t="shared" si="54"/>
        <v>0</v>
      </c>
      <c r="BA100" s="16">
        <f t="shared" si="55"/>
        <v>0</v>
      </c>
      <c r="BB100" s="16">
        <f t="shared" si="56"/>
        <v>0</v>
      </c>
      <c r="BC100" s="16">
        <f t="shared" si="57"/>
        <v>0</v>
      </c>
      <c r="BD100" s="16">
        <f t="shared" si="58"/>
        <v>0.58330000000000004</v>
      </c>
      <c r="BE100" s="16">
        <f t="shared" si="59"/>
        <v>0</v>
      </c>
      <c r="BF100" s="16">
        <f t="shared" si="60"/>
        <v>0.5</v>
      </c>
      <c r="BG100" s="16">
        <f t="shared" si="61"/>
        <v>0.5</v>
      </c>
      <c r="BH100" s="16">
        <f t="shared" si="62"/>
        <v>0.33329999999999999</v>
      </c>
      <c r="BI100" s="16">
        <f t="shared" si="63"/>
        <v>0.25</v>
      </c>
      <c r="BJ100" s="16">
        <f t="shared" si="64"/>
        <v>0</v>
      </c>
      <c r="BK100" s="16">
        <f t="shared" si="65"/>
        <v>0</v>
      </c>
      <c r="BL100" s="16">
        <f t="shared" si="66"/>
        <v>8.3299999999999999E-2</v>
      </c>
      <c r="BM100" s="16">
        <f t="shared" si="67"/>
        <v>0.25</v>
      </c>
      <c r="BN100" s="16">
        <f t="shared" si="68"/>
        <v>2.25</v>
      </c>
      <c r="BO100" s="16">
        <f t="shared" si="69"/>
        <v>0</v>
      </c>
      <c r="BP100" s="16">
        <f t="shared" si="70"/>
        <v>0.83330000000000004</v>
      </c>
      <c r="BQ100" s="16">
        <f t="shared" si="71"/>
        <v>12.5</v>
      </c>
      <c r="BR100" s="16">
        <f t="shared" si="72"/>
        <v>75</v>
      </c>
      <c r="BS100" s="16">
        <f t="shared" si="73"/>
        <v>12.5</v>
      </c>
      <c r="BT100" s="16">
        <f t="shared" si="74"/>
        <v>36.875</v>
      </c>
      <c r="BU100" s="16">
        <f t="shared" si="75"/>
        <v>0.58330000000000004</v>
      </c>
      <c r="BV100" s="16">
        <f t="shared" si="76"/>
        <v>81.681700000000006</v>
      </c>
      <c r="BW100" s="16">
        <f t="shared" si="77"/>
        <v>12.1069</v>
      </c>
      <c r="BX100" s="16">
        <f t="shared" si="78"/>
        <v>18.318300000000001</v>
      </c>
      <c r="BY100" s="16">
        <f t="shared" si="79"/>
        <v>0</v>
      </c>
      <c r="BZ100" s="16">
        <f t="shared" si="80"/>
        <v>0</v>
      </c>
      <c r="CA100" s="16">
        <f t="shared" si="81"/>
        <v>0</v>
      </c>
      <c r="CB100" s="16">
        <f t="shared" si="82"/>
        <v>0</v>
      </c>
      <c r="CC100" s="16">
        <f t="shared" si="83"/>
        <v>0</v>
      </c>
    </row>
    <row r="101" spans="1:81" x14ac:dyDescent="0.25">
      <c r="A101">
        <v>16</v>
      </c>
      <c r="B101" s="16">
        <f t="shared" si="4"/>
        <v>14.6</v>
      </c>
      <c r="C101" s="16">
        <f t="shared" si="5"/>
        <v>8.06</v>
      </c>
      <c r="D101" s="16">
        <f t="shared" si="6"/>
        <v>10.55</v>
      </c>
      <c r="E101" s="16">
        <f t="shared" si="7"/>
        <v>518</v>
      </c>
      <c r="F101" s="16">
        <f t="shared" si="8"/>
        <v>323</v>
      </c>
      <c r="G101" s="16">
        <f t="shared" si="9"/>
        <v>317</v>
      </c>
      <c r="H101" s="16">
        <f t="shared" si="10"/>
        <v>1158</v>
      </c>
      <c r="I101" s="16">
        <f t="shared" si="11"/>
        <v>0</v>
      </c>
      <c r="J101" s="16">
        <f t="shared" si="12"/>
        <v>1.8125</v>
      </c>
      <c r="K101" s="16">
        <f t="shared" si="13"/>
        <v>1.575</v>
      </c>
      <c r="L101" s="16">
        <f t="shared" si="14"/>
        <v>1.2250000000000001</v>
      </c>
      <c r="M101" s="16">
        <f t="shared" si="15"/>
        <v>1.5375000000000001</v>
      </c>
      <c r="N101" s="16">
        <f t="shared" si="16"/>
        <v>0.61980000000000002</v>
      </c>
      <c r="O101" s="16">
        <f t="shared" si="17"/>
        <v>0.26669999999999999</v>
      </c>
      <c r="P101" s="16">
        <f t="shared" si="18"/>
        <v>0.30330000000000001</v>
      </c>
      <c r="Q101" s="16">
        <f t="shared" si="19"/>
        <v>0.2767</v>
      </c>
      <c r="R101" s="16">
        <f t="shared" si="20"/>
        <v>0.28220000000000001</v>
      </c>
      <c r="S101" s="16">
        <f t="shared" si="21"/>
        <v>0.1071</v>
      </c>
      <c r="T101" s="16">
        <f t="shared" si="22"/>
        <v>0.42</v>
      </c>
      <c r="U101" s="16">
        <f t="shared" si="23"/>
        <v>0.5</v>
      </c>
      <c r="V101" s="16">
        <f t="shared" si="24"/>
        <v>0.44</v>
      </c>
      <c r="W101" s="16">
        <f t="shared" si="25"/>
        <v>0.5</v>
      </c>
      <c r="X101" s="16">
        <f t="shared" si="26"/>
        <v>5.4478</v>
      </c>
      <c r="Y101" s="16">
        <f t="shared" si="27"/>
        <v>0</v>
      </c>
      <c r="Z101" s="16">
        <f t="shared" si="28"/>
        <v>61.1111</v>
      </c>
      <c r="AA101" s="16">
        <f t="shared" si="29"/>
        <v>0</v>
      </c>
      <c r="AB101" s="16">
        <f t="shared" si="30"/>
        <v>61.1111</v>
      </c>
      <c r="AC101" s="16">
        <f t="shared" si="31"/>
        <v>2.7778</v>
      </c>
      <c r="AD101" s="16">
        <f t="shared" si="32"/>
        <v>36.1111</v>
      </c>
      <c r="AE101" s="16">
        <f t="shared" si="33"/>
        <v>0</v>
      </c>
      <c r="AF101" s="16">
        <f t="shared" si="34"/>
        <v>38.8889</v>
      </c>
      <c r="AG101" s="16">
        <f t="shared" si="35"/>
        <v>61.1111</v>
      </c>
      <c r="AH101" s="16">
        <f t="shared" si="36"/>
        <v>0.26179999999999998</v>
      </c>
      <c r="AI101" s="16">
        <f t="shared" si="37"/>
        <v>0.20449999999999999</v>
      </c>
      <c r="AJ101" s="16">
        <f t="shared" si="38"/>
        <v>0.24179999999999999</v>
      </c>
      <c r="AK101" s="16">
        <f t="shared" si="39"/>
        <v>0.23</v>
      </c>
      <c r="AL101" s="16">
        <f t="shared" si="40"/>
        <v>0.15690000000000001</v>
      </c>
      <c r="AM101" s="16">
        <f t="shared" si="41"/>
        <v>0.61</v>
      </c>
      <c r="AN101" s="16">
        <f t="shared" si="42"/>
        <v>0.54</v>
      </c>
      <c r="AO101" s="16">
        <f t="shared" si="43"/>
        <v>0.46</v>
      </c>
      <c r="AP101" s="16">
        <f t="shared" si="44"/>
        <v>0.61</v>
      </c>
      <c r="AQ101" s="16">
        <f t="shared" si="45"/>
        <v>12.5</v>
      </c>
      <c r="AR101" s="16">
        <f t="shared" si="46"/>
        <v>0.83330000000000004</v>
      </c>
      <c r="AS101" s="16">
        <f t="shared" si="47"/>
        <v>12.5</v>
      </c>
      <c r="AT101" s="16">
        <f t="shared" si="48"/>
        <v>0</v>
      </c>
      <c r="AU101" s="16">
        <f t="shared" si="49"/>
        <v>0</v>
      </c>
      <c r="AV101" s="16">
        <f t="shared" si="50"/>
        <v>4.1666999999999996</v>
      </c>
      <c r="AW101" s="16">
        <f t="shared" si="51"/>
        <v>83.333299999999994</v>
      </c>
      <c r="AX101" s="16">
        <f t="shared" si="52"/>
        <v>1.3332999999999999</v>
      </c>
      <c r="AY101" s="16">
        <f t="shared" si="53"/>
        <v>33.333300000000001</v>
      </c>
      <c r="AZ101" s="16">
        <f t="shared" si="54"/>
        <v>0.125</v>
      </c>
      <c r="BA101" s="16">
        <f t="shared" si="55"/>
        <v>0</v>
      </c>
      <c r="BB101" s="16">
        <f t="shared" si="56"/>
        <v>0</v>
      </c>
      <c r="BC101" s="16">
        <f t="shared" si="57"/>
        <v>4.1700000000000001E-2</v>
      </c>
      <c r="BD101" s="16">
        <f t="shared" si="58"/>
        <v>4.1700000000000001E-2</v>
      </c>
      <c r="BE101" s="16">
        <f t="shared" si="59"/>
        <v>0.5</v>
      </c>
      <c r="BF101" s="16">
        <f t="shared" si="60"/>
        <v>0.25</v>
      </c>
      <c r="BG101" s="16">
        <f t="shared" si="61"/>
        <v>0.5</v>
      </c>
      <c r="BH101" s="16">
        <f t="shared" si="62"/>
        <v>0.41670000000000001</v>
      </c>
      <c r="BI101" s="16">
        <f t="shared" si="63"/>
        <v>0</v>
      </c>
      <c r="BJ101" s="16">
        <f t="shared" si="64"/>
        <v>0</v>
      </c>
      <c r="BK101" s="16">
        <f t="shared" si="65"/>
        <v>0</v>
      </c>
      <c r="BL101" s="16">
        <f t="shared" si="66"/>
        <v>0</v>
      </c>
      <c r="BM101" s="16">
        <f t="shared" si="67"/>
        <v>0.75</v>
      </c>
      <c r="BN101" s="16">
        <f t="shared" si="68"/>
        <v>0.5</v>
      </c>
      <c r="BO101" s="16">
        <f t="shared" si="69"/>
        <v>0</v>
      </c>
      <c r="BP101" s="16">
        <f t="shared" si="70"/>
        <v>0.41670000000000001</v>
      </c>
      <c r="BQ101" s="16">
        <f t="shared" si="71"/>
        <v>20.833300000000001</v>
      </c>
      <c r="BR101" s="16">
        <f t="shared" si="72"/>
        <v>29.166699999999999</v>
      </c>
      <c r="BS101" s="16">
        <f t="shared" si="73"/>
        <v>50</v>
      </c>
      <c r="BT101" s="16">
        <f t="shared" si="74"/>
        <v>49.375</v>
      </c>
      <c r="BU101" s="16">
        <f t="shared" si="75"/>
        <v>1.375</v>
      </c>
      <c r="BV101" s="16">
        <f t="shared" si="76"/>
        <v>78.571399999999997</v>
      </c>
      <c r="BW101" s="16">
        <f t="shared" si="77"/>
        <v>15.7552</v>
      </c>
      <c r="BX101" s="16">
        <f t="shared" si="78"/>
        <v>21.428599999999999</v>
      </c>
      <c r="BY101" s="16">
        <f t="shared" si="79"/>
        <v>0</v>
      </c>
      <c r="BZ101" s="16">
        <f t="shared" si="80"/>
        <v>0</v>
      </c>
      <c r="CA101" s="16">
        <f t="shared" si="81"/>
        <v>0</v>
      </c>
      <c r="CB101" s="16">
        <f t="shared" si="82"/>
        <v>0</v>
      </c>
      <c r="CC101" s="16">
        <f t="shared" si="83"/>
        <v>0</v>
      </c>
    </row>
    <row r="102" spans="1:81" x14ac:dyDescent="0.25">
      <c r="A102">
        <v>18</v>
      </c>
      <c r="B102" s="16">
        <f t="shared" si="4"/>
        <v>15.6</v>
      </c>
      <c r="C102" s="16">
        <f t="shared" si="5"/>
        <v>8.85</v>
      </c>
      <c r="D102" s="16">
        <f t="shared" si="6"/>
        <v>14.3</v>
      </c>
      <c r="E102" s="16">
        <f t="shared" si="7"/>
        <v>781</v>
      </c>
      <c r="F102" s="16">
        <f t="shared" si="8"/>
        <v>739</v>
      </c>
      <c r="G102" s="16">
        <f t="shared" si="9"/>
        <v>531</v>
      </c>
      <c r="H102" s="16">
        <f t="shared" si="10"/>
        <v>2051</v>
      </c>
      <c r="I102" s="16">
        <f t="shared" si="11"/>
        <v>5.8500000000000003E-2</v>
      </c>
      <c r="J102" s="16">
        <f t="shared" si="12"/>
        <v>2.9874999999999998</v>
      </c>
      <c r="K102" s="16">
        <f t="shared" si="13"/>
        <v>2.7374999999999998</v>
      </c>
      <c r="L102" s="16">
        <f t="shared" si="14"/>
        <v>2.9750000000000001</v>
      </c>
      <c r="M102" s="16">
        <f t="shared" si="15"/>
        <v>2.9</v>
      </c>
      <c r="N102" s="16">
        <f t="shared" si="16"/>
        <v>0.69969999999999999</v>
      </c>
      <c r="O102" s="16">
        <f t="shared" si="17"/>
        <v>0.15060000000000001</v>
      </c>
      <c r="P102" s="16">
        <f t="shared" si="18"/>
        <v>0.14249999999999999</v>
      </c>
      <c r="Q102" s="16">
        <f t="shared" si="19"/>
        <v>0.18440000000000001</v>
      </c>
      <c r="R102" s="16">
        <f t="shared" si="20"/>
        <v>0.15920000000000001</v>
      </c>
      <c r="S102" s="16">
        <f t="shared" si="21"/>
        <v>0.10009999999999999</v>
      </c>
      <c r="T102" s="16">
        <f t="shared" si="22"/>
        <v>0.44</v>
      </c>
      <c r="U102" s="16">
        <f t="shared" si="23"/>
        <v>0.44</v>
      </c>
      <c r="V102" s="16">
        <f t="shared" si="24"/>
        <v>0.32</v>
      </c>
      <c r="W102" s="16">
        <f t="shared" si="25"/>
        <v>0.44</v>
      </c>
      <c r="X102" s="16">
        <f t="shared" si="26"/>
        <v>18.219899999999999</v>
      </c>
      <c r="Y102" s="16">
        <f t="shared" si="27"/>
        <v>0</v>
      </c>
      <c r="Z102" s="16">
        <f t="shared" si="28"/>
        <v>47.916699999999999</v>
      </c>
      <c r="AA102" s="16">
        <f t="shared" si="29"/>
        <v>2.0832999999999999</v>
      </c>
      <c r="AB102" s="16">
        <f t="shared" si="30"/>
        <v>50</v>
      </c>
      <c r="AC102" s="16">
        <f t="shared" si="31"/>
        <v>4.1666999999999996</v>
      </c>
      <c r="AD102" s="16">
        <f t="shared" si="32"/>
        <v>43.75</v>
      </c>
      <c r="AE102" s="16">
        <f t="shared" si="33"/>
        <v>2.0832999999999999</v>
      </c>
      <c r="AF102" s="16">
        <f t="shared" si="34"/>
        <v>50</v>
      </c>
      <c r="AG102" s="16">
        <f t="shared" si="35"/>
        <v>47.916699999999999</v>
      </c>
      <c r="AH102" s="16">
        <f t="shared" si="36"/>
        <v>4.9399999999999999E-2</v>
      </c>
      <c r="AI102" s="16">
        <f t="shared" si="37"/>
        <v>0.1381</v>
      </c>
      <c r="AJ102" s="16">
        <f t="shared" si="38"/>
        <v>1.1900000000000001E-2</v>
      </c>
      <c r="AK102" s="16">
        <f t="shared" si="39"/>
        <v>6.6500000000000004E-2</v>
      </c>
      <c r="AL102" s="16">
        <f t="shared" si="40"/>
        <v>0.123</v>
      </c>
      <c r="AM102" s="16">
        <f t="shared" si="41"/>
        <v>0.25</v>
      </c>
      <c r="AN102" s="16">
        <f t="shared" si="42"/>
        <v>0.61</v>
      </c>
      <c r="AO102" s="16">
        <f t="shared" si="43"/>
        <v>0.05</v>
      </c>
      <c r="AP102" s="16">
        <f t="shared" si="44"/>
        <v>0.61</v>
      </c>
      <c r="AQ102" s="16">
        <f t="shared" si="45"/>
        <v>29.166699999999999</v>
      </c>
      <c r="AR102" s="16">
        <f t="shared" si="46"/>
        <v>0.125</v>
      </c>
      <c r="AS102" s="16">
        <f t="shared" si="47"/>
        <v>50</v>
      </c>
      <c r="AT102" s="16">
        <f t="shared" si="48"/>
        <v>37.5</v>
      </c>
      <c r="AU102" s="16">
        <f t="shared" si="49"/>
        <v>87.5</v>
      </c>
      <c r="AV102" s="16">
        <f t="shared" si="50"/>
        <v>58.333300000000001</v>
      </c>
      <c r="AW102" s="16">
        <f t="shared" si="51"/>
        <v>58.333300000000001</v>
      </c>
      <c r="AX102" s="16">
        <f t="shared" si="52"/>
        <v>0.66669999999999996</v>
      </c>
      <c r="AY102" s="16">
        <f t="shared" si="53"/>
        <v>25</v>
      </c>
      <c r="AZ102" s="16">
        <f t="shared" si="54"/>
        <v>0.5</v>
      </c>
      <c r="BA102" s="16">
        <f t="shared" si="55"/>
        <v>0.125</v>
      </c>
      <c r="BB102" s="16">
        <f t="shared" si="56"/>
        <v>0</v>
      </c>
      <c r="BC102" s="16">
        <f t="shared" si="57"/>
        <v>0.20830000000000001</v>
      </c>
      <c r="BD102" s="16">
        <f t="shared" si="58"/>
        <v>0.45829999999999999</v>
      </c>
      <c r="BE102" s="16">
        <f t="shared" si="59"/>
        <v>0.25</v>
      </c>
      <c r="BF102" s="16">
        <f t="shared" si="60"/>
        <v>0</v>
      </c>
      <c r="BG102" s="16">
        <f t="shared" si="61"/>
        <v>0</v>
      </c>
      <c r="BH102" s="16">
        <f t="shared" si="62"/>
        <v>8.3299999999999999E-2</v>
      </c>
      <c r="BI102" s="16">
        <f t="shared" si="63"/>
        <v>1.25</v>
      </c>
      <c r="BJ102" s="16">
        <f t="shared" si="64"/>
        <v>1.5</v>
      </c>
      <c r="BK102" s="16">
        <f t="shared" si="65"/>
        <v>0</v>
      </c>
      <c r="BL102" s="16">
        <f t="shared" si="66"/>
        <v>0.91669999999999996</v>
      </c>
      <c r="BM102" s="16">
        <f t="shared" si="67"/>
        <v>2.5</v>
      </c>
      <c r="BN102" s="16">
        <f t="shared" si="68"/>
        <v>1.5</v>
      </c>
      <c r="BO102" s="16">
        <f t="shared" si="69"/>
        <v>4</v>
      </c>
      <c r="BP102" s="16">
        <f t="shared" si="70"/>
        <v>2.6667000000000001</v>
      </c>
      <c r="BQ102" s="16">
        <f t="shared" si="71"/>
        <v>20.833300000000001</v>
      </c>
      <c r="BR102" s="16">
        <f t="shared" si="72"/>
        <v>70.833299999999994</v>
      </c>
      <c r="BS102" s="16">
        <f t="shared" si="73"/>
        <v>8.3332999999999995</v>
      </c>
      <c r="BT102" s="16">
        <f t="shared" si="74"/>
        <v>29.791699999999999</v>
      </c>
      <c r="BU102" s="16">
        <f t="shared" si="75"/>
        <v>1.625</v>
      </c>
      <c r="BV102" s="16">
        <f t="shared" si="76"/>
        <v>33.258299999999998</v>
      </c>
      <c r="BW102" s="16">
        <f t="shared" si="77"/>
        <v>14.392099999999999</v>
      </c>
      <c r="BX102" s="16">
        <f t="shared" si="78"/>
        <v>66.741699999999994</v>
      </c>
      <c r="BY102" s="16">
        <f t="shared" si="79"/>
        <v>0</v>
      </c>
      <c r="BZ102" s="16">
        <f t="shared" si="80"/>
        <v>0</v>
      </c>
      <c r="CA102" s="16">
        <f t="shared" si="81"/>
        <v>0</v>
      </c>
      <c r="CB102" s="16">
        <f t="shared" si="82"/>
        <v>0</v>
      </c>
      <c r="CC102" s="16">
        <f t="shared" si="83"/>
        <v>0</v>
      </c>
    </row>
    <row r="103" spans="1:81" x14ac:dyDescent="0.25">
      <c r="A103">
        <v>22</v>
      </c>
      <c r="B103" s="16">
        <f t="shared" si="4"/>
        <v>16.600000000000001</v>
      </c>
      <c r="C103" s="16">
        <f t="shared" si="5"/>
        <v>8.1999999999999993</v>
      </c>
      <c r="D103" s="16">
        <f t="shared" si="6"/>
        <v>10.63</v>
      </c>
      <c r="E103" s="16">
        <f t="shared" si="7"/>
        <v>334</v>
      </c>
      <c r="F103" s="16">
        <f t="shared" si="8"/>
        <v>547</v>
      </c>
      <c r="G103" s="16">
        <f t="shared" si="9"/>
        <v>317</v>
      </c>
      <c r="H103" s="16">
        <f t="shared" si="10"/>
        <v>1198</v>
      </c>
      <c r="I103" s="16">
        <f t="shared" si="11"/>
        <v>2.0533999999999999</v>
      </c>
      <c r="J103" s="16">
        <f t="shared" si="12"/>
        <v>1.9125000000000001</v>
      </c>
      <c r="K103" s="16">
        <f t="shared" si="13"/>
        <v>2.4500000000000002</v>
      </c>
      <c r="L103" s="16">
        <f t="shared" si="14"/>
        <v>2.1875</v>
      </c>
      <c r="M103" s="16">
        <f t="shared" si="15"/>
        <v>2.1833</v>
      </c>
      <c r="N103" s="16">
        <f t="shared" si="16"/>
        <v>0.44790000000000002</v>
      </c>
      <c r="O103" s="16">
        <f t="shared" si="17"/>
        <v>0.21</v>
      </c>
      <c r="P103" s="16">
        <f t="shared" si="18"/>
        <v>0.24909999999999999</v>
      </c>
      <c r="Q103" s="16">
        <f t="shared" si="19"/>
        <v>0.32300000000000001</v>
      </c>
      <c r="R103" s="16">
        <f t="shared" si="20"/>
        <v>0.26029999999999998</v>
      </c>
      <c r="S103" s="16">
        <f t="shared" si="21"/>
        <v>9.98E-2</v>
      </c>
      <c r="T103" s="16">
        <f t="shared" si="22"/>
        <v>0.28000000000000003</v>
      </c>
      <c r="U103" s="16">
        <f t="shared" si="23"/>
        <v>0.52</v>
      </c>
      <c r="V103" s="16">
        <f t="shared" si="24"/>
        <v>0.46</v>
      </c>
      <c r="W103" s="16">
        <f t="shared" si="25"/>
        <v>0.52</v>
      </c>
      <c r="X103" s="16">
        <f t="shared" si="26"/>
        <v>8.3870000000000005</v>
      </c>
      <c r="Y103" s="16">
        <f t="shared" si="27"/>
        <v>0</v>
      </c>
      <c r="Z103" s="16">
        <f t="shared" si="28"/>
        <v>22.5806</v>
      </c>
      <c r="AA103" s="16">
        <f t="shared" si="29"/>
        <v>9.6774000000000004</v>
      </c>
      <c r="AB103" s="16">
        <f t="shared" si="30"/>
        <v>32.258099999999999</v>
      </c>
      <c r="AC103" s="16">
        <f t="shared" si="31"/>
        <v>25.8065</v>
      </c>
      <c r="AD103" s="16">
        <f t="shared" si="32"/>
        <v>41.935499999999998</v>
      </c>
      <c r="AE103" s="16">
        <f t="shared" si="33"/>
        <v>0</v>
      </c>
      <c r="AF103" s="16">
        <f t="shared" si="34"/>
        <v>67.741900000000001</v>
      </c>
      <c r="AG103" s="16">
        <f t="shared" si="35"/>
        <v>41.935499999999998</v>
      </c>
      <c r="AH103" s="16">
        <f t="shared" si="36"/>
        <v>0.36890000000000001</v>
      </c>
      <c r="AI103" s="16">
        <f t="shared" si="37"/>
        <v>0.28299999999999997</v>
      </c>
      <c r="AJ103" s="16">
        <f t="shared" si="38"/>
        <v>0.19220000000000001</v>
      </c>
      <c r="AK103" s="16">
        <f t="shared" si="39"/>
        <v>0.26840000000000003</v>
      </c>
      <c r="AL103" s="16">
        <f t="shared" si="40"/>
        <v>0.15679999999999999</v>
      </c>
      <c r="AM103" s="16">
        <f t="shared" si="41"/>
        <v>0.6</v>
      </c>
      <c r="AN103" s="16">
        <f t="shared" si="42"/>
        <v>0.72</v>
      </c>
      <c r="AO103" s="16">
        <f t="shared" si="43"/>
        <v>0.36</v>
      </c>
      <c r="AP103" s="16">
        <f t="shared" si="44"/>
        <v>0.72</v>
      </c>
      <c r="AQ103" s="16">
        <f t="shared" si="45"/>
        <v>37.5</v>
      </c>
      <c r="AR103" s="16">
        <f t="shared" si="46"/>
        <v>0.45829999999999999</v>
      </c>
      <c r="AS103" s="16">
        <f t="shared" si="47"/>
        <v>0</v>
      </c>
      <c r="AT103" s="16">
        <f t="shared" si="48"/>
        <v>12.5</v>
      </c>
      <c r="AU103" s="16">
        <f t="shared" si="49"/>
        <v>37.5</v>
      </c>
      <c r="AV103" s="16">
        <f t="shared" si="50"/>
        <v>16.666699999999999</v>
      </c>
      <c r="AW103" s="16">
        <f t="shared" si="51"/>
        <v>45.833300000000001</v>
      </c>
      <c r="AX103" s="16">
        <f t="shared" si="52"/>
        <v>0.83330000000000004</v>
      </c>
      <c r="AY103" s="16">
        <f t="shared" si="53"/>
        <v>25</v>
      </c>
      <c r="AZ103" s="16">
        <f t="shared" si="54"/>
        <v>0.375</v>
      </c>
      <c r="BA103" s="16">
        <f t="shared" si="55"/>
        <v>0.125</v>
      </c>
      <c r="BB103" s="16">
        <f t="shared" si="56"/>
        <v>0</v>
      </c>
      <c r="BC103" s="16">
        <f t="shared" si="57"/>
        <v>0.16669999999999999</v>
      </c>
      <c r="BD103" s="16">
        <f t="shared" si="58"/>
        <v>0.25</v>
      </c>
      <c r="BE103" s="16">
        <f t="shared" si="59"/>
        <v>1.5</v>
      </c>
      <c r="BF103" s="16">
        <f t="shared" si="60"/>
        <v>1.25</v>
      </c>
      <c r="BG103" s="16">
        <f t="shared" si="61"/>
        <v>1.5</v>
      </c>
      <c r="BH103" s="16">
        <f t="shared" si="62"/>
        <v>1.4167000000000001</v>
      </c>
      <c r="BI103" s="16">
        <f t="shared" si="63"/>
        <v>0</v>
      </c>
      <c r="BJ103" s="16">
        <f t="shared" si="64"/>
        <v>0</v>
      </c>
      <c r="BK103" s="16">
        <f t="shared" si="65"/>
        <v>0.5</v>
      </c>
      <c r="BL103" s="16">
        <f t="shared" si="66"/>
        <v>0.16669999999999999</v>
      </c>
      <c r="BM103" s="16">
        <f t="shared" si="67"/>
        <v>0</v>
      </c>
      <c r="BN103" s="16">
        <f t="shared" si="68"/>
        <v>0</v>
      </c>
      <c r="BO103" s="16">
        <f t="shared" si="69"/>
        <v>0.5</v>
      </c>
      <c r="BP103" s="16">
        <f t="shared" si="70"/>
        <v>0.16669999999999999</v>
      </c>
      <c r="BQ103" s="16">
        <f t="shared" si="71"/>
        <v>0</v>
      </c>
      <c r="BR103" s="16">
        <f t="shared" si="72"/>
        <v>95.833299999999994</v>
      </c>
      <c r="BS103" s="16">
        <f t="shared" si="73"/>
        <v>4.1666999999999996</v>
      </c>
      <c r="BT103" s="16">
        <f t="shared" si="74"/>
        <v>40</v>
      </c>
      <c r="BU103" s="16">
        <f t="shared" si="75"/>
        <v>0.79169999999999996</v>
      </c>
      <c r="BV103" s="16">
        <f t="shared" si="76"/>
        <v>96.3964</v>
      </c>
      <c r="BW103" s="16">
        <f t="shared" si="77"/>
        <v>2.9948999999999999</v>
      </c>
      <c r="BX103" s="16">
        <f t="shared" si="78"/>
        <v>3.6036000000000001</v>
      </c>
      <c r="BY103" s="16">
        <f t="shared" si="79"/>
        <v>0</v>
      </c>
      <c r="BZ103" s="16">
        <f t="shared" si="80"/>
        <v>0</v>
      </c>
      <c r="CA103" s="16">
        <f t="shared" si="81"/>
        <v>0</v>
      </c>
      <c r="CB103" s="16">
        <f t="shared" si="82"/>
        <v>0</v>
      </c>
      <c r="CC103" s="16">
        <f t="shared" si="83"/>
        <v>0</v>
      </c>
    </row>
    <row r="104" spans="1:81" x14ac:dyDescent="0.25">
      <c r="A104">
        <v>26</v>
      </c>
      <c r="B104" s="16">
        <f t="shared" si="4"/>
        <v>18.899999999999999</v>
      </c>
      <c r="C104" s="16">
        <f t="shared" si="5"/>
        <v>8.8800000000000008</v>
      </c>
      <c r="D104" s="16">
        <f t="shared" si="6"/>
        <v>10.58</v>
      </c>
      <c r="E104" s="16">
        <f t="shared" si="7"/>
        <v>2375</v>
      </c>
      <c r="F104" s="16">
        <f t="shared" si="8"/>
        <v>2435</v>
      </c>
      <c r="G104" s="16">
        <f t="shared" si="9"/>
        <v>2405</v>
      </c>
      <c r="H104" s="16">
        <f t="shared" si="10"/>
        <v>7215</v>
      </c>
      <c r="I104" s="16">
        <f t="shared" si="11"/>
        <v>3.3300000000000003E-2</v>
      </c>
      <c r="J104" s="16">
        <f t="shared" si="12"/>
        <v>6.0125000000000002</v>
      </c>
      <c r="K104" s="16">
        <f t="shared" si="13"/>
        <v>4.9249999999999998</v>
      </c>
      <c r="L104" s="16">
        <f t="shared" si="14"/>
        <v>6.25</v>
      </c>
      <c r="M104" s="16">
        <f t="shared" si="15"/>
        <v>5.7291999999999996</v>
      </c>
      <c r="N104" s="16">
        <f t="shared" si="16"/>
        <v>1.8360000000000001</v>
      </c>
      <c r="O104" s="16">
        <f t="shared" si="17"/>
        <v>0.24809999999999999</v>
      </c>
      <c r="P104" s="16">
        <f t="shared" si="18"/>
        <v>0.33879999999999999</v>
      </c>
      <c r="Q104" s="16">
        <f t="shared" si="19"/>
        <v>0.25750000000000001</v>
      </c>
      <c r="R104" s="16">
        <f t="shared" si="20"/>
        <v>0.28149999999999997</v>
      </c>
      <c r="S104" s="16">
        <f t="shared" si="21"/>
        <v>0.2288</v>
      </c>
      <c r="T104" s="16">
        <f t="shared" si="22"/>
        <v>0.54</v>
      </c>
      <c r="U104" s="16">
        <f t="shared" si="23"/>
        <v>1.5</v>
      </c>
      <c r="V104" s="16">
        <f t="shared" si="24"/>
        <v>0.48</v>
      </c>
      <c r="W104" s="16">
        <f t="shared" si="25"/>
        <v>1.5</v>
      </c>
      <c r="X104" s="16">
        <f t="shared" si="26"/>
        <v>20.3553</v>
      </c>
      <c r="Y104" s="16">
        <f t="shared" si="27"/>
        <v>0</v>
      </c>
      <c r="Z104" s="16">
        <f t="shared" si="28"/>
        <v>20.833300000000001</v>
      </c>
      <c r="AA104" s="16">
        <f t="shared" si="29"/>
        <v>0</v>
      </c>
      <c r="AB104" s="16">
        <f t="shared" si="30"/>
        <v>20.833300000000001</v>
      </c>
      <c r="AC104" s="16">
        <f t="shared" si="31"/>
        <v>0</v>
      </c>
      <c r="AD104" s="16">
        <f t="shared" si="32"/>
        <v>77.083299999999994</v>
      </c>
      <c r="AE104" s="16">
        <f t="shared" si="33"/>
        <v>2.0832999999999999</v>
      </c>
      <c r="AF104" s="16">
        <f t="shared" si="34"/>
        <v>79.166700000000006</v>
      </c>
      <c r="AG104" s="16">
        <f t="shared" si="35"/>
        <v>77.083299999999994</v>
      </c>
      <c r="AH104" s="16">
        <f t="shared" si="36"/>
        <v>0.33560000000000001</v>
      </c>
      <c r="AI104" s="16">
        <f t="shared" si="37"/>
        <v>0.46250000000000002</v>
      </c>
      <c r="AJ104" s="16">
        <f t="shared" si="38"/>
        <v>0.3306</v>
      </c>
      <c r="AK104" s="16">
        <f t="shared" si="39"/>
        <v>0.37630000000000002</v>
      </c>
      <c r="AL104" s="16">
        <f t="shared" si="40"/>
        <v>0.33539999999999998</v>
      </c>
      <c r="AM104" s="16">
        <f t="shared" si="41"/>
        <v>0.72</v>
      </c>
      <c r="AN104" s="16">
        <f t="shared" si="42"/>
        <v>1.34</v>
      </c>
      <c r="AO104" s="16">
        <f t="shared" si="43"/>
        <v>1.2</v>
      </c>
      <c r="AP104" s="16">
        <f t="shared" si="44"/>
        <v>1.34</v>
      </c>
      <c r="AQ104" s="16">
        <f t="shared" si="45"/>
        <v>29.166699999999999</v>
      </c>
      <c r="AR104" s="16">
        <f t="shared" si="46"/>
        <v>0.35</v>
      </c>
      <c r="AS104" s="16">
        <f t="shared" si="47"/>
        <v>12.5</v>
      </c>
      <c r="AT104" s="16">
        <f t="shared" si="48"/>
        <v>25</v>
      </c>
      <c r="AU104" s="16">
        <f t="shared" si="49"/>
        <v>37.5</v>
      </c>
      <c r="AV104" s="16">
        <f t="shared" si="50"/>
        <v>25</v>
      </c>
      <c r="AW104" s="16">
        <f t="shared" si="51"/>
        <v>29.166699999999999</v>
      </c>
      <c r="AX104" s="16">
        <f t="shared" si="52"/>
        <v>0.83330000000000004</v>
      </c>
      <c r="AY104" s="16">
        <f t="shared" si="53"/>
        <v>16.666699999999999</v>
      </c>
      <c r="AZ104" s="16">
        <f t="shared" si="54"/>
        <v>0.125</v>
      </c>
      <c r="BA104" s="16">
        <f t="shared" si="55"/>
        <v>0.25</v>
      </c>
      <c r="BB104" s="16">
        <f t="shared" si="56"/>
        <v>0.125</v>
      </c>
      <c r="BC104" s="16">
        <f t="shared" si="57"/>
        <v>0.16669999999999999</v>
      </c>
      <c r="BD104" s="16">
        <f t="shared" si="58"/>
        <v>0.54169999999999996</v>
      </c>
      <c r="BE104" s="16">
        <f t="shared" si="59"/>
        <v>0</v>
      </c>
      <c r="BF104" s="16">
        <f t="shared" si="60"/>
        <v>0</v>
      </c>
      <c r="BG104" s="16">
        <f t="shared" si="61"/>
        <v>0.5</v>
      </c>
      <c r="BH104" s="16">
        <f t="shared" si="62"/>
        <v>0.16669999999999999</v>
      </c>
      <c r="BI104" s="16">
        <f t="shared" si="63"/>
        <v>1</v>
      </c>
      <c r="BJ104" s="16">
        <f t="shared" si="64"/>
        <v>0</v>
      </c>
      <c r="BK104" s="16">
        <f t="shared" si="65"/>
        <v>0</v>
      </c>
      <c r="BL104" s="16">
        <f t="shared" si="66"/>
        <v>0.33329999999999999</v>
      </c>
      <c r="BM104" s="16">
        <f t="shared" si="67"/>
        <v>0.75</v>
      </c>
      <c r="BN104" s="16">
        <f t="shared" si="68"/>
        <v>1.25</v>
      </c>
      <c r="BO104" s="16">
        <f t="shared" si="69"/>
        <v>1</v>
      </c>
      <c r="BP104" s="16">
        <f t="shared" si="70"/>
        <v>1</v>
      </c>
      <c r="BQ104" s="16">
        <f t="shared" si="71"/>
        <v>50</v>
      </c>
      <c r="BR104" s="16">
        <f t="shared" si="72"/>
        <v>41.666699999999999</v>
      </c>
      <c r="BS104" s="16">
        <f t="shared" si="73"/>
        <v>8.3332999999999995</v>
      </c>
      <c r="BT104" s="16">
        <f t="shared" si="74"/>
        <v>21.833300000000001</v>
      </c>
      <c r="BU104" s="16">
        <f t="shared" si="75"/>
        <v>0.91669999999999996</v>
      </c>
      <c r="BV104" s="16">
        <f t="shared" si="76"/>
        <v>41.516500000000001</v>
      </c>
      <c r="BW104" s="16">
        <f t="shared" si="77"/>
        <v>14.4838</v>
      </c>
      <c r="BX104" s="16">
        <f t="shared" si="78"/>
        <v>58.483499999999999</v>
      </c>
      <c r="BY104" s="16">
        <f t="shared" si="79"/>
        <v>0</v>
      </c>
      <c r="BZ104" s="16">
        <f t="shared" si="80"/>
        <v>0</v>
      </c>
      <c r="CA104" s="16">
        <f t="shared" si="81"/>
        <v>0</v>
      </c>
      <c r="CB104" s="16">
        <f t="shared" si="82"/>
        <v>0</v>
      </c>
      <c r="CC104" s="16">
        <f t="shared" si="83"/>
        <v>0</v>
      </c>
    </row>
    <row r="105" spans="1:81" x14ac:dyDescent="0.25">
      <c r="A105">
        <v>27</v>
      </c>
      <c r="B105" s="16">
        <f t="shared" si="4"/>
        <v>10.9</v>
      </c>
      <c r="C105" s="16">
        <f t="shared" si="5"/>
        <v>10.199999999999999</v>
      </c>
      <c r="D105" s="16">
        <f t="shared" si="6"/>
        <v>12.7</v>
      </c>
      <c r="E105" s="16">
        <f t="shared" si="7"/>
        <v>1643</v>
      </c>
      <c r="F105" s="16">
        <f t="shared" si="8"/>
        <v>1896</v>
      </c>
      <c r="G105" s="16">
        <f t="shared" si="9"/>
        <v>1770</v>
      </c>
      <c r="H105" s="16">
        <f t="shared" si="10"/>
        <v>5309</v>
      </c>
      <c r="I105" s="16">
        <f t="shared" si="11"/>
        <v>0</v>
      </c>
      <c r="J105" s="16">
        <f t="shared" si="12"/>
        <v>3.95</v>
      </c>
      <c r="K105" s="16">
        <f t="shared" si="13"/>
        <v>3.8963000000000001</v>
      </c>
      <c r="L105" s="16">
        <f t="shared" si="14"/>
        <v>4.2874999999999996</v>
      </c>
      <c r="M105" s="16">
        <f t="shared" si="15"/>
        <v>4.0446</v>
      </c>
      <c r="N105" s="16">
        <f t="shared" si="16"/>
        <v>0.77090000000000003</v>
      </c>
      <c r="O105" s="16">
        <f t="shared" si="17"/>
        <v>0.3594</v>
      </c>
      <c r="P105" s="16">
        <f t="shared" si="18"/>
        <v>0.31230000000000002</v>
      </c>
      <c r="Q105" s="16">
        <f t="shared" si="19"/>
        <v>0.48380000000000001</v>
      </c>
      <c r="R105" s="16">
        <f t="shared" si="20"/>
        <v>0.39</v>
      </c>
      <c r="S105" s="16">
        <f t="shared" si="21"/>
        <v>0.1464</v>
      </c>
      <c r="T105" s="16">
        <f t="shared" si="22"/>
        <v>0.62</v>
      </c>
      <c r="U105" s="16">
        <f t="shared" si="23"/>
        <v>0.48</v>
      </c>
      <c r="V105" s="16">
        <f t="shared" si="24"/>
        <v>0.72</v>
      </c>
      <c r="W105" s="16">
        <f t="shared" si="25"/>
        <v>0.72</v>
      </c>
      <c r="X105" s="16">
        <f t="shared" si="26"/>
        <v>10.370699999999999</v>
      </c>
      <c r="Y105" s="16">
        <f t="shared" si="27"/>
        <v>0</v>
      </c>
      <c r="Z105" s="16">
        <f t="shared" si="28"/>
        <v>29.166699999999999</v>
      </c>
      <c r="AA105" s="16">
        <f t="shared" si="29"/>
        <v>4.1666999999999996</v>
      </c>
      <c r="AB105" s="16">
        <f t="shared" si="30"/>
        <v>33.333300000000001</v>
      </c>
      <c r="AC105" s="16">
        <f t="shared" si="31"/>
        <v>4.1666999999999996</v>
      </c>
      <c r="AD105" s="16">
        <f t="shared" si="32"/>
        <v>62.5</v>
      </c>
      <c r="AE105" s="16">
        <f t="shared" si="33"/>
        <v>0</v>
      </c>
      <c r="AF105" s="16">
        <f t="shared" si="34"/>
        <v>66.666700000000006</v>
      </c>
      <c r="AG105" s="16">
        <f t="shared" si="35"/>
        <v>62.5</v>
      </c>
      <c r="AH105" s="16">
        <f t="shared" si="36"/>
        <v>0.41670000000000001</v>
      </c>
      <c r="AI105" s="16">
        <f t="shared" si="37"/>
        <v>0.57399999999999995</v>
      </c>
      <c r="AJ105" s="16">
        <f t="shared" si="38"/>
        <v>0.216</v>
      </c>
      <c r="AK105" s="16">
        <f t="shared" si="39"/>
        <v>0.4073</v>
      </c>
      <c r="AL105" s="16">
        <f t="shared" si="40"/>
        <v>0.32519999999999999</v>
      </c>
      <c r="AM105" s="16">
        <f t="shared" si="41"/>
        <v>1.1499999999999999</v>
      </c>
      <c r="AN105" s="16">
        <f t="shared" si="42"/>
        <v>1.46</v>
      </c>
      <c r="AO105" s="16">
        <f t="shared" si="43"/>
        <v>0.4</v>
      </c>
      <c r="AP105" s="16">
        <f t="shared" si="44"/>
        <v>1.46</v>
      </c>
      <c r="AQ105" s="16">
        <f t="shared" si="45"/>
        <v>16.666699999999999</v>
      </c>
      <c r="AR105" s="16">
        <f t="shared" si="46"/>
        <v>0.71430000000000005</v>
      </c>
      <c r="AS105" s="16">
        <f t="shared" si="47"/>
        <v>12.5</v>
      </c>
      <c r="AT105" s="16">
        <f t="shared" si="48"/>
        <v>0</v>
      </c>
      <c r="AU105" s="16">
        <f t="shared" si="49"/>
        <v>12.5</v>
      </c>
      <c r="AV105" s="16">
        <f t="shared" si="50"/>
        <v>8.3332999999999995</v>
      </c>
      <c r="AW105" s="16">
        <f t="shared" si="51"/>
        <v>62.5</v>
      </c>
      <c r="AX105" s="16">
        <f t="shared" si="52"/>
        <v>1.1667000000000001</v>
      </c>
      <c r="AY105" s="16">
        <f t="shared" si="53"/>
        <v>33.333300000000001</v>
      </c>
      <c r="AZ105" s="16">
        <f t="shared" si="54"/>
        <v>0.125</v>
      </c>
      <c r="BA105" s="16">
        <f t="shared" si="55"/>
        <v>0.125</v>
      </c>
      <c r="BB105" s="16">
        <f t="shared" si="56"/>
        <v>1</v>
      </c>
      <c r="BC105" s="16">
        <f t="shared" si="57"/>
        <v>0.41670000000000001</v>
      </c>
      <c r="BD105" s="16">
        <f t="shared" si="58"/>
        <v>0.70830000000000004</v>
      </c>
      <c r="BE105" s="16">
        <f t="shared" si="59"/>
        <v>1</v>
      </c>
      <c r="BF105" s="16">
        <f t="shared" si="60"/>
        <v>0.75</v>
      </c>
      <c r="BG105" s="16">
        <f t="shared" si="61"/>
        <v>0.5</v>
      </c>
      <c r="BH105" s="16">
        <f t="shared" si="62"/>
        <v>0.75</v>
      </c>
      <c r="BI105" s="16">
        <f t="shared" si="63"/>
        <v>0.5</v>
      </c>
      <c r="BJ105" s="16">
        <f t="shared" si="64"/>
        <v>1.25</v>
      </c>
      <c r="BK105" s="16">
        <f t="shared" si="65"/>
        <v>0</v>
      </c>
      <c r="BL105" s="16">
        <f t="shared" si="66"/>
        <v>0.58330000000000004</v>
      </c>
      <c r="BM105" s="16">
        <f t="shared" si="67"/>
        <v>0.75</v>
      </c>
      <c r="BN105" s="16">
        <f t="shared" si="68"/>
        <v>0.25</v>
      </c>
      <c r="BO105" s="16">
        <f t="shared" si="69"/>
        <v>2.5</v>
      </c>
      <c r="BP105" s="16">
        <f t="shared" si="70"/>
        <v>1.1667000000000001</v>
      </c>
      <c r="BQ105" s="16">
        <f t="shared" si="71"/>
        <v>12.5</v>
      </c>
      <c r="BR105" s="16">
        <f t="shared" si="72"/>
        <v>54.166699999999999</v>
      </c>
      <c r="BS105" s="16">
        <f t="shared" si="73"/>
        <v>33.333300000000001</v>
      </c>
      <c r="BT105" s="16">
        <f t="shared" si="74"/>
        <v>40.625</v>
      </c>
      <c r="BU105" s="16">
        <f t="shared" si="75"/>
        <v>1.2917000000000001</v>
      </c>
      <c r="BV105" s="16">
        <f t="shared" si="76"/>
        <v>35.285299999999999</v>
      </c>
      <c r="BW105" s="16">
        <f t="shared" si="77"/>
        <v>13.829499999999999</v>
      </c>
      <c r="BX105" s="16">
        <f t="shared" si="78"/>
        <v>64.714699999999993</v>
      </c>
      <c r="BY105" s="16">
        <f t="shared" si="79"/>
        <v>0</v>
      </c>
      <c r="BZ105" s="16">
        <f t="shared" si="80"/>
        <v>0</v>
      </c>
      <c r="CA105" s="16">
        <f t="shared" si="81"/>
        <v>0</v>
      </c>
      <c r="CB105" s="16">
        <f t="shared" si="82"/>
        <v>0</v>
      </c>
      <c r="CC105" s="16">
        <f t="shared" si="83"/>
        <v>0</v>
      </c>
    </row>
    <row r="106" spans="1:81" x14ac:dyDescent="0.25">
      <c r="A106">
        <v>29</v>
      </c>
      <c r="B106" s="16">
        <f t="shared" si="4"/>
        <v>14.2</v>
      </c>
      <c r="C106" s="16">
        <f t="shared" si="5"/>
        <v>9.43</v>
      </c>
      <c r="D106" s="16">
        <f t="shared" si="6"/>
        <v>10.97</v>
      </c>
      <c r="E106" s="16">
        <f t="shared" si="7"/>
        <v>334</v>
      </c>
      <c r="F106" s="16">
        <f t="shared" si="8"/>
        <v>333</v>
      </c>
      <c r="G106" s="16">
        <f t="shared" si="9"/>
        <v>217</v>
      </c>
      <c r="H106" s="16">
        <f t="shared" si="10"/>
        <v>884</v>
      </c>
      <c r="I106" s="16">
        <f t="shared" si="11"/>
        <v>0</v>
      </c>
      <c r="J106" s="16">
        <f t="shared" si="12"/>
        <v>1.575</v>
      </c>
      <c r="K106" s="16">
        <f t="shared" si="13"/>
        <v>1.7625</v>
      </c>
      <c r="L106" s="16">
        <f t="shared" si="14"/>
        <v>1.1625000000000001</v>
      </c>
      <c r="M106" s="16">
        <f t="shared" si="15"/>
        <v>1.5</v>
      </c>
      <c r="N106" s="16">
        <f t="shared" si="16"/>
        <v>0.54690000000000005</v>
      </c>
      <c r="O106" s="16">
        <f t="shared" si="17"/>
        <v>0.27</v>
      </c>
      <c r="P106" s="16">
        <f t="shared" si="18"/>
        <v>0.1578</v>
      </c>
      <c r="Q106" s="16">
        <f t="shared" si="19"/>
        <v>0.12889999999999999</v>
      </c>
      <c r="R106" s="16">
        <f t="shared" si="20"/>
        <v>0.18229999999999999</v>
      </c>
      <c r="S106" s="16">
        <f t="shared" si="21"/>
        <v>0.13059999999999999</v>
      </c>
      <c r="T106" s="16">
        <f t="shared" si="22"/>
        <v>0.68</v>
      </c>
      <c r="U106" s="16">
        <f t="shared" si="23"/>
        <v>0.28000000000000003</v>
      </c>
      <c r="V106" s="16">
        <f t="shared" si="24"/>
        <v>0.18</v>
      </c>
      <c r="W106" s="16">
        <f t="shared" si="25"/>
        <v>0.68</v>
      </c>
      <c r="X106" s="16">
        <f t="shared" si="26"/>
        <v>8.2278000000000002</v>
      </c>
      <c r="Y106" s="16">
        <f t="shared" si="27"/>
        <v>0</v>
      </c>
      <c r="Z106" s="16">
        <f t="shared" si="28"/>
        <v>19.230799999999999</v>
      </c>
      <c r="AA106" s="16">
        <f t="shared" si="29"/>
        <v>0</v>
      </c>
      <c r="AB106" s="16">
        <f t="shared" si="30"/>
        <v>19.230799999999999</v>
      </c>
      <c r="AC106" s="16">
        <f t="shared" si="31"/>
        <v>7.6923000000000004</v>
      </c>
      <c r="AD106" s="16">
        <f t="shared" si="32"/>
        <v>73.076899999999995</v>
      </c>
      <c r="AE106" s="16">
        <f t="shared" si="33"/>
        <v>0</v>
      </c>
      <c r="AF106" s="16">
        <f t="shared" si="34"/>
        <v>80.769199999999998</v>
      </c>
      <c r="AG106" s="16">
        <f t="shared" si="35"/>
        <v>73.076899999999995</v>
      </c>
      <c r="AH106" s="16">
        <f t="shared" si="36"/>
        <v>9.5000000000000001E-2</v>
      </c>
      <c r="AI106" s="16">
        <f t="shared" si="37"/>
        <v>9.8799999999999999E-2</v>
      </c>
      <c r="AJ106" s="16">
        <f t="shared" si="38"/>
        <v>0.19670000000000001</v>
      </c>
      <c r="AK106" s="16">
        <f t="shared" si="39"/>
        <v>0.1288</v>
      </c>
      <c r="AL106" s="16">
        <f t="shared" si="40"/>
        <v>0.1208</v>
      </c>
      <c r="AM106" s="16">
        <f t="shared" si="41"/>
        <v>0.28000000000000003</v>
      </c>
      <c r="AN106" s="16">
        <f t="shared" si="42"/>
        <v>0.31</v>
      </c>
      <c r="AO106" s="16">
        <f t="shared" si="43"/>
        <v>0.49</v>
      </c>
      <c r="AP106" s="16">
        <f t="shared" si="44"/>
        <v>0.49</v>
      </c>
      <c r="AQ106" s="16">
        <f t="shared" si="45"/>
        <v>29.166699999999999</v>
      </c>
      <c r="AR106" s="16">
        <f t="shared" si="46"/>
        <v>0.33329999999999999</v>
      </c>
      <c r="AS106" s="16">
        <f t="shared" si="47"/>
        <v>62.5</v>
      </c>
      <c r="AT106" s="16">
        <f t="shared" si="48"/>
        <v>50</v>
      </c>
      <c r="AU106" s="16">
        <f t="shared" si="49"/>
        <v>0</v>
      </c>
      <c r="AV106" s="16">
        <f t="shared" si="50"/>
        <v>37.5</v>
      </c>
      <c r="AW106" s="16">
        <f t="shared" si="51"/>
        <v>33.333300000000001</v>
      </c>
      <c r="AX106" s="16">
        <f t="shared" si="52"/>
        <v>1.75</v>
      </c>
      <c r="AY106" s="16">
        <f t="shared" si="53"/>
        <v>58.333300000000001</v>
      </c>
      <c r="AZ106" s="16">
        <f t="shared" si="54"/>
        <v>0.375</v>
      </c>
      <c r="BA106" s="16">
        <f t="shared" si="55"/>
        <v>0.125</v>
      </c>
      <c r="BB106" s="16">
        <f t="shared" si="56"/>
        <v>0</v>
      </c>
      <c r="BC106" s="16">
        <f t="shared" si="57"/>
        <v>0.16669999999999999</v>
      </c>
      <c r="BD106" s="16">
        <f t="shared" si="58"/>
        <v>0.20830000000000001</v>
      </c>
      <c r="BE106" s="16">
        <f t="shared" si="59"/>
        <v>0</v>
      </c>
      <c r="BF106" s="16">
        <f t="shared" si="60"/>
        <v>0</v>
      </c>
      <c r="BG106" s="16">
        <f t="shared" si="61"/>
        <v>0</v>
      </c>
      <c r="BH106" s="16">
        <f t="shared" si="62"/>
        <v>0</v>
      </c>
      <c r="BI106" s="16">
        <f t="shared" si="63"/>
        <v>0.5</v>
      </c>
      <c r="BJ106" s="16">
        <f t="shared" si="64"/>
        <v>0</v>
      </c>
      <c r="BK106" s="16">
        <f t="shared" si="65"/>
        <v>0.25</v>
      </c>
      <c r="BL106" s="16">
        <f t="shared" si="66"/>
        <v>0.25</v>
      </c>
      <c r="BM106" s="16">
        <f t="shared" si="67"/>
        <v>2</v>
      </c>
      <c r="BN106" s="16">
        <f t="shared" si="68"/>
        <v>0</v>
      </c>
      <c r="BO106" s="16">
        <f t="shared" si="69"/>
        <v>0</v>
      </c>
      <c r="BP106" s="16">
        <f t="shared" si="70"/>
        <v>0.66669999999999996</v>
      </c>
      <c r="BQ106" s="16">
        <f t="shared" si="71"/>
        <v>8.3332999999999995</v>
      </c>
      <c r="BR106" s="16">
        <f t="shared" si="72"/>
        <v>75</v>
      </c>
      <c r="BS106" s="16">
        <f t="shared" si="73"/>
        <v>16.666699999999999</v>
      </c>
      <c r="BT106" s="16">
        <f t="shared" si="74"/>
        <v>37.5</v>
      </c>
      <c r="BU106" s="16">
        <f t="shared" si="75"/>
        <v>0.58330000000000004</v>
      </c>
      <c r="BV106" s="16">
        <f t="shared" si="76"/>
        <v>52.027000000000001</v>
      </c>
      <c r="BW106" s="16">
        <f t="shared" si="77"/>
        <v>13.4781</v>
      </c>
      <c r="BX106" s="16">
        <f t="shared" si="78"/>
        <v>47.972999999999999</v>
      </c>
      <c r="BY106" s="16">
        <f t="shared" si="79"/>
        <v>0</v>
      </c>
      <c r="BZ106" s="16">
        <f t="shared" si="80"/>
        <v>0</v>
      </c>
      <c r="CA106" s="16">
        <f t="shared" si="81"/>
        <v>0</v>
      </c>
      <c r="CB106" s="16">
        <f t="shared" si="82"/>
        <v>0</v>
      </c>
      <c r="CC106" s="16">
        <f t="shared" si="83"/>
        <v>0</v>
      </c>
    </row>
    <row r="107" spans="1:81" x14ac:dyDescent="0.25">
      <c r="A107">
        <v>32</v>
      </c>
      <c r="B107" s="16">
        <f t="shared" si="4"/>
        <v>15.3</v>
      </c>
      <c r="C107" s="16">
        <f t="shared" si="5"/>
        <v>8.32</v>
      </c>
      <c r="D107" s="16">
        <f t="shared" si="6"/>
        <v>10.88</v>
      </c>
      <c r="E107" s="16">
        <f t="shared" si="7"/>
        <v>400</v>
      </c>
      <c r="F107" s="16">
        <f t="shared" si="8"/>
        <v>396</v>
      </c>
      <c r="G107" s="16">
        <f t="shared" si="9"/>
        <v>435</v>
      </c>
      <c r="H107" s="16">
        <f t="shared" si="10"/>
        <v>1231</v>
      </c>
      <c r="I107" s="16">
        <f t="shared" si="11"/>
        <v>0</v>
      </c>
      <c r="J107" s="16">
        <f t="shared" si="12"/>
        <v>1.875</v>
      </c>
      <c r="K107" s="16">
        <f t="shared" si="13"/>
        <v>1.8125</v>
      </c>
      <c r="L107" s="16">
        <f t="shared" si="14"/>
        <v>2.0375000000000001</v>
      </c>
      <c r="M107" s="16">
        <f t="shared" si="15"/>
        <v>1.9083000000000001</v>
      </c>
      <c r="N107" s="16">
        <f t="shared" si="16"/>
        <v>0.52910000000000001</v>
      </c>
      <c r="O107" s="16">
        <f t="shared" si="17"/>
        <v>0.29749999999999999</v>
      </c>
      <c r="P107" s="16">
        <f t="shared" si="18"/>
        <v>0.30499999999999999</v>
      </c>
      <c r="Q107" s="16">
        <f t="shared" si="19"/>
        <v>0.26750000000000002</v>
      </c>
      <c r="R107" s="16">
        <f t="shared" si="20"/>
        <v>0.28999999999999998</v>
      </c>
      <c r="S107" s="16">
        <f t="shared" si="21"/>
        <v>0.1138</v>
      </c>
      <c r="T107" s="16">
        <f t="shared" si="22"/>
        <v>0.5</v>
      </c>
      <c r="U107" s="16">
        <f t="shared" si="23"/>
        <v>0.56000000000000005</v>
      </c>
      <c r="V107" s="16">
        <f t="shared" si="24"/>
        <v>0.38</v>
      </c>
      <c r="W107" s="16">
        <f t="shared" si="25"/>
        <v>0.56000000000000005</v>
      </c>
      <c r="X107" s="16">
        <f t="shared" si="26"/>
        <v>6.5804999999999998</v>
      </c>
      <c r="Y107" s="16">
        <f t="shared" si="27"/>
        <v>0</v>
      </c>
      <c r="Z107" s="16">
        <f t="shared" si="28"/>
        <v>16.666699999999999</v>
      </c>
      <c r="AA107" s="16">
        <f t="shared" si="29"/>
        <v>0</v>
      </c>
      <c r="AB107" s="16">
        <f t="shared" si="30"/>
        <v>16.666699999999999</v>
      </c>
      <c r="AC107" s="16">
        <f t="shared" si="31"/>
        <v>20.833300000000001</v>
      </c>
      <c r="AD107" s="16">
        <f t="shared" si="32"/>
        <v>62.5</v>
      </c>
      <c r="AE107" s="16">
        <f t="shared" si="33"/>
        <v>0</v>
      </c>
      <c r="AF107" s="16">
        <f t="shared" si="34"/>
        <v>83.333299999999994</v>
      </c>
      <c r="AG107" s="16">
        <f t="shared" si="35"/>
        <v>62.5</v>
      </c>
      <c r="AH107" s="16">
        <f t="shared" si="36"/>
        <v>0.41249999999999998</v>
      </c>
      <c r="AI107" s="16">
        <f t="shared" si="37"/>
        <v>0.4763</v>
      </c>
      <c r="AJ107" s="16">
        <f t="shared" si="38"/>
        <v>0.4</v>
      </c>
      <c r="AK107" s="16">
        <f t="shared" si="39"/>
        <v>0.42959999999999998</v>
      </c>
      <c r="AL107" s="16">
        <f t="shared" si="40"/>
        <v>0.2261</v>
      </c>
      <c r="AM107" s="16">
        <f t="shared" si="41"/>
        <v>0.99</v>
      </c>
      <c r="AN107" s="16">
        <f t="shared" si="42"/>
        <v>0.95</v>
      </c>
      <c r="AO107" s="16">
        <f t="shared" si="43"/>
        <v>0.83</v>
      </c>
      <c r="AP107" s="16">
        <f t="shared" si="44"/>
        <v>0.99</v>
      </c>
      <c r="AQ107" s="16">
        <f t="shared" si="45"/>
        <v>20.833300000000001</v>
      </c>
      <c r="AR107" s="16">
        <f t="shared" si="46"/>
        <v>0.79169999999999996</v>
      </c>
      <c r="AS107" s="16">
        <f t="shared" si="47"/>
        <v>0</v>
      </c>
      <c r="AT107" s="16">
        <f t="shared" si="48"/>
        <v>0</v>
      </c>
      <c r="AU107" s="16">
        <f t="shared" si="49"/>
        <v>0</v>
      </c>
      <c r="AV107" s="16">
        <f t="shared" si="50"/>
        <v>0</v>
      </c>
      <c r="AW107" s="16">
        <f t="shared" si="51"/>
        <v>79.166700000000006</v>
      </c>
      <c r="AX107" s="16">
        <f t="shared" si="52"/>
        <v>1.4167000000000001</v>
      </c>
      <c r="AY107" s="16">
        <f t="shared" si="53"/>
        <v>41.666699999999999</v>
      </c>
      <c r="AZ107" s="16">
        <f t="shared" si="54"/>
        <v>0.625</v>
      </c>
      <c r="BA107" s="16">
        <f t="shared" si="55"/>
        <v>0.125</v>
      </c>
      <c r="BB107" s="16">
        <f t="shared" si="56"/>
        <v>0.375</v>
      </c>
      <c r="BC107" s="16">
        <f t="shared" si="57"/>
        <v>0.375</v>
      </c>
      <c r="BD107" s="16">
        <f t="shared" si="58"/>
        <v>0.29170000000000001</v>
      </c>
      <c r="BE107" s="16">
        <f t="shared" si="59"/>
        <v>1.25</v>
      </c>
      <c r="BF107" s="16">
        <f t="shared" si="60"/>
        <v>1</v>
      </c>
      <c r="BG107" s="16">
        <f t="shared" si="61"/>
        <v>2</v>
      </c>
      <c r="BH107" s="16">
        <f t="shared" si="62"/>
        <v>1.4167000000000001</v>
      </c>
      <c r="BI107" s="16">
        <f t="shared" si="63"/>
        <v>0.25</v>
      </c>
      <c r="BJ107" s="16">
        <f t="shared" si="64"/>
        <v>0</v>
      </c>
      <c r="BK107" s="16">
        <f t="shared" si="65"/>
        <v>0</v>
      </c>
      <c r="BL107" s="16">
        <f t="shared" si="66"/>
        <v>8.3299999999999999E-2</v>
      </c>
      <c r="BM107" s="16">
        <f t="shared" si="67"/>
        <v>0</v>
      </c>
      <c r="BN107" s="16">
        <f t="shared" si="68"/>
        <v>0</v>
      </c>
      <c r="BO107" s="16">
        <f t="shared" si="69"/>
        <v>0.25</v>
      </c>
      <c r="BP107" s="16">
        <f t="shared" si="70"/>
        <v>8.3299999999999999E-2</v>
      </c>
      <c r="BQ107" s="16">
        <f t="shared" si="71"/>
        <v>4.1666999999999996</v>
      </c>
      <c r="BR107" s="16">
        <f t="shared" si="72"/>
        <v>45.833300000000001</v>
      </c>
      <c r="BS107" s="16">
        <f t="shared" si="73"/>
        <v>50</v>
      </c>
      <c r="BT107" s="16">
        <f t="shared" si="74"/>
        <v>50.625</v>
      </c>
      <c r="BU107" s="16">
        <f t="shared" si="75"/>
        <v>0.29170000000000001</v>
      </c>
      <c r="BV107" s="16">
        <f t="shared" si="76"/>
        <v>58.333300000000001</v>
      </c>
      <c r="BW107" s="16">
        <f t="shared" si="77"/>
        <v>15.894299999999999</v>
      </c>
      <c r="BX107" s="16">
        <f t="shared" si="78"/>
        <v>41.666699999999999</v>
      </c>
      <c r="BY107" s="16">
        <f t="shared" si="79"/>
        <v>0</v>
      </c>
      <c r="BZ107" s="16">
        <f t="shared" si="80"/>
        <v>0</v>
      </c>
      <c r="CA107" s="16">
        <f t="shared" si="81"/>
        <v>0</v>
      </c>
      <c r="CB107" s="16">
        <f t="shared" si="82"/>
        <v>0</v>
      </c>
      <c r="CC107" s="16">
        <f t="shared" si="83"/>
        <v>0</v>
      </c>
    </row>
    <row r="108" spans="1:81" x14ac:dyDescent="0.25">
      <c r="A108">
        <v>34</v>
      </c>
      <c r="B108" s="16">
        <f t="shared" si="4"/>
        <v>13.9</v>
      </c>
      <c r="C108" s="16">
        <f t="shared" si="5"/>
        <v>8.39</v>
      </c>
      <c r="D108" s="16">
        <f t="shared" si="6"/>
        <v>12.09</v>
      </c>
      <c r="E108" s="16">
        <f t="shared" si="7"/>
        <v>1054</v>
      </c>
      <c r="F108" s="16">
        <f t="shared" si="8"/>
        <v>701</v>
      </c>
      <c r="G108" s="16">
        <f t="shared" si="9"/>
        <v>1411</v>
      </c>
      <c r="H108" s="16">
        <f t="shared" si="10"/>
        <v>3166</v>
      </c>
      <c r="I108" s="16">
        <f t="shared" si="11"/>
        <v>0.30320000000000003</v>
      </c>
      <c r="J108" s="16">
        <f t="shared" si="12"/>
        <v>2.5125000000000002</v>
      </c>
      <c r="K108" s="16">
        <f t="shared" si="13"/>
        <v>2.95</v>
      </c>
      <c r="L108" s="16">
        <f t="shared" si="14"/>
        <v>4.3250000000000002</v>
      </c>
      <c r="M108" s="16">
        <f t="shared" si="15"/>
        <v>3.2625000000000002</v>
      </c>
      <c r="N108" s="16">
        <f t="shared" si="16"/>
        <v>1.4367000000000001</v>
      </c>
      <c r="O108" s="16">
        <f t="shared" si="17"/>
        <v>0.27</v>
      </c>
      <c r="P108" s="16">
        <f t="shared" si="18"/>
        <v>0.18329999999999999</v>
      </c>
      <c r="Q108" s="16">
        <f t="shared" si="19"/>
        <v>0.44829999999999998</v>
      </c>
      <c r="R108" s="16">
        <f t="shared" si="20"/>
        <v>0.30059999999999998</v>
      </c>
      <c r="S108" s="16">
        <f t="shared" si="21"/>
        <v>0.18229999999999999</v>
      </c>
      <c r="T108" s="16">
        <f t="shared" si="22"/>
        <v>0.68</v>
      </c>
      <c r="U108" s="16">
        <f t="shared" si="23"/>
        <v>0.36</v>
      </c>
      <c r="V108" s="16">
        <f t="shared" si="24"/>
        <v>0.84</v>
      </c>
      <c r="W108" s="16">
        <f t="shared" si="25"/>
        <v>0.84</v>
      </c>
      <c r="X108" s="16">
        <f t="shared" si="26"/>
        <v>10.854900000000001</v>
      </c>
      <c r="Y108" s="16">
        <f t="shared" si="27"/>
        <v>0</v>
      </c>
      <c r="Z108" s="16">
        <f t="shared" si="28"/>
        <v>8.5714000000000006</v>
      </c>
      <c r="AA108" s="16">
        <f t="shared" si="29"/>
        <v>5.7142999999999997</v>
      </c>
      <c r="AB108" s="16">
        <f t="shared" si="30"/>
        <v>14.2857</v>
      </c>
      <c r="AC108" s="16">
        <f t="shared" si="31"/>
        <v>2.8571</v>
      </c>
      <c r="AD108" s="16">
        <f t="shared" si="32"/>
        <v>77.142899999999997</v>
      </c>
      <c r="AE108" s="16">
        <f t="shared" si="33"/>
        <v>5.7142999999999997</v>
      </c>
      <c r="AF108" s="16">
        <f t="shared" si="34"/>
        <v>85.714299999999994</v>
      </c>
      <c r="AG108" s="16">
        <f t="shared" si="35"/>
        <v>77.142899999999997</v>
      </c>
      <c r="AH108" s="16">
        <f t="shared" si="36"/>
        <v>0.12</v>
      </c>
      <c r="AI108" s="16">
        <f t="shared" si="37"/>
        <v>0.13819999999999999</v>
      </c>
      <c r="AJ108" s="16">
        <f t="shared" si="38"/>
        <v>9.5500000000000002E-2</v>
      </c>
      <c r="AK108" s="16">
        <f t="shared" si="39"/>
        <v>0.1167</v>
      </c>
      <c r="AL108" s="16">
        <f t="shared" si="40"/>
        <v>0.13289999999999999</v>
      </c>
      <c r="AM108" s="16">
        <f t="shared" si="41"/>
        <v>0.53</v>
      </c>
      <c r="AN108" s="16">
        <f t="shared" si="42"/>
        <v>0.56999999999999995</v>
      </c>
      <c r="AO108" s="16">
        <f t="shared" si="43"/>
        <v>0.28000000000000003</v>
      </c>
      <c r="AP108" s="16">
        <f t="shared" si="44"/>
        <v>0.56999999999999995</v>
      </c>
      <c r="AQ108" s="16">
        <f t="shared" si="45"/>
        <v>16.666699999999999</v>
      </c>
      <c r="AR108" s="16">
        <f t="shared" si="46"/>
        <v>0.33329999999999999</v>
      </c>
      <c r="AS108" s="16">
        <f t="shared" si="47"/>
        <v>50</v>
      </c>
      <c r="AT108" s="16">
        <f t="shared" si="48"/>
        <v>50</v>
      </c>
      <c r="AU108" s="16">
        <f t="shared" si="49"/>
        <v>50</v>
      </c>
      <c r="AV108" s="16">
        <f t="shared" si="50"/>
        <v>50</v>
      </c>
      <c r="AW108" s="16">
        <f t="shared" si="51"/>
        <v>33.333300000000001</v>
      </c>
      <c r="AX108" s="16">
        <f t="shared" si="52"/>
        <v>1.0832999999999999</v>
      </c>
      <c r="AY108" s="16">
        <f t="shared" si="53"/>
        <v>25</v>
      </c>
      <c r="AZ108" s="16">
        <f t="shared" si="54"/>
        <v>0.25</v>
      </c>
      <c r="BA108" s="16">
        <f t="shared" si="55"/>
        <v>0.375</v>
      </c>
      <c r="BB108" s="16">
        <f t="shared" si="56"/>
        <v>0.125</v>
      </c>
      <c r="BC108" s="16">
        <f t="shared" si="57"/>
        <v>0.25</v>
      </c>
      <c r="BD108" s="16">
        <f t="shared" si="58"/>
        <v>0.54169999999999996</v>
      </c>
      <c r="BE108" s="16">
        <f t="shared" si="59"/>
        <v>0</v>
      </c>
      <c r="BF108" s="16">
        <f t="shared" si="60"/>
        <v>0.25</v>
      </c>
      <c r="BG108" s="16">
        <f t="shared" si="61"/>
        <v>1</v>
      </c>
      <c r="BH108" s="16">
        <f t="shared" si="62"/>
        <v>0.41670000000000001</v>
      </c>
      <c r="BI108" s="16">
        <f t="shared" si="63"/>
        <v>1.25</v>
      </c>
      <c r="BJ108" s="16">
        <f t="shared" si="64"/>
        <v>0.75</v>
      </c>
      <c r="BK108" s="16">
        <f t="shared" si="65"/>
        <v>0.5</v>
      </c>
      <c r="BL108" s="16">
        <f t="shared" si="66"/>
        <v>0.83330000000000004</v>
      </c>
      <c r="BM108" s="16">
        <f t="shared" si="67"/>
        <v>0.5</v>
      </c>
      <c r="BN108" s="16">
        <f t="shared" si="68"/>
        <v>0.5</v>
      </c>
      <c r="BO108" s="16">
        <f t="shared" si="69"/>
        <v>2.25</v>
      </c>
      <c r="BP108" s="16">
        <f t="shared" si="70"/>
        <v>1.0832999999999999</v>
      </c>
      <c r="BQ108" s="16">
        <f t="shared" si="71"/>
        <v>8.3332999999999995</v>
      </c>
      <c r="BR108" s="16">
        <f t="shared" si="72"/>
        <v>62.5</v>
      </c>
      <c r="BS108" s="16">
        <f t="shared" si="73"/>
        <v>29.166699999999999</v>
      </c>
      <c r="BT108" s="16">
        <f t="shared" si="74"/>
        <v>42.916699999999999</v>
      </c>
      <c r="BU108" s="16">
        <f t="shared" si="75"/>
        <v>1.0417000000000001</v>
      </c>
      <c r="BV108" s="16">
        <f t="shared" si="76"/>
        <v>28.153199999999998</v>
      </c>
      <c r="BW108" s="16">
        <f t="shared" si="77"/>
        <v>13.196</v>
      </c>
      <c r="BX108" s="16">
        <f t="shared" si="78"/>
        <v>71.846800000000002</v>
      </c>
      <c r="BY108" s="16">
        <f t="shared" si="79"/>
        <v>0</v>
      </c>
      <c r="BZ108" s="16">
        <f t="shared" si="80"/>
        <v>0</v>
      </c>
      <c r="CA108" s="16">
        <f t="shared" si="81"/>
        <v>0</v>
      </c>
      <c r="CB108" s="16">
        <f t="shared" si="82"/>
        <v>0</v>
      </c>
      <c r="CC108" s="16">
        <f t="shared" si="83"/>
        <v>0</v>
      </c>
    </row>
    <row r="109" spans="1:81" x14ac:dyDescent="0.25">
      <c r="A109">
        <v>35</v>
      </c>
      <c r="B109" s="16">
        <f t="shared" si="4"/>
        <v>12.2</v>
      </c>
      <c r="C109" s="16">
        <f t="shared" si="5"/>
        <v>8.4499999999999993</v>
      </c>
      <c r="D109" s="16">
        <f t="shared" si="6"/>
        <v>12.21</v>
      </c>
      <c r="E109" s="16">
        <f t="shared" si="7"/>
        <v>2124</v>
      </c>
      <c r="F109" s="16">
        <f t="shared" si="8"/>
        <v>1764</v>
      </c>
      <c r="G109" s="16">
        <f t="shared" si="9"/>
        <v>1950</v>
      </c>
      <c r="H109" s="16">
        <f t="shared" si="10"/>
        <v>5838</v>
      </c>
      <c r="I109" s="16">
        <f t="shared" si="11"/>
        <v>1.7472000000000001</v>
      </c>
      <c r="J109" s="16">
        <f t="shared" si="12"/>
        <v>8.2874999999999996</v>
      </c>
      <c r="K109" s="16">
        <f t="shared" si="13"/>
        <v>3.9125000000000001</v>
      </c>
      <c r="L109" s="16">
        <f t="shared" si="14"/>
        <v>5.5750000000000002</v>
      </c>
      <c r="M109" s="16">
        <f t="shared" si="15"/>
        <v>5.9249999999999998</v>
      </c>
      <c r="N109" s="16">
        <f t="shared" si="16"/>
        <v>2.7017000000000002</v>
      </c>
      <c r="O109" s="16">
        <f t="shared" si="17"/>
        <v>0.41560000000000002</v>
      </c>
      <c r="P109" s="16">
        <f t="shared" si="18"/>
        <v>0.33329999999999999</v>
      </c>
      <c r="Q109" s="16">
        <f t="shared" si="19"/>
        <v>0.2888</v>
      </c>
      <c r="R109" s="16">
        <f t="shared" si="20"/>
        <v>0.34699999999999998</v>
      </c>
      <c r="S109" s="16">
        <f t="shared" si="21"/>
        <v>0.27189999999999998</v>
      </c>
      <c r="T109" s="16">
        <f t="shared" si="22"/>
        <v>1.5</v>
      </c>
      <c r="U109" s="16">
        <f t="shared" si="23"/>
        <v>0.78</v>
      </c>
      <c r="V109" s="16">
        <f t="shared" si="24"/>
        <v>0.57999999999999996</v>
      </c>
      <c r="W109" s="16">
        <f t="shared" si="25"/>
        <v>1.5</v>
      </c>
      <c r="X109" s="16">
        <f t="shared" si="26"/>
        <v>17.072700000000001</v>
      </c>
      <c r="Y109" s="16">
        <f t="shared" si="27"/>
        <v>0</v>
      </c>
      <c r="Z109" s="16">
        <f t="shared" si="28"/>
        <v>13.6364</v>
      </c>
      <c r="AA109" s="16">
        <f t="shared" si="29"/>
        <v>0</v>
      </c>
      <c r="AB109" s="16">
        <f t="shared" si="30"/>
        <v>13.6364</v>
      </c>
      <c r="AC109" s="16">
        <f t="shared" si="31"/>
        <v>6.8182</v>
      </c>
      <c r="AD109" s="16">
        <f t="shared" si="32"/>
        <v>75</v>
      </c>
      <c r="AE109" s="16">
        <f t="shared" si="33"/>
        <v>4.5454999999999997</v>
      </c>
      <c r="AF109" s="16">
        <f t="shared" si="34"/>
        <v>86.363600000000005</v>
      </c>
      <c r="AG109" s="16">
        <f t="shared" si="35"/>
        <v>75</v>
      </c>
      <c r="AH109" s="16">
        <f t="shared" si="36"/>
        <v>0.11550000000000001</v>
      </c>
      <c r="AI109" s="16">
        <f t="shared" si="37"/>
        <v>0.31169999999999998</v>
      </c>
      <c r="AJ109" s="16">
        <f t="shared" si="38"/>
        <v>0.19</v>
      </c>
      <c r="AK109" s="16">
        <f t="shared" si="39"/>
        <v>0.19570000000000001</v>
      </c>
      <c r="AL109" s="16">
        <f t="shared" si="40"/>
        <v>0.18990000000000001</v>
      </c>
      <c r="AM109" s="16">
        <f t="shared" si="41"/>
        <v>0.55000000000000004</v>
      </c>
      <c r="AN109" s="16">
        <f t="shared" si="42"/>
        <v>0.65</v>
      </c>
      <c r="AO109" s="16">
        <f t="shared" si="43"/>
        <v>0.5</v>
      </c>
      <c r="AP109" s="16">
        <f t="shared" si="44"/>
        <v>0.65</v>
      </c>
      <c r="AQ109" s="16">
        <f t="shared" si="45"/>
        <v>29.166699999999999</v>
      </c>
      <c r="AR109" s="16">
        <f t="shared" si="46"/>
        <v>0.375</v>
      </c>
      <c r="AS109" s="16">
        <f t="shared" si="47"/>
        <v>37.5</v>
      </c>
      <c r="AT109" s="16">
        <f t="shared" si="48"/>
        <v>37.5</v>
      </c>
      <c r="AU109" s="16">
        <f t="shared" si="49"/>
        <v>25</v>
      </c>
      <c r="AV109" s="16">
        <f t="shared" si="50"/>
        <v>33.333300000000001</v>
      </c>
      <c r="AW109" s="16">
        <f t="shared" si="51"/>
        <v>37.5</v>
      </c>
      <c r="AX109" s="16">
        <f t="shared" si="52"/>
        <v>1.1667000000000001</v>
      </c>
      <c r="AY109" s="16">
        <f t="shared" si="53"/>
        <v>25</v>
      </c>
      <c r="AZ109" s="16">
        <f t="shared" si="54"/>
        <v>0</v>
      </c>
      <c r="BA109" s="16">
        <f t="shared" si="55"/>
        <v>0.25</v>
      </c>
      <c r="BB109" s="16">
        <f t="shared" si="56"/>
        <v>0</v>
      </c>
      <c r="BC109" s="16">
        <f t="shared" si="57"/>
        <v>8.3299999999999999E-2</v>
      </c>
      <c r="BD109" s="16">
        <f t="shared" si="58"/>
        <v>0.5</v>
      </c>
      <c r="BE109" s="16">
        <f t="shared" si="59"/>
        <v>0.75</v>
      </c>
      <c r="BF109" s="16">
        <f t="shared" si="60"/>
        <v>0</v>
      </c>
      <c r="BG109" s="16">
        <f t="shared" si="61"/>
        <v>0.25</v>
      </c>
      <c r="BH109" s="16">
        <f t="shared" si="62"/>
        <v>0.33329999999999999</v>
      </c>
      <c r="BI109" s="16">
        <f t="shared" si="63"/>
        <v>0.5</v>
      </c>
      <c r="BJ109" s="16">
        <f t="shared" si="64"/>
        <v>0.75</v>
      </c>
      <c r="BK109" s="16">
        <f t="shared" si="65"/>
        <v>1.5</v>
      </c>
      <c r="BL109" s="16">
        <f t="shared" si="66"/>
        <v>0.91669999999999996</v>
      </c>
      <c r="BM109" s="16">
        <f t="shared" si="67"/>
        <v>1</v>
      </c>
      <c r="BN109" s="16">
        <f t="shared" si="68"/>
        <v>1</v>
      </c>
      <c r="BO109" s="16">
        <f t="shared" si="69"/>
        <v>0.25</v>
      </c>
      <c r="BP109" s="16">
        <f t="shared" si="70"/>
        <v>0.75</v>
      </c>
      <c r="BQ109" s="16">
        <f t="shared" si="71"/>
        <v>25</v>
      </c>
      <c r="BR109" s="16">
        <f t="shared" si="72"/>
        <v>66.666700000000006</v>
      </c>
      <c r="BS109" s="16">
        <f t="shared" si="73"/>
        <v>4.1666999999999996</v>
      </c>
      <c r="BT109" s="16">
        <f t="shared" si="74"/>
        <v>28.130400000000002</v>
      </c>
      <c r="BU109" s="16">
        <f t="shared" si="75"/>
        <v>0.625</v>
      </c>
      <c r="BV109" s="16">
        <f t="shared" si="76"/>
        <v>71.939599999999999</v>
      </c>
      <c r="BW109" s="16">
        <f t="shared" si="77"/>
        <v>14.0044</v>
      </c>
      <c r="BX109" s="16">
        <f t="shared" si="78"/>
        <v>28.060400000000001</v>
      </c>
      <c r="BY109" s="16">
        <f t="shared" si="79"/>
        <v>0</v>
      </c>
      <c r="BZ109" s="16">
        <f t="shared" si="80"/>
        <v>0</v>
      </c>
      <c r="CA109" s="16">
        <f t="shared" si="81"/>
        <v>0</v>
      </c>
      <c r="CB109" s="16">
        <f t="shared" si="82"/>
        <v>0</v>
      </c>
      <c r="CC109" s="16">
        <f t="shared" si="83"/>
        <v>0</v>
      </c>
    </row>
    <row r="110" spans="1:81" x14ac:dyDescent="0.25">
      <c r="A110">
        <v>36</v>
      </c>
      <c r="B110" s="16">
        <f t="shared" si="4"/>
        <v>19.7</v>
      </c>
      <c r="C110" s="16">
        <f t="shared" si="5"/>
        <v>8.7200000000000006</v>
      </c>
      <c r="D110" s="16">
        <f t="shared" si="6"/>
        <v>11.66</v>
      </c>
      <c r="E110" s="16">
        <f t="shared" si="7"/>
        <v>360</v>
      </c>
      <c r="F110" s="16">
        <f t="shared" si="8"/>
        <v>280</v>
      </c>
      <c r="G110" s="16">
        <f t="shared" si="9"/>
        <v>190</v>
      </c>
      <c r="H110" s="16">
        <f t="shared" si="10"/>
        <v>830</v>
      </c>
      <c r="I110" s="16">
        <f t="shared" si="11"/>
        <v>0</v>
      </c>
      <c r="J110" s="16">
        <f t="shared" si="12"/>
        <v>2.3374999999999999</v>
      </c>
      <c r="K110" s="16">
        <f t="shared" si="13"/>
        <v>2.8875000000000002</v>
      </c>
      <c r="L110" s="16">
        <f t="shared" si="14"/>
        <v>1.9</v>
      </c>
      <c r="M110" s="16">
        <f t="shared" si="15"/>
        <v>2.375</v>
      </c>
      <c r="N110" s="16">
        <f t="shared" si="16"/>
        <v>0.90129999999999999</v>
      </c>
      <c r="O110" s="16">
        <f t="shared" si="17"/>
        <v>0.2455</v>
      </c>
      <c r="P110" s="16">
        <f t="shared" si="18"/>
        <v>0.27500000000000002</v>
      </c>
      <c r="Q110" s="16">
        <f t="shared" si="19"/>
        <v>0.2291</v>
      </c>
      <c r="R110" s="16">
        <f t="shared" si="20"/>
        <v>0.25059999999999999</v>
      </c>
      <c r="S110" s="16">
        <f t="shared" si="21"/>
        <v>0.1353</v>
      </c>
      <c r="T110" s="16">
        <f t="shared" si="22"/>
        <v>0.5</v>
      </c>
      <c r="U110" s="16">
        <f t="shared" si="23"/>
        <v>0.62</v>
      </c>
      <c r="V110" s="16">
        <f t="shared" si="24"/>
        <v>0.48</v>
      </c>
      <c r="W110" s="16">
        <f t="shared" si="25"/>
        <v>0.62</v>
      </c>
      <c r="X110" s="16">
        <f t="shared" si="26"/>
        <v>9.4777000000000005</v>
      </c>
      <c r="Y110" s="16">
        <f t="shared" si="27"/>
        <v>0</v>
      </c>
      <c r="Z110" s="16">
        <f t="shared" si="28"/>
        <v>11.764699999999999</v>
      </c>
      <c r="AA110" s="16">
        <f t="shared" si="29"/>
        <v>47.058799999999998</v>
      </c>
      <c r="AB110" s="16">
        <f t="shared" si="30"/>
        <v>58.823500000000003</v>
      </c>
      <c r="AC110" s="16">
        <f t="shared" si="31"/>
        <v>23.529399999999999</v>
      </c>
      <c r="AD110" s="16">
        <f t="shared" si="32"/>
        <v>17.647099999999998</v>
      </c>
      <c r="AE110" s="16">
        <f t="shared" si="33"/>
        <v>0</v>
      </c>
      <c r="AF110" s="16">
        <f t="shared" si="34"/>
        <v>41.176499999999997</v>
      </c>
      <c r="AG110" s="16">
        <f t="shared" si="35"/>
        <v>47.058799999999998</v>
      </c>
      <c r="AH110" s="16">
        <f t="shared" si="36"/>
        <v>0.32300000000000001</v>
      </c>
      <c r="AI110" s="16">
        <f t="shared" si="37"/>
        <v>0.27089999999999997</v>
      </c>
      <c r="AJ110" s="16">
        <f t="shared" si="38"/>
        <v>0.33200000000000002</v>
      </c>
      <c r="AK110" s="16">
        <f t="shared" si="39"/>
        <v>0.31180000000000002</v>
      </c>
      <c r="AL110" s="16">
        <f t="shared" si="40"/>
        <v>0.19620000000000001</v>
      </c>
      <c r="AM110" s="16">
        <f t="shared" si="41"/>
        <v>0.64</v>
      </c>
      <c r="AN110" s="16">
        <f t="shared" si="42"/>
        <v>0.83</v>
      </c>
      <c r="AO110" s="16">
        <f t="shared" si="43"/>
        <v>0.64</v>
      </c>
      <c r="AP110" s="16">
        <f t="shared" si="44"/>
        <v>0.83</v>
      </c>
      <c r="AQ110" s="16">
        <f t="shared" si="45"/>
        <v>12.5</v>
      </c>
      <c r="AR110" s="16">
        <f t="shared" si="46"/>
        <v>0.79169999999999996</v>
      </c>
      <c r="AS110" s="16">
        <f t="shared" si="47"/>
        <v>0</v>
      </c>
      <c r="AT110" s="16">
        <f t="shared" si="48"/>
        <v>25</v>
      </c>
      <c r="AU110" s="16">
        <f t="shared" si="49"/>
        <v>0</v>
      </c>
      <c r="AV110" s="16">
        <f t="shared" si="50"/>
        <v>8.3332999999999995</v>
      </c>
      <c r="AW110" s="16">
        <f t="shared" si="51"/>
        <v>79.166700000000006</v>
      </c>
      <c r="AX110" s="16">
        <f t="shared" si="52"/>
        <v>0.5</v>
      </c>
      <c r="AY110" s="16">
        <f t="shared" si="53"/>
        <v>25</v>
      </c>
      <c r="AZ110" s="16">
        <f t="shared" si="54"/>
        <v>0</v>
      </c>
      <c r="BA110" s="16">
        <f t="shared" si="55"/>
        <v>0</v>
      </c>
      <c r="BB110" s="16">
        <f t="shared" si="56"/>
        <v>0</v>
      </c>
      <c r="BC110" s="16">
        <f t="shared" si="57"/>
        <v>0</v>
      </c>
      <c r="BD110" s="16">
        <f t="shared" si="58"/>
        <v>0.66669999999999996</v>
      </c>
      <c r="BE110" s="16">
        <f t="shared" si="59"/>
        <v>0.25</v>
      </c>
      <c r="BF110" s="16">
        <f t="shared" si="60"/>
        <v>0.5</v>
      </c>
      <c r="BG110" s="16">
        <f t="shared" si="61"/>
        <v>1</v>
      </c>
      <c r="BH110" s="16">
        <f t="shared" si="62"/>
        <v>0.58330000000000004</v>
      </c>
      <c r="BI110" s="16">
        <f t="shared" si="63"/>
        <v>0.25</v>
      </c>
      <c r="BJ110" s="16">
        <f t="shared" si="64"/>
        <v>0</v>
      </c>
      <c r="BK110" s="16">
        <f t="shared" si="65"/>
        <v>0</v>
      </c>
      <c r="BL110" s="16">
        <f t="shared" si="66"/>
        <v>8.3299999999999999E-2</v>
      </c>
      <c r="BM110" s="16">
        <f t="shared" si="67"/>
        <v>0</v>
      </c>
      <c r="BN110" s="16">
        <f t="shared" si="68"/>
        <v>0.5</v>
      </c>
      <c r="BO110" s="16">
        <f t="shared" si="69"/>
        <v>0</v>
      </c>
      <c r="BP110" s="16">
        <f t="shared" si="70"/>
        <v>0.16669999999999999</v>
      </c>
      <c r="BQ110" s="16">
        <f t="shared" si="71"/>
        <v>4.1666999999999996</v>
      </c>
      <c r="BR110" s="16">
        <f t="shared" si="72"/>
        <v>58.333300000000001</v>
      </c>
      <c r="BS110" s="16">
        <f t="shared" si="73"/>
        <v>37.5</v>
      </c>
      <c r="BT110" s="16">
        <f t="shared" si="74"/>
        <v>46.875</v>
      </c>
      <c r="BU110" s="16">
        <f t="shared" si="75"/>
        <v>0.91669999999999996</v>
      </c>
      <c r="BV110" s="16">
        <f t="shared" si="76"/>
        <v>89.114099999999993</v>
      </c>
      <c r="BW110" s="16">
        <f t="shared" si="77"/>
        <v>10.349600000000001</v>
      </c>
      <c r="BX110" s="16">
        <f t="shared" si="78"/>
        <v>10.885899999999999</v>
      </c>
      <c r="BY110" s="16">
        <f t="shared" si="79"/>
        <v>0</v>
      </c>
      <c r="BZ110" s="16">
        <f t="shared" si="80"/>
        <v>0</v>
      </c>
      <c r="CA110" s="16">
        <f t="shared" si="81"/>
        <v>0</v>
      </c>
      <c r="CB110" s="16">
        <f t="shared" si="82"/>
        <v>0</v>
      </c>
      <c r="CC110" s="16">
        <f t="shared" si="83"/>
        <v>0</v>
      </c>
    </row>
    <row r="111" spans="1:81" x14ac:dyDescent="0.25">
      <c r="A111">
        <v>38</v>
      </c>
      <c r="B111" s="16">
        <f t="shared" si="4"/>
        <v>11.8</v>
      </c>
      <c r="C111" s="16">
        <f t="shared" si="5"/>
        <v>8.5500000000000007</v>
      </c>
      <c r="D111" s="16">
        <f t="shared" si="6"/>
        <v>10.5</v>
      </c>
      <c r="E111" s="16">
        <f t="shared" si="7"/>
        <v>891</v>
      </c>
      <c r="F111" s="16">
        <f t="shared" si="8"/>
        <v>471</v>
      </c>
      <c r="G111" s="16">
        <f t="shared" si="9"/>
        <v>525</v>
      </c>
      <c r="H111" s="16">
        <f t="shared" si="10"/>
        <v>1887</v>
      </c>
      <c r="I111" s="16">
        <f t="shared" si="11"/>
        <v>1.1447000000000001</v>
      </c>
      <c r="J111" s="16">
        <f t="shared" si="12"/>
        <v>2.6625000000000001</v>
      </c>
      <c r="K111" s="16">
        <f t="shared" si="13"/>
        <v>2.3250000000000002</v>
      </c>
      <c r="L111" s="16">
        <f t="shared" si="14"/>
        <v>2.0249999999999999</v>
      </c>
      <c r="M111" s="16">
        <f t="shared" si="15"/>
        <v>2.3374999999999999</v>
      </c>
      <c r="N111" s="16">
        <f t="shared" si="16"/>
        <v>0.52649999999999997</v>
      </c>
      <c r="O111" s="16">
        <f t="shared" si="17"/>
        <v>0.3533</v>
      </c>
      <c r="P111" s="16">
        <f t="shared" si="18"/>
        <v>0.47170000000000001</v>
      </c>
      <c r="Q111" s="16">
        <f t="shared" si="19"/>
        <v>0.39079999999999998</v>
      </c>
      <c r="R111" s="16">
        <f t="shared" si="20"/>
        <v>0.40489999999999998</v>
      </c>
      <c r="S111" s="16">
        <f t="shared" si="21"/>
        <v>0.15409999999999999</v>
      </c>
      <c r="T111" s="16">
        <f t="shared" si="22"/>
        <v>0.56000000000000005</v>
      </c>
      <c r="U111" s="16">
        <f t="shared" si="23"/>
        <v>0.7</v>
      </c>
      <c r="V111" s="16">
        <f t="shared" si="24"/>
        <v>0.57999999999999996</v>
      </c>
      <c r="W111" s="16">
        <f t="shared" si="25"/>
        <v>0.7</v>
      </c>
      <c r="X111" s="16">
        <f t="shared" si="26"/>
        <v>5.7735000000000003</v>
      </c>
      <c r="Y111" s="16">
        <f t="shared" si="27"/>
        <v>0</v>
      </c>
      <c r="Z111" s="16">
        <f t="shared" si="28"/>
        <v>43.243200000000002</v>
      </c>
      <c r="AA111" s="16">
        <f t="shared" si="29"/>
        <v>0</v>
      </c>
      <c r="AB111" s="16">
        <f t="shared" si="30"/>
        <v>43.243200000000002</v>
      </c>
      <c r="AC111" s="16">
        <f t="shared" si="31"/>
        <v>18.918900000000001</v>
      </c>
      <c r="AD111" s="16">
        <f t="shared" si="32"/>
        <v>37.837800000000001</v>
      </c>
      <c r="AE111" s="16">
        <f t="shared" si="33"/>
        <v>0</v>
      </c>
      <c r="AF111" s="16">
        <f t="shared" si="34"/>
        <v>56.756799999999998</v>
      </c>
      <c r="AG111" s="16">
        <f t="shared" si="35"/>
        <v>43.243200000000002</v>
      </c>
      <c r="AH111" s="16">
        <f t="shared" si="36"/>
        <v>0.22450000000000001</v>
      </c>
      <c r="AI111" s="16">
        <f t="shared" si="37"/>
        <v>0.17</v>
      </c>
      <c r="AJ111" s="16">
        <f t="shared" si="38"/>
        <v>0.29499999999999998</v>
      </c>
      <c r="AK111" s="16">
        <f t="shared" si="39"/>
        <v>0.23810000000000001</v>
      </c>
      <c r="AL111" s="16">
        <f t="shared" si="40"/>
        <v>0.12570000000000001</v>
      </c>
      <c r="AM111" s="16">
        <f t="shared" si="41"/>
        <v>0.35</v>
      </c>
      <c r="AN111" s="16">
        <f t="shared" si="42"/>
        <v>0.28999999999999998</v>
      </c>
      <c r="AO111" s="16">
        <f t="shared" si="43"/>
        <v>0.55000000000000004</v>
      </c>
      <c r="AP111" s="16">
        <f t="shared" si="44"/>
        <v>0.55000000000000004</v>
      </c>
      <c r="AQ111" s="16">
        <f t="shared" si="45"/>
        <v>8.3332999999999995</v>
      </c>
      <c r="AR111" s="16">
        <f t="shared" si="46"/>
        <v>0.83330000000000004</v>
      </c>
      <c r="AS111" s="16">
        <f t="shared" si="47"/>
        <v>0</v>
      </c>
      <c r="AT111" s="16">
        <f t="shared" si="48"/>
        <v>25</v>
      </c>
      <c r="AU111" s="16">
        <f t="shared" si="49"/>
        <v>0</v>
      </c>
      <c r="AV111" s="16">
        <f t="shared" si="50"/>
        <v>8.3332999999999995</v>
      </c>
      <c r="AW111" s="16">
        <f t="shared" si="51"/>
        <v>83.333299999999994</v>
      </c>
      <c r="AX111" s="16">
        <f t="shared" si="52"/>
        <v>0.33329999999999999</v>
      </c>
      <c r="AY111" s="16">
        <f t="shared" si="53"/>
        <v>16.666699999999999</v>
      </c>
      <c r="AZ111" s="16">
        <f t="shared" si="54"/>
        <v>0.125</v>
      </c>
      <c r="BA111" s="16">
        <f t="shared" si="55"/>
        <v>0.125</v>
      </c>
      <c r="BB111" s="16">
        <f t="shared" si="56"/>
        <v>0</v>
      </c>
      <c r="BC111" s="16">
        <f t="shared" si="57"/>
        <v>8.3299999999999999E-2</v>
      </c>
      <c r="BD111" s="16">
        <f t="shared" si="58"/>
        <v>0.41670000000000001</v>
      </c>
      <c r="BE111" s="16">
        <f t="shared" si="59"/>
        <v>2.5</v>
      </c>
      <c r="BF111" s="16">
        <f t="shared" si="60"/>
        <v>2.75</v>
      </c>
      <c r="BG111" s="16">
        <f t="shared" si="61"/>
        <v>1</v>
      </c>
      <c r="BH111" s="16">
        <f t="shared" si="62"/>
        <v>2.0832999999999999</v>
      </c>
      <c r="BI111" s="16">
        <f t="shared" si="63"/>
        <v>0</v>
      </c>
      <c r="BJ111" s="16">
        <f t="shared" si="64"/>
        <v>0</v>
      </c>
      <c r="BK111" s="16">
        <f t="shared" si="65"/>
        <v>0</v>
      </c>
      <c r="BL111" s="16">
        <f t="shared" si="66"/>
        <v>0</v>
      </c>
      <c r="BM111" s="16">
        <f t="shared" si="67"/>
        <v>0.75</v>
      </c>
      <c r="BN111" s="16">
        <f t="shared" si="68"/>
        <v>2</v>
      </c>
      <c r="BO111" s="16">
        <f t="shared" si="69"/>
        <v>0.75</v>
      </c>
      <c r="BP111" s="16">
        <f t="shared" si="70"/>
        <v>1.1667000000000001</v>
      </c>
      <c r="BQ111" s="16">
        <f t="shared" si="71"/>
        <v>0</v>
      </c>
      <c r="BR111" s="16">
        <f t="shared" si="72"/>
        <v>75</v>
      </c>
      <c r="BS111" s="16">
        <f t="shared" si="73"/>
        <v>25</v>
      </c>
      <c r="BT111" s="16">
        <f t="shared" si="74"/>
        <v>46.666699999999999</v>
      </c>
      <c r="BU111" s="16">
        <f t="shared" si="75"/>
        <v>0.83330000000000004</v>
      </c>
      <c r="BV111" s="16">
        <f t="shared" si="76"/>
        <v>95.030500000000004</v>
      </c>
      <c r="BW111" s="16">
        <f t="shared" si="77"/>
        <v>2.8412999999999999</v>
      </c>
      <c r="BX111" s="16">
        <f t="shared" si="78"/>
        <v>4.9695</v>
      </c>
      <c r="BY111" s="16">
        <f t="shared" si="79"/>
        <v>0</v>
      </c>
      <c r="BZ111" s="16">
        <f t="shared" si="80"/>
        <v>0</v>
      </c>
      <c r="CA111" s="16">
        <f t="shared" si="81"/>
        <v>0</v>
      </c>
      <c r="CB111" s="16">
        <f t="shared" si="82"/>
        <v>0</v>
      </c>
      <c r="CC111" s="16">
        <f t="shared" si="83"/>
        <v>0</v>
      </c>
    </row>
    <row r="112" spans="1:81" x14ac:dyDescent="0.25">
      <c r="A112">
        <v>41</v>
      </c>
      <c r="B112" s="16">
        <f t="shared" si="4"/>
        <v>21.7</v>
      </c>
      <c r="C112" s="16">
        <f t="shared" si="5"/>
        <v>8.92</v>
      </c>
      <c r="D112" s="16">
        <f t="shared" si="6"/>
        <v>15.05</v>
      </c>
      <c r="E112" s="16">
        <f t="shared" si="7"/>
        <v>260</v>
      </c>
      <c r="F112" s="16">
        <f t="shared" si="8"/>
        <v>208</v>
      </c>
      <c r="G112" s="16">
        <f t="shared" si="9"/>
        <v>391</v>
      </c>
      <c r="H112" s="16">
        <f t="shared" si="10"/>
        <v>859</v>
      </c>
      <c r="I112" s="16">
        <f t="shared" si="11"/>
        <v>0</v>
      </c>
      <c r="J112" s="16">
        <f t="shared" si="12"/>
        <v>2.85</v>
      </c>
      <c r="K112" s="16">
        <f t="shared" si="13"/>
        <v>2.125</v>
      </c>
      <c r="L112" s="16">
        <f t="shared" si="14"/>
        <v>3.1875</v>
      </c>
      <c r="M112" s="16">
        <f t="shared" si="15"/>
        <v>2.7208000000000001</v>
      </c>
      <c r="N112" s="16">
        <f t="shared" si="16"/>
        <v>0.92779999999999996</v>
      </c>
      <c r="O112" s="16">
        <f t="shared" si="17"/>
        <v>0.2717</v>
      </c>
      <c r="P112" s="16">
        <f t="shared" si="18"/>
        <v>0.14000000000000001</v>
      </c>
      <c r="Q112" s="16">
        <f t="shared" si="19"/>
        <v>0.34</v>
      </c>
      <c r="R112" s="16">
        <f t="shared" si="20"/>
        <v>0.25369999999999998</v>
      </c>
      <c r="S112" s="16">
        <f t="shared" si="21"/>
        <v>0.14499999999999999</v>
      </c>
      <c r="T112" s="16">
        <f t="shared" si="22"/>
        <v>0.4</v>
      </c>
      <c r="U112" s="16">
        <f t="shared" si="23"/>
        <v>0.24</v>
      </c>
      <c r="V112" s="16">
        <f t="shared" si="24"/>
        <v>0.76</v>
      </c>
      <c r="W112" s="16">
        <f t="shared" si="25"/>
        <v>0.76</v>
      </c>
      <c r="X112" s="16">
        <f t="shared" si="26"/>
        <v>10.724</v>
      </c>
      <c r="Y112" s="16">
        <f t="shared" si="27"/>
        <v>0</v>
      </c>
      <c r="Z112" s="16">
        <f t="shared" si="28"/>
        <v>60</v>
      </c>
      <c r="AA112" s="16">
        <f t="shared" si="29"/>
        <v>0</v>
      </c>
      <c r="AB112" s="16">
        <f t="shared" si="30"/>
        <v>60</v>
      </c>
      <c r="AC112" s="16">
        <f t="shared" si="31"/>
        <v>0</v>
      </c>
      <c r="AD112" s="16">
        <f t="shared" si="32"/>
        <v>40</v>
      </c>
      <c r="AE112" s="16">
        <f t="shared" si="33"/>
        <v>0</v>
      </c>
      <c r="AF112" s="16">
        <f t="shared" si="34"/>
        <v>40</v>
      </c>
      <c r="AG112" s="16">
        <f t="shared" si="35"/>
        <v>60</v>
      </c>
      <c r="AH112" s="16">
        <f t="shared" si="36"/>
        <v>7.2700000000000001E-2</v>
      </c>
      <c r="AI112" s="16">
        <f t="shared" si="37"/>
        <v>0.20699999999999999</v>
      </c>
      <c r="AJ112" s="16">
        <f t="shared" si="38"/>
        <v>7.8200000000000006E-2</v>
      </c>
      <c r="AK112" s="16">
        <f t="shared" si="39"/>
        <v>0.1089</v>
      </c>
      <c r="AL112" s="16">
        <f t="shared" si="40"/>
        <v>0.15840000000000001</v>
      </c>
      <c r="AM112" s="16">
        <f t="shared" si="41"/>
        <v>0.3</v>
      </c>
      <c r="AN112" s="16">
        <f t="shared" si="42"/>
        <v>0.56000000000000005</v>
      </c>
      <c r="AO112" s="16">
        <f t="shared" si="43"/>
        <v>0.56999999999999995</v>
      </c>
      <c r="AP112" s="16">
        <f t="shared" si="44"/>
        <v>0.56999999999999995</v>
      </c>
      <c r="AQ112" s="16">
        <f t="shared" si="45"/>
        <v>16.666699999999999</v>
      </c>
      <c r="AR112" s="16">
        <f t="shared" si="46"/>
        <v>0.29170000000000001</v>
      </c>
      <c r="AS112" s="16">
        <f t="shared" si="47"/>
        <v>50</v>
      </c>
      <c r="AT112" s="16">
        <f t="shared" si="48"/>
        <v>25</v>
      </c>
      <c r="AU112" s="16">
        <f t="shared" si="49"/>
        <v>87.5</v>
      </c>
      <c r="AV112" s="16">
        <f t="shared" si="50"/>
        <v>54.166699999999999</v>
      </c>
      <c r="AW112" s="16">
        <f t="shared" si="51"/>
        <v>37.5</v>
      </c>
      <c r="AX112" s="16">
        <f t="shared" si="52"/>
        <v>0.75</v>
      </c>
      <c r="AY112" s="16">
        <f t="shared" si="53"/>
        <v>25</v>
      </c>
      <c r="AZ112" s="16">
        <f t="shared" si="54"/>
        <v>0</v>
      </c>
      <c r="BA112" s="16">
        <f t="shared" si="55"/>
        <v>0</v>
      </c>
      <c r="BB112" s="16">
        <f t="shared" si="56"/>
        <v>0</v>
      </c>
      <c r="BC112" s="16">
        <f t="shared" si="57"/>
        <v>0</v>
      </c>
      <c r="BD112" s="16">
        <f t="shared" si="58"/>
        <v>0.125</v>
      </c>
      <c r="BE112" s="16">
        <f t="shared" si="59"/>
        <v>0</v>
      </c>
      <c r="BF112" s="16">
        <f t="shared" si="60"/>
        <v>0</v>
      </c>
      <c r="BG112" s="16">
        <f t="shared" si="61"/>
        <v>0</v>
      </c>
      <c r="BH112" s="16">
        <f t="shared" si="62"/>
        <v>0</v>
      </c>
      <c r="BI112" s="16">
        <f t="shared" si="63"/>
        <v>0</v>
      </c>
      <c r="BJ112" s="16">
        <f t="shared" si="64"/>
        <v>0</v>
      </c>
      <c r="BK112" s="16">
        <f t="shared" si="65"/>
        <v>0</v>
      </c>
      <c r="BL112" s="16">
        <f t="shared" si="66"/>
        <v>0</v>
      </c>
      <c r="BM112" s="16">
        <f t="shared" si="67"/>
        <v>0.75</v>
      </c>
      <c r="BN112" s="16">
        <f t="shared" si="68"/>
        <v>0.5</v>
      </c>
      <c r="BO112" s="16">
        <f t="shared" si="69"/>
        <v>2</v>
      </c>
      <c r="BP112" s="16">
        <f t="shared" si="70"/>
        <v>1.0832999999999999</v>
      </c>
      <c r="BQ112" s="16">
        <f t="shared" si="71"/>
        <v>8.3332999999999995</v>
      </c>
      <c r="BR112" s="16">
        <f t="shared" si="72"/>
        <v>75</v>
      </c>
      <c r="BS112" s="16">
        <f t="shared" si="73"/>
        <v>16.666699999999999</v>
      </c>
      <c r="BT112" s="16">
        <f t="shared" si="74"/>
        <v>38.958300000000001</v>
      </c>
      <c r="BU112" s="16">
        <f t="shared" si="75"/>
        <v>1.7082999999999999</v>
      </c>
      <c r="BV112" s="16">
        <f t="shared" si="76"/>
        <v>57.5075</v>
      </c>
      <c r="BW112" s="16">
        <f t="shared" si="77"/>
        <v>14.632</v>
      </c>
      <c r="BX112" s="16">
        <f t="shared" si="78"/>
        <v>42.4925</v>
      </c>
      <c r="BY112" s="16">
        <f t="shared" si="79"/>
        <v>0</v>
      </c>
      <c r="BZ112" s="16">
        <f t="shared" si="80"/>
        <v>0</v>
      </c>
      <c r="CA112" s="16">
        <f t="shared" si="81"/>
        <v>0</v>
      </c>
      <c r="CB112" s="16">
        <f t="shared" si="82"/>
        <v>0</v>
      </c>
      <c r="CC112" s="16">
        <f t="shared" si="83"/>
        <v>0</v>
      </c>
    </row>
    <row r="113" spans="1:81" x14ac:dyDescent="0.25">
      <c r="A113">
        <v>48</v>
      </c>
      <c r="B113" s="16">
        <f t="shared" si="4"/>
        <v>15</v>
      </c>
      <c r="C113" s="16">
        <f t="shared" si="5"/>
        <v>8.58</v>
      </c>
      <c r="D113" s="16">
        <f t="shared" si="6"/>
        <v>14.08</v>
      </c>
      <c r="E113" s="16">
        <f t="shared" si="7"/>
        <v>698</v>
      </c>
      <c r="F113" s="16">
        <f t="shared" si="8"/>
        <v>603</v>
      </c>
      <c r="G113" s="16">
        <f t="shared" si="9"/>
        <v>658</v>
      </c>
      <c r="H113" s="16">
        <f t="shared" si="10"/>
        <v>1959</v>
      </c>
      <c r="I113" s="16">
        <f t="shared" si="11"/>
        <v>0</v>
      </c>
      <c r="J113" s="16">
        <f t="shared" si="12"/>
        <v>4.0625</v>
      </c>
      <c r="K113" s="16">
        <f t="shared" si="13"/>
        <v>3.5125000000000002</v>
      </c>
      <c r="L113" s="16">
        <f t="shared" si="14"/>
        <v>2.8125</v>
      </c>
      <c r="M113" s="16">
        <f t="shared" si="15"/>
        <v>3.4624999999999999</v>
      </c>
      <c r="N113" s="16">
        <f t="shared" si="16"/>
        <v>1.05</v>
      </c>
      <c r="O113" s="16">
        <f t="shared" si="17"/>
        <v>0.18</v>
      </c>
      <c r="P113" s="16">
        <f t="shared" si="18"/>
        <v>0.26</v>
      </c>
      <c r="Q113" s="16">
        <f t="shared" si="19"/>
        <v>0.21859999999999999</v>
      </c>
      <c r="R113" s="16">
        <f t="shared" si="20"/>
        <v>0.22040000000000001</v>
      </c>
      <c r="S113" s="16">
        <f t="shared" si="21"/>
        <v>0.13320000000000001</v>
      </c>
      <c r="T113" s="16">
        <f t="shared" si="22"/>
        <v>0.44</v>
      </c>
      <c r="U113" s="16">
        <f t="shared" si="23"/>
        <v>0.54</v>
      </c>
      <c r="V113" s="16">
        <f t="shared" si="24"/>
        <v>0.66</v>
      </c>
      <c r="W113" s="16">
        <f t="shared" si="25"/>
        <v>0.66</v>
      </c>
      <c r="X113" s="16">
        <f t="shared" si="26"/>
        <v>15.706899999999999</v>
      </c>
      <c r="Y113" s="16">
        <f t="shared" si="27"/>
        <v>0</v>
      </c>
      <c r="Z113" s="16">
        <f t="shared" si="28"/>
        <v>11.1111</v>
      </c>
      <c r="AA113" s="16">
        <f t="shared" si="29"/>
        <v>0</v>
      </c>
      <c r="AB113" s="16">
        <f t="shared" si="30"/>
        <v>11.1111</v>
      </c>
      <c r="AC113" s="16">
        <f t="shared" si="31"/>
        <v>6.6666999999999996</v>
      </c>
      <c r="AD113" s="16">
        <f t="shared" si="32"/>
        <v>82.222200000000001</v>
      </c>
      <c r="AE113" s="16">
        <f t="shared" si="33"/>
        <v>0</v>
      </c>
      <c r="AF113" s="16">
        <f t="shared" si="34"/>
        <v>88.888900000000007</v>
      </c>
      <c r="AG113" s="16">
        <f t="shared" si="35"/>
        <v>82.222200000000001</v>
      </c>
      <c r="AH113" s="16">
        <f t="shared" si="36"/>
        <v>0.2767</v>
      </c>
      <c r="AI113" s="16">
        <f t="shared" si="37"/>
        <v>0.15379999999999999</v>
      </c>
      <c r="AJ113" s="16">
        <f t="shared" si="38"/>
        <v>0.27860000000000001</v>
      </c>
      <c r="AK113" s="16">
        <f t="shared" si="39"/>
        <v>0.2336</v>
      </c>
      <c r="AL113" s="16">
        <f t="shared" si="40"/>
        <v>0.20469999999999999</v>
      </c>
      <c r="AM113" s="16">
        <f t="shared" si="41"/>
        <v>0.61</v>
      </c>
      <c r="AN113" s="16">
        <f t="shared" si="42"/>
        <v>0.62</v>
      </c>
      <c r="AO113" s="16">
        <f t="shared" si="43"/>
        <v>0.76</v>
      </c>
      <c r="AP113" s="16">
        <f t="shared" si="44"/>
        <v>0.76</v>
      </c>
      <c r="AQ113" s="16">
        <f t="shared" si="45"/>
        <v>41.666699999999999</v>
      </c>
      <c r="AR113" s="16">
        <f t="shared" si="46"/>
        <v>0.45829999999999999</v>
      </c>
      <c r="AS113" s="16">
        <f t="shared" si="47"/>
        <v>0</v>
      </c>
      <c r="AT113" s="16">
        <f t="shared" si="48"/>
        <v>25</v>
      </c>
      <c r="AU113" s="16">
        <f t="shared" si="49"/>
        <v>12.5</v>
      </c>
      <c r="AV113" s="16">
        <f t="shared" si="50"/>
        <v>12.5</v>
      </c>
      <c r="AW113" s="16">
        <f t="shared" si="51"/>
        <v>45.833300000000001</v>
      </c>
      <c r="AX113" s="16">
        <f t="shared" si="52"/>
        <v>1.6667000000000001</v>
      </c>
      <c r="AY113" s="16">
        <f t="shared" si="53"/>
        <v>50</v>
      </c>
      <c r="AZ113" s="16">
        <f t="shared" si="54"/>
        <v>0.625</v>
      </c>
      <c r="BA113" s="16">
        <f t="shared" si="55"/>
        <v>0.75</v>
      </c>
      <c r="BB113" s="16">
        <f t="shared" si="56"/>
        <v>0.125</v>
      </c>
      <c r="BC113" s="16">
        <f t="shared" si="57"/>
        <v>0.5</v>
      </c>
      <c r="BD113" s="16">
        <f t="shared" si="58"/>
        <v>0.16669999999999999</v>
      </c>
      <c r="BE113" s="16">
        <f t="shared" si="59"/>
        <v>0</v>
      </c>
      <c r="BF113" s="16">
        <f t="shared" si="60"/>
        <v>0.5</v>
      </c>
      <c r="BG113" s="16">
        <f t="shared" si="61"/>
        <v>0.25</v>
      </c>
      <c r="BH113" s="16">
        <f t="shared" si="62"/>
        <v>0.25</v>
      </c>
      <c r="BI113" s="16">
        <f t="shared" si="63"/>
        <v>0</v>
      </c>
      <c r="BJ113" s="16">
        <f t="shared" si="64"/>
        <v>0.25</v>
      </c>
      <c r="BK113" s="16">
        <f t="shared" si="65"/>
        <v>0</v>
      </c>
      <c r="BL113" s="16">
        <f t="shared" si="66"/>
        <v>8.3299999999999999E-2</v>
      </c>
      <c r="BM113" s="16">
        <f t="shared" si="67"/>
        <v>1</v>
      </c>
      <c r="BN113" s="16">
        <f t="shared" si="68"/>
        <v>1</v>
      </c>
      <c r="BO113" s="16">
        <f t="shared" si="69"/>
        <v>0.25</v>
      </c>
      <c r="BP113" s="16">
        <f t="shared" si="70"/>
        <v>0.75</v>
      </c>
      <c r="BQ113" s="16">
        <f t="shared" si="71"/>
        <v>16.666699999999999</v>
      </c>
      <c r="BR113" s="16">
        <f t="shared" si="72"/>
        <v>33.333300000000001</v>
      </c>
      <c r="BS113" s="16">
        <f t="shared" si="73"/>
        <v>50</v>
      </c>
      <c r="BT113" s="16">
        <f t="shared" si="74"/>
        <v>45.625</v>
      </c>
      <c r="BU113" s="16">
        <f t="shared" si="75"/>
        <v>1.0832999999999999</v>
      </c>
      <c r="BV113" s="16">
        <f t="shared" si="76"/>
        <v>33.933900000000001</v>
      </c>
      <c r="BW113" s="16">
        <f t="shared" si="77"/>
        <v>17.0486</v>
      </c>
      <c r="BX113" s="16">
        <f t="shared" si="78"/>
        <v>66.066100000000006</v>
      </c>
      <c r="BY113" s="16">
        <f t="shared" si="79"/>
        <v>0</v>
      </c>
      <c r="BZ113" s="16">
        <f t="shared" si="80"/>
        <v>0</v>
      </c>
      <c r="CA113" s="16">
        <f t="shared" si="81"/>
        <v>0</v>
      </c>
      <c r="CB113" s="16">
        <f t="shared" si="82"/>
        <v>0</v>
      </c>
      <c r="CC113" s="16">
        <f t="shared" si="83"/>
        <v>0</v>
      </c>
    </row>
    <row r="114" spans="1:81" x14ac:dyDescent="0.25">
      <c r="A114">
        <v>57</v>
      </c>
      <c r="B114" s="16">
        <f t="shared" si="4"/>
        <v>14.3</v>
      </c>
      <c r="C114" s="16">
        <f t="shared" si="5"/>
        <v>7.91</v>
      </c>
      <c r="D114" s="16">
        <f t="shared" si="6"/>
        <v>8.19</v>
      </c>
      <c r="E114" s="16">
        <f t="shared" si="7"/>
        <v>188</v>
      </c>
      <c r="F114" s="16">
        <f t="shared" si="8"/>
        <v>119</v>
      </c>
      <c r="G114" s="16">
        <f t="shared" si="9"/>
        <v>97</v>
      </c>
      <c r="H114" s="16">
        <f t="shared" si="10"/>
        <v>404</v>
      </c>
      <c r="I114" s="16">
        <f t="shared" si="11"/>
        <v>0</v>
      </c>
      <c r="J114" s="16">
        <f t="shared" si="12"/>
        <v>0.91249999999999998</v>
      </c>
      <c r="K114" s="16">
        <f t="shared" si="13"/>
        <v>1.0249999999999999</v>
      </c>
      <c r="L114" s="16">
        <f t="shared" si="14"/>
        <v>0.91249999999999998</v>
      </c>
      <c r="M114" s="16">
        <f t="shared" si="15"/>
        <v>0.95</v>
      </c>
      <c r="N114" s="16">
        <f t="shared" si="16"/>
        <v>0.30070000000000002</v>
      </c>
      <c r="O114" s="16">
        <f t="shared" si="17"/>
        <v>0.23250000000000001</v>
      </c>
      <c r="P114" s="16">
        <f t="shared" si="18"/>
        <v>0.2213</v>
      </c>
      <c r="Q114" s="16">
        <f t="shared" si="19"/>
        <v>0.1925</v>
      </c>
      <c r="R114" s="16">
        <f t="shared" si="20"/>
        <v>0.21540000000000001</v>
      </c>
      <c r="S114" s="16">
        <f t="shared" si="21"/>
        <v>8.4000000000000005E-2</v>
      </c>
      <c r="T114" s="16">
        <f t="shared" si="22"/>
        <v>0.36</v>
      </c>
      <c r="U114" s="16">
        <f t="shared" si="23"/>
        <v>0.36</v>
      </c>
      <c r="V114" s="16">
        <f t="shared" si="24"/>
        <v>0.3</v>
      </c>
      <c r="W114" s="16">
        <f t="shared" si="25"/>
        <v>0.36</v>
      </c>
      <c r="X114" s="16">
        <f t="shared" si="26"/>
        <v>4.4100999999999999</v>
      </c>
      <c r="Y114" s="16">
        <f t="shared" si="27"/>
        <v>0</v>
      </c>
      <c r="Z114" s="16">
        <f t="shared" si="28"/>
        <v>54.166699999999999</v>
      </c>
      <c r="AA114" s="16">
        <f t="shared" si="29"/>
        <v>20.833300000000001</v>
      </c>
      <c r="AB114" s="16">
        <f t="shared" si="30"/>
        <v>75</v>
      </c>
      <c r="AC114" s="16">
        <f t="shared" si="31"/>
        <v>12.5</v>
      </c>
      <c r="AD114" s="16">
        <f t="shared" si="32"/>
        <v>12.5</v>
      </c>
      <c r="AE114" s="16">
        <f t="shared" si="33"/>
        <v>0</v>
      </c>
      <c r="AF114" s="16">
        <f t="shared" si="34"/>
        <v>25</v>
      </c>
      <c r="AG114" s="16">
        <f t="shared" si="35"/>
        <v>54.166699999999999</v>
      </c>
      <c r="AH114" s="16">
        <f t="shared" si="36"/>
        <v>0.11749999999999999</v>
      </c>
      <c r="AI114" s="16">
        <f t="shared" si="37"/>
        <v>0.11</v>
      </c>
      <c r="AJ114" s="16">
        <f t="shared" si="38"/>
        <v>0.18379999999999999</v>
      </c>
      <c r="AK114" s="16">
        <f t="shared" si="39"/>
        <v>0.1371</v>
      </c>
      <c r="AL114" s="16">
        <f t="shared" si="40"/>
        <v>9.5399999999999999E-2</v>
      </c>
      <c r="AM114" s="16">
        <f t="shared" si="41"/>
        <v>0.25</v>
      </c>
      <c r="AN114" s="16">
        <f t="shared" si="42"/>
        <v>0.25</v>
      </c>
      <c r="AO114" s="16">
        <f t="shared" si="43"/>
        <v>0.37</v>
      </c>
      <c r="AP114" s="16">
        <f t="shared" si="44"/>
        <v>0.37</v>
      </c>
      <c r="AQ114" s="16">
        <f t="shared" si="45"/>
        <v>8.3332999999999995</v>
      </c>
      <c r="AR114" s="16">
        <f t="shared" si="46"/>
        <v>0.58330000000000004</v>
      </c>
      <c r="AS114" s="16">
        <f t="shared" si="47"/>
        <v>37.5</v>
      </c>
      <c r="AT114" s="16">
        <f t="shared" si="48"/>
        <v>25</v>
      </c>
      <c r="AU114" s="16">
        <f t="shared" si="49"/>
        <v>37.5</v>
      </c>
      <c r="AV114" s="16">
        <f t="shared" si="50"/>
        <v>33.333300000000001</v>
      </c>
      <c r="AW114" s="16">
        <f t="shared" si="51"/>
        <v>58.333300000000001</v>
      </c>
      <c r="AX114" s="16">
        <f t="shared" si="52"/>
        <v>0.41670000000000001</v>
      </c>
      <c r="AY114" s="16">
        <f t="shared" si="53"/>
        <v>8.3332999999999995</v>
      </c>
      <c r="AZ114" s="16">
        <f t="shared" si="54"/>
        <v>0</v>
      </c>
      <c r="BA114" s="16">
        <f t="shared" si="55"/>
        <v>0</v>
      </c>
      <c r="BB114" s="16">
        <f t="shared" si="56"/>
        <v>0.375</v>
      </c>
      <c r="BC114" s="16">
        <f t="shared" si="57"/>
        <v>0.125</v>
      </c>
      <c r="BD114" s="16">
        <f t="shared" si="58"/>
        <v>0.45829999999999999</v>
      </c>
      <c r="BE114" s="16">
        <f t="shared" si="59"/>
        <v>2</v>
      </c>
      <c r="BF114" s="16">
        <f t="shared" si="60"/>
        <v>1.75</v>
      </c>
      <c r="BG114" s="16">
        <f t="shared" si="61"/>
        <v>1.5</v>
      </c>
      <c r="BH114" s="16">
        <f t="shared" si="62"/>
        <v>1.75</v>
      </c>
      <c r="BI114" s="16">
        <f t="shared" si="63"/>
        <v>0.25</v>
      </c>
      <c r="BJ114" s="16">
        <f t="shared" si="64"/>
        <v>0</v>
      </c>
      <c r="BK114" s="16">
        <f t="shared" si="65"/>
        <v>0</v>
      </c>
      <c r="BL114" s="16">
        <f t="shared" si="66"/>
        <v>8.3299999999999999E-2</v>
      </c>
      <c r="BM114" s="16">
        <f t="shared" si="67"/>
        <v>0</v>
      </c>
      <c r="BN114" s="16">
        <f t="shared" si="68"/>
        <v>0.25</v>
      </c>
      <c r="BO114" s="16">
        <f t="shared" si="69"/>
        <v>0.5</v>
      </c>
      <c r="BP114" s="16">
        <f t="shared" si="70"/>
        <v>0.25</v>
      </c>
      <c r="BQ114" s="16">
        <f t="shared" si="71"/>
        <v>4.1666999999999996</v>
      </c>
      <c r="BR114" s="16">
        <f t="shared" si="72"/>
        <v>45.833300000000001</v>
      </c>
      <c r="BS114" s="16">
        <f t="shared" si="73"/>
        <v>50</v>
      </c>
      <c r="BT114" s="16">
        <f t="shared" si="74"/>
        <v>48.916699999999999</v>
      </c>
      <c r="BU114" s="16">
        <f t="shared" si="75"/>
        <v>0.25</v>
      </c>
      <c r="BV114" s="16">
        <f t="shared" si="76"/>
        <v>85.585599999999999</v>
      </c>
      <c r="BW114" s="16">
        <f t="shared" si="77"/>
        <v>10.342599999999999</v>
      </c>
      <c r="BX114" s="16">
        <f t="shared" si="78"/>
        <v>14.414400000000001</v>
      </c>
      <c r="BY114" s="16">
        <f t="shared" si="79"/>
        <v>0</v>
      </c>
      <c r="BZ114" s="16">
        <f t="shared" si="80"/>
        <v>0</v>
      </c>
      <c r="CA114" s="16">
        <f t="shared" si="81"/>
        <v>0</v>
      </c>
      <c r="CB114" s="16">
        <f t="shared" si="82"/>
        <v>0</v>
      </c>
      <c r="CC114" s="16">
        <f t="shared" si="83"/>
        <v>0</v>
      </c>
    </row>
    <row r="115" spans="1:81" x14ac:dyDescent="0.25">
      <c r="A115">
        <v>61</v>
      </c>
      <c r="B115" s="16">
        <f t="shared" si="4"/>
        <v>16.2</v>
      </c>
      <c r="C115" s="16">
        <f t="shared" si="5"/>
        <v>8.7799999999999994</v>
      </c>
      <c r="D115" s="16">
        <f t="shared" si="6"/>
        <v>11.76</v>
      </c>
      <c r="E115" s="16">
        <f t="shared" si="7"/>
        <v>380</v>
      </c>
      <c r="F115" s="16">
        <f t="shared" si="8"/>
        <v>166</v>
      </c>
      <c r="G115" s="16">
        <f t="shared" si="9"/>
        <v>166</v>
      </c>
      <c r="H115" s="16">
        <f t="shared" si="10"/>
        <v>712</v>
      </c>
      <c r="I115" s="16">
        <f t="shared" si="11"/>
        <v>0.42130000000000001</v>
      </c>
      <c r="J115" s="16">
        <f t="shared" si="12"/>
        <v>2.6625000000000001</v>
      </c>
      <c r="K115" s="16">
        <f t="shared" si="13"/>
        <v>2.1375000000000002</v>
      </c>
      <c r="L115" s="16">
        <f t="shared" si="14"/>
        <v>1.95</v>
      </c>
      <c r="M115" s="16">
        <f t="shared" si="15"/>
        <v>2.25</v>
      </c>
      <c r="N115" s="16">
        <f t="shared" si="16"/>
        <v>1.0232000000000001</v>
      </c>
      <c r="O115" s="16">
        <f t="shared" si="17"/>
        <v>0.29449999999999998</v>
      </c>
      <c r="P115" s="16">
        <f t="shared" si="18"/>
        <v>9.11E-2</v>
      </c>
      <c r="Q115" s="16">
        <f t="shared" si="19"/>
        <v>0.1663</v>
      </c>
      <c r="R115" s="16">
        <f t="shared" si="20"/>
        <v>0.1925</v>
      </c>
      <c r="S115" s="16">
        <f t="shared" si="21"/>
        <v>0.21010000000000001</v>
      </c>
      <c r="T115" s="16">
        <f t="shared" si="22"/>
        <v>0.8</v>
      </c>
      <c r="U115" s="16">
        <f t="shared" si="23"/>
        <v>0.16</v>
      </c>
      <c r="V115" s="16">
        <f t="shared" si="24"/>
        <v>0.6</v>
      </c>
      <c r="W115" s="16">
        <f t="shared" si="25"/>
        <v>0.8</v>
      </c>
      <c r="X115" s="16">
        <f t="shared" si="26"/>
        <v>11.6883</v>
      </c>
      <c r="Y115" s="16">
        <f t="shared" si="27"/>
        <v>0</v>
      </c>
      <c r="Z115" s="16">
        <f t="shared" si="28"/>
        <v>16.666699999999999</v>
      </c>
      <c r="AA115" s="16">
        <f t="shared" si="29"/>
        <v>0</v>
      </c>
      <c r="AB115" s="16">
        <f t="shared" si="30"/>
        <v>16.666699999999999</v>
      </c>
      <c r="AC115" s="16">
        <f t="shared" si="31"/>
        <v>8.3332999999999995</v>
      </c>
      <c r="AD115" s="16">
        <f t="shared" si="32"/>
        <v>75</v>
      </c>
      <c r="AE115" s="16">
        <f t="shared" si="33"/>
        <v>0</v>
      </c>
      <c r="AF115" s="16">
        <f t="shared" si="34"/>
        <v>83.333299999999994</v>
      </c>
      <c r="AG115" s="16">
        <f t="shared" si="35"/>
        <v>75</v>
      </c>
      <c r="AH115" s="16">
        <f t="shared" si="36"/>
        <v>8.1799999999999998E-2</v>
      </c>
      <c r="AI115" s="16">
        <f t="shared" si="37"/>
        <v>0.28889999999999999</v>
      </c>
      <c r="AJ115" s="16">
        <f t="shared" si="38"/>
        <v>0.1888</v>
      </c>
      <c r="AK115" s="16">
        <f t="shared" si="39"/>
        <v>0.1789</v>
      </c>
      <c r="AL115" s="16">
        <f t="shared" si="40"/>
        <v>0.15010000000000001</v>
      </c>
      <c r="AM115" s="16">
        <f t="shared" si="41"/>
        <v>0.36</v>
      </c>
      <c r="AN115" s="16">
        <f t="shared" si="42"/>
        <v>0.53</v>
      </c>
      <c r="AO115" s="16">
        <f t="shared" si="43"/>
        <v>0.39</v>
      </c>
      <c r="AP115" s="16">
        <f t="shared" si="44"/>
        <v>0.53</v>
      </c>
      <c r="AQ115" s="16">
        <f t="shared" si="45"/>
        <v>66.666700000000006</v>
      </c>
      <c r="AR115" s="16">
        <f t="shared" si="46"/>
        <v>8.3299999999999999E-2</v>
      </c>
      <c r="AS115" s="16">
        <f t="shared" si="47"/>
        <v>50</v>
      </c>
      <c r="AT115" s="16">
        <f t="shared" si="48"/>
        <v>0</v>
      </c>
      <c r="AU115" s="16">
        <f t="shared" si="49"/>
        <v>25</v>
      </c>
      <c r="AV115" s="16">
        <f t="shared" si="50"/>
        <v>25</v>
      </c>
      <c r="AW115" s="16">
        <f t="shared" si="51"/>
        <v>66.666700000000006</v>
      </c>
      <c r="AX115" s="16">
        <f t="shared" si="52"/>
        <v>0.5</v>
      </c>
      <c r="AY115" s="16">
        <f t="shared" si="53"/>
        <v>25</v>
      </c>
      <c r="AZ115" s="16">
        <f t="shared" si="54"/>
        <v>0.375</v>
      </c>
      <c r="BA115" s="16">
        <f t="shared" si="55"/>
        <v>0.375</v>
      </c>
      <c r="BB115" s="16">
        <f t="shared" si="56"/>
        <v>0.125</v>
      </c>
      <c r="BC115" s="16">
        <f t="shared" si="57"/>
        <v>0.29170000000000001</v>
      </c>
      <c r="BD115" s="16">
        <f t="shared" si="58"/>
        <v>0.41670000000000001</v>
      </c>
      <c r="BE115" s="16">
        <f t="shared" si="59"/>
        <v>0</v>
      </c>
      <c r="BF115" s="16">
        <f t="shared" si="60"/>
        <v>0</v>
      </c>
      <c r="BG115" s="16">
        <f t="shared" si="61"/>
        <v>0</v>
      </c>
      <c r="BH115" s="16">
        <f t="shared" si="62"/>
        <v>0</v>
      </c>
      <c r="BI115" s="16">
        <f t="shared" si="63"/>
        <v>0.5</v>
      </c>
      <c r="BJ115" s="16">
        <f t="shared" si="64"/>
        <v>0.25</v>
      </c>
      <c r="BK115" s="16">
        <f t="shared" si="65"/>
        <v>0.75</v>
      </c>
      <c r="BL115" s="16">
        <f t="shared" si="66"/>
        <v>0.5</v>
      </c>
      <c r="BM115" s="16">
        <f t="shared" si="67"/>
        <v>2</v>
      </c>
      <c r="BN115" s="16">
        <f t="shared" si="68"/>
        <v>0</v>
      </c>
      <c r="BO115" s="16">
        <f t="shared" si="69"/>
        <v>0.25</v>
      </c>
      <c r="BP115" s="16">
        <f t="shared" si="70"/>
        <v>0.75</v>
      </c>
      <c r="BQ115" s="16">
        <f t="shared" si="71"/>
        <v>33.333300000000001</v>
      </c>
      <c r="BR115" s="16">
        <f t="shared" si="72"/>
        <v>62.5</v>
      </c>
      <c r="BS115" s="16">
        <f t="shared" si="73"/>
        <v>4.1666999999999996</v>
      </c>
      <c r="BT115" s="16">
        <f t="shared" si="74"/>
        <v>25.625</v>
      </c>
      <c r="BU115" s="16">
        <f t="shared" si="75"/>
        <v>0.33329999999999999</v>
      </c>
      <c r="BV115" s="16">
        <f t="shared" si="76"/>
        <v>10.180199999999999</v>
      </c>
      <c r="BW115" s="16">
        <f t="shared" si="77"/>
        <v>7.2191000000000001</v>
      </c>
      <c r="BX115" s="16">
        <f t="shared" si="78"/>
        <v>89.819800000000001</v>
      </c>
      <c r="BY115" s="16">
        <f t="shared" si="79"/>
        <v>0</v>
      </c>
      <c r="BZ115" s="16">
        <f t="shared" si="80"/>
        <v>0</v>
      </c>
      <c r="CA115" s="16">
        <f t="shared" si="81"/>
        <v>0</v>
      </c>
      <c r="CB115" s="16">
        <f t="shared" si="82"/>
        <v>0</v>
      </c>
      <c r="CC115" s="16">
        <f t="shared" si="83"/>
        <v>0</v>
      </c>
    </row>
    <row r="116" spans="1:81" x14ac:dyDescent="0.25">
      <c r="A116">
        <v>75</v>
      </c>
      <c r="B116" s="16">
        <f t="shared" si="4"/>
        <v>16.100000000000001</v>
      </c>
      <c r="C116" s="16">
        <f t="shared" si="5"/>
        <v>8.0299999999999994</v>
      </c>
      <c r="D116" s="16">
        <f t="shared" si="6"/>
        <v>11.66</v>
      </c>
      <c r="E116" s="16">
        <f t="shared" si="7"/>
        <v>338</v>
      </c>
      <c r="F116" s="16">
        <f t="shared" si="8"/>
        <v>237</v>
      </c>
      <c r="G116" s="16">
        <f t="shared" si="9"/>
        <v>310</v>
      </c>
      <c r="H116" s="16">
        <f t="shared" si="10"/>
        <v>885</v>
      </c>
      <c r="I116" s="16">
        <f t="shared" si="11"/>
        <v>0</v>
      </c>
      <c r="J116" s="16">
        <f t="shared" si="12"/>
        <v>1.5874999999999999</v>
      </c>
      <c r="K116" s="16">
        <f t="shared" si="13"/>
        <v>1.5125</v>
      </c>
      <c r="L116" s="16">
        <f t="shared" si="14"/>
        <v>2</v>
      </c>
      <c r="M116" s="16">
        <f t="shared" si="15"/>
        <v>1.7</v>
      </c>
      <c r="N116" s="16">
        <f t="shared" si="16"/>
        <v>0.49959999999999999</v>
      </c>
      <c r="O116" s="16">
        <f t="shared" si="17"/>
        <v>0.27750000000000002</v>
      </c>
      <c r="P116" s="16">
        <f t="shared" si="18"/>
        <v>0.2263</v>
      </c>
      <c r="Q116" s="16">
        <f t="shared" si="19"/>
        <v>0.37</v>
      </c>
      <c r="R116" s="16">
        <f t="shared" si="20"/>
        <v>0.2913</v>
      </c>
      <c r="S116" s="16">
        <f t="shared" si="21"/>
        <v>0.12479999999999999</v>
      </c>
      <c r="T116" s="16">
        <f t="shared" si="22"/>
        <v>0.5</v>
      </c>
      <c r="U116" s="16">
        <f t="shared" si="23"/>
        <v>0.5</v>
      </c>
      <c r="V116" s="16">
        <f t="shared" si="24"/>
        <v>0.5</v>
      </c>
      <c r="W116" s="16">
        <f t="shared" si="25"/>
        <v>0.5</v>
      </c>
      <c r="X116" s="16">
        <f t="shared" si="26"/>
        <v>5.8369</v>
      </c>
      <c r="Y116" s="16">
        <f t="shared" si="27"/>
        <v>0</v>
      </c>
      <c r="Z116" s="16">
        <f t="shared" si="28"/>
        <v>20.833300000000001</v>
      </c>
      <c r="AA116" s="16">
        <f t="shared" si="29"/>
        <v>0</v>
      </c>
      <c r="AB116" s="16">
        <f t="shared" si="30"/>
        <v>20.833300000000001</v>
      </c>
      <c r="AC116" s="16">
        <f t="shared" si="31"/>
        <v>0</v>
      </c>
      <c r="AD116" s="16">
        <f t="shared" si="32"/>
        <v>79.166700000000006</v>
      </c>
      <c r="AE116" s="16">
        <f t="shared" si="33"/>
        <v>0</v>
      </c>
      <c r="AF116" s="16">
        <f t="shared" si="34"/>
        <v>79.166700000000006</v>
      </c>
      <c r="AG116" s="16">
        <f t="shared" si="35"/>
        <v>79.166700000000006</v>
      </c>
      <c r="AH116" s="16">
        <f t="shared" si="36"/>
        <v>0.43880000000000002</v>
      </c>
      <c r="AI116" s="16">
        <f t="shared" si="37"/>
        <v>0.50749999999999995</v>
      </c>
      <c r="AJ116" s="16">
        <f t="shared" si="38"/>
        <v>0.26879999999999998</v>
      </c>
      <c r="AK116" s="16">
        <f t="shared" si="39"/>
        <v>0.40500000000000003</v>
      </c>
      <c r="AL116" s="16">
        <f t="shared" si="40"/>
        <v>0.25900000000000001</v>
      </c>
      <c r="AM116" s="16">
        <f t="shared" si="41"/>
        <v>0.79</v>
      </c>
      <c r="AN116" s="16">
        <f t="shared" si="42"/>
        <v>0.96</v>
      </c>
      <c r="AO116" s="16">
        <f t="shared" si="43"/>
        <v>0.57999999999999996</v>
      </c>
      <c r="AP116" s="16">
        <f t="shared" si="44"/>
        <v>0.96</v>
      </c>
      <c r="AQ116" s="16">
        <f t="shared" si="45"/>
        <v>12.5</v>
      </c>
      <c r="AR116" s="16">
        <f t="shared" si="46"/>
        <v>0.79169999999999996</v>
      </c>
      <c r="AS116" s="16">
        <f t="shared" si="47"/>
        <v>0</v>
      </c>
      <c r="AT116" s="16">
        <f t="shared" si="48"/>
        <v>0</v>
      </c>
      <c r="AU116" s="16">
        <f t="shared" si="49"/>
        <v>25</v>
      </c>
      <c r="AV116" s="16">
        <f t="shared" si="50"/>
        <v>8.3332999999999995</v>
      </c>
      <c r="AW116" s="16">
        <f t="shared" si="51"/>
        <v>79.166700000000006</v>
      </c>
      <c r="AX116" s="16">
        <f t="shared" si="52"/>
        <v>1.3332999999999999</v>
      </c>
      <c r="AY116" s="16">
        <f t="shared" si="53"/>
        <v>33.333300000000001</v>
      </c>
      <c r="AZ116" s="16">
        <f t="shared" si="54"/>
        <v>0</v>
      </c>
      <c r="BA116" s="16">
        <f t="shared" si="55"/>
        <v>0</v>
      </c>
      <c r="BB116" s="16">
        <f t="shared" si="56"/>
        <v>0.75</v>
      </c>
      <c r="BC116" s="16">
        <f t="shared" si="57"/>
        <v>0.25</v>
      </c>
      <c r="BD116" s="16">
        <f t="shared" si="58"/>
        <v>0.625</v>
      </c>
      <c r="BE116" s="16">
        <f t="shared" si="59"/>
        <v>0.5</v>
      </c>
      <c r="BF116" s="16">
        <f t="shared" si="60"/>
        <v>0.25</v>
      </c>
      <c r="BG116" s="16">
        <f t="shared" si="61"/>
        <v>0.25</v>
      </c>
      <c r="BH116" s="16">
        <f t="shared" si="62"/>
        <v>0.33329999999999999</v>
      </c>
      <c r="BI116" s="16">
        <f t="shared" si="63"/>
        <v>0</v>
      </c>
      <c r="BJ116" s="16">
        <f t="shared" si="64"/>
        <v>0</v>
      </c>
      <c r="BK116" s="16">
        <f t="shared" si="65"/>
        <v>0</v>
      </c>
      <c r="BL116" s="16">
        <f t="shared" si="66"/>
        <v>0</v>
      </c>
      <c r="BM116" s="16">
        <f t="shared" si="67"/>
        <v>0.25</v>
      </c>
      <c r="BN116" s="16">
        <f t="shared" si="68"/>
        <v>0.5</v>
      </c>
      <c r="BO116" s="16">
        <f t="shared" si="69"/>
        <v>0.25</v>
      </c>
      <c r="BP116" s="16">
        <f t="shared" si="70"/>
        <v>0.33329999999999999</v>
      </c>
      <c r="BQ116" s="16">
        <f t="shared" si="71"/>
        <v>0</v>
      </c>
      <c r="BR116" s="16">
        <f t="shared" si="72"/>
        <v>95.833299999999994</v>
      </c>
      <c r="BS116" s="16">
        <f t="shared" si="73"/>
        <v>4.1666999999999996</v>
      </c>
      <c r="BT116" s="16">
        <f t="shared" si="74"/>
        <v>41.666699999999999</v>
      </c>
      <c r="BU116" s="16">
        <f t="shared" si="75"/>
        <v>0.20830000000000001</v>
      </c>
      <c r="BV116" s="16">
        <f t="shared" si="76"/>
        <v>97.972999999999999</v>
      </c>
      <c r="BW116" s="16">
        <f t="shared" si="77"/>
        <v>2.5981000000000001</v>
      </c>
      <c r="BX116" s="16">
        <f t="shared" si="78"/>
        <v>2.0270000000000001</v>
      </c>
      <c r="BY116" s="16">
        <f t="shared" si="79"/>
        <v>0</v>
      </c>
      <c r="BZ116" s="16">
        <f t="shared" si="80"/>
        <v>0</v>
      </c>
      <c r="CA116" s="16">
        <f t="shared" si="81"/>
        <v>0</v>
      </c>
      <c r="CB116" s="16">
        <f t="shared" si="82"/>
        <v>0</v>
      </c>
      <c r="CC116" s="16">
        <f t="shared" si="83"/>
        <v>0</v>
      </c>
    </row>
    <row r="117" spans="1:81" x14ac:dyDescent="0.25">
      <c r="A117">
        <v>84</v>
      </c>
      <c r="B117" s="16">
        <f t="shared" si="4"/>
        <v>15.6</v>
      </c>
      <c r="C117" s="16">
        <f t="shared" si="5"/>
        <v>7.99</v>
      </c>
      <c r="D117" s="16">
        <f t="shared" si="6"/>
        <v>10.52</v>
      </c>
      <c r="E117" s="16">
        <f t="shared" si="7"/>
        <v>122</v>
      </c>
      <c r="F117" s="16">
        <f t="shared" si="8"/>
        <v>141</v>
      </c>
      <c r="G117" s="16">
        <f t="shared" si="9"/>
        <v>167</v>
      </c>
      <c r="H117" s="16">
        <f t="shared" si="10"/>
        <v>430</v>
      </c>
      <c r="I117" s="16">
        <f t="shared" si="11"/>
        <v>0</v>
      </c>
      <c r="J117" s="16">
        <f t="shared" si="12"/>
        <v>1.9</v>
      </c>
      <c r="K117" s="16">
        <f t="shared" si="13"/>
        <v>2.2374999999999998</v>
      </c>
      <c r="L117" s="16">
        <f t="shared" si="14"/>
        <v>2.2124999999999999</v>
      </c>
      <c r="M117" s="16">
        <f t="shared" si="15"/>
        <v>2.1166999999999998</v>
      </c>
      <c r="N117" s="16">
        <f t="shared" si="16"/>
        <v>0.35589999999999999</v>
      </c>
      <c r="O117" s="16">
        <f t="shared" si="17"/>
        <v>0.2455</v>
      </c>
      <c r="P117" s="16">
        <f t="shared" si="18"/>
        <v>0.14580000000000001</v>
      </c>
      <c r="Q117" s="16">
        <f t="shared" si="19"/>
        <v>0.1067</v>
      </c>
      <c r="R117" s="16">
        <f t="shared" si="20"/>
        <v>0.16370000000000001</v>
      </c>
      <c r="S117" s="16">
        <f t="shared" si="21"/>
        <v>9.8100000000000007E-2</v>
      </c>
      <c r="T117" s="16">
        <f t="shared" si="22"/>
        <v>0.48</v>
      </c>
      <c r="U117" s="16">
        <f t="shared" si="23"/>
        <v>0.26</v>
      </c>
      <c r="V117" s="16">
        <f t="shared" si="24"/>
        <v>0.2</v>
      </c>
      <c r="W117" s="16">
        <f t="shared" si="25"/>
        <v>0.48</v>
      </c>
      <c r="X117" s="16">
        <f t="shared" si="26"/>
        <v>12.929</v>
      </c>
      <c r="Y117" s="16">
        <f t="shared" si="27"/>
        <v>0</v>
      </c>
      <c r="Z117" s="16">
        <f t="shared" si="28"/>
        <v>65.714299999999994</v>
      </c>
      <c r="AA117" s="16">
        <f t="shared" si="29"/>
        <v>17.142900000000001</v>
      </c>
      <c r="AB117" s="16">
        <f t="shared" si="30"/>
        <v>82.857100000000003</v>
      </c>
      <c r="AC117" s="16">
        <f t="shared" si="31"/>
        <v>0</v>
      </c>
      <c r="AD117" s="16">
        <f t="shared" si="32"/>
        <v>17.142900000000001</v>
      </c>
      <c r="AE117" s="16">
        <f t="shared" si="33"/>
        <v>0</v>
      </c>
      <c r="AF117" s="16">
        <f t="shared" si="34"/>
        <v>17.142900000000001</v>
      </c>
      <c r="AG117" s="16">
        <f t="shared" si="35"/>
        <v>65.714299999999994</v>
      </c>
      <c r="AH117" s="16">
        <f t="shared" si="36"/>
        <v>0.19639999999999999</v>
      </c>
      <c r="AI117" s="16">
        <f t="shared" si="37"/>
        <v>0.16639999999999999</v>
      </c>
      <c r="AJ117" s="16">
        <f t="shared" si="38"/>
        <v>0.28179999999999999</v>
      </c>
      <c r="AK117" s="16">
        <f t="shared" si="39"/>
        <v>0.2094</v>
      </c>
      <c r="AL117" s="16">
        <f t="shared" si="40"/>
        <v>0.12559999999999999</v>
      </c>
      <c r="AM117" s="16">
        <f t="shared" si="41"/>
        <v>0.56000000000000005</v>
      </c>
      <c r="AN117" s="16">
        <f t="shared" si="42"/>
        <v>0.38</v>
      </c>
      <c r="AO117" s="16">
        <f t="shared" si="43"/>
        <v>0.46</v>
      </c>
      <c r="AP117" s="16">
        <f t="shared" si="44"/>
        <v>0.56000000000000005</v>
      </c>
      <c r="AQ117" s="16">
        <f t="shared" si="45"/>
        <v>8.3332999999999995</v>
      </c>
      <c r="AR117" s="16">
        <f t="shared" si="46"/>
        <v>0.75</v>
      </c>
      <c r="AS117" s="16">
        <f t="shared" si="47"/>
        <v>25</v>
      </c>
      <c r="AT117" s="16">
        <f t="shared" si="48"/>
        <v>25</v>
      </c>
      <c r="AU117" s="16">
        <f t="shared" si="49"/>
        <v>0</v>
      </c>
      <c r="AV117" s="16">
        <f t="shared" si="50"/>
        <v>16.666699999999999</v>
      </c>
      <c r="AW117" s="16">
        <f t="shared" si="51"/>
        <v>75</v>
      </c>
      <c r="AX117" s="16">
        <f t="shared" si="52"/>
        <v>0.25</v>
      </c>
      <c r="AY117" s="16">
        <f t="shared" si="53"/>
        <v>8.3332999999999995</v>
      </c>
      <c r="AZ117" s="16">
        <f t="shared" si="54"/>
        <v>1</v>
      </c>
      <c r="BA117" s="16">
        <f t="shared" si="55"/>
        <v>0.5</v>
      </c>
      <c r="BB117" s="16">
        <f t="shared" si="56"/>
        <v>0.875</v>
      </c>
      <c r="BC117" s="16">
        <f t="shared" si="57"/>
        <v>0.79169999999999996</v>
      </c>
      <c r="BD117" s="16">
        <f t="shared" si="58"/>
        <v>1.8332999999999999</v>
      </c>
      <c r="BE117" s="16">
        <f t="shared" si="59"/>
        <v>1</v>
      </c>
      <c r="BF117" s="16">
        <f t="shared" si="60"/>
        <v>0.5</v>
      </c>
      <c r="BG117" s="16">
        <f t="shared" si="61"/>
        <v>0.25</v>
      </c>
      <c r="BH117" s="16">
        <f t="shared" si="62"/>
        <v>0.58330000000000004</v>
      </c>
      <c r="BI117" s="16">
        <f t="shared" si="63"/>
        <v>0.5</v>
      </c>
      <c r="BJ117" s="16">
        <f t="shared" si="64"/>
        <v>0</v>
      </c>
      <c r="BK117" s="16">
        <f t="shared" si="65"/>
        <v>0</v>
      </c>
      <c r="BL117" s="16">
        <f t="shared" si="66"/>
        <v>0.16669999999999999</v>
      </c>
      <c r="BM117" s="16">
        <f t="shared" si="67"/>
        <v>1</v>
      </c>
      <c r="BN117" s="16">
        <f t="shared" si="68"/>
        <v>0.25</v>
      </c>
      <c r="BO117" s="16">
        <f t="shared" si="69"/>
        <v>0.25</v>
      </c>
      <c r="BP117" s="16">
        <f t="shared" si="70"/>
        <v>0.5</v>
      </c>
      <c r="BQ117" s="16">
        <f t="shared" si="71"/>
        <v>20.833300000000001</v>
      </c>
      <c r="BR117" s="16">
        <f t="shared" si="72"/>
        <v>50</v>
      </c>
      <c r="BS117" s="16">
        <f t="shared" si="73"/>
        <v>29.166699999999999</v>
      </c>
      <c r="BT117" s="16">
        <f t="shared" si="74"/>
        <v>36.666699999999999</v>
      </c>
      <c r="BU117" s="16">
        <f t="shared" si="75"/>
        <v>0.79169999999999996</v>
      </c>
      <c r="BV117" s="16">
        <f t="shared" si="76"/>
        <v>35.472999999999999</v>
      </c>
      <c r="BW117" s="16">
        <f t="shared" si="77"/>
        <v>13.6669</v>
      </c>
      <c r="BX117" s="16">
        <f t="shared" si="78"/>
        <v>64.527000000000001</v>
      </c>
      <c r="BY117" s="16">
        <f t="shared" si="79"/>
        <v>0</v>
      </c>
      <c r="BZ117" s="16">
        <f t="shared" si="80"/>
        <v>0</v>
      </c>
      <c r="CA117" s="16">
        <f t="shared" si="81"/>
        <v>0</v>
      </c>
      <c r="CB117" s="16">
        <f t="shared" si="82"/>
        <v>0</v>
      </c>
      <c r="CC117" s="16">
        <f t="shared" si="83"/>
        <v>0</v>
      </c>
    </row>
    <row r="118" spans="1:81" x14ac:dyDescent="0.25">
      <c r="A118">
        <v>85</v>
      </c>
      <c r="B118" s="16">
        <f t="shared" si="4"/>
        <v>15.9</v>
      </c>
      <c r="C118" s="16">
        <f t="shared" si="5"/>
        <v>8.11</v>
      </c>
      <c r="D118" s="16">
        <f t="shared" si="6"/>
        <v>11.78</v>
      </c>
      <c r="E118" s="16">
        <f t="shared" si="7"/>
        <v>949</v>
      </c>
      <c r="F118" s="16">
        <f t="shared" si="8"/>
        <v>490</v>
      </c>
      <c r="G118" s="16">
        <f t="shared" si="9"/>
        <v>427</v>
      </c>
      <c r="H118" s="16">
        <f t="shared" si="10"/>
        <v>1866</v>
      </c>
      <c r="I118" s="16">
        <f t="shared" si="11"/>
        <v>3.2153999999999998</v>
      </c>
      <c r="J118" s="16">
        <f t="shared" si="12"/>
        <v>2.8624999999999998</v>
      </c>
      <c r="K118" s="16">
        <f t="shared" si="13"/>
        <v>3.5750000000000002</v>
      </c>
      <c r="L118" s="16">
        <f t="shared" si="14"/>
        <v>4.2428999999999997</v>
      </c>
      <c r="M118" s="16">
        <f t="shared" si="15"/>
        <v>3.5304000000000002</v>
      </c>
      <c r="N118" s="16">
        <f t="shared" si="16"/>
        <v>1.0743</v>
      </c>
      <c r="O118" s="16">
        <f t="shared" si="17"/>
        <v>0.35299999999999998</v>
      </c>
      <c r="P118" s="16">
        <f t="shared" si="18"/>
        <v>0.2379</v>
      </c>
      <c r="Q118" s="16">
        <f t="shared" si="19"/>
        <v>0.16550000000000001</v>
      </c>
      <c r="R118" s="16">
        <f t="shared" si="20"/>
        <v>0.248</v>
      </c>
      <c r="S118" s="16">
        <f t="shared" si="21"/>
        <v>0.16020000000000001</v>
      </c>
      <c r="T118" s="16">
        <f t="shared" si="22"/>
        <v>0.68</v>
      </c>
      <c r="U118" s="16">
        <f t="shared" si="23"/>
        <v>0.54</v>
      </c>
      <c r="V118" s="16">
        <f t="shared" si="24"/>
        <v>0.3</v>
      </c>
      <c r="W118" s="16">
        <f t="shared" si="25"/>
        <v>0.68</v>
      </c>
      <c r="X118" s="16">
        <f t="shared" si="26"/>
        <v>14.2356</v>
      </c>
      <c r="Y118" s="16">
        <f t="shared" si="27"/>
        <v>0</v>
      </c>
      <c r="Z118" s="16">
        <f t="shared" si="28"/>
        <v>0</v>
      </c>
      <c r="AA118" s="16">
        <f t="shared" si="29"/>
        <v>0</v>
      </c>
      <c r="AB118" s="16">
        <f t="shared" si="30"/>
        <v>0</v>
      </c>
      <c r="AC118" s="16">
        <f t="shared" si="31"/>
        <v>5.7142999999999997</v>
      </c>
      <c r="AD118" s="16">
        <f t="shared" si="32"/>
        <v>94.285700000000006</v>
      </c>
      <c r="AE118" s="16">
        <f t="shared" si="33"/>
        <v>0</v>
      </c>
      <c r="AF118" s="16">
        <f t="shared" si="34"/>
        <v>100</v>
      </c>
      <c r="AG118" s="16">
        <f t="shared" si="35"/>
        <v>94.285700000000006</v>
      </c>
      <c r="AH118" s="16">
        <f t="shared" si="36"/>
        <v>0.2389</v>
      </c>
      <c r="AI118" s="16">
        <f t="shared" si="37"/>
        <v>0.16769999999999999</v>
      </c>
      <c r="AJ118" s="16">
        <f t="shared" si="38"/>
        <v>0.27300000000000002</v>
      </c>
      <c r="AK118" s="16">
        <f t="shared" si="39"/>
        <v>0.20399999999999999</v>
      </c>
      <c r="AL118" s="16">
        <f t="shared" si="40"/>
        <v>0.18140000000000001</v>
      </c>
      <c r="AM118" s="16">
        <f t="shared" si="41"/>
        <v>0.54</v>
      </c>
      <c r="AN118" s="16">
        <f t="shared" si="42"/>
        <v>0.48</v>
      </c>
      <c r="AO118" s="16">
        <f t="shared" si="43"/>
        <v>0.67</v>
      </c>
      <c r="AP118" s="16">
        <f t="shared" si="44"/>
        <v>0.67</v>
      </c>
      <c r="AQ118" s="16">
        <f t="shared" si="45"/>
        <v>54.166699999999999</v>
      </c>
      <c r="AR118" s="16">
        <f t="shared" si="46"/>
        <v>0.13039999999999999</v>
      </c>
      <c r="AS118" s="16">
        <f t="shared" si="47"/>
        <v>37.5</v>
      </c>
      <c r="AT118" s="16">
        <f t="shared" si="48"/>
        <v>50</v>
      </c>
      <c r="AU118" s="16">
        <f t="shared" si="49"/>
        <v>0</v>
      </c>
      <c r="AV118" s="16">
        <f t="shared" si="50"/>
        <v>29.166699999999999</v>
      </c>
      <c r="AW118" s="16">
        <f t="shared" si="51"/>
        <v>54.166699999999999</v>
      </c>
      <c r="AX118" s="16">
        <f t="shared" si="52"/>
        <v>1</v>
      </c>
      <c r="AY118" s="16">
        <f t="shared" si="53"/>
        <v>33.333300000000001</v>
      </c>
      <c r="AZ118" s="16">
        <f t="shared" si="54"/>
        <v>0.25</v>
      </c>
      <c r="BA118" s="16">
        <f t="shared" si="55"/>
        <v>0.25</v>
      </c>
      <c r="BB118" s="16">
        <f t="shared" si="56"/>
        <v>0.1429</v>
      </c>
      <c r="BC118" s="16">
        <f t="shared" si="57"/>
        <v>0.21740000000000001</v>
      </c>
      <c r="BD118" s="16">
        <f t="shared" si="58"/>
        <v>0.6522</v>
      </c>
      <c r="BE118" s="16">
        <f t="shared" si="59"/>
        <v>1</v>
      </c>
      <c r="BF118" s="16">
        <f t="shared" si="60"/>
        <v>0.5</v>
      </c>
      <c r="BG118" s="16">
        <f t="shared" si="61"/>
        <v>0.75</v>
      </c>
      <c r="BH118" s="16">
        <f t="shared" si="62"/>
        <v>0.75</v>
      </c>
      <c r="BI118" s="16">
        <f t="shared" si="63"/>
        <v>1</v>
      </c>
      <c r="BJ118" s="16">
        <f t="shared" si="64"/>
        <v>0.25</v>
      </c>
      <c r="BK118" s="16">
        <f t="shared" si="65"/>
        <v>1</v>
      </c>
      <c r="BL118" s="16">
        <f t="shared" si="66"/>
        <v>0.75</v>
      </c>
      <c r="BM118" s="16">
        <f t="shared" si="67"/>
        <v>1.5</v>
      </c>
      <c r="BN118" s="16">
        <f t="shared" si="68"/>
        <v>0.5</v>
      </c>
      <c r="BO118" s="16">
        <f t="shared" si="69"/>
        <v>0</v>
      </c>
      <c r="BP118" s="16">
        <f t="shared" si="70"/>
        <v>0.66669999999999996</v>
      </c>
      <c r="BQ118" s="16">
        <f t="shared" si="71"/>
        <v>33.333300000000001</v>
      </c>
      <c r="BR118" s="16">
        <f t="shared" si="72"/>
        <v>50</v>
      </c>
      <c r="BS118" s="16">
        <f t="shared" si="73"/>
        <v>16.666699999999999</v>
      </c>
      <c r="BT118" s="16">
        <f t="shared" si="74"/>
        <v>30.416699999999999</v>
      </c>
      <c r="BU118" s="16">
        <f t="shared" si="75"/>
        <v>0.625</v>
      </c>
      <c r="BV118" s="16">
        <f t="shared" si="76"/>
        <v>8.9189000000000007</v>
      </c>
      <c r="BW118" s="16">
        <f t="shared" si="77"/>
        <v>4.7354000000000003</v>
      </c>
      <c r="BX118" s="16">
        <f t="shared" si="78"/>
        <v>91.081100000000006</v>
      </c>
      <c r="BY118" s="16">
        <f t="shared" si="79"/>
        <v>0</v>
      </c>
      <c r="BZ118" s="16">
        <f t="shared" si="80"/>
        <v>0</v>
      </c>
      <c r="CA118" s="16">
        <f t="shared" si="81"/>
        <v>0</v>
      </c>
      <c r="CB118" s="16">
        <f t="shared" si="82"/>
        <v>0</v>
      </c>
      <c r="CC118" s="16">
        <f t="shared" si="83"/>
        <v>0</v>
      </c>
    </row>
    <row r="119" spans="1:81" x14ac:dyDescent="0.25">
      <c r="A119">
        <v>86</v>
      </c>
      <c r="B119" s="16">
        <f t="shared" si="4"/>
        <v>15.6</v>
      </c>
      <c r="C119" s="16">
        <f t="shared" si="5"/>
        <v>8.39</v>
      </c>
      <c r="D119" s="16">
        <f t="shared" si="6"/>
        <v>11.56</v>
      </c>
      <c r="E119" s="16">
        <f t="shared" si="7"/>
        <v>448</v>
      </c>
      <c r="F119" s="16">
        <f t="shared" si="8"/>
        <v>475</v>
      </c>
      <c r="G119" s="16">
        <f t="shared" si="9"/>
        <v>545</v>
      </c>
      <c r="H119" s="16">
        <f t="shared" si="10"/>
        <v>1468</v>
      </c>
      <c r="I119" s="16">
        <f t="shared" si="11"/>
        <v>0.57220000000000004</v>
      </c>
      <c r="J119" s="16">
        <f t="shared" si="12"/>
        <v>2.6749999999999998</v>
      </c>
      <c r="K119" s="16">
        <f t="shared" si="13"/>
        <v>3.1375000000000002</v>
      </c>
      <c r="L119" s="16">
        <f t="shared" si="14"/>
        <v>2.7625000000000002</v>
      </c>
      <c r="M119" s="16">
        <f t="shared" si="15"/>
        <v>2.8582999999999998</v>
      </c>
      <c r="N119" s="16">
        <f t="shared" si="16"/>
        <v>0.84019999999999995</v>
      </c>
      <c r="O119" s="16">
        <f t="shared" si="17"/>
        <v>0.2225</v>
      </c>
      <c r="P119" s="16">
        <f t="shared" si="18"/>
        <v>0.25</v>
      </c>
      <c r="Q119" s="16">
        <f t="shared" si="19"/>
        <v>0.1983</v>
      </c>
      <c r="R119" s="16">
        <f t="shared" si="20"/>
        <v>0.22359999999999999</v>
      </c>
      <c r="S119" s="16">
        <f t="shared" si="21"/>
        <v>0.12230000000000001</v>
      </c>
      <c r="T119" s="16">
        <f t="shared" si="22"/>
        <v>0.54</v>
      </c>
      <c r="U119" s="16">
        <f t="shared" si="23"/>
        <v>0.56000000000000005</v>
      </c>
      <c r="V119" s="16">
        <f t="shared" si="24"/>
        <v>0.44</v>
      </c>
      <c r="W119" s="16">
        <f t="shared" si="25"/>
        <v>0.56000000000000005</v>
      </c>
      <c r="X119" s="16">
        <f t="shared" si="26"/>
        <v>12.7826</v>
      </c>
      <c r="Y119" s="16">
        <f t="shared" si="27"/>
        <v>3.3332999999999999</v>
      </c>
      <c r="Z119" s="16">
        <f t="shared" si="28"/>
        <v>0</v>
      </c>
      <c r="AA119" s="16">
        <f t="shared" si="29"/>
        <v>6.6666999999999996</v>
      </c>
      <c r="AB119" s="16">
        <f t="shared" si="30"/>
        <v>10</v>
      </c>
      <c r="AC119" s="16">
        <f t="shared" si="31"/>
        <v>0</v>
      </c>
      <c r="AD119" s="16">
        <f t="shared" si="32"/>
        <v>90</v>
      </c>
      <c r="AE119" s="16">
        <f t="shared" si="33"/>
        <v>0</v>
      </c>
      <c r="AF119" s="16">
        <f t="shared" si="34"/>
        <v>90</v>
      </c>
      <c r="AG119" s="16">
        <f t="shared" si="35"/>
        <v>90</v>
      </c>
      <c r="AH119" s="16">
        <f t="shared" si="36"/>
        <v>0.25580000000000003</v>
      </c>
      <c r="AI119" s="16">
        <f t="shared" si="37"/>
        <v>0.23669999999999999</v>
      </c>
      <c r="AJ119" s="16">
        <f t="shared" si="38"/>
        <v>0.20330000000000001</v>
      </c>
      <c r="AK119" s="16">
        <f t="shared" si="39"/>
        <v>0.2319</v>
      </c>
      <c r="AL119" s="16">
        <f t="shared" si="40"/>
        <v>0.22570000000000001</v>
      </c>
      <c r="AM119" s="16">
        <f t="shared" si="41"/>
        <v>0.72</v>
      </c>
      <c r="AN119" s="16">
        <f t="shared" si="42"/>
        <v>0.92</v>
      </c>
      <c r="AO119" s="16">
        <f t="shared" si="43"/>
        <v>0.46</v>
      </c>
      <c r="AP119" s="16">
        <f t="shared" si="44"/>
        <v>0.92</v>
      </c>
      <c r="AQ119" s="16">
        <f t="shared" si="45"/>
        <v>37.5</v>
      </c>
      <c r="AR119" s="16">
        <f t="shared" si="46"/>
        <v>0.33329999999999999</v>
      </c>
      <c r="AS119" s="16">
        <f t="shared" si="47"/>
        <v>37.5</v>
      </c>
      <c r="AT119" s="16">
        <f t="shared" si="48"/>
        <v>37.5</v>
      </c>
      <c r="AU119" s="16">
        <f t="shared" si="49"/>
        <v>12.5</v>
      </c>
      <c r="AV119" s="16">
        <f t="shared" si="50"/>
        <v>29.166699999999999</v>
      </c>
      <c r="AW119" s="16">
        <f t="shared" si="51"/>
        <v>37.5</v>
      </c>
      <c r="AX119" s="16">
        <f t="shared" si="52"/>
        <v>1.75</v>
      </c>
      <c r="AY119" s="16">
        <f t="shared" si="53"/>
        <v>58.333300000000001</v>
      </c>
      <c r="AZ119" s="16">
        <f t="shared" si="54"/>
        <v>0</v>
      </c>
      <c r="BA119" s="16">
        <f t="shared" si="55"/>
        <v>0</v>
      </c>
      <c r="BB119" s="16">
        <f t="shared" si="56"/>
        <v>0</v>
      </c>
      <c r="BC119" s="16">
        <f t="shared" si="57"/>
        <v>0</v>
      </c>
      <c r="BD119" s="16">
        <f t="shared" si="58"/>
        <v>0.375</v>
      </c>
      <c r="BE119" s="16">
        <f t="shared" si="59"/>
        <v>0</v>
      </c>
      <c r="BF119" s="16">
        <f t="shared" si="60"/>
        <v>0</v>
      </c>
      <c r="BG119" s="16">
        <f t="shared" si="61"/>
        <v>0</v>
      </c>
      <c r="BH119" s="16">
        <f t="shared" si="62"/>
        <v>0</v>
      </c>
      <c r="BI119" s="16">
        <f t="shared" si="63"/>
        <v>0.25</v>
      </c>
      <c r="BJ119" s="16">
        <f t="shared" si="64"/>
        <v>0</v>
      </c>
      <c r="BK119" s="16">
        <f t="shared" si="65"/>
        <v>1</v>
      </c>
      <c r="BL119" s="16">
        <f t="shared" si="66"/>
        <v>0.41670000000000001</v>
      </c>
      <c r="BM119" s="16">
        <f t="shared" si="67"/>
        <v>0.75</v>
      </c>
      <c r="BN119" s="16">
        <f t="shared" si="68"/>
        <v>0.5</v>
      </c>
      <c r="BO119" s="16">
        <f t="shared" si="69"/>
        <v>0.75</v>
      </c>
      <c r="BP119" s="16">
        <f t="shared" si="70"/>
        <v>0.66669999999999996</v>
      </c>
      <c r="BQ119" s="16">
        <f t="shared" si="71"/>
        <v>33.333300000000001</v>
      </c>
      <c r="BR119" s="16">
        <f t="shared" si="72"/>
        <v>54.166699999999999</v>
      </c>
      <c r="BS119" s="16">
        <f t="shared" si="73"/>
        <v>12.5</v>
      </c>
      <c r="BT119" s="16">
        <f t="shared" si="74"/>
        <v>29.166699999999999</v>
      </c>
      <c r="BU119" s="16">
        <f t="shared" si="75"/>
        <v>1.6667000000000001</v>
      </c>
      <c r="BV119" s="16">
        <f t="shared" si="76"/>
        <v>64.264300000000006</v>
      </c>
      <c r="BW119" s="16">
        <f t="shared" si="77"/>
        <v>16.0305</v>
      </c>
      <c r="BX119" s="16">
        <f t="shared" si="78"/>
        <v>35.735700000000001</v>
      </c>
      <c r="BY119" s="16">
        <f t="shared" si="79"/>
        <v>0</v>
      </c>
      <c r="BZ119" s="16">
        <f t="shared" si="80"/>
        <v>0</v>
      </c>
      <c r="CA119" s="16">
        <f t="shared" si="81"/>
        <v>0</v>
      </c>
      <c r="CB119" s="16">
        <f t="shared" si="82"/>
        <v>0</v>
      </c>
      <c r="CC119" s="16">
        <f t="shared" si="83"/>
        <v>0</v>
      </c>
    </row>
    <row r="120" spans="1:81" x14ac:dyDescent="0.25">
      <c r="A120">
        <v>93</v>
      </c>
      <c r="B120" s="16">
        <f t="shared" si="4"/>
        <v>15.7</v>
      </c>
      <c r="C120" s="16">
        <f t="shared" si="5"/>
        <v>8.5399999999999991</v>
      </c>
      <c r="D120" s="16">
        <f t="shared" si="6"/>
        <v>11.63</v>
      </c>
      <c r="E120" s="16">
        <f t="shared" si="7"/>
        <v>441</v>
      </c>
      <c r="F120" s="16">
        <f t="shared" si="8"/>
        <v>310</v>
      </c>
      <c r="G120" s="16">
        <f t="shared" si="9"/>
        <v>488</v>
      </c>
      <c r="H120" s="16">
        <f t="shared" si="10"/>
        <v>1239</v>
      </c>
      <c r="I120" s="16">
        <f t="shared" si="11"/>
        <v>0</v>
      </c>
      <c r="J120" s="16">
        <f t="shared" si="12"/>
        <v>1.4</v>
      </c>
      <c r="K120" s="16">
        <f t="shared" si="13"/>
        <v>1.5625</v>
      </c>
      <c r="L120" s="16">
        <f t="shared" si="14"/>
        <v>1.9375</v>
      </c>
      <c r="M120" s="16">
        <f t="shared" si="15"/>
        <v>1.6333</v>
      </c>
      <c r="N120" s="16">
        <f t="shared" si="16"/>
        <v>0.74809999999999999</v>
      </c>
      <c r="O120" s="16">
        <f t="shared" si="17"/>
        <v>0.1222</v>
      </c>
      <c r="P120" s="16">
        <f t="shared" si="18"/>
        <v>0.13</v>
      </c>
      <c r="Q120" s="16">
        <f t="shared" si="19"/>
        <v>0.26800000000000002</v>
      </c>
      <c r="R120" s="16">
        <f t="shared" si="20"/>
        <v>0.17519999999999999</v>
      </c>
      <c r="S120" s="16">
        <f t="shared" si="21"/>
        <v>0.14499999999999999</v>
      </c>
      <c r="T120" s="16">
        <f t="shared" si="22"/>
        <v>0.28000000000000003</v>
      </c>
      <c r="U120" s="16">
        <f t="shared" si="23"/>
        <v>0.2</v>
      </c>
      <c r="V120" s="16">
        <f t="shared" si="24"/>
        <v>0.68</v>
      </c>
      <c r="W120" s="16">
        <f t="shared" si="25"/>
        <v>0.68</v>
      </c>
      <c r="X120" s="16">
        <f t="shared" si="26"/>
        <v>9.3240999999999996</v>
      </c>
      <c r="Y120" s="16">
        <f t="shared" si="27"/>
        <v>0</v>
      </c>
      <c r="Z120" s="16">
        <f t="shared" si="28"/>
        <v>14.8148</v>
      </c>
      <c r="AA120" s="16">
        <f t="shared" si="29"/>
        <v>7.4074</v>
      </c>
      <c r="AB120" s="16">
        <f t="shared" si="30"/>
        <v>22.222200000000001</v>
      </c>
      <c r="AC120" s="16">
        <f t="shared" si="31"/>
        <v>11.1111</v>
      </c>
      <c r="AD120" s="16">
        <f t="shared" si="32"/>
        <v>66.666700000000006</v>
      </c>
      <c r="AE120" s="16">
        <f t="shared" si="33"/>
        <v>0</v>
      </c>
      <c r="AF120" s="16">
        <f t="shared" si="34"/>
        <v>77.777799999999999</v>
      </c>
      <c r="AG120" s="16">
        <f t="shared" si="35"/>
        <v>66.666700000000006</v>
      </c>
      <c r="AH120" s="16">
        <f t="shared" si="36"/>
        <v>0.2311</v>
      </c>
      <c r="AI120" s="16">
        <f t="shared" si="37"/>
        <v>0.13900000000000001</v>
      </c>
      <c r="AJ120" s="16">
        <f t="shared" si="38"/>
        <v>0.14699999999999999</v>
      </c>
      <c r="AK120" s="16">
        <f t="shared" si="39"/>
        <v>0.17030000000000001</v>
      </c>
      <c r="AL120" s="16">
        <f t="shared" si="40"/>
        <v>0.1615</v>
      </c>
      <c r="AM120" s="16">
        <f t="shared" si="41"/>
        <v>0.5</v>
      </c>
      <c r="AN120" s="16">
        <f t="shared" si="42"/>
        <v>0.26</v>
      </c>
      <c r="AO120" s="16">
        <f t="shared" si="43"/>
        <v>0.56000000000000005</v>
      </c>
      <c r="AP120" s="16">
        <f t="shared" si="44"/>
        <v>0.56000000000000005</v>
      </c>
      <c r="AQ120" s="16">
        <f t="shared" si="45"/>
        <v>29.166699999999999</v>
      </c>
      <c r="AR120" s="16">
        <f t="shared" si="46"/>
        <v>0.45829999999999999</v>
      </c>
      <c r="AS120" s="16">
        <f t="shared" si="47"/>
        <v>0</v>
      </c>
      <c r="AT120" s="16">
        <f t="shared" si="48"/>
        <v>25</v>
      </c>
      <c r="AU120" s="16">
        <f t="shared" si="49"/>
        <v>50</v>
      </c>
      <c r="AV120" s="16">
        <f t="shared" si="50"/>
        <v>25</v>
      </c>
      <c r="AW120" s="16">
        <f t="shared" si="51"/>
        <v>45.833300000000001</v>
      </c>
      <c r="AX120" s="16">
        <f t="shared" si="52"/>
        <v>1.3332999999999999</v>
      </c>
      <c r="AY120" s="16">
        <f t="shared" si="53"/>
        <v>50</v>
      </c>
      <c r="AZ120" s="16">
        <f t="shared" si="54"/>
        <v>0</v>
      </c>
      <c r="BA120" s="16">
        <f t="shared" si="55"/>
        <v>0.125</v>
      </c>
      <c r="BB120" s="16">
        <f t="shared" si="56"/>
        <v>0</v>
      </c>
      <c r="BC120" s="16">
        <f t="shared" si="57"/>
        <v>4.1700000000000001E-2</v>
      </c>
      <c r="BD120" s="16">
        <f t="shared" si="58"/>
        <v>0.54169999999999996</v>
      </c>
      <c r="BE120" s="16">
        <f t="shared" si="59"/>
        <v>0</v>
      </c>
      <c r="BF120" s="16">
        <f t="shared" si="60"/>
        <v>0</v>
      </c>
      <c r="BG120" s="16">
        <f t="shared" si="61"/>
        <v>0.5</v>
      </c>
      <c r="BH120" s="16">
        <f t="shared" si="62"/>
        <v>0.16669999999999999</v>
      </c>
      <c r="BI120" s="16">
        <f t="shared" si="63"/>
        <v>0</v>
      </c>
      <c r="BJ120" s="16">
        <f t="shared" si="64"/>
        <v>0</v>
      </c>
      <c r="BK120" s="16">
        <f t="shared" si="65"/>
        <v>0</v>
      </c>
      <c r="BL120" s="16">
        <f t="shared" si="66"/>
        <v>0</v>
      </c>
      <c r="BM120" s="16">
        <f t="shared" si="67"/>
        <v>0</v>
      </c>
      <c r="BN120" s="16">
        <f t="shared" si="68"/>
        <v>0</v>
      </c>
      <c r="BO120" s="16">
        <f t="shared" si="69"/>
        <v>1.5</v>
      </c>
      <c r="BP120" s="16">
        <f t="shared" si="70"/>
        <v>0.5</v>
      </c>
      <c r="BQ120" s="16">
        <f t="shared" si="71"/>
        <v>37.5</v>
      </c>
      <c r="BR120" s="16">
        <f t="shared" si="72"/>
        <v>62.5</v>
      </c>
      <c r="BS120" s="16">
        <f t="shared" si="73"/>
        <v>0</v>
      </c>
      <c r="BT120" s="16">
        <f t="shared" si="74"/>
        <v>23.125</v>
      </c>
      <c r="BU120" s="16">
        <f t="shared" si="75"/>
        <v>4.5499999999999999E-2</v>
      </c>
      <c r="BV120" s="16">
        <f t="shared" si="76"/>
        <v>34.459499999999998</v>
      </c>
      <c r="BW120" s="16">
        <f t="shared" si="77"/>
        <v>14.0656</v>
      </c>
      <c r="BX120" s="16">
        <f t="shared" si="78"/>
        <v>65.540499999999994</v>
      </c>
      <c r="BY120" s="16">
        <f t="shared" si="79"/>
        <v>0</v>
      </c>
      <c r="BZ120" s="16">
        <f t="shared" si="80"/>
        <v>0</v>
      </c>
      <c r="CA120" s="16">
        <f t="shared" si="81"/>
        <v>0</v>
      </c>
      <c r="CB120" s="16">
        <f t="shared" si="82"/>
        <v>0</v>
      </c>
      <c r="CC120" s="16">
        <f t="shared" si="83"/>
        <v>0</v>
      </c>
    </row>
    <row r="121" spans="1:81" x14ac:dyDescent="0.25">
      <c r="A121">
        <v>96</v>
      </c>
      <c r="B121" s="16">
        <f t="shared" si="4"/>
        <v>17.600000000000001</v>
      </c>
      <c r="C121" s="16">
        <f t="shared" si="5"/>
        <v>8.4700000000000006</v>
      </c>
      <c r="D121" s="16">
        <f t="shared" si="6"/>
        <v>8.81</v>
      </c>
      <c r="E121" s="16">
        <f t="shared" si="7"/>
        <v>2146</v>
      </c>
      <c r="F121" s="16">
        <f t="shared" si="8"/>
        <v>1481</v>
      </c>
      <c r="G121" s="16">
        <f t="shared" si="9"/>
        <v>969</v>
      </c>
      <c r="H121" s="16">
        <f t="shared" si="10"/>
        <v>4596</v>
      </c>
      <c r="I121" s="16">
        <f t="shared" si="11"/>
        <v>0</v>
      </c>
      <c r="J121" s="16">
        <f t="shared" si="12"/>
        <v>5.0999999999999996</v>
      </c>
      <c r="K121" s="16">
        <f t="shared" si="13"/>
        <v>4.7750000000000004</v>
      </c>
      <c r="L121" s="16">
        <f t="shared" si="14"/>
        <v>4.6375000000000002</v>
      </c>
      <c r="M121" s="16">
        <f t="shared" si="15"/>
        <v>4.8375000000000004</v>
      </c>
      <c r="N121" s="16">
        <f t="shared" si="16"/>
        <v>1.2218</v>
      </c>
      <c r="O121" s="16">
        <f t="shared" si="17"/>
        <v>0.34499999999999997</v>
      </c>
      <c r="P121" s="16">
        <f t="shared" si="18"/>
        <v>0.21940000000000001</v>
      </c>
      <c r="Q121" s="16">
        <f t="shared" si="19"/>
        <v>0.27879999999999999</v>
      </c>
      <c r="R121" s="16">
        <f t="shared" si="20"/>
        <v>0.28100000000000003</v>
      </c>
      <c r="S121" s="16">
        <f t="shared" si="21"/>
        <v>0.1459</v>
      </c>
      <c r="T121" s="16">
        <f t="shared" si="22"/>
        <v>0.84</v>
      </c>
      <c r="U121" s="16">
        <f t="shared" si="23"/>
        <v>0.39</v>
      </c>
      <c r="V121" s="16">
        <f t="shared" si="24"/>
        <v>0.42</v>
      </c>
      <c r="W121" s="16">
        <f t="shared" si="25"/>
        <v>0.84</v>
      </c>
      <c r="X121" s="16">
        <f t="shared" si="26"/>
        <v>17.212800000000001</v>
      </c>
      <c r="Y121" s="16">
        <f t="shared" si="27"/>
        <v>0</v>
      </c>
      <c r="Z121" s="16">
        <f t="shared" si="28"/>
        <v>19.148900000000001</v>
      </c>
      <c r="AA121" s="16">
        <f t="shared" si="29"/>
        <v>2.1276999999999999</v>
      </c>
      <c r="AB121" s="16">
        <f t="shared" si="30"/>
        <v>21.276599999999998</v>
      </c>
      <c r="AC121" s="16">
        <f t="shared" si="31"/>
        <v>0</v>
      </c>
      <c r="AD121" s="16">
        <f t="shared" si="32"/>
        <v>74.468100000000007</v>
      </c>
      <c r="AE121" s="16">
        <f t="shared" si="33"/>
        <v>4.2553000000000001</v>
      </c>
      <c r="AF121" s="16">
        <f t="shared" si="34"/>
        <v>78.723399999999998</v>
      </c>
      <c r="AG121" s="16">
        <f t="shared" si="35"/>
        <v>74.468100000000007</v>
      </c>
      <c r="AH121" s="16">
        <f t="shared" si="36"/>
        <v>0.26</v>
      </c>
      <c r="AI121" s="16">
        <f t="shared" si="37"/>
        <v>0.35599999999999998</v>
      </c>
      <c r="AJ121" s="16">
        <f t="shared" si="38"/>
        <v>0.27600000000000002</v>
      </c>
      <c r="AK121" s="16">
        <f t="shared" si="39"/>
        <v>0.29189999999999999</v>
      </c>
      <c r="AL121" s="16">
        <f t="shared" si="40"/>
        <v>0.23430000000000001</v>
      </c>
      <c r="AM121" s="16">
        <f t="shared" si="41"/>
        <v>0.89</v>
      </c>
      <c r="AN121" s="16">
        <f t="shared" si="42"/>
        <v>0.89</v>
      </c>
      <c r="AO121" s="16">
        <f t="shared" si="43"/>
        <v>0.53</v>
      </c>
      <c r="AP121" s="16">
        <f t="shared" si="44"/>
        <v>0.89</v>
      </c>
      <c r="AQ121" s="16">
        <f t="shared" si="45"/>
        <v>33.333300000000001</v>
      </c>
      <c r="AR121" s="16">
        <f t="shared" si="46"/>
        <v>0.45829999999999999</v>
      </c>
      <c r="AS121" s="16">
        <f t="shared" si="47"/>
        <v>37.5</v>
      </c>
      <c r="AT121" s="16">
        <f t="shared" si="48"/>
        <v>25</v>
      </c>
      <c r="AU121" s="16">
        <f t="shared" si="49"/>
        <v>0</v>
      </c>
      <c r="AV121" s="16">
        <f t="shared" si="50"/>
        <v>20.833300000000001</v>
      </c>
      <c r="AW121" s="16">
        <f t="shared" si="51"/>
        <v>45.833300000000001</v>
      </c>
      <c r="AX121" s="16">
        <f t="shared" si="52"/>
        <v>1</v>
      </c>
      <c r="AY121" s="16">
        <f t="shared" si="53"/>
        <v>41.666699999999999</v>
      </c>
      <c r="AZ121" s="16">
        <f t="shared" si="54"/>
        <v>0</v>
      </c>
      <c r="BA121" s="16">
        <f t="shared" si="55"/>
        <v>0</v>
      </c>
      <c r="BB121" s="16">
        <f t="shared" si="56"/>
        <v>0.875</v>
      </c>
      <c r="BC121" s="16">
        <f t="shared" si="57"/>
        <v>0.29170000000000001</v>
      </c>
      <c r="BD121" s="16">
        <f t="shared" si="58"/>
        <v>0.625</v>
      </c>
      <c r="BE121" s="16">
        <f t="shared" si="59"/>
        <v>0</v>
      </c>
      <c r="BF121" s="16">
        <f t="shared" si="60"/>
        <v>0</v>
      </c>
      <c r="BG121" s="16">
        <f t="shared" si="61"/>
        <v>0</v>
      </c>
      <c r="BH121" s="16">
        <f t="shared" si="62"/>
        <v>0</v>
      </c>
      <c r="BI121" s="16">
        <f t="shared" si="63"/>
        <v>0.25</v>
      </c>
      <c r="BJ121" s="16">
        <f t="shared" si="64"/>
        <v>0.5</v>
      </c>
      <c r="BK121" s="16">
        <f t="shared" si="65"/>
        <v>0.25</v>
      </c>
      <c r="BL121" s="16">
        <f t="shared" si="66"/>
        <v>0.33329999999999999</v>
      </c>
      <c r="BM121" s="16">
        <f t="shared" si="67"/>
        <v>0.5</v>
      </c>
      <c r="BN121" s="16">
        <f t="shared" si="68"/>
        <v>0</v>
      </c>
      <c r="BO121" s="16">
        <f t="shared" si="69"/>
        <v>0.5</v>
      </c>
      <c r="BP121" s="16">
        <f t="shared" si="70"/>
        <v>0.33329999999999999</v>
      </c>
      <c r="BQ121" s="16">
        <f t="shared" si="71"/>
        <v>8.3332999999999995</v>
      </c>
      <c r="BR121" s="16">
        <f t="shared" si="72"/>
        <v>66.666700000000006</v>
      </c>
      <c r="BS121" s="16">
        <f t="shared" si="73"/>
        <v>25</v>
      </c>
      <c r="BT121" s="16">
        <f t="shared" si="74"/>
        <v>42.5</v>
      </c>
      <c r="BU121" s="16">
        <f t="shared" si="75"/>
        <v>1.7917000000000001</v>
      </c>
      <c r="BV121" s="16">
        <f t="shared" si="76"/>
        <v>40.015000000000001</v>
      </c>
      <c r="BW121" s="16">
        <f t="shared" si="77"/>
        <v>14.583399999999999</v>
      </c>
      <c r="BX121" s="16">
        <f t="shared" si="78"/>
        <v>59.984999999999999</v>
      </c>
      <c r="BY121" s="16">
        <f t="shared" si="79"/>
        <v>0</v>
      </c>
      <c r="BZ121" s="16">
        <f t="shared" si="80"/>
        <v>0</v>
      </c>
      <c r="CA121" s="16">
        <f t="shared" si="81"/>
        <v>0</v>
      </c>
      <c r="CB121" s="16">
        <f t="shared" si="82"/>
        <v>0</v>
      </c>
      <c r="CC121" s="16">
        <f t="shared" si="83"/>
        <v>0</v>
      </c>
    </row>
    <row r="122" spans="1:81" x14ac:dyDescent="0.25">
      <c r="A122">
        <v>108</v>
      </c>
      <c r="B122" s="16">
        <f t="shared" si="4"/>
        <v>17.7</v>
      </c>
      <c r="C122" s="16">
        <f t="shared" si="5"/>
        <v>7.97</v>
      </c>
      <c r="D122" s="16">
        <f t="shared" si="6"/>
        <v>12.27</v>
      </c>
      <c r="E122" s="16">
        <f t="shared" si="7"/>
        <v>1076</v>
      </c>
      <c r="F122" s="16">
        <f t="shared" si="8"/>
        <v>737</v>
      </c>
      <c r="G122" s="16">
        <f t="shared" si="9"/>
        <v>511</v>
      </c>
      <c r="H122" s="16">
        <f t="shared" si="10"/>
        <v>2324</v>
      </c>
      <c r="I122" s="16">
        <f t="shared" si="11"/>
        <v>0</v>
      </c>
      <c r="J122" s="16">
        <f t="shared" si="12"/>
        <v>3.4249999999999998</v>
      </c>
      <c r="K122" s="16">
        <f t="shared" si="13"/>
        <v>2.5874999999999999</v>
      </c>
      <c r="L122" s="16">
        <f t="shared" si="14"/>
        <v>2.8875000000000002</v>
      </c>
      <c r="M122" s="16">
        <f t="shared" si="15"/>
        <v>2.9666999999999999</v>
      </c>
      <c r="N122" s="16">
        <f t="shared" si="16"/>
        <v>1.0639000000000001</v>
      </c>
      <c r="O122" s="16">
        <f t="shared" si="17"/>
        <v>0.30149999999999999</v>
      </c>
      <c r="P122" s="16">
        <f t="shared" si="18"/>
        <v>0.48830000000000001</v>
      </c>
      <c r="Q122" s="16">
        <f t="shared" si="19"/>
        <v>0.29420000000000002</v>
      </c>
      <c r="R122" s="16">
        <f t="shared" si="20"/>
        <v>0.35970000000000002</v>
      </c>
      <c r="S122" s="16">
        <f t="shared" si="21"/>
        <v>0.28299999999999997</v>
      </c>
      <c r="T122" s="16">
        <f t="shared" si="22"/>
        <v>1.3</v>
      </c>
      <c r="U122" s="16">
        <f t="shared" si="23"/>
        <v>1.2</v>
      </c>
      <c r="V122" s="16">
        <f t="shared" si="24"/>
        <v>0.78</v>
      </c>
      <c r="W122" s="16">
        <f t="shared" si="25"/>
        <v>1.3</v>
      </c>
      <c r="X122" s="16">
        <f t="shared" si="26"/>
        <v>8.2469000000000001</v>
      </c>
      <c r="Y122" s="16">
        <f t="shared" si="27"/>
        <v>0</v>
      </c>
      <c r="Z122" s="16">
        <f t="shared" si="28"/>
        <v>8.1081000000000003</v>
      </c>
      <c r="AA122" s="16">
        <f t="shared" si="29"/>
        <v>2.7027000000000001</v>
      </c>
      <c r="AB122" s="16">
        <f t="shared" si="30"/>
        <v>10.8108</v>
      </c>
      <c r="AC122" s="16">
        <f t="shared" si="31"/>
        <v>8.1081000000000003</v>
      </c>
      <c r="AD122" s="16">
        <f t="shared" si="32"/>
        <v>81.081100000000006</v>
      </c>
      <c r="AE122" s="16">
        <f t="shared" si="33"/>
        <v>0</v>
      </c>
      <c r="AF122" s="16">
        <f t="shared" si="34"/>
        <v>89.1892</v>
      </c>
      <c r="AG122" s="16">
        <f t="shared" si="35"/>
        <v>81.081100000000006</v>
      </c>
      <c r="AH122" s="16">
        <f t="shared" si="36"/>
        <v>0.31919999999999998</v>
      </c>
      <c r="AI122" s="16">
        <f t="shared" si="37"/>
        <v>0.20449999999999999</v>
      </c>
      <c r="AJ122" s="16">
        <f t="shared" si="38"/>
        <v>0.27089999999999997</v>
      </c>
      <c r="AK122" s="16">
        <f t="shared" si="39"/>
        <v>0.25969999999999999</v>
      </c>
      <c r="AL122" s="16">
        <f t="shared" si="40"/>
        <v>0.24540000000000001</v>
      </c>
      <c r="AM122" s="16">
        <f t="shared" si="41"/>
        <v>0.84</v>
      </c>
      <c r="AN122" s="16">
        <f t="shared" si="42"/>
        <v>0.67</v>
      </c>
      <c r="AO122" s="16">
        <f t="shared" si="43"/>
        <v>1.01</v>
      </c>
      <c r="AP122" s="16">
        <f t="shared" si="44"/>
        <v>1.01</v>
      </c>
      <c r="AQ122" s="16">
        <f t="shared" si="45"/>
        <v>25</v>
      </c>
      <c r="AR122" s="16">
        <f t="shared" si="46"/>
        <v>0.39129999999999998</v>
      </c>
      <c r="AS122" s="16">
        <f t="shared" si="47"/>
        <v>12.5</v>
      </c>
      <c r="AT122" s="16">
        <f t="shared" si="48"/>
        <v>50</v>
      </c>
      <c r="AU122" s="16">
        <f t="shared" si="49"/>
        <v>37.5</v>
      </c>
      <c r="AV122" s="16">
        <f t="shared" si="50"/>
        <v>33.333300000000001</v>
      </c>
      <c r="AW122" s="16">
        <f t="shared" si="51"/>
        <v>37.5</v>
      </c>
      <c r="AX122" s="16">
        <f t="shared" si="52"/>
        <v>1.4167000000000001</v>
      </c>
      <c r="AY122" s="16">
        <f t="shared" si="53"/>
        <v>41.666699999999999</v>
      </c>
      <c r="AZ122" s="16">
        <f t="shared" si="54"/>
        <v>0</v>
      </c>
      <c r="BA122" s="16">
        <f t="shared" si="55"/>
        <v>0.25</v>
      </c>
      <c r="BB122" s="16">
        <f t="shared" si="56"/>
        <v>0</v>
      </c>
      <c r="BC122" s="16">
        <f t="shared" si="57"/>
        <v>8.3299999999999999E-2</v>
      </c>
      <c r="BD122" s="16">
        <f t="shared" si="58"/>
        <v>4.1700000000000001E-2</v>
      </c>
      <c r="BE122" s="16">
        <f t="shared" si="59"/>
        <v>1.25</v>
      </c>
      <c r="BF122" s="16">
        <f t="shared" si="60"/>
        <v>1.75</v>
      </c>
      <c r="BG122" s="16">
        <f t="shared" si="61"/>
        <v>0.25</v>
      </c>
      <c r="BH122" s="16">
        <f t="shared" si="62"/>
        <v>1.0832999999999999</v>
      </c>
      <c r="BI122" s="16">
        <f t="shared" si="63"/>
        <v>0.25</v>
      </c>
      <c r="BJ122" s="16">
        <f t="shared" si="64"/>
        <v>0</v>
      </c>
      <c r="BK122" s="16">
        <f t="shared" si="65"/>
        <v>0</v>
      </c>
      <c r="BL122" s="16">
        <f t="shared" si="66"/>
        <v>8.3299999999999999E-2</v>
      </c>
      <c r="BM122" s="16">
        <f t="shared" si="67"/>
        <v>0.5</v>
      </c>
      <c r="BN122" s="16">
        <f t="shared" si="68"/>
        <v>1.75</v>
      </c>
      <c r="BO122" s="16">
        <f t="shared" si="69"/>
        <v>0.5</v>
      </c>
      <c r="BP122" s="16">
        <f t="shared" si="70"/>
        <v>0.91669999999999996</v>
      </c>
      <c r="BQ122" s="16">
        <f t="shared" si="71"/>
        <v>16.666699999999999</v>
      </c>
      <c r="BR122" s="16">
        <f t="shared" si="72"/>
        <v>79.166700000000006</v>
      </c>
      <c r="BS122" s="16">
        <f t="shared" si="73"/>
        <v>4.1666999999999996</v>
      </c>
      <c r="BT122" s="16">
        <f t="shared" si="74"/>
        <v>33.541699999999999</v>
      </c>
      <c r="BU122" s="16">
        <f t="shared" si="75"/>
        <v>0.91669999999999996</v>
      </c>
      <c r="BV122" s="16">
        <f t="shared" si="76"/>
        <v>100</v>
      </c>
      <c r="BW122" s="16">
        <f t="shared" si="77"/>
        <v>0</v>
      </c>
      <c r="BX122" s="16">
        <f t="shared" si="78"/>
        <v>0</v>
      </c>
      <c r="BY122" s="16">
        <f t="shared" si="79"/>
        <v>0</v>
      </c>
      <c r="BZ122" s="16">
        <f t="shared" si="80"/>
        <v>0</v>
      </c>
      <c r="CA122" s="16">
        <f t="shared" si="81"/>
        <v>0</v>
      </c>
      <c r="CB122" s="16">
        <f t="shared" si="82"/>
        <v>0</v>
      </c>
      <c r="CC122" s="16">
        <f t="shared" si="83"/>
        <v>0</v>
      </c>
    </row>
    <row r="123" spans="1:81" x14ac:dyDescent="0.25">
      <c r="A123">
        <v>109</v>
      </c>
      <c r="B123" s="16">
        <f t="shared" si="4"/>
        <v>13.6</v>
      </c>
      <c r="C123" s="16">
        <f t="shared" si="5"/>
        <v>8.9499999999999993</v>
      </c>
      <c r="D123" s="16">
        <f t="shared" si="6"/>
        <v>11.36</v>
      </c>
      <c r="E123" s="16">
        <f t="shared" si="7"/>
        <v>931</v>
      </c>
      <c r="F123" s="16">
        <f t="shared" si="8"/>
        <v>261</v>
      </c>
      <c r="G123" s="16">
        <f t="shared" si="9"/>
        <v>262</v>
      </c>
      <c r="H123" s="16">
        <f t="shared" si="10"/>
        <v>1454</v>
      </c>
      <c r="I123" s="16">
        <f t="shared" si="11"/>
        <v>0.82530000000000003</v>
      </c>
      <c r="J123" s="16">
        <f t="shared" si="12"/>
        <v>3.75</v>
      </c>
      <c r="K123" s="16">
        <f t="shared" si="13"/>
        <v>4.3375000000000004</v>
      </c>
      <c r="L123" s="16">
        <f t="shared" si="14"/>
        <v>3.2250000000000001</v>
      </c>
      <c r="M123" s="16">
        <f t="shared" si="15"/>
        <v>3.7707999999999999</v>
      </c>
      <c r="N123" s="16">
        <f t="shared" si="16"/>
        <v>1.4048</v>
      </c>
      <c r="O123" s="16">
        <f t="shared" si="17"/>
        <v>0.27910000000000001</v>
      </c>
      <c r="P123" s="16">
        <f t="shared" si="18"/>
        <v>0.14000000000000001</v>
      </c>
      <c r="Q123" s="16">
        <f t="shared" si="19"/>
        <v>0.27250000000000002</v>
      </c>
      <c r="R123" s="16">
        <f t="shared" si="20"/>
        <v>0.2293</v>
      </c>
      <c r="S123" s="16">
        <f t="shared" si="21"/>
        <v>0.19189999999999999</v>
      </c>
      <c r="T123" s="16">
        <f t="shared" si="22"/>
        <v>0.8</v>
      </c>
      <c r="U123" s="16">
        <f t="shared" si="23"/>
        <v>0.24</v>
      </c>
      <c r="V123" s="16">
        <f t="shared" si="24"/>
        <v>0.66</v>
      </c>
      <c r="W123" s="16">
        <f t="shared" si="25"/>
        <v>0.8</v>
      </c>
      <c r="X123" s="16">
        <f t="shared" si="26"/>
        <v>16.444199999999999</v>
      </c>
      <c r="Y123" s="16">
        <f t="shared" si="27"/>
        <v>0</v>
      </c>
      <c r="Z123" s="16">
        <f t="shared" si="28"/>
        <v>0</v>
      </c>
      <c r="AA123" s="16">
        <f t="shared" si="29"/>
        <v>0</v>
      </c>
      <c r="AB123" s="16">
        <f t="shared" si="30"/>
        <v>0</v>
      </c>
      <c r="AC123" s="16">
        <f t="shared" si="31"/>
        <v>3.5714000000000001</v>
      </c>
      <c r="AD123" s="16">
        <f t="shared" si="32"/>
        <v>92.857100000000003</v>
      </c>
      <c r="AE123" s="16">
        <f t="shared" si="33"/>
        <v>3.5714000000000001</v>
      </c>
      <c r="AF123" s="16">
        <f t="shared" si="34"/>
        <v>100</v>
      </c>
      <c r="AG123" s="16">
        <f t="shared" si="35"/>
        <v>92.857100000000003</v>
      </c>
      <c r="AH123" s="16">
        <f t="shared" si="36"/>
        <v>0.315</v>
      </c>
      <c r="AI123" s="16">
        <f t="shared" si="37"/>
        <v>0.19400000000000001</v>
      </c>
      <c r="AJ123" s="16">
        <f t="shared" si="38"/>
        <v>0.22</v>
      </c>
      <c r="AK123" s="16">
        <f t="shared" si="39"/>
        <v>0.23719999999999999</v>
      </c>
      <c r="AL123" s="16">
        <f t="shared" si="40"/>
        <v>0.19320000000000001</v>
      </c>
      <c r="AM123" s="16">
        <f t="shared" si="41"/>
        <v>0.71</v>
      </c>
      <c r="AN123" s="16">
        <f t="shared" si="42"/>
        <v>0.45</v>
      </c>
      <c r="AO123" s="16">
        <f t="shared" si="43"/>
        <v>0.64</v>
      </c>
      <c r="AP123" s="16">
        <f t="shared" si="44"/>
        <v>0.71</v>
      </c>
      <c r="AQ123" s="16">
        <f t="shared" si="45"/>
        <v>33.333300000000001</v>
      </c>
      <c r="AR123" s="16">
        <f t="shared" si="46"/>
        <v>0.5</v>
      </c>
      <c r="AS123" s="16">
        <f t="shared" si="47"/>
        <v>12.5</v>
      </c>
      <c r="AT123" s="16">
        <f t="shared" si="48"/>
        <v>12.5</v>
      </c>
      <c r="AU123" s="16">
        <f t="shared" si="49"/>
        <v>25</v>
      </c>
      <c r="AV123" s="16">
        <f t="shared" si="50"/>
        <v>16.666699999999999</v>
      </c>
      <c r="AW123" s="16">
        <f t="shared" si="51"/>
        <v>50</v>
      </c>
      <c r="AX123" s="16">
        <f t="shared" si="52"/>
        <v>1.0832999999999999</v>
      </c>
      <c r="AY123" s="16">
        <f t="shared" si="53"/>
        <v>25</v>
      </c>
      <c r="AZ123" s="16">
        <f t="shared" si="54"/>
        <v>0</v>
      </c>
      <c r="BA123" s="16">
        <f t="shared" si="55"/>
        <v>0</v>
      </c>
      <c r="BB123" s="16">
        <f t="shared" si="56"/>
        <v>0</v>
      </c>
      <c r="BC123" s="16">
        <f t="shared" si="57"/>
        <v>0</v>
      </c>
      <c r="BD123" s="16">
        <f t="shared" si="58"/>
        <v>0.25</v>
      </c>
      <c r="BE123" s="16">
        <f t="shared" si="59"/>
        <v>0.25</v>
      </c>
      <c r="BF123" s="16">
        <f t="shared" si="60"/>
        <v>0</v>
      </c>
      <c r="BG123" s="16">
        <f t="shared" si="61"/>
        <v>0</v>
      </c>
      <c r="BH123" s="16">
        <f t="shared" si="62"/>
        <v>8.3299999999999999E-2</v>
      </c>
      <c r="BI123" s="16">
        <f t="shared" si="63"/>
        <v>0.75</v>
      </c>
      <c r="BJ123" s="16">
        <f t="shared" si="64"/>
        <v>0.25</v>
      </c>
      <c r="BK123" s="16">
        <f t="shared" si="65"/>
        <v>0</v>
      </c>
      <c r="BL123" s="16">
        <f t="shared" si="66"/>
        <v>0.33329999999999999</v>
      </c>
      <c r="BM123" s="16">
        <f t="shared" si="67"/>
        <v>1</v>
      </c>
      <c r="BN123" s="16">
        <f t="shared" si="68"/>
        <v>0</v>
      </c>
      <c r="BO123" s="16">
        <f t="shared" si="69"/>
        <v>0.75</v>
      </c>
      <c r="BP123" s="16">
        <f t="shared" si="70"/>
        <v>0.58330000000000004</v>
      </c>
      <c r="BQ123" s="16">
        <f t="shared" si="71"/>
        <v>37.5</v>
      </c>
      <c r="BR123" s="16">
        <f t="shared" si="72"/>
        <v>41.666699999999999</v>
      </c>
      <c r="BS123" s="16">
        <f t="shared" si="73"/>
        <v>20.833300000000001</v>
      </c>
      <c r="BT123" s="16">
        <f t="shared" si="74"/>
        <v>33.541699999999999</v>
      </c>
      <c r="BU123" s="16">
        <f t="shared" si="75"/>
        <v>0.625</v>
      </c>
      <c r="BV123" s="16">
        <f t="shared" si="76"/>
        <v>53.378399999999999</v>
      </c>
      <c r="BW123" s="16">
        <f t="shared" si="77"/>
        <v>12.8805</v>
      </c>
      <c r="BX123" s="16">
        <f t="shared" si="78"/>
        <v>46.621600000000001</v>
      </c>
      <c r="BY123" s="16">
        <f t="shared" si="79"/>
        <v>0</v>
      </c>
      <c r="BZ123" s="16">
        <f t="shared" si="80"/>
        <v>0</v>
      </c>
      <c r="CA123" s="16">
        <f t="shared" si="81"/>
        <v>0</v>
      </c>
      <c r="CB123" s="16">
        <f t="shared" si="82"/>
        <v>0</v>
      </c>
      <c r="CC123" s="16">
        <f t="shared" si="83"/>
        <v>0</v>
      </c>
    </row>
    <row r="124" spans="1:81" x14ac:dyDescent="0.25">
      <c r="A124">
        <v>117</v>
      </c>
      <c r="B124" s="16">
        <f t="shared" si="4"/>
        <v>12.4</v>
      </c>
      <c r="C124" s="16">
        <f t="shared" si="5"/>
        <v>7.84</v>
      </c>
      <c r="D124" s="16">
        <f t="shared" si="6"/>
        <v>12.06</v>
      </c>
      <c r="E124" s="16">
        <f t="shared" si="7"/>
        <v>1038</v>
      </c>
      <c r="F124" s="16">
        <f t="shared" si="8"/>
        <v>593</v>
      </c>
      <c r="G124" s="16">
        <f t="shared" si="9"/>
        <v>480</v>
      </c>
      <c r="H124" s="16">
        <f t="shared" si="10"/>
        <v>2111</v>
      </c>
      <c r="I124" s="16">
        <f t="shared" si="11"/>
        <v>2.6433</v>
      </c>
      <c r="J124" s="16">
        <f t="shared" si="12"/>
        <v>3.95</v>
      </c>
      <c r="K124" s="16">
        <f t="shared" si="13"/>
        <v>3.45</v>
      </c>
      <c r="L124" s="16">
        <f t="shared" si="14"/>
        <v>3.1625000000000001</v>
      </c>
      <c r="M124" s="16">
        <f t="shared" si="15"/>
        <v>3.5207999999999999</v>
      </c>
      <c r="N124" s="16">
        <f t="shared" si="16"/>
        <v>0.95420000000000005</v>
      </c>
      <c r="O124" s="16">
        <f t="shared" si="17"/>
        <v>0.28860000000000002</v>
      </c>
      <c r="P124" s="16">
        <f t="shared" si="18"/>
        <v>0.23150000000000001</v>
      </c>
      <c r="Q124" s="16">
        <f t="shared" si="19"/>
        <v>0.20399999999999999</v>
      </c>
      <c r="R124" s="16">
        <f t="shared" si="20"/>
        <v>0.2407</v>
      </c>
      <c r="S124" s="16">
        <f t="shared" si="21"/>
        <v>0.13769999999999999</v>
      </c>
      <c r="T124" s="16">
        <f t="shared" si="22"/>
        <v>0.7</v>
      </c>
      <c r="U124" s="16">
        <f t="shared" si="23"/>
        <v>0.48</v>
      </c>
      <c r="V124" s="16">
        <f t="shared" si="24"/>
        <v>0.46</v>
      </c>
      <c r="W124" s="16">
        <f t="shared" si="25"/>
        <v>0.7</v>
      </c>
      <c r="X124" s="16">
        <f t="shared" si="26"/>
        <v>14.6266</v>
      </c>
      <c r="Y124" s="16">
        <f t="shared" si="27"/>
        <v>0</v>
      </c>
      <c r="Z124" s="16">
        <f t="shared" si="28"/>
        <v>12.1951</v>
      </c>
      <c r="AA124" s="16">
        <f t="shared" si="29"/>
        <v>9.7561</v>
      </c>
      <c r="AB124" s="16">
        <f t="shared" si="30"/>
        <v>21.9512</v>
      </c>
      <c r="AC124" s="16">
        <f t="shared" si="31"/>
        <v>0</v>
      </c>
      <c r="AD124" s="16">
        <f t="shared" si="32"/>
        <v>73.170699999999997</v>
      </c>
      <c r="AE124" s="16">
        <f t="shared" si="33"/>
        <v>4.8780000000000001</v>
      </c>
      <c r="AF124" s="16">
        <f t="shared" si="34"/>
        <v>78.0488</v>
      </c>
      <c r="AG124" s="16">
        <f t="shared" si="35"/>
        <v>73.170699999999997</v>
      </c>
      <c r="AH124" s="16">
        <f t="shared" si="36"/>
        <v>0.1246</v>
      </c>
      <c r="AI124" s="16">
        <f t="shared" si="37"/>
        <v>0.26500000000000001</v>
      </c>
      <c r="AJ124" s="16">
        <f t="shared" si="38"/>
        <v>0.1643</v>
      </c>
      <c r="AK124" s="16">
        <f t="shared" si="39"/>
        <v>0.18759999999999999</v>
      </c>
      <c r="AL124" s="16">
        <f t="shared" si="40"/>
        <v>0.1656</v>
      </c>
      <c r="AM124" s="16">
        <f t="shared" si="41"/>
        <v>0.6</v>
      </c>
      <c r="AN124" s="16">
        <f t="shared" si="42"/>
        <v>0.52</v>
      </c>
      <c r="AO124" s="16">
        <f t="shared" si="43"/>
        <v>0.28999999999999998</v>
      </c>
      <c r="AP124" s="16">
        <f t="shared" si="44"/>
        <v>0.6</v>
      </c>
      <c r="AQ124" s="16">
        <f t="shared" si="45"/>
        <v>29.166699999999999</v>
      </c>
      <c r="AR124" s="16">
        <f t="shared" si="46"/>
        <v>0.33329999999999999</v>
      </c>
      <c r="AS124" s="16">
        <f t="shared" si="47"/>
        <v>62.5</v>
      </c>
      <c r="AT124" s="16">
        <f t="shared" si="48"/>
        <v>25</v>
      </c>
      <c r="AU124" s="16">
        <f t="shared" si="49"/>
        <v>25</v>
      </c>
      <c r="AV124" s="16">
        <f t="shared" si="50"/>
        <v>37.5</v>
      </c>
      <c r="AW124" s="16">
        <f t="shared" si="51"/>
        <v>33.333300000000001</v>
      </c>
      <c r="AX124" s="16">
        <f t="shared" si="52"/>
        <v>1.25</v>
      </c>
      <c r="AY124" s="16">
        <f t="shared" si="53"/>
        <v>33.333300000000001</v>
      </c>
      <c r="AZ124" s="16">
        <f t="shared" si="54"/>
        <v>0</v>
      </c>
      <c r="BA124" s="16">
        <f t="shared" si="55"/>
        <v>0.125</v>
      </c>
      <c r="BB124" s="16">
        <f t="shared" si="56"/>
        <v>0.125</v>
      </c>
      <c r="BC124" s="16">
        <f t="shared" si="57"/>
        <v>8.3299999999999999E-2</v>
      </c>
      <c r="BD124" s="16">
        <f t="shared" si="58"/>
        <v>0.58330000000000004</v>
      </c>
      <c r="BE124" s="16">
        <f t="shared" si="59"/>
        <v>0.25</v>
      </c>
      <c r="BF124" s="16">
        <f t="shared" si="60"/>
        <v>0.25</v>
      </c>
      <c r="BG124" s="16">
        <f t="shared" si="61"/>
        <v>0.5</v>
      </c>
      <c r="BH124" s="16">
        <f t="shared" si="62"/>
        <v>0.33329999999999999</v>
      </c>
      <c r="BI124" s="16">
        <f t="shared" si="63"/>
        <v>0.25</v>
      </c>
      <c r="BJ124" s="16">
        <f t="shared" si="64"/>
        <v>0.25</v>
      </c>
      <c r="BK124" s="16">
        <f t="shared" si="65"/>
        <v>0.75</v>
      </c>
      <c r="BL124" s="16">
        <f t="shared" si="66"/>
        <v>0.41670000000000001</v>
      </c>
      <c r="BM124" s="16">
        <f t="shared" si="67"/>
        <v>0.75</v>
      </c>
      <c r="BN124" s="16">
        <f t="shared" si="68"/>
        <v>0.75</v>
      </c>
      <c r="BO124" s="16">
        <f t="shared" si="69"/>
        <v>0.75</v>
      </c>
      <c r="BP124" s="16">
        <f t="shared" si="70"/>
        <v>0.75</v>
      </c>
      <c r="BQ124" s="16">
        <f t="shared" si="71"/>
        <v>37.5</v>
      </c>
      <c r="BR124" s="16">
        <f t="shared" si="72"/>
        <v>50</v>
      </c>
      <c r="BS124" s="16">
        <f t="shared" si="73"/>
        <v>12.5</v>
      </c>
      <c r="BT124" s="16">
        <f t="shared" si="74"/>
        <v>27.916699999999999</v>
      </c>
      <c r="BU124" s="16">
        <f t="shared" si="75"/>
        <v>0.29170000000000001</v>
      </c>
      <c r="BV124" s="16">
        <f t="shared" si="76"/>
        <v>67.329099999999997</v>
      </c>
      <c r="BW124" s="16">
        <f t="shared" si="77"/>
        <v>11.0299</v>
      </c>
      <c r="BX124" s="16">
        <f t="shared" si="78"/>
        <v>32.670900000000003</v>
      </c>
      <c r="BY124" s="16">
        <f t="shared" si="79"/>
        <v>0</v>
      </c>
      <c r="BZ124" s="16">
        <f t="shared" si="80"/>
        <v>0</v>
      </c>
      <c r="CA124" s="16">
        <f t="shared" si="81"/>
        <v>0</v>
      </c>
      <c r="CB124" s="16">
        <f t="shared" si="82"/>
        <v>0</v>
      </c>
      <c r="CC124" s="16">
        <f t="shared" si="83"/>
        <v>0</v>
      </c>
    </row>
    <row r="125" spans="1:81" x14ac:dyDescent="0.25">
      <c r="A125">
        <v>118</v>
      </c>
      <c r="B125" s="16">
        <f t="shared" si="4"/>
        <v>20</v>
      </c>
      <c r="C125" s="16">
        <f t="shared" si="5"/>
        <v>8.5</v>
      </c>
      <c r="D125" s="16">
        <f t="shared" si="6"/>
        <v>12.23</v>
      </c>
      <c r="E125" s="16">
        <f t="shared" si="7"/>
        <v>1323</v>
      </c>
      <c r="F125" s="16">
        <f t="shared" si="8"/>
        <v>1277</v>
      </c>
      <c r="G125" s="16">
        <f t="shared" si="9"/>
        <v>1233</v>
      </c>
      <c r="H125" s="16">
        <f t="shared" si="10"/>
        <v>3833</v>
      </c>
      <c r="I125" s="16">
        <f t="shared" si="11"/>
        <v>0</v>
      </c>
      <c r="J125" s="16">
        <f t="shared" si="12"/>
        <v>5.5875000000000004</v>
      </c>
      <c r="K125" s="16">
        <f t="shared" si="13"/>
        <v>5.3624999999999998</v>
      </c>
      <c r="L125" s="16">
        <f t="shared" si="14"/>
        <v>5.3624999999999998</v>
      </c>
      <c r="M125" s="16">
        <f t="shared" si="15"/>
        <v>5.4375</v>
      </c>
      <c r="N125" s="16">
        <f t="shared" si="16"/>
        <v>0.82820000000000005</v>
      </c>
      <c r="O125" s="16">
        <f t="shared" si="17"/>
        <v>0.39069999999999999</v>
      </c>
      <c r="P125" s="16">
        <f t="shared" si="18"/>
        <v>0.31940000000000002</v>
      </c>
      <c r="Q125" s="16">
        <f t="shared" si="19"/>
        <v>0.34329999999999999</v>
      </c>
      <c r="R125" s="16">
        <f t="shared" si="20"/>
        <v>0.35039999999999999</v>
      </c>
      <c r="S125" s="16">
        <f t="shared" si="21"/>
        <v>0.12379999999999999</v>
      </c>
      <c r="T125" s="16">
        <f t="shared" si="22"/>
        <v>0.62</v>
      </c>
      <c r="U125" s="16">
        <f t="shared" si="23"/>
        <v>0.56000000000000005</v>
      </c>
      <c r="V125" s="16">
        <f t="shared" si="24"/>
        <v>0.59</v>
      </c>
      <c r="W125" s="16">
        <f t="shared" si="25"/>
        <v>0.62</v>
      </c>
      <c r="X125" s="16">
        <f t="shared" si="26"/>
        <v>15.516400000000001</v>
      </c>
      <c r="Y125" s="16">
        <f t="shared" si="27"/>
        <v>2.1739000000000002</v>
      </c>
      <c r="Z125" s="16">
        <f t="shared" si="28"/>
        <v>10.8696</v>
      </c>
      <c r="AA125" s="16">
        <f t="shared" si="29"/>
        <v>8.6957000000000004</v>
      </c>
      <c r="AB125" s="16">
        <f t="shared" si="30"/>
        <v>21.739100000000001</v>
      </c>
      <c r="AC125" s="16">
        <f t="shared" si="31"/>
        <v>2.1739000000000002</v>
      </c>
      <c r="AD125" s="16">
        <f t="shared" si="32"/>
        <v>76.087000000000003</v>
      </c>
      <c r="AE125" s="16">
        <f t="shared" si="33"/>
        <v>0</v>
      </c>
      <c r="AF125" s="16">
        <f t="shared" si="34"/>
        <v>78.260900000000007</v>
      </c>
      <c r="AG125" s="16">
        <f t="shared" si="35"/>
        <v>76.087000000000003</v>
      </c>
      <c r="AH125" s="16">
        <f t="shared" si="36"/>
        <v>0.2767</v>
      </c>
      <c r="AI125" s="16">
        <f t="shared" si="37"/>
        <v>0.46310000000000001</v>
      </c>
      <c r="AJ125" s="16">
        <f t="shared" si="38"/>
        <v>0.33879999999999999</v>
      </c>
      <c r="AK125" s="16">
        <f t="shared" si="39"/>
        <v>0.36130000000000001</v>
      </c>
      <c r="AL125" s="16">
        <f t="shared" si="40"/>
        <v>0.24160000000000001</v>
      </c>
      <c r="AM125" s="16">
        <f t="shared" si="41"/>
        <v>0.6</v>
      </c>
      <c r="AN125" s="16">
        <f t="shared" si="42"/>
        <v>1.04</v>
      </c>
      <c r="AO125" s="16">
        <f t="shared" si="43"/>
        <v>0.91</v>
      </c>
      <c r="AP125" s="16">
        <f t="shared" si="44"/>
        <v>1.04</v>
      </c>
      <c r="AQ125" s="16">
        <f t="shared" si="45"/>
        <v>16.666699999999999</v>
      </c>
      <c r="AR125" s="16">
        <f t="shared" si="46"/>
        <v>0.77270000000000005</v>
      </c>
      <c r="AS125" s="16">
        <f t="shared" si="47"/>
        <v>0</v>
      </c>
      <c r="AT125" s="16">
        <f t="shared" si="48"/>
        <v>0</v>
      </c>
      <c r="AU125" s="16">
        <f t="shared" si="49"/>
        <v>12.5</v>
      </c>
      <c r="AV125" s="16">
        <f t="shared" si="50"/>
        <v>4.1666999999999996</v>
      </c>
      <c r="AW125" s="16">
        <f t="shared" si="51"/>
        <v>70.833299999999994</v>
      </c>
      <c r="AX125" s="16">
        <f t="shared" si="52"/>
        <v>1.1000000000000001</v>
      </c>
      <c r="AY125" s="16">
        <f t="shared" si="53"/>
        <v>8.3332999999999995</v>
      </c>
      <c r="AZ125" s="16">
        <f t="shared" si="54"/>
        <v>0</v>
      </c>
      <c r="BA125" s="16">
        <f t="shared" si="55"/>
        <v>0.625</v>
      </c>
      <c r="BB125" s="16">
        <f t="shared" si="56"/>
        <v>0.28570000000000001</v>
      </c>
      <c r="BC125" s="16">
        <f t="shared" si="57"/>
        <v>0.31819999999999998</v>
      </c>
      <c r="BD125" s="16">
        <f t="shared" si="58"/>
        <v>0.43480000000000002</v>
      </c>
      <c r="BE125" s="16">
        <f t="shared" si="59"/>
        <v>0</v>
      </c>
      <c r="BF125" s="16">
        <f t="shared" si="60"/>
        <v>0</v>
      </c>
      <c r="BG125" s="16">
        <f t="shared" si="61"/>
        <v>0</v>
      </c>
      <c r="BH125" s="16">
        <f t="shared" si="62"/>
        <v>0</v>
      </c>
      <c r="BI125" s="16">
        <f t="shared" si="63"/>
        <v>0</v>
      </c>
      <c r="BJ125" s="16">
        <f t="shared" si="64"/>
        <v>0</v>
      </c>
      <c r="BK125" s="16">
        <f t="shared" si="65"/>
        <v>0</v>
      </c>
      <c r="BL125" s="16">
        <f t="shared" si="66"/>
        <v>0</v>
      </c>
      <c r="BM125" s="16">
        <f t="shared" si="67"/>
        <v>1.5</v>
      </c>
      <c r="BN125" s="16">
        <f t="shared" si="68"/>
        <v>0.5</v>
      </c>
      <c r="BO125" s="16">
        <f t="shared" si="69"/>
        <v>0</v>
      </c>
      <c r="BP125" s="16">
        <f t="shared" si="70"/>
        <v>0.66669999999999996</v>
      </c>
      <c r="BQ125" s="16">
        <f t="shared" si="71"/>
        <v>0</v>
      </c>
      <c r="BR125" s="16">
        <f t="shared" si="72"/>
        <v>45.833300000000001</v>
      </c>
      <c r="BS125" s="16">
        <f t="shared" si="73"/>
        <v>50</v>
      </c>
      <c r="BT125" s="16">
        <f t="shared" si="74"/>
        <v>50.869599999999998</v>
      </c>
      <c r="BU125" s="16">
        <f t="shared" si="75"/>
        <v>1.1667000000000001</v>
      </c>
      <c r="BV125" s="16">
        <f t="shared" si="76"/>
        <v>38.438400000000001</v>
      </c>
      <c r="BW125" s="16">
        <f t="shared" si="77"/>
        <v>14.658200000000001</v>
      </c>
      <c r="BX125" s="16">
        <f t="shared" si="78"/>
        <v>61.561599999999999</v>
      </c>
      <c r="BY125" s="16">
        <f t="shared" si="79"/>
        <v>0</v>
      </c>
      <c r="BZ125" s="16">
        <f t="shared" si="80"/>
        <v>0</v>
      </c>
      <c r="CA125" s="16">
        <f t="shared" si="81"/>
        <v>0</v>
      </c>
      <c r="CB125" s="16">
        <f t="shared" si="82"/>
        <v>0</v>
      </c>
      <c r="CC125" s="16">
        <f t="shared" si="83"/>
        <v>0</v>
      </c>
    </row>
    <row r="126" spans="1:81" x14ac:dyDescent="0.25">
      <c r="A126">
        <v>123</v>
      </c>
      <c r="B126" s="16">
        <f t="shared" si="4"/>
        <v>14.3</v>
      </c>
      <c r="C126" s="16">
        <f t="shared" si="5"/>
        <v>10.210000000000001</v>
      </c>
      <c r="D126" s="16">
        <f t="shared" si="6"/>
        <v>9.65</v>
      </c>
      <c r="E126" s="16">
        <f t="shared" si="7"/>
        <v>1090</v>
      </c>
      <c r="F126" s="16">
        <f t="shared" si="8"/>
        <v>929</v>
      </c>
      <c r="G126" s="16">
        <f t="shared" si="9"/>
        <v>1284</v>
      </c>
      <c r="H126" s="16">
        <f t="shared" si="10"/>
        <v>3303</v>
      </c>
      <c r="I126" s="16">
        <f t="shared" si="11"/>
        <v>0.32700000000000001</v>
      </c>
      <c r="J126" s="16">
        <f t="shared" si="12"/>
        <v>4.4625000000000004</v>
      </c>
      <c r="K126" s="16">
        <f t="shared" si="13"/>
        <v>4.2374999999999998</v>
      </c>
      <c r="L126" s="16">
        <f t="shared" si="14"/>
        <v>4.6624999999999996</v>
      </c>
      <c r="M126" s="16">
        <f t="shared" si="15"/>
        <v>4.4542000000000002</v>
      </c>
      <c r="N126" s="16">
        <f t="shared" si="16"/>
        <v>1.4632000000000001</v>
      </c>
      <c r="O126" s="16">
        <f t="shared" si="17"/>
        <v>0.35</v>
      </c>
      <c r="P126" s="16">
        <f t="shared" si="18"/>
        <v>0.18429999999999999</v>
      </c>
      <c r="Q126" s="16">
        <f t="shared" si="19"/>
        <v>0.37569999999999998</v>
      </c>
      <c r="R126" s="16">
        <f t="shared" si="20"/>
        <v>0.30549999999999999</v>
      </c>
      <c r="S126" s="16">
        <f t="shared" si="21"/>
        <v>0.18770000000000001</v>
      </c>
      <c r="T126" s="16">
        <f t="shared" si="22"/>
        <v>0.8</v>
      </c>
      <c r="U126" s="16">
        <f t="shared" si="23"/>
        <v>0.34</v>
      </c>
      <c r="V126" s="16">
        <f t="shared" si="24"/>
        <v>0.76</v>
      </c>
      <c r="W126" s="16">
        <f t="shared" si="25"/>
        <v>0.8</v>
      </c>
      <c r="X126" s="16">
        <f t="shared" si="26"/>
        <v>14.582100000000001</v>
      </c>
      <c r="Y126" s="16">
        <f t="shared" si="27"/>
        <v>0</v>
      </c>
      <c r="Z126" s="16">
        <f t="shared" si="28"/>
        <v>2.2726999999999999</v>
      </c>
      <c r="AA126" s="16">
        <f t="shared" si="29"/>
        <v>4.5454999999999997</v>
      </c>
      <c r="AB126" s="16">
        <f t="shared" si="30"/>
        <v>6.8182</v>
      </c>
      <c r="AC126" s="16">
        <f t="shared" si="31"/>
        <v>2.2726999999999999</v>
      </c>
      <c r="AD126" s="16">
        <f t="shared" si="32"/>
        <v>90.909099999999995</v>
      </c>
      <c r="AE126" s="16">
        <f t="shared" si="33"/>
        <v>0</v>
      </c>
      <c r="AF126" s="16">
        <f t="shared" si="34"/>
        <v>93.181799999999996</v>
      </c>
      <c r="AG126" s="16">
        <f t="shared" si="35"/>
        <v>90.909099999999995</v>
      </c>
      <c r="AH126" s="16">
        <f t="shared" si="36"/>
        <v>0.1807</v>
      </c>
      <c r="AI126" s="16">
        <f t="shared" si="37"/>
        <v>0.3523</v>
      </c>
      <c r="AJ126" s="16">
        <f t="shared" si="38"/>
        <v>0.18149999999999999</v>
      </c>
      <c r="AK126" s="16">
        <f t="shared" si="39"/>
        <v>0.23449999999999999</v>
      </c>
      <c r="AL126" s="16">
        <f t="shared" si="40"/>
        <v>0.21709999999999999</v>
      </c>
      <c r="AM126" s="16">
        <f t="shared" si="41"/>
        <v>0.51</v>
      </c>
      <c r="AN126" s="16">
        <f t="shared" si="42"/>
        <v>1.24</v>
      </c>
      <c r="AO126" s="16">
        <f t="shared" si="43"/>
        <v>0.34</v>
      </c>
      <c r="AP126" s="16">
        <f t="shared" si="44"/>
        <v>1.24</v>
      </c>
      <c r="AQ126" s="16">
        <f t="shared" si="45"/>
        <v>29.166699999999999</v>
      </c>
      <c r="AR126" s="16">
        <f t="shared" si="46"/>
        <v>0.52170000000000005</v>
      </c>
      <c r="AS126" s="16">
        <f t="shared" si="47"/>
        <v>12.5</v>
      </c>
      <c r="AT126" s="16">
        <f t="shared" si="48"/>
        <v>25</v>
      </c>
      <c r="AU126" s="16">
        <f t="shared" si="49"/>
        <v>12.5</v>
      </c>
      <c r="AV126" s="16">
        <f t="shared" si="50"/>
        <v>16.666699999999999</v>
      </c>
      <c r="AW126" s="16">
        <f t="shared" si="51"/>
        <v>50</v>
      </c>
      <c r="AX126" s="16">
        <f t="shared" si="52"/>
        <v>1.75</v>
      </c>
      <c r="AY126" s="16">
        <f t="shared" si="53"/>
        <v>66.666700000000006</v>
      </c>
      <c r="AZ126" s="16">
        <f t="shared" si="54"/>
        <v>0</v>
      </c>
      <c r="BA126" s="16">
        <f t="shared" si="55"/>
        <v>0.375</v>
      </c>
      <c r="BB126" s="16">
        <f t="shared" si="56"/>
        <v>0.25</v>
      </c>
      <c r="BC126" s="16">
        <f t="shared" si="57"/>
        <v>0.20830000000000001</v>
      </c>
      <c r="BD126" s="16">
        <f t="shared" si="58"/>
        <v>0.625</v>
      </c>
      <c r="BE126" s="16">
        <f t="shared" si="59"/>
        <v>0</v>
      </c>
      <c r="BF126" s="16">
        <f t="shared" si="60"/>
        <v>0</v>
      </c>
      <c r="BG126" s="16">
        <f t="shared" si="61"/>
        <v>0.75</v>
      </c>
      <c r="BH126" s="16">
        <f t="shared" si="62"/>
        <v>0.25</v>
      </c>
      <c r="BI126" s="16">
        <f t="shared" si="63"/>
        <v>0.5</v>
      </c>
      <c r="BJ126" s="16">
        <f t="shared" si="64"/>
        <v>0</v>
      </c>
      <c r="BK126" s="16">
        <f t="shared" si="65"/>
        <v>0</v>
      </c>
      <c r="BL126" s="16">
        <f t="shared" si="66"/>
        <v>0.16669999999999999</v>
      </c>
      <c r="BM126" s="16">
        <f t="shared" si="67"/>
        <v>0.25</v>
      </c>
      <c r="BN126" s="16">
        <f t="shared" si="68"/>
        <v>0</v>
      </c>
      <c r="BO126" s="16">
        <f t="shared" si="69"/>
        <v>0.75</v>
      </c>
      <c r="BP126" s="16">
        <f t="shared" si="70"/>
        <v>0.33329999999999999</v>
      </c>
      <c r="BQ126" s="16">
        <f t="shared" si="71"/>
        <v>29.166699999999999</v>
      </c>
      <c r="BR126" s="16">
        <f t="shared" si="72"/>
        <v>50</v>
      </c>
      <c r="BS126" s="16">
        <f t="shared" si="73"/>
        <v>20.833300000000001</v>
      </c>
      <c r="BT126" s="16">
        <f t="shared" si="74"/>
        <v>34.375</v>
      </c>
      <c r="BU126" s="16">
        <f t="shared" si="75"/>
        <v>1.0832999999999999</v>
      </c>
      <c r="BV126" s="16">
        <f t="shared" si="76"/>
        <v>11.208299999999999</v>
      </c>
      <c r="BW126" s="16">
        <f t="shared" si="77"/>
        <v>7.2201000000000004</v>
      </c>
      <c r="BX126" s="16">
        <f t="shared" si="78"/>
        <v>88.791700000000006</v>
      </c>
      <c r="BY126" s="16">
        <f t="shared" si="79"/>
        <v>0</v>
      </c>
      <c r="BZ126" s="16">
        <f t="shared" si="80"/>
        <v>0</v>
      </c>
      <c r="CA126" s="16">
        <f t="shared" si="81"/>
        <v>0</v>
      </c>
      <c r="CB126" s="16">
        <f t="shared" si="82"/>
        <v>0</v>
      </c>
      <c r="CC126" s="16">
        <f t="shared" si="83"/>
        <v>0</v>
      </c>
    </row>
    <row r="127" spans="1:81" x14ac:dyDescent="0.25">
      <c r="A127">
        <v>128</v>
      </c>
      <c r="B127" s="16">
        <f t="shared" si="4"/>
        <v>15.7</v>
      </c>
      <c r="C127" s="16">
        <f t="shared" si="5"/>
        <v>7.68</v>
      </c>
      <c r="D127" s="16">
        <f t="shared" si="6"/>
        <v>11.04</v>
      </c>
      <c r="E127" s="16">
        <f t="shared" si="7"/>
        <v>641</v>
      </c>
      <c r="F127" s="16">
        <f t="shared" si="8"/>
        <v>360</v>
      </c>
      <c r="G127" s="16">
        <f t="shared" si="9"/>
        <v>217</v>
      </c>
      <c r="H127" s="16">
        <f t="shared" si="10"/>
        <v>1218</v>
      </c>
      <c r="I127" s="16">
        <f t="shared" si="11"/>
        <v>0</v>
      </c>
      <c r="J127" s="16">
        <f t="shared" si="12"/>
        <v>3.3875000000000002</v>
      </c>
      <c r="K127" s="16">
        <f t="shared" si="13"/>
        <v>3.5874999999999999</v>
      </c>
      <c r="L127" s="16">
        <f t="shared" si="14"/>
        <v>2.5375000000000001</v>
      </c>
      <c r="M127" s="16">
        <f t="shared" si="15"/>
        <v>3.1707999999999998</v>
      </c>
      <c r="N127" s="16">
        <f t="shared" si="16"/>
        <v>0.7893</v>
      </c>
      <c r="O127" s="16">
        <f t="shared" si="17"/>
        <v>0.38379999999999997</v>
      </c>
      <c r="P127" s="16">
        <f t="shared" si="18"/>
        <v>0.215</v>
      </c>
      <c r="Q127" s="16">
        <f t="shared" si="19"/>
        <v>0.33</v>
      </c>
      <c r="R127" s="16">
        <f t="shared" si="20"/>
        <v>0.29920000000000002</v>
      </c>
      <c r="S127" s="16">
        <f t="shared" si="21"/>
        <v>0.13539999999999999</v>
      </c>
      <c r="T127" s="16">
        <f t="shared" si="22"/>
        <v>0.64</v>
      </c>
      <c r="U127" s="16">
        <f t="shared" si="23"/>
        <v>0.36</v>
      </c>
      <c r="V127" s="16">
        <f t="shared" si="24"/>
        <v>0.44</v>
      </c>
      <c r="W127" s="16">
        <f t="shared" si="25"/>
        <v>0.64</v>
      </c>
      <c r="X127" s="16">
        <f t="shared" si="26"/>
        <v>10.598100000000001</v>
      </c>
      <c r="Y127" s="16">
        <f t="shared" si="27"/>
        <v>8.1081000000000003</v>
      </c>
      <c r="Z127" s="16">
        <f t="shared" si="28"/>
        <v>62.162199999999999</v>
      </c>
      <c r="AA127" s="16">
        <f t="shared" si="29"/>
        <v>13.513500000000001</v>
      </c>
      <c r="AB127" s="16">
        <f t="shared" si="30"/>
        <v>83.783799999999999</v>
      </c>
      <c r="AC127" s="16">
        <f t="shared" si="31"/>
        <v>10.8108</v>
      </c>
      <c r="AD127" s="16">
        <f t="shared" si="32"/>
        <v>5.4054000000000002</v>
      </c>
      <c r="AE127" s="16">
        <f t="shared" si="33"/>
        <v>0</v>
      </c>
      <c r="AF127" s="16">
        <f t="shared" si="34"/>
        <v>16.216200000000001</v>
      </c>
      <c r="AG127" s="16">
        <f t="shared" si="35"/>
        <v>62.162199999999999</v>
      </c>
      <c r="AH127" s="16">
        <f t="shared" si="36"/>
        <v>3.1425000000000001</v>
      </c>
      <c r="AI127" s="16">
        <f t="shared" si="37"/>
        <v>0.28470000000000001</v>
      </c>
      <c r="AJ127" s="16">
        <f t="shared" si="38"/>
        <v>0.34499999999999997</v>
      </c>
      <c r="AK127" s="16">
        <f t="shared" si="39"/>
        <v>1.2235</v>
      </c>
      <c r="AL127" s="16">
        <f t="shared" si="40"/>
        <v>5.8780000000000001</v>
      </c>
      <c r="AM127" s="16">
        <f t="shared" si="41"/>
        <v>36</v>
      </c>
      <c r="AN127" s="16">
        <f t="shared" si="42"/>
        <v>0.55000000000000004</v>
      </c>
      <c r="AO127" s="16">
        <f t="shared" si="43"/>
        <v>0.79</v>
      </c>
      <c r="AP127" s="16">
        <f t="shared" si="44"/>
        <v>36</v>
      </c>
      <c r="AQ127" s="16">
        <f t="shared" si="45"/>
        <v>4.1666999999999996</v>
      </c>
      <c r="AR127" s="16">
        <f t="shared" si="46"/>
        <v>0.79169999999999996</v>
      </c>
      <c r="AS127" s="16">
        <f t="shared" si="47"/>
        <v>50</v>
      </c>
      <c r="AT127" s="16">
        <f t="shared" si="48"/>
        <v>0</v>
      </c>
      <c r="AU127" s="16">
        <f t="shared" si="49"/>
        <v>0</v>
      </c>
      <c r="AV127" s="16">
        <f t="shared" si="50"/>
        <v>16.666699999999999</v>
      </c>
      <c r="AW127" s="16">
        <f t="shared" si="51"/>
        <v>79.166700000000006</v>
      </c>
      <c r="AX127" s="16">
        <f t="shared" si="52"/>
        <v>0.33329999999999999</v>
      </c>
      <c r="AY127" s="16">
        <f t="shared" si="53"/>
        <v>8.3332999999999995</v>
      </c>
      <c r="AZ127" s="16">
        <f t="shared" si="54"/>
        <v>0.625</v>
      </c>
      <c r="BA127" s="16">
        <f t="shared" si="55"/>
        <v>0</v>
      </c>
      <c r="BB127" s="16">
        <f t="shared" si="56"/>
        <v>0</v>
      </c>
      <c r="BC127" s="16">
        <f t="shared" si="57"/>
        <v>0.20830000000000001</v>
      </c>
      <c r="BD127" s="16">
        <f t="shared" si="58"/>
        <v>0.70830000000000004</v>
      </c>
      <c r="BE127" s="16">
        <f t="shared" si="59"/>
        <v>0.25</v>
      </c>
      <c r="BF127" s="16">
        <f t="shared" si="60"/>
        <v>0.25</v>
      </c>
      <c r="BG127" s="16">
        <f t="shared" si="61"/>
        <v>0</v>
      </c>
      <c r="BH127" s="16">
        <f t="shared" si="62"/>
        <v>0.16669999999999999</v>
      </c>
      <c r="BI127" s="16">
        <f t="shared" si="63"/>
        <v>0</v>
      </c>
      <c r="BJ127" s="16">
        <f t="shared" si="64"/>
        <v>0</v>
      </c>
      <c r="BK127" s="16">
        <f t="shared" si="65"/>
        <v>0</v>
      </c>
      <c r="BL127" s="16">
        <f t="shared" si="66"/>
        <v>0</v>
      </c>
      <c r="BM127" s="16">
        <f t="shared" si="67"/>
        <v>4</v>
      </c>
      <c r="BN127" s="16">
        <f t="shared" si="68"/>
        <v>0.25</v>
      </c>
      <c r="BO127" s="16">
        <f t="shared" si="69"/>
        <v>0.25</v>
      </c>
      <c r="BP127" s="16">
        <f t="shared" si="70"/>
        <v>1.5</v>
      </c>
      <c r="BQ127" s="16">
        <f t="shared" si="71"/>
        <v>33.333300000000001</v>
      </c>
      <c r="BR127" s="16">
        <f t="shared" si="72"/>
        <v>50</v>
      </c>
      <c r="BS127" s="16">
        <f t="shared" si="73"/>
        <v>16.666699999999999</v>
      </c>
      <c r="BT127" s="16">
        <f t="shared" si="74"/>
        <v>27.916699999999999</v>
      </c>
      <c r="BU127" s="16">
        <f t="shared" si="75"/>
        <v>1.25</v>
      </c>
      <c r="BV127" s="16">
        <f t="shared" si="76"/>
        <v>52.648600000000002</v>
      </c>
      <c r="BW127" s="16">
        <f t="shared" si="77"/>
        <v>16.696100000000001</v>
      </c>
      <c r="BX127" s="16">
        <f t="shared" si="78"/>
        <v>47.351399999999998</v>
      </c>
      <c r="BY127" s="16">
        <f t="shared" si="79"/>
        <v>0</v>
      </c>
      <c r="BZ127" s="16">
        <f t="shared" si="80"/>
        <v>0</v>
      </c>
      <c r="CA127" s="16">
        <f t="shared" si="81"/>
        <v>0</v>
      </c>
      <c r="CB127" s="16">
        <f t="shared" si="82"/>
        <v>0</v>
      </c>
      <c r="CC127" s="16">
        <f t="shared" si="83"/>
        <v>0</v>
      </c>
    </row>
    <row r="128" spans="1:81" x14ac:dyDescent="0.25">
      <c r="A128">
        <v>130</v>
      </c>
      <c r="B128" s="16">
        <f t="shared" si="4"/>
        <v>11.2</v>
      </c>
      <c r="C128" s="16">
        <f t="shared" si="5"/>
        <v>7.7</v>
      </c>
      <c r="D128" s="16">
        <f t="shared" si="6"/>
        <v>7.4</v>
      </c>
      <c r="E128" s="16">
        <f t="shared" si="7"/>
        <v>406</v>
      </c>
      <c r="F128" s="16">
        <f t="shared" si="8"/>
        <v>653</v>
      </c>
      <c r="G128" s="16">
        <f t="shared" si="9"/>
        <v>530</v>
      </c>
      <c r="H128" s="16">
        <f t="shared" si="10"/>
        <v>1589</v>
      </c>
      <c r="I128" s="16">
        <f t="shared" si="11"/>
        <v>0.4909</v>
      </c>
      <c r="J128" s="16">
        <f t="shared" si="12"/>
        <v>3.2749999999999999</v>
      </c>
      <c r="K128" s="16">
        <f t="shared" si="13"/>
        <v>2.3374999999999999</v>
      </c>
      <c r="L128" s="16">
        <f t="shared" si="14"/>
        <v>3.1625000000000001</v>
      </c>
      <c r="M128" s="16">
        <f t="shared" si="15"/>
        <v>2.9249999999999998</v>
      </c>
      <c r="N128" s="16">
        <f t="shared" si="16"/>
        <v>1.6141000000000001</v>
      </c>
      <c r="O128" s="16">
        <f t="shared" si="17"/>
        <v>0.2833</v>
      </c>
      <c r="P128" s="16">
        <f t="shared" si="18"/>
        <v>0.17</v>
      </c>
      <c r="Q128" s="16">
        <f t="shared" si="19"/>
        <v>0.40379999999999999</v>
      </c>
      <c r="R128" s="16">
        <f t="shared" si="20"/>
        <v>0.2858</v>
      </c>
      <c r="S128" s="16">
        <f t="shared" si="21"/>
        <v>0.19850000000000001</v>
      </c>
      <c r="T128" s="16">
        <f t="shared" si="22"/>
        <v>0.57999999999999996</v>
      </c>
      <c r="U128" s="16">
        <f t="shared" si="23"/>
        <v>0.38</v>
      </c>
      <c r="V128" s="16">
        <f t="shared" si="24"/>
        <v>0.78</v>
      </c>
      <c r="W128" s="16">
        <f t="shared" si="25"/>
        <v>0.78</v>
      </c>
      <c r="X128" s="16">
        <f t="shared" si="26"/>
        <v>10.2348</v>
      </c>
      <c r="Y128" s="16">
        <f t="shared" si="27"/>
        <v>0</v>
      </c>
      <c r="Z128" s="16">
        <f t="shared" si="28"/>
        <v>45.945900000000002</v>
      </c>
      <c r="AA128" s="16">
        <f t="shared" si="29"/>
        <v>0</v>
      </c>
      <c r="AB128" s="16">
        <f t="shared" si="30"/>
        <v>45.945900000000002</v>
      </c>
      <c r="AC128" s="16">
        <f t="shared" si="31"/>
        <v>0</v>
      </c>
      <c r="AD128" s="16">
        <f t="shared" si="32"/>
        <v>54.054099999999998</v>
      </c>
      <c r="AE128" s="16">
        <f t="shared" si="33"/>
        <v>0</v>
      </c>
      <c r="AF128" s="16">
        <f t="shared" si="34"/>
        <v>54.054099999999998</v>
      </c>
      <c r="AG128" s="16">
        <f t="shared" si="35"/>
        <v>54.054099999999998</v>
      </c>
      <c r="AH128" s="16">
        <f t="shared" si="36"/>
        <v>3.0800000000000001E-2</v>
      </c>
      <c r="AI128" s="16">
        <f t="shared" si="37"/>
        <v>0.1062</v>
      </c>
      <c r="AJ128" s="16">
        <f t="shared" si="38"/>
        <v>6.7500000000000004E-2</v>
      </c>
      <c r="AK128" s="16">
        <f t="shared" si="39"/>
        <v>6.7400000000000002E-2</v>
      </c>
      <c r="AL128" s="16">
        <f t="shared" si="40"/>
        <v>0.10979999999999999</v>
      </c>
      <c r="AM128" s="16">
        <f t="shared" si="41"/>
        <v>0.15</v>
      </c>
      <c r="AN128" s="16">
        <f t="shared" si="42"/>
        <v>0.33</v>
      </c>
      <c r="AO128" s="16">
        <f t="shared" si="43"/>
        <v>0.46</v>
      </c>
      <c r="AP128" s="16">
        <f t="shared" si="44"/>
        <v>0.46</v>
      </c>
      <c r="AQ128" s="16">
        <f t="shared" si="45"/>
        <v>16.666699999999999</v>
      </c>
      <c r="AR128" s="16">
        <f t="shared" si="46"/>
        <v>0.20830000000000001</v>
      </c>
      <c r="AS128" s="16">
        <f t="shared" si="47"/>
        <v>87.5</v>
      </c>
      <c r="AT128" s="16">
        <f t="shared" si="48"/>
        <v>37.5</v>
      </c>
      <c r="AU128" s="16">
        <f t="shared" si="49"/>
        <v>62.5</v>
      </c>
      <c r="AV128" s="16">
        <f t="shared" si="50"/>
        <v>62.5</v>
      </c>
      <c r="AW128" s="16">
        <f t="shared" si="51"/>
        <v>41.666699999999999</v>
      </c>
      <c r="AX128" s="16">
        <f t="shared" si="52"/>
        <v>1.3332999999999999</v>
      </c>
      <c r="AY128" s="16">
        <f t="shared" si="53"/>
        <v>41.666699999999999</v>
      </c>
      <c r="AZ128" s="16">
        <f t="shared" si="54"/>
        <v>0.25</v>
      </c>
      <c r="BA128" s="16">
        <f t="shared" si="55"/>
        <v>0.5</v>
      </c>
      <c r="BB128" s="16">
        <f t="shared" si="56"/>
        <v>1</v>
      </c>
      <c r="BC128" s="16">
        <f t="shared" si="57"/>
        <v>0.58330000000000004</v>
      </c>
      <c r="BD128" s="16">
        <f t="shared" si="58"/>
        <v>0.79169999999999996</v>
      </c>
      <c r="BE128" s="16">
        <f t="shared" si="59"/>
        <v>0</v>
      </c>
      <c r="BF128" s="16">
        <f t="shared" si="60"/>
        <v>0</v>
      </c>
      <c r="BG128" s="16">
        <f t="shared" si="61"/>
        <v>0</v>
      </c>
      <c r="BH128" s="16">
        <f t="shared" si="62"/>
        <v>0</v>
      </c>
      <c r="BI128" s="16">
        <f t="shared" si="63"/>
        <v>3.5</v>
      </c>
      <c r="BJ128" s="16">
        <f t="shared" si="64"/>
        <v>0.5</v>
      </c>
      <c r="BK128" s="16">
        <f t="shared" si="65"/>
        <v>1.25</v>
      </c>
      <c r="BL128" s="16">
        <f t="shared" si="66"/>
        <v>1.75</v>
      </c>
      <c r="BM128" s="16">
        <f t="shared" si="67"/>
        <v>0.66669999999999996</v>
      </c>
      <c r="BN128" s="16">
        <f t="shared" si="68"/>
        <v>0.5</v>
      </c>
      <c r="BO128" s="16">
        <f t="shared" si="69"/>
        <v>2</v>
      </c>
      <c r="BP128" s="16">
        <f t="shared" si="70"/>
        <v>1.0909</v>
      </c>
      <c r="BQ128" s="16">
        <f t="shared" si="71"/>
        <v>16.666699999999999</v>
      </c>
      <c r="BR128" s="16">
        <f t="shared" si="72"/>
        <v>70.833299999999994</v>
      </c>
      <c r="BS128" s="16">
        <f t="shared" si="73"/>
        <v>12.5</v>
      </c>
      <c r="BT128" s="16">
        <f t="shared" si="74"/>
        <v>32.083300000000001</v>
      </c>
      <c r="BU128" s="16">
        <f t="shared" si="75"/>
        <v>0.41670000000000001</v>
      </c>
      <c r="BV128" s="16">
        <f t="shared" si="76"/>
        <v>9.0090000000000003</v>
      </c>
      <c r="BW128" s="16">
        <f t="shared" si="77"/>
        <v>5.1302000000000003</v>
      </c>
      <c r="BX128" s="16">
        <f t="shared" si="78"/>
        <v>90.991</v>
      </c>
      <c r="BY128" s="16">
        <f t="shared" si="79"/>
        <v>0</v>
      </c>
      <c r="BZ128" s="16">
        <f t="shared" si="80"/>
        <v>0</v>
      </c>
      <c r="CA128" s="16">
        <f t="shared" si="81"/>
        <v>0</v>
      </c>
      <c r="CB128" s="16">
        <f t="shared" si="82"/>
        <v>0</v>
      </c>
      <c r="CC128" s="16">
        <f t="shared" si="83"/>
        <v>0</v>
      </c>
    </row>
    <row r="129" spans="1:81" x14ac:dyDescent="0.25">
      <c r="A129">
        <v>135</v>
      </c>
      <c r="B129" s="16">
        <f t="shared" si="4"/>
        <v>14.5</v>
      </c>
      <c r="C129" s="16">
        <f t="shared" si="5"/>
        <v>7.78</v>
      </c>
      <c r="D129" s="16">
        <f t="shared" si="6"/>
        <v>10.3</v>
      </c>
      <c r="E129" s="16">
        <f t="shared" si="7"/>
        <v>697</v>
      </c>
      <c r="F129" s="16">
        <f t="shared" si="8"/>
        <v>627</v>
      </c>
      <c r="G129" s="16">
        <f t="shared" si="9"/>
        <v>267</v>
      </c>
      <c r="H129" s="16">
        <f t="shared" si="10"/>
        <v>1591</v>
      </c>
      <c r="I129" s="16">
        <f t="shared" si="11"/>
        <v>0</v>
      </c>
      <c r="J129" s="16">
        <f t="shared" si="12"/>
        <v>1.3625</v>
      </c>
      <c r="K129" s="16">
        <f t="shared" si="13"/>
        <v>1.425</v>
      </c>
      <c r="L129" s="16">
        <f t="shared" si="14"/>
        <v>1.4375</v>
      </c>
      <c r="M129" s="16">
        <f t="shared" si="15"/>
        <v>1.4083000000000001</v>
      </c>
      <c r="N129" s="16">
        <f t="shared" si="16"/>
        <v>0.43030000000000002</v>
      </c>
      <c r="O129" s="16">
        <f t="shared" si="17"/>
        <v>0.246</v>
      </c>
      <c r="P129" s="16">
        <f t="shared" si="18"/>
        <v>0.23799999999999999</v>
      </c>
      <c r="Q129" s="16">
        <f t="shared" si="19"/>
        <v>0.17199999999999999</v>
      </c>
      <c r="R129" s="16">
        <f t="shared" si="20"/>
        <v>0.21870000000000001</v>
      </c>
      <c r="S129" s="16">
        <f t="shared" si="21"/>
        <v>0.11409999999999999</v>
      </c>
      <c r="T129" s="16">
        <f t="shared" si="22"/>
        <v>0.56000000000000005</v>
      </c>
      <c r="U129" s="16">
        <f t="shared" si="23"/>
        <v>0.38</v>
      </c>
      <c r="V129" s="16">
        <f t="shared" si="24"/>
        <v>0.24</v>
      </c>
      <c r="W129" s="16">
        <f t="shared" si="25"/>
        <v>0.56000000000000005</v>
      </c>
      <c r="X129" s="16">
        <f t="shared" si="26"/>
        <v>6.4405000000000001</v>
      </c>
      <c r="Y129" s="16">
        <f t="shared" si="27"/>
        <v>0</v>
      </c>
      <c r="Z129" s="16">
        <f t="shared" si="28"/>
        <v>76.666700000000006</v>
      </c>
      <c r="AA129" s="16">
        <f t="shared" si="29"/>
        <v>0</v>
      </c>
      <c r="AB129" s="16">
        <f t="shared" si="30"/>
        <v>76.666700000000006</v>
      </c>
      <c r="AC129" s="16">
        <f t="shared" si="31"/>
        <v>3.3332999999999999</v>
      </c>
      <c r="AD129" s="16">
        <f t="shared" si="32"/>
        <v>20</v>
      </c>
      <c r="AE129" s="16">
        <f t="shared" si="33"/>
        <v>0</v>
      </c>
      <c r="AF129" s="16">
        <f t="shared" si="34"/>
        <v>23.333300000000001</v>
      </c>
      <c r="AG129" s="16">
        <f t="shared" si="35"/>
        <v>76.666700000000006</v>
      </c>
      <c r="AH129" s="16">
        <f t="shared" si="36"/>
        <v>0.26900000000000002</v>
      </c>
      <c r="AI129" s="16">
        <f t="shared" si="37"/>
        <v>0.15440000000000001</v>
      </c>
      <c r="AJ129" s="16">
        <f t="shared" si="38"/>
        <v>0.19</v>
      </c>
      <c r="AK129" s="16">
        <f t="shared" si="39"/>
        <v>0.1983</v>
      </c>
      <c r="AL129" s="16">
        <f t="shared" si="40"/>
        <v>0.1671</v>
      </c>
      <c r="AM129" s="16">
        <f t="shared" si="41"/>
        <v>0.9</v>
      </c>
      <c r="AN129" s="16">
        <f t="shared" si="42"/>
        <v>0.24</v>
      </c>
      <c r="AO129" s="16">
        <f t="shared" si="43"/>
        <v>0.42</v>
      </c>
      <c r="AP129" s="16">
        <f t="shared" si="44"/>
        <v>0.9</v>
      </c>
      <c r="AQ129" s="16">
        <f t="shared" si="45"/>
        <v>20.833300000000001</v>
      </c>
      <c r="AR129" s="16">
        <f t="shared" si="46"/>
        <v>0.41670000000000001</v>
      </c>
      <c r="AS129" s="16">
        <f t="shared" si="47"/>
        <v>37.5</v>
      </c>
      <c r="AT129" s="16">
        <f t="shared" si="48"/>
        <v>62.5</v>
      </c>
      <c r="AU129" s="16">
        <f t="shared" si="49"/>
        <v>12.5</v>
      </c>
      <c r="AV129" s="16">
        <f t="shared" si="50"/>
        <v>37.5</v>
      </c>
      <c r="AW129" s="16">
        <f t="shared" si="51"/>
        <v>41.666699999999999</v>
      </c>
      <c r="AX129" s="16">
        <f t="shared" si="52"/>
        <v>0.58330000000000004</v>
      </c>
      <c r="AY129" s="16">
        <f t="shared" si="53"/>
        <v>25</v>
      </c>
      <c r="AZ129" s="16">
        <f t="shared" si="54"/>
        <v>0.375</v>
      </c>
      <c r="BA129" s="16">
        <f t="shared" si="55"/>
        <v>0</v>
      </c>
      <c r="BB129" s="16">
        <f t="shared" si="56"/>
        <v>0.25</v>
      </c>
      <c r="BC129" s="16">
        <f t="shared" si="57"/>
        <v>0.20830000000000001</v>
      </c>
      <c r="BD129" s="16">
        <f t="shared" si="58"/>
        <v>0.45829999999999999</v>
      </c>
      <c r="BE129" s="16">
        <f t="shared" si="59"/>
        <v>1.25</v>
      </c>
      <c r="BF129" s="16">
        <f t="shared" si="60"/>
        <v>1.25</v>
      </c>
      <c r="BG129" s="16">
        <f t="shared" si="61"/>
        <v>0.75</v>
      </c>
      <c r="BH129" s="16">
        <f t="shared" si="62"/>
        <v>1.0832999999999999</v>
      </c>
      <c r="BI129" s="16">
        <f t="shared" si="63"/>
        <v>0</v>
      </c>
      <c r="BJ129" s="16">
        <f t="shared" si="64"/>
        <v>0</v>
      </c>
      <c r="BK129" s="16">
        <f t="shared" si="65"/>
        <v>0</v>
      </c>
      <c r="BL129" s="16">
        <f t="shared" si="66"/>
        <v>0</v>
      </c>
      <c r="BM129" s="16">
        <f t="shared" si="67"/>
        <v>1.25</v>
      </c>
      <c r="BN129" s="16">
        <f t="shared" si="68"/>
        <v>0.5</v>
      </c>
      <c r="BO129" s="16">
        <f t="shared" si="69"/>
        <v>0</v>
      </c>
      <c r="BP129" s="16">
        <f t="shared" si="70"/>
        <v>0.58330000000000004</v>
      </c>
      <c r="BQ129" s="16">
        <f t="shared" si="71"/>
        <v>0</v>
      </c>
      <c r="BR129" s="16">
        <f t="shared" si="72"/>
        <v>66.666700000000006</v>
      </c>
      <c r="BS129" s="16">
        <f t="shared" si="73"/>
        <v>33.333300000000001</v>
      </c>
      <c r="BT129" s="16">
        <f t="shared" si="74"/>
        <v>42.708300000000001</v>
      </c>
      <c r="BU129" s="16">
        <f t="shared" si="75"/>
        <v>0.58330000000000004</v>
      </c>
      <c r="BV129" s="16">
        <f t="shared" si="76"/>
        <v>94.144099999999995</v>
      </c>
      <c r="BW129" s="16">
        <f t="shared" si="77"/>
        <v>5.4116</v>
      </c>
      <c r="BX129" s="16">
        <f t="shared" si="78"/>
        <v>5.8559000000000001</v>
      </c>
      <c r="BY129" s="16">
        <f t="shared" si="79"/>
        <v>0</v>
      </c>
      <c r="BZ129" s="16">
        <f t="shared" si="80"/>
        <v>0</v>
      </c>
      <c r="CA129" s="16">
        <f t="shared" si="81"/>
        <v>0</v>
      </c>
      <c r="CB129" s="16">
        <f t="shared" si="82"/>
        <v>0</v>
      </c>
      <c r="CC129" s="16">
        <f t="shared" si="83"/>
        <v>0</v>
      </c>
    </row>
    <row r="130" spans="1:81" x14ac:dyDescent="0.25">
      <c r="A130">
        <v>149</v>
      </c>
      <c r="B130" s="16">
        <f t="shared" si="4"/>
        <v>13.1</v>
      </c>
      <c r="C130" s="16">
        <f t="shared" si="5"/>
        <v>8.1199999999999992</v>
      </c>
      <c r="D130" s="16">
        <f t="shared" si="6"/>
        <v>11.52</v>
      </c>
      <c r="E130" s="16">
        <f t="shared" si="7"/>
        <v>2178</v>
      </c>
      <c r="F130" s="16">
        <f t="shared" si="8"/>
        <v>2164</v>
      </c>
      <c r="G130" s="16">
        <f t="shared" si="9"/>
        <v>1094</v>
      </c>
      <c r="H130" s="16">
        <f t="shared" si="10"/>
        <v>5436</v>
      </c>
      <c r="I130" s="16">
        <f t="shared" si="11"/>
        <v>2.0087999999999999</v>
      </c>
      <c r="J130" s="16">
        <f t="shared" si="12"/>
        <v>4.6124999999999998</v>
      </c>
      <c r="K130" s="16">
        <f t="shared" si="13"/>
        <v>4.3188000000000004</v>
      </c>
      <c r="L130" s="16">
        <f t="shared" si="14"/>
        <v>7.3688000000000002</v>
      </c>
      <c r="M130" s="16">
        <f t="shared" si="15"/>
        <v>5.4333</v>
      </c>
      <c r="N130" s="16">
        <f t="shared" si="16"/>
        <v>1.9114</v>
      </c>
      <c r="O130" s="16">
        <f t="shared" si="17"/>
        <v>0.29530000000000001</v>
      </c>
      <c r="P130" s="16">
        <f t="shared" si="18"/>
        <v>0.2331</v>
      </c>
      <c r="Q130" s="16">
        <f t="shared" si="19"/>
        <v>0.65190000000000003</v>
      </c>
      <c r="R130" s="16">
        <f t="shared" si="20"/>
        <v>0.39550000000000002</v>
      </c>
      <c r="S130" s="16">
        <f t="shared" si="21"/>
        <v>0.25919999999999999</v>
      </c>
      <c r="T130" s="16">
        <f t="shared" si="22"/>
        <v>0.68</v>
      </c>
      <c r="U130" s="16">
        <f t="shared" si="23"/>
        <v>0.66</v>
      </c>
      <c r="V130" s="16">
        <f t="shared" si="24"/>
        <v>0.98</v>
      </c>
      <c r="W130" s="16">
        <f t="shared" si="25"/>
        <v>0.98</v>
      </c>
      <c r="X130" s="16">
        <f t="shared" si="26"/>
        <v>13.736800000000001</v>
      </c>
      <c r="Y130" s="16">
        <f t="shared" si="27"/>
        <v>2.1739000000000002</v>
      </c>
      <c r="Z130" s="16">
        <f t="shared" si="28"/>
        <v>30.434799999999999</v>
      </c>
      <c r="AA130" s="16">
        <f t="shared" si="29"/>
        <v>0</v>
      </c>
      <c r="AB130" s="16">
        <f t="shared" si="30"/>
        <v>32.608699999999999</v>
      </c>
      <c r="AC130" s="16">
        <f t="shared" si="31"/>
        <v>0</v>
      </c>
      <c r="AD130" s="16">
        <f t="shared" si="32"/>
        <v>65.217399999999998</v>
      </c>
      <c r="AE130" s="16">
        <f t="shared" si="33"/>
        <v>2.1739000000000002</v>
      </c>
      <c r="AF130" s="16">
        <f t="shared" si="34"/>
        <v>67.391300000000001</v>
      </c>
      <c r="AG130" s="16">
        <f t="shared" si="35"/>
        <v>65.217399999999998</v>
      </c>
      <c r="AH130" s="16">
        <f t="shared" si="36"/>
        <v>0.3513</v>
      </c>
      <c r="AI130" s="16">
        <f t="shared" si="37"/>
        <v>0.31130000000000002</v>
      </c>
      <c r="AJ130" s="16">
        <f t="shared" si="38"/>
        <v>2.2499999999999999E-2</v>
      </c>
      <c r="AK130" s="16">
        <f t="shared" si="39"/>
        <v>0.22570000000000001</v>
      </c>
      <c r="AL130" s="16">
        <f t="shared" si="40"/>
        <v>0.2782</v>
      </c>
      <c r="AM130" s="16">
        <f t="shared" si="41"/>
        <v>1.02</v>
      </c>
      <c r="AN130" s="16">
        <f t="shared" si="42"/>
        <v>0.85</v>
      </c>
      <c r="AO130" s="16">
        <f t="shared" si="43"/>
        <v>7.0000000000000007E-2</v>
      </c>
      <c r="AP130" s="16">
        <f t="shared" si="44"/>
        <v>1.02</v>
      </c>
      <c r="AQ130" s="16">
        <f t="shared" si="45"/>
        <v>33.333300000000001</v>
      </c>
      <c r="AR130" s="16">
        <f t="shared" si="46"/>
        <v>0.13039999999999999</v>
      </c>
      <c r="AS130" s="16">
        <f t="shared" si="47"/>
        <v>37.5</v>
      </c>
      <c r="AT130" s="16">
        <f t="shared" si="48"/>
        <v>12.5</v>
      </c>
      <c r="AU130" s="16">
        <f t="shared" si="49"/>
        <v>100</v>
      </c>
      <c r="AV130" s="16">
        <f t="shared" si="50"/>
        <v>50</v>
      </c>
      <c r="AW130" s="16">
        <f t="shared" si="51"/>
        <v>41.666699999999999</v>
      </c>
      <c r="AX130" s="16">
        <f t="shared" si="52"/>
        <v>0.41670000000000001</v>
      </c>
      <c r="AY130" s="16">
        <f t="shared" si="53"/>
        <v>8.3332999999999995</v>
      </c>
      <c r="AZ130" s="16">
        <f t="shared" si="54"/>
        <v>0.5</v>
      </c>
      <c r="BA130" s="16">
        <f t="shared" si="55"/>
        <v>0.25</v>
      </c>
      <c r="BB130" s="16">
        <f t="shared" si="56"/>
        <v>0</v>
      </c>
      <c r="BC130" s="16">
        <f t="shared" si="57"/>
        <v>0.25</v>
      </c>
      <c r="BD130" s="16">
        <f t="shared" si="58"/>
        <v>1.0832999999999999</v>
      </c>
      <c r="BE130" s="16">
        <f t="shared" si="59"/>
        <v>0.75</v>
      </c>
      <c r="BF130" s="16">
        <f t="shared" si="60"/>
        <v>0</v>
      </c>
      <c r="BG130" s="16">
        <f t="shared" si="61"/>
        <v>1.25</v>
      </c>
      <c r="BH130" s="16">
        <f t="shared" si="62"/>
        <v>0.66669999999999996</v>
      </c>
      <c r="BI130" s="16">
        <f t="shared" si="63"/>
        <v>0.5</v>
      </c>
      <c r="BJ130" s="16">
        <f t="shared" si="64"/>
        <v>0</v>
      </c>
      <c r="BK130" s="16">
        <f t="shared" si="65"/>
        <v>0.5</v>
      </c>
      <c r="BL130" s="16">
        <f t="shared" si="66"/>
        <v>0.33329999999999999</v>
      </c>
      <c r="BM130" s="16">
        <f t="shared" si="67"/>
        <v>2</v>
      </c>
      <c r="BN130" s="16">
        <f t="shared" si="68"/>
        <v>0</v>
      </c>
      <c r="BO130" s="16">
        <f t="shared" si="69"/>
        <v>3.25</v>
      </c>
      <c r="BP130" s="16">
        <f t="shared" si="70"/>
        <v>1.75</v>
      </c>
      <c r="BQ130" s="16">
        <f t="shared" si="71"/>
        <v>16.666699999999999</v>
      </c>
      <c r="BR130" s="16">
        <f t="shared" si="72"/>
        <v>66.666700000000006</v>
      </c>
      <c r="BS130" s="16">
        <f t="shared" si="73"/>
        <v>16.666699999999999</v>
      </c>
      <c r="BT130" s="16">
        <f t="shared" si="74"/>
        <v>37.708300000000001</v>
      </c>
      <c r="BU130" s="16">
        <f t="shared" si="75"/>
        <v>0.45829999999999999</v>
      </c>
      <c r="BV130" s="16">
        <f t="shared" si="76"/>
        <v>53.753799999999998</v>
      </c>
      <c r="BW130" s="16">
        <f t="shared" si="77"/>
        <v>11.9971</v>
      </c>
      <c r="BX130" s="16">
        <f t="shared" si="78"/>
        <v>46.246200000000002</v>
      </c>
      <c r="BY130" s="16">
        <f t="shared" si="79"/>
        <v>0</v>
      </c>
      <c r="BZ130" s="16">
        <f t="shared" si="80"/>
        <v>0</v>
      </c>
      <c r="CA130" s="16">
        <f t="shared" si="81"/>
        <v>0</v>
      </c>
      <c r="CB130" s="16">
        <f t="shared" si="82"/>
        <v>0</v>
      </c>
      <c r="CC130" s="16">
        <f t="shared" si="83"/>
        <v>0</v>
      </c>
    </row>
    <row r="131" spans="1:81" x14ac:dyDescent="0.25">
      <c r="A131">
        <v>154</v>
      </c>
      <c r="B131" s="16">
        <f t="shared" si="4"/>
        <v>15.4</v>
      </c>
      <c r="C131" s="16">
        <f t="shared" si="5"/>
        <v>8.44</v>
      </c>
      <c r="D131" s="16">
        <f t="shared" si="6"/>
        <v>14.32</v>
      </c>
      <c r="E131" s="16">
        <f t="shared" si="7"/>
        <v>1593</v>
      </c>
      <c r="F131" s="16">
        <f t="shared" si="8"/>
        <v>1509</v>
      </c>
      <c r="G131" s="16">
        <f t="shared" si="9"/>
        <v>1473</v>
      </c>
      <c r="H131" s="16">
        <f t="shared" si="10"/>
        <v>4575</v>
      </c>
      <c r="I131" s="16">
        <f t="shared" si="11"/>
        <v>0.93110000000000004</v>
      </c>
      <c r="J131" s="16">
        <f t="shared" si="12"/>
        <v>4.1500000000000004</v>
      </c>
      <c r="K131" s="16">
        <f t="shared" si="13"/>
        <v>3.375</v>
      </c>
      <c r="L131" s="16">
        <f t="shared" si="14"/>
        <v>4.2374999999999998</v>
      </c>
      <c r="M131" s="16">
        <f t="shared" si="15"/>
        <v>3.9207999999999998</v>
      </c>
      <c r="N131" s="16">
        <f t="shared" si="16"/>
        <v>1.7988</v>
      </c>
      <c r="O131" s="16">
        <f t="shared" si="17"/>
        <v>0.34770000000000001</v>
      </c>
      <c r="P131" s="16">
        <f t="shared" si="18"/>
        <v>0.23</v>
      </c>
      <c r="Q131" s="16">
        <f t="shared" si="19"/>
        <v>0.35170000000000001</v>
      </c>
      <c r="R131" s="16">
        <f t="shared" si="20"/>
        <v>0.31080000000000002</v>
      </c>
      <c r="S131" s="16">
        <f t="shared" si="21"/>
        <v>0.22270000000000001</v>
      </c>
      <c r="T131" s="16">
        <f t="shared" si="22"/>
        <v>0.74</v>
      </c>
      <c r="U131" s="16">
        <f t="shared" si="23"/>
        <v>0.57999999999999996</v>
      </c>
      <c r="V131" s="16">
        <f t="shared" si="24"/>
        <v>1</v>
      </c>
      <c r="W131" s="16">
        <f t="shared" si="25"/>
        <v>1</v>
      </c>
      <c r="X131" s="16">
        <f t="shared" si="26"/>
        <v>12.6149</v>
      </c>
      <c r="Y131" s="16">
        <f t="shared" si="27"/>
        <v>0</v>
      </c>
      <c r="Z131" s="16">
        <f t="shared" si="28"/>
        <v>2.7027000000000001</v>
      </c>
      <c r="AA131" s="16">
        <f t="shared" si="29"/>
        <v>0</v>
      </c>
      <c r="AB131" s="16">
        <f t="shared" si="30"/>
        <v>2.7027000000000001</v>
      </c>
      <c r="AC131" s="16">
        <f t="shared" si="31"/>
        <v>0</v>
      </c>
      <c r="AD131" s="16">
        <f t="shared" si="32"/>
        <v>94.5946</v>
      </c>
      <c r="AE131" s="16">
        <f t="shared" si="33"/>
        <v>2.7027000000000001</v>
      </c>
      <c r="AF131" s="16">
        <f t="shared" si="34"/>
        <v>97.297300000000007</v>
      </c>
      <c r="AG131" s="16">
        <f t="shared" si="35"/>
        <v>94.5946</v>
      </c>
      <c r="AH131" s="16">
        <f t="shared" si="36"/>
        <v>0.15579999999999999</v>
      </c>
      <c r="AI131" s="16">
        <f t="shared" si="37"/>
        <v>0.31180000000000002</v>
      </c>
      <c r="AJ131" s="16">
        <f t="shared" si="38"/>
        <v>0.2492</v>
      </c>
      <c r="AK131" s="16">
        <f t="shared" si="39"/>
        <v>0.23139999999999999</v>
      </c>
      <c r="AL131" s="16">
        <f t="shared" si="40"/>
        <v>0.26200000000000001</v>
      </c>
      <c r="AM131" s="16">
        <f t="shared" si="41"/>
        <v>0.97</v>
      </c>
      <c r="AN131" s="16">
        <f t="shared" si="42"/>
        <v>0.74</v>
      </c>
      <c r="AO131" s="16">
        <f t="shared" si="43"/>
        <v>0.8</v>
      </c>
      <c r="AP131" s="16">
        <f t="shared" si="44"/>
        <v>0.97</v>
      </c>
      <c r="AQ131" s="16">
        <f t="shared" si="45"/>
        <v>41.666699999999999</v>
      </c>
      <c r="AR131" s="16">
        <f t="shared" si="46"/>
        <v>0.20830000000000001</v>
      </c>
      <c r="AS131" s="16">
        <f t="shared" si="47"/>
        <v>50</v>
      </c>
      <c r="AT131" s="16">
        <f t="shared" si="48"/>
        <v>12.5</v>
      </c>
      <c r="AU131" s="16">
        <f t="shared" si="49"/>
        <v>50</v>
      </c>
      <c r="AV131" s="16">
        <f t="shared" si="50"/>
        <v>37.5</v>
      </c>
      <c r="AW131" s="16">
        <f t="shared" si="51"/>
        <v>41.666699999999999</v>
      </c>
      <c r="AX131" s="16">
        <f t="shared" si="52"/>
        <v>0.75</v>
      </c>
      <c r="AY131" s="16">
        <f t="shared" si="53"/>
        <v>8.3332999999999995</v>
      </c>
      <c r="AZ131" s="16">
        <f t="shared" si="54"/>
        <v>0</v>
      </c>
      <c r="BA131" s="16">
        <f t="shared" si="55"/>
        <v>0</v>
      </c>
      <c r="BB131" s="16">
        <f t="shared" si="56"/>
        <v>0</v>
      </c>
      <c r="BC131" s="16">
        <f t="shared" si="57"/>
        <v>0</v>
      </c>
      <c r="BD131" s="16">
        <f t="shared" si="58"/>
        <v>0.20830000000000001</v>
      </c>
      <c r="BE131" s="16">
        <f t="shared" si="59"/>
        <v>0</v>
      </c>
      <c r="BF131" s="16">
        <f t="shared" si="60"/>
        <v>1.25</v>
      </c>
      <c r="BG131" s="16">
        <f t="shared" si="61"/>
        <v>1.75</v>
      </c>
      <c r="BH131" s="16">
        <f t="shared" si="62"/>
        <v>1</v>
      </c>
      <c r="BI131" s="16">
        <f t="shared" si="63"/>
        <v>0.25</v>
      </c>
      <c r="BJ131" s="16">
        <f t="shared" si="64"/>
        <v>0.25</v>
      </c>
      <c r="BK131" s="16">
        <f t="shared" si="65"/>
        <v>0.75</v>
      </c>
      <c r="BL131" s="16">
        <f t="shared" si="66"/>
        <v>0.41670000000000001</v>
      </c>
      <c r="BM131" s="16">
        <f t="shared" si="67"/>
        <v>2.25</v>
      </c>
      <c r="BN131" s="16">
        <f t="shared" si="68"/>
        <v>0.75</v>
      </c>
      <c r="BO131" s="16">
        <f t="shared" si="69"/>
        <v>1.5</v>
      </c>
      <c r="BP131" s="16">
        <f t="shared" si="70"/>
        <v>1.5</v>
      </c>
      <c r="BQ131" s="16">
        <f t="shared" si="71"/>
        <v>16.666699999999999</v>
      </c>
      <c r="BR131" s="16">
        <f t="shared" si="72"/>
        <v>62.5</v>
      </c>
      <c r="BS131" s="16">
        <f t="shared" si="73"/>
        <v>20.833300000000001</v>
      </c>
      <c r="BT131" s="16">
        <f t="shared" si="74"/>
        <v>38.75</v>
      </c>
      <c r="BU131" s="16">
        <f t="shared" si="75"/>
        <v>0.25</v>
      </c>
      <c r="BV131" s="16">
        <f t="shared" si="76"/>
        <v>89.348200000000006</v>
      </c>
      <c r="BW131" s="16">
        <f t="shared" si="77"/>
        <v>10.742000000000001</v>
      </c>
      <c r="BX131" s="16">
        <f t="shared" si="78"/>
        <v>10.6518</v>
      </c>
      <c r="BY131" s="16">
        <f t="shared" si="79"/>
        <v>0</v>
      </c>
      <c r="BZ131" s="16">
        <f t="shared" si="80"/>
        <v>0</v>
      </c>
      <c r="CA131" s="16">
        <f t="shared" si="81"/>
        <v>0</v>
      </c>
      <c r="CB131" s="16">
        <f t="shared" si="82"/>
        <v>0</v>
      </c>
      <c r="CC131" s="16">
        <f t="shared" si="83"/>
        <v>0</v>
      </c>
    </row>
    <row r="132" spans="1:81" x14ac:dyDescent="0.25">
      <c r="A132">
        <v>156</v>
      </c>
      <c r="B132" s="16">
        <f t="shared" si="4"/>
        <v>10.5</v>
      </c>
      <c r="C132" s="16">
        <f t="shared" si="5"/>
        <v>8.3800000000000008</v>
      </c>
      <c r="D132" s="16">
        <f t="shared" si="6"/>
        <v>13.25</v>
      </c>
      <c r="E132" s="16">
        <f t="shared" si="7"/>
        <v>443</v>
      </c>
      <c r="F132" s="16">
        <f t="shared" si="8"/>
        <v>358</v>
      </c>
      <c r="G132" s="16">
        <f t="shared" si="9"/>
        <v>437</v>
      </c>
      <c r="H132" s="16">
        <f t="shared" si="10"/>
        <v>1238</v>
      </c>
      <c r="I132" s="16">
        <f t="shared" si="11"/>
        <v>0.33929999999999999</v>
      </c>
      <c r="J132" s="16">
        <f t="shared" si="12"/>
        <v>4.4000000000000004</v>
      </c>
      <c r="K132" s="16">
        <f t="shared" si="13"/>
        <v>3.1124999999999998</v>
      </c>
      <c r="L132" s="16">
        <f t="shared" si="14"/>
        <v>2.4874999999999998</v>
      </c>
      <c r="M132" s="16">
        <f t="shared" si="15"/>
        <v>3.3332999999999999</v>
      </c>
      <c r="N132" s="16">
        <f t="shared" si="16"/>
        <v>1.4686999999999999</v>
      </c>
      <c r="O132" s="16">
        <f t="shared" si="17"/>
        <v>0.23250000000000001</v>
      </c>
      <c r="P132" s="16">
        <f t="shared" si="18"/>
        <v>0.1933</v>
      </c>
      <c r="Q132" s="16">
        <f t="shared" si="19"/>
        <v>0.15329999999999999</v>
      </c>
      <c r="R132" s="16">
        <f t="shared" si="20"/>
        <v>0.19700000000000001</v>
      </c>
      <c r="S132" s="16">
        <f t="shared" si="21"/>
        <v>0.11990000000000001</v>
      </c>
      <c r="T132" s="16">
        <f t="shared" si="22"/>
        <v>0.54</v>
      </c>
      <c r="U132" s="16">
        <f t="shared" si="23"/>
        <v>0.52</v>
      </c>
      <c r="V132" s="16">
        <f t="shared" si="24"/>
        <v>0.3</v>
      </c>
      <c r="W132" s="16">
        <f t="shared" si="25"/>
        <v>0.54</v>
      </c>
      <c r="X132" s="16">
        <f t="shared" si="26"/>
        <v>16.920500000000001</v>
      </c>
      <c r="Y132" s="16">
        <f t="shared" si="27"/>
        <v>2.5</v>
      </c>
      <c r="Z132" s="16">
        <f t="shared" si="28"/>
        <v>5</v>
      </c>
      <c r="AA132" s="16">
        <f t="shared" si="29"/>
        <v>7.5</v>
      </c>
      <c r="AB132" s="16">
        <f t="shared" si="30"/>
        <v>15</v>
      </c>
      <c r="AC132" s="16">
        <f t="shared" si="31"/>
        <v>2.5</v>
      </c>
      <c r="AD132" s="16">
        <f t="shared" si="32"/>
        <v>82.5</v>
      </c>
      <c r="AE132" s="16">
        <f t="shared" si="33"/>
        <v>0</v>
      </c>
      <c r="AF132" s="16">
        <f t="shared" si="34"/>
        <v>85</v>
      </c>
      <c r="AG132" s="16">
        <f t="shared" si="35"/>
        <v>82.5</v>
      </c>
      <c r="AH132" s="16">
        <f t="shared" si="36"/>
        <v>0.19670000000000001</v>
      </c>
      <c r="AI132" s="16">
        <f t="shared" si="37"/>
        <v>0.27360000000000001</v>
      </c>
      <c r="AJ132" s="16">
        <f t="shared" si="38"/>
        <v>0.30359999999999998</v>
      </c>
      <c r="AK132" s="16">
        <f t="shared" si="39"/>
        <v>0.26650000000000001</v>
      </c>
      <c r="AL132" s="16">
        <f t="shared" si="40"/>
        <v>0.19520000000000001</v>
      </c>
      <c r="AM132" s="16">
        <f t="shared" si="41"/>
        <v>0.42</v>
      </c>
      <c r="AN132" s="16">
        <f t="shared" si="42"/>
        <v>0.56000000000000005</v>
      </c>
      <c r="AO132" s="16">
        <f t="shared" si="43"/>
        <v>0.8</v>
      </c>
      <c r="AP132" s="16">
        <f t="shared" si="44"/>
        <v>0.8</v>
      </c>
      <c r="AQ132" s="16">
        <f t="shared" si="45"/>
        <v>62.5</v>
      </c>
      <c r="AR132" s="16">
        <f t="shared" si="46"/>
        <v>0.25</v>
      </c>
      <c r="AS132" s="16">
        <f t="shared" si="47"/>
        <v>25</v>
      </c>
      <c r="AT132" s="16">
        <f t="shared" si="48"/>
        <v>12.5</v>
      </c>
      <c r="AU132" s="16">
        <f t="shared" si="49"/>
        <v>0</v>
      </c>
      <c r="AV132" s="16">
        <f t="shared" si="50"/>
        <v>12.5</v>
      </c>
      <c r="AW132" s="16">
        <f t="shared" si="51"/>
        <v>62.5</v>
      </c>
      <c r="AX132" s="16">
        <f t="shared" si="52"/>
        <v>0.83330000000000004</v>
      </c>
      <c r="AY132" s="16">
        <f t="shared" si="53"/>
        <v>16.666699999999999</v>
      </c>
      <c r="AZ132" s="16">
        <f t="shared" si="54"/>
        <v>1.25</v>
      </c>
      <c r="BA132" s="16">
        <f t="shared" si="55"/>
        <v>0</v>
      </c>
      <c r="BB132" s="16">
        <f t="shared" si="56"/>
        <v>0.75</v>
      </c>
      <c r="BC132" s="16">
        <f t="shared" si="57"/>
        <v>0.66669999999999996</v>
      </c>
      <c r="BD132" s="16">
        <f t="shared" si="58"/>
        <v>1.0832999999999999</v>
      </c>
      <c r="BE132" s="16">
        <f t="shared" si="59"/>
        <v>0</v>
      </c>
      <c r="BF132" s="16">
        <f t="shared" si="60"/>
        <v>0.25</v>
      </c>
      <c r="BG132" s="16">
        <f t="shared" si="61"/>
        <v>0</v>
      </c>
      <c r="BH132" s="16">
        <f t="shared" si="62"/>
        <v>8.3299999999999999E-2</v>
      </c>
      <c r="BI132" s="16">
        <f t="shared" si="63"/>
        <v>0.25</v>
      </c>
      <c r="BJ132" s="16">
        <f t="shared" si="64"/>
        <v>1</v>
      </c>
      <c r="BK132" s="16">
        <f t="shared" si="65"/>
        <v>1</v>
      </c>
      <c r="BL132" s="16">
        <f t="shared" si="66"/>
        <v>0.75</v>
      </c>
      <c r="BM132" s="16">
        <f t="shared" si="67"/>
        <v>0.75</v>
      </c>
      <c r="BN132" s="16">
        <f t="shared" si="68"/>
        <v>0.25</v>
      </c>
      <c r="BO132" s="16">
        <f t="shared" si="69"/>
        <v>1</v>
      </c>
      <c r="BP132" s="16">
        <f t="shared" si="70"/>
        <v>0.66669999999999996</v>
      </c>
      <c r="BQ132" s="16">
        <f t="shared" si="71"/>
        <v>29.166699999999999</v>
      </c>
      <c r="BR132" s="16">
        <f t="shared" si="72"/>
        <v>50</v>
      </c>
      <c r="BS132" s="16">
        <f t="shared" si="73"/>
        <v>20.833300000000001</v>
      </c>
      <c r="BT132" s="16">
        <f t="shared" si="74"/>
        <v>30</v>
      </c>
      <c r="BU132" s="16">
        <f t="shared" si="75"/>
        <v>0.58330000000000004</v>
      </c>
      <c r="BV132" s="16">
        <f t="shared" si="76"/>
        <v>2.7778</v>
      </c>
      <c r="BW132" s="16">
        <f t="shared" si="77"/>
        <v>2.1711</v>
      </c>
      <c r="BX132" s="16">
        <f t="shared" si="78"/>
        <v>97.222200000000001</v>
      </c>
      <c r="BY132" s="16">
        <f t="shared" si="79"/>
        <v>0</v>
      </c>
      <c r="BZ132" s="16">
        <f t="shared" si="80"/>
        <v>0</v>
      </c>
      <c r="CA132" s="16">
        <f t="shared" si="81"/>
        <v>0</v>
      </c>
      <c r="CB132" s="16">
        <f t="shared" si="82"/>
        <v>0</v>
      </c>
      <c r="CC132" s="16">
        <f t="shared" si="83"/>
        <v>0</v>
      </c>
    </row>
    <row r="133" spans="1:81" x14ac:dyDescent="0.25">
      <c r="A133">
        <v>157</v>
      </c>
      <c r="B133" s="16">
        <f t="shared" si="4"/>
        <v>14.8</v>
      </c>
      <c r="C133" s="16">
        <f t="shared" si="5"/>
        <v>8.1999999999999993</v>
      </c>
      <c r="D133" s="16">
        <f t="shared" si="6"/>
        <v>10.8</v>
      </c>
      <c r="E133" s="16">
        <f t="shared" si="7"/>
        <v>1260</v>
      </c>
      <c r="F133" s="16">
        <f t="shared" si="8"/>
        <v>1262</v>
      </c>
      <c r="G133" s="16">
        <f t="shared" si="9"/>
        <v>804</v>
      </c>
      <c r="H133" s="16">
        <f t="shared" si="10"/>
        <v>3326</v>
      </c>
      <c r="I133" s="16">
        <f t="shared" si="11"/>
        <v>2.8683000000000001</v>
      </c>
      <c r="J133" s="16">
        <f t="shared" si="12"/>
        <v>7.65</v>
      </c>
      <c r="K133" s="16">
        <f t="shared" si="13"/>
        <v>5.7</v>
      </c>
      <c r="L133" s="16">
        <f t="shared" si="14"/>
        <v>3.8875000000000002</v>
      </c>
      <c r="M133" s="16">
        <f t="shared" si="15"/>
        <v>5.7458</v>
      </c>
      <c r="N133" s="16">
        <f t="shared" si="16"/>
        <v>2.3361000000000001</v>
      </c>
      <c r="O133" s="16">
        <f t="shared" si="17"/>
        <v>0.36130000000000001</v>
      </c>
      <c r="P133" s="16">
        <f t="shared" si="18"/>
        <v>0.35060000000000002</v>
      </c>
      <c r="Q133" s="16">
        <f t="shared" si="19"/>
        <v>0.58440000000000003</v>
      </c>
      <c r="R133" s="16">
        <f t="shared" si="20"/>
        <v>0.43209999999999998</v>
      </c>
      <c r="S133" s="16">
        <f t="shared" si="21"/>
        <v>0.184</v>
      </c>
      <c r="T133" s="16">
        <f t="shared" si="22"/>
        <v>0.6</v>
      </c>
      <c r="U133" s="16">
        <f t="shared" si="23"/>
        <v>0.65</v>
      </c>
      <c r="V133" s="16">
        <f t="shared" si="24"/>
        <v>0.8</v>
      </c>
      <c r="W133" s="16">
        <f t="shared" si="25"/>
        <v>0.8</v>
      </c>
      <c r="X133" s="16">
        <f t="shared" si="26"/>
        <v>13.298</v>
      </c>
      <c r="Y133" s="16">
        <f t="shared" si="27"/>
        <v>0</v>
      </c>
      <c r="Z133" s="16">
        <f t="shared" si="28"/>
        <v>45.833300000000001</v>
      </c>
      <c r="AA133" s="16">
        <f t="shared" si="29"/>
        <v>0</v>
      </c>
      <c r="AB133" s="16">
        <f t="shared" si="30"/>
        <v>45.833300000000001</v>
      </c>
      <c r="AC133" s="16">
        <f t="shared" si="31"/>
        <v>0</v>
      </c>
      <c r="AD133" s="16">
        <f t="shared" si="32"/>
        <v>50</v>
      </c>
      <c r="AE133" s="16">
        <f t="shared" si="33"/>
        <v>4.1666999999999996</v>
      </c>
      <c r="AF133" s="16">
        <f t="shared" si="34"/>
        <v>54.166699999999999</v>
      </c>
      <c r="AG133" s="16">
        <f t="shared" si="35"/>
        <v>50</v>
      </c>
      <c r="AH133" s="16">
        <f t="shared" si="36"/>
        <v>0.2419</v>
      </c>
      <c r="AI133" s="16">
        <f t="shared" si="37"/>
        <v>0.19500000000000001</v>
      </c>
      <c r="AJ133" s="16">
        <f t="shared" si="38"/>
        <v>9.7500000000000003E-2</v>
      </c>
      <c r="AK133" s="16">
        <f t="shared" si="39"/>
        <v>0.17810000000000001</v>
      </c>
      <c r="AL133" s="16">
        <f t="shared" si="40"/>
        <v>0.2009</v>
      </c>
      <c r="AM133" s="16">
        <f t="shared" si="41"/>
        <v>1.1000000000000001</v>
      </c>
      <c r="AN133" s="16">
        <f t="shared" si="42"/>
        <v>0.38</v>
      </c>
      <c r="AO133" s="16">
        <f t="shared" si="43"/>
        <v>0.17</v>
      </c>
      <c r="AP133" s="16">
        <f t="shared" si="44"/>
        <v>1.1000000000000001</v>
      </c>
      <c r="AQ133" s="16">
        <f t="shared" si="45"/>
        <v>8.3332999999999995</v>
      </c>
      <c r="AR133" s="16">
        <f t="shared" si="46"/>
        <v>0.52170000000000005</v>
      </c>
      <c r="AS133" s="16">
        <f t="shared" si="47"/>
        <v>12.5</v>
      </c>
      <c r="AT133" s="16">
        <f t="shared" si="48"/>
        <v>12.5</v>
      </c>
      <c r="AU133" s="16">
        <f t="shared" si="49"/>
        <v>87.5</v>
      </c>
      <c r="AV133" s="16">
        <f t="shared" si="50"/>
        <v>37.5</v>
      </c>
      <c r="AW133" s="16">
        <f t="shared" si="51"/>
        <v>50</v>
      </c>
      <c r="AX133" s="16">
        <f t="shared" si="52"/>
        <v>0.66669999999999996</v>
      </c>
      <c r="AY133" s="16">
        <f t="shared" si="53"/>
        <v>25</v>
      </c>
      <c r="AZ133" s="16">
        <f t="shared" si="54"/>
        <v>0</v>
      </c>
      <c r="BA133" s="16">
        <f t="shared" si="55"/>
        <v>0.25</v>
      </c>
      <c r="BB133" s="16">
        <f t="shared" si="56"/>
        <v>0</v>
      </c>
      <c r="BC133" s="16">
        <f t="shared" si="57"/>
        <v>8.3299999999999999E-2</v>
      </c>
      <c r="BD133" s="16">
        <f t="shared" si="58"/>
        <v>0.29170000000000001</v>
      </c>
      <c r="BE133" s="16">
        <f t="shared" si="59"/>
        <v>0.25</v>
      </c>
      <c r="BF133" s="16">
        <f t="shared" si="60"/>
        <v>0.5</v>
      </c>
      <c r="BG133" s="16">
        <f t="shared" si="61"/>
        <v>1</v>
      </c>
      <c r="BH133" s="16">
        <f t="shared" si="62"/>
        <v>0.58330000000000004</v>
      </c>
      <c r="BI133" s="16">
        <f t="shared" si="63"/>
        <v>1</v>
      </c>
      <c r="BJ133" s="16">
        <f t="shared" si="64"/>
        <v>1.25</v>
      </c>
      <c r="BK133" s="16">
        <f t="shared" si="65"/>
        <v>0</v>
      </c>
      <c r="BL133" s="16">
        <f t="shared" si="66"/>
        <v>0.75</v>
      </c>
      <c r="BM133" s="16">
        <f t="shared" si="67"/>
        <v>1.25</v>
      </c>
      <c r="BN133" s="16">
        <f t="shared" si="68"/>
        <v>1</v>
      </c>
      <c r="BO133" s="16">
        <f t="shared" si="69"/>
        <v>1.75</v>
      </c>
      <c r="BP133" s="16">
        <f t="shared" si="70"/>
        <v>1.3332999999999999</v>
      </c>
      <c r="BQ133" s="16">
        <f t="shared" si="71"/>
        <v>20.833300000000001</v>
      </c>
      <c r="BR133" s="16">
        <f t="shared" si="72"/>
        <v>58.333300000000001</v>
      </c>
      <c r="BS133" s="16">
        <f t="shared" si="73"/>
        <v>20.833300000000001</v>
      </c>
      <c r="BT133" s="16">
        <f t="shared" si="74"/>
        <v>37.5</v>
      </c>
      <c r="BU133" s="16">
        <f t="shared" si="75"/>
        <v>0.41670000000000001</v>
      </c>
      <c r="BV133" s="16">
        <f t="shared" si="76"/>
        <v>64.864900000000006</v>
      </c>
      <c r="BW133" s="16">
        <f t="shared" si="77"/>
        <v>15.831799999999999</v>
      </c>
      <c r="BX133" s="16">
        <f t="shared" si="78"/>
        <v>35.135100000000001</v>
      </c>
      <c r="BY133" s="16">
        <f t="shared" si="79"/>
        <v>0</v>
      </c>
      <c r="BZ133" s="16">
        <f t="shared" si="80"/>
        <v>0</v>
      </c>
      <c r="CA133" s="16">
        <f t="shared" si="81"/>
        <v>0</v>
      </c>
      <c r="CB133" s="16">
        <f t="shared" si="82"/>
        <v>0</v>
      </c>
      <c r="CC133" s="16">
        <f t="shared" si="83"/>
        <v>0</v>
      </c>
    </row>
    <row r="134" spans="1:81" x14ac:dyDescent="0.25">
      <c r="A134">
        <v>163</v>
      </c>
      <c r="B134" s="16">
        <f t="shared" si="4"/>
        <v>16</v>
      </c>
      <c r="C134" s="16">
        <f t="shared" si="5"/>
        <v>8.5</v>
      </c>
      <c r="D134" s="16">
        <f t="shared" si="6"/>
        <v>10.29</v>
      </c>
      <c r="E134" s="16">
        <f t="shared" si="7"/>
        <v>615</v>
      </c>
      <c r="F134" s="16">
        <f t="shared" si="8"/>
        <v>552</v>
      </c>
      <c r="G134" s="16">
        <f t="shared" si="9"/>
        <v>402</v>
      </c>
      <c r="H134" s="16">
        <f t="shared" si="10"/>
        <v>1569</v>
      </c>
      <c r="I134" s="16">
        <f t="shared" si="11"/>
        <v>2.4091999999999998</v>
      </c>
      <c r="J134" s="16">
        <f t="shared" si="12"/>
        <v>4.0875000000000004</v>
      </c>
      <c r="K134" s="16">
        <f t="shared" si="13"/>
        <v>4.5374999999999996</v>
      </c>
      <c r="L134" s="16">
        <f t="shared" si="14"/>
        <v>4.4124999999999996</v>
      </c>
      <c r="M134" s="16">
        <f t="shared" si="15"/>
        <v>4.3457999999999997</v>
      </c>
      <c r="N134" s="16">
        <f t="shared" si="16"/>
        <v>1.4673</v>
      </c>
      <c r="O134" s="16">
        <f t="shared" si="17"/>
        <v>0.29859999999999998</v>
      </c>
      <c r="P134" s="16">
        <f t="shared" si="18"/>
        <v>0.1225</v>
      </c>
      <c r="Q134" s="16">
        <f t="shared" si="19"/>
        <v>0.33329999999999999</v>
      </c>
      <c r="R134" s="16">
        <f t="shared" si="20"/>
        <v>0.24759999999999999</v>
      </c>
      <c r="S134" s="16">
        <f t="shared" si="21"/>
        <v>0.20449999999999999</v>
      </c>
      <c r="T134" s="16">
        <f t="shared" si="22"/>
        <v>0.88</v>
      </c>
      <c r="U134" s="16">
        <f t="shared" si="23"/>
        <v>0.26</v>
      </c>
      <c r="V134" s="16">
        <f t="shared" si="24"/>
        <v>0.82</v>
      </c>
      <c r="W134" s="16">
        <f t="shared" si="25"/>
        <v>0.88</v>
      </c>
      <c r="X134" s="16">
        <f t="shared" si="26"/>
        <v>17.555</v>
      </c>
      <c r="Y134" s="16">
        <f t="shared" si="27"/>
        <v>0</v>
      </c>
      <c r="Z134" s="16">
        <f t="shared" si="28"/>
        <v>8.8888999999999996</v>
      </c>
      <c r="AA134" s="16">
        <f t="shared" si="29"/>
        <v>0</v>
      </c>
      <c r="AB134" s="16">
        <f t="shared" si="30"/>
        <v>8.8888999999999996</v>
      </c>
      <c r="AC134" s="16">
        <f t="shared" si="31"/>
        <v>2.2222</v>
      </c>
      <c r="AD134" s="16">
        <f t="shared" si="32"/>
        <v>88.888900000000007</v>
      </c>
      <c r="AE134" s="16">
        <f t="shared" si="33"/>
        <v>0</v>
      </c>
      <c r="AF134" s="16">
        <f t="shared" si="34"/>
        <v>91.111099999999993</v>
      </c>
      <c r="AG134" s="16">
        <f t="shared" si="35"/>
        <v>88.888900000000007</v>
      </c>
      <c r="AH134" s="16">
        <f t="shared" si="36"/>
        <v>9.1499999999999998E-2</v>
      </c>
      <c r="AI134" s="16">
        <f t="shared" si="37"/>
        <v>0.20130000000000001</v>
      </c>
      <c r="AJ134" s="16">
        <f t="shared" si="38"/>
        <v>0.1171</v>
      </c>
      <c r="AK134" s="16">
        <f t="shared" si="39"/>
        <v>0.1353</v>
      </c>
      <c r="AL134" s="16">
        <f t="shared" si="40"/>
        <v>0.13350000000000001</v>
      </c>
      <c r="AM134" s="16">
        <f t="shared" si="41"/>
        <v>0.47</v>
      </c>
      <c r="AN134" s="16">
        <f t="shared" si="42"/>
        <v>0.43</v>
      </c>
      <c r="AO134" s="16">
        <f t="shared" si="43"/>
        <v>0.42</v>
      </c>
      <c r="AP134" s="16">
        <f t="shared" si="44"/>
        <v>0.47</v>
      </c>
      <c r="AQ134" s="16">
        <f t="shared" si="45"/>
        <v>25</v>
      </c>
      <c r="AR134" s="16">
        <f t="shared" si="46"/>
        <v>0.375</v>
      </c>
      <c r="AS134" s="16">
        <f t="shared" si="47"/>
        <v>62.5</v>
      </c>
      <c r="AT134" s="16">
        <f t="shared" si="48"/>
        <v>0</v>
      </c>
      <c r="AU134" s="16">
        <f t="shared" si="49"/>
        <v>50</v>
      </c>
      <c r="AV134" s="16">
        <f t="shared" si="50"/>
        <v>37.5</v>
      </c>
      <c r="AW134" s="16">
        <f t="shared" si="51"/>
        <v>37.5</v>
      </c>
      <c r="AX134" s="16">
        <f t="shared" si="52"/>
        <v>1.9167000000000001</v>
      </c>
      <c r="AY134" s="16">
        <f t="shared" si="53"/>
        <v>58.333300000000001</v>
      </c>
      <c r="AZ134" s="16">
        <f t="shared" si="54"/>
        <v>0</v>
      </c>
      <c r="BA134" s="16">
        <f t="shared" si="55"/>
        <v>0.375</v>
      </c>
      <c r="BB134" s="16">
        <f t="shared" si="56"/>
        <v>0</v>
      </c>
      <c r="BC134" s="16">
        <f t="shared" si="57"/>
        <v>0.125</v>
      </c>
      <c r="BD134" s="16">
        <f t="shared" si="58"/>
        <v>0.5</v>
      </c>
      <c r="BE134" s="16">
        <f t="shared" si="59"/>
        <v>0</v>
      </c>
      <c r="BF134" s="16">
        <f t="shared" si="60"/>
        <v>0</v>
      </c>
      <c r="BG134" s="16">
        <f t="shared" si="61"/>
        <v>0</v>
      </c>
      <c r="BH134" s="16">
        <f t="shared" si="62"/>
        <v>0</v>
      </c>
      <c r="BI134" s="16">
        <f t="shared" si="63"/>
        <v>0.75</v>
      </c>
      <c r="BJ134" s="16">
        <f t="shared" si="64"/>
        <v>1</v>
      </c>
      <c r="BK134" s="16">
        <f t="shared" si="65"/>
        <v>0.25</v>
      </c>
      <c r="BL134" s="16">
        <f t="shared" si="66"/>
        <v>0.66669999999999996</v>
      </c>
      <c r="BM134" s="16">
        <f t="shared" si="67"/>
        <v>1.5</v>
      </c>
      <c r="BN134" s="16">
        <f t="shared" si="68"/>
        <v>0.5</v>
      </c>
      <c r="BO134" s="16">
        <f t="shared" si="69"/>
        <v>2.75</v>
      </c>
      <c r="BP134" s="16">
        <f t="shared" si="70"/>
        <v>1.5832999999999999</v>
      </c>
      <c r="BQ134" s="16">
        <f t="shared" si="71"/>
        <v>25</v>
      </c>
      <c r="BR134" s="16">
        <f t="shared" si="72"/>
        <v>54.166699999999999</v>
      </c>
      <c r="BS134" s="16">
        <f t="shared" si="73"/>
        <v>20.833300000000001</v>
      </c>
      <c r="BT134" s="16">
        <f t="shared" si="74"/>
        <v>32.708300000000001</v>
      </c>
      <c r="BU134" s="16">
        <f t="shared" si="75"/>
        <v>0.5</v>
      </c>
      <c r="BV134" s="16">
        <f t="shared" si="76"/>
        <v>27.1815</v>
      </c>
      <c r="BW134" s="16">
        <f t="shared" si="77"/>
        <v>13.370200000000001</v>
      </c>
      <c r="BX134" s="16">
        <f t="shared" si="78"/>
        <v>72.8185</v>
      </c>
      <c r="BY134" s="16">
        <f t="shared" si="79"/>
        <v>0</v>
      </c>
      <c r="BZ134" s="16">
        <f t="shared" si="80"/>
        <v>0</v>
      </c>
      <c r="CA134" s="16">
        <f t="shared" si="81"/>
        <v>0</v>
      </c>
      <c r="CB134" s="16">
        <f t="shared" si="82"/>
        <v>0</v>
      </c>
      <c r="CC134" s="16">
        <f t="shared" si="83"/>
        <v>0</v>
      </c>
    </row>
    <row r="135" spans="1:81" x14ac:dyDescent="0.25">
      <c r="A135">
        <v>170</v>
      </c>
      <c r="B135" s="16">
        <f t="shared" si="4"/>
        <v>14.6</v>
      </c>
      <c r="C135" s="16">
        <f t="shared" si="5"/>
        <v>8.81</v>
      </c>
      <c r="D135" s="16">
        <f t="shared" si="6"/>
        <v>8.91</v>
      </c>
      <c r="E135" s="16">
        <f t="shared" si="7"/>
        <v>217</v>
      </c>
      <c r="F135" s="16">
        <f t="shared" si="8"/>
        <v>128</v>
      </c>
      <c r="G135" s="16">
        <f t="shared" si="9"/>
        <v>220</v>
      </c>
      <c r="H135" s="16">
        <f t="shared" si="10"/>
        <v>565</v>
      </c>
      <c r="I135" s="16">
        <f t="shared" si="11"/>
        <v>0</v>
      </c>
      <c r="J135" s="16">
        <f t="shared" si="12"/>
        <v>1.85</v>
      </c>
      <c r="K135" s="16">
        <f t="shared" si="13"/>
        <v>1.7</v>
      </c>
      <c r="L135" s="16">
        <f t="shared" si="14"/>
        <v>1.9875</v>
      </c>
      <c r="M135" s="16">
        <f t="shared" si="15"/>
        <v>1.8458000000000001</v>
      </c>
      <c r="N135" s="16">
        <f t="shared" si="16"/>
        <v>0.7984</v>
      </c>
      <c r="O135" s="16">
        <f t="shared" si="17"/>
        <v>0.14000000000000001</v>
      </c>
      <c r="P135" s="16">
        <f t="shared" si="18"/>
        <v>0.11749999999999999</v>
      </c>
      <c r="Q135" s="16">
        <f t="shared" si="19"/>
        <v>9.2499999999999999E-2</v>
      </c>
      <c r="R135" s="16">
        <f t="shared" si="20"/>
        <v>0.1167</v>
      </c>
      <c r="S135" s="16">
        <f t="shared" si="21"/>
        <v>7.1900000000000006E-2</v>
      </c>
      <c r="T135" s="16">
        <f t="shared" si="22"/>
        <v>0.3</v>
      </c>
      <c r="U135" s="16">
        <f t="shared" si="23"/>
        <v>0.24</v>
      </c>
      <c r="V135" s="16">
        <f t="shared" si="24"/>
        <v>0.16</v>
      </c>
      <c r="W135" s="16">
        <f t="shared" si="25"/>
        <v>0.3</v>
      </c>
      <c r="X135" s="16">
        <f t="shared" si="26"/>
        <v>15.821400000000001</v>
      </c>
      <c r="Y135" s="16">
        <f t="shared" si="27"/>
        <v>0</v>
      </c>
      <c r="Z135" s="16">
        <f t="shared" si="28"/>
        <v>33.333300000000001</v>
      </c>
      <c r="AA135" s="16">
        <f t="shared" si="29"/>
        <v>0</v>
      </c>
      <c r="AB135" s="16">
        <f t="shared" si="30"/>
        <v>33.333300000000001</v>
      </c>
      <c r="AC135" s="16">
        <f t="shared" si="31"/>
        <v>0</v>
      </c>
      <c r="AD135" s="16">
        <f t="shared" si="32"/>
        <v>66.666700000000006</v>
      </c>
      <c r="AE135" s="16">
        <f t="shared" si="33"/>
        <v>0</v>
      </c>
      <c r="AF135" s="16">
        <f t="shared" si="34"/>
        <v>66.666700000000006</v>
      </c>
      <c r="AG135" s="16">
        <f t="shared" si="35"/>
        <v>66.666700000000006</v>
      </c>
      <c r="AH135" s="16">
        <f t="shared" si="36"/>
        <v>9.1300000000000006E-2</v>
      </c>
      <c r="AI135" s="16">
        <f t="shared" si="37"/>
        <v>7.4999999999999997E-2</v>
      </c>
      <c r="AJ135" s="16">
        <f t="shared" si="38"/>
        <v>9.6299999999999997E-2</v>
      </c>
      <c r="AK135" s="16">
        <f t="shared" si="39"/>
        <v>8.7499999999999994E-2</v>
      </c>
      <c r="AL135" s="16">
        <f t="shared" si="40"/>
        <v>8.7999999999999995E-2</v>
      </c>
      <c r="AM135" s="16">
        <f t="shared" si="41"/>
        <v>0.28999999999999998</v>
      </c>
      <c r="AN135" s="16">
        <f t="shared" si="42"/>
        <v>0.23</v>
      </c>
      <c r="AO135" s="16">
        <f t="shared" si="43"/>
        <v>0.25</v>
      </c>
      <c r="AP135" s="16">
        <f t="shared" si="44"/>
        <v>0.28999999999999998</v>
      </c>
      <c r="AQ135" s="16">
        <f t="shared" si="45"/>
        <v>0</v>
      </c>
      <c r="AR135" s="16">
        <f t="shared" si="46"/>
        <v>0.45829999999999999</v>
      </c>
      <c r="AS135" s="16">
        <f t="shared" si="47"/>
        <v>75</v>
      </c>
      <c r="AT135" s="16">
        <f t="shared" si="48"/>
        <v>50</v>
      </c>
      <c r="AU135" s="16">
        <f t="shared" si="49"/>
        <v>37.5</v>
      </c>
      <c r="AV135" s="16">
        <f t="shared" si="50"/>
        <v>54.166699999999999</v>
      </c>
      <c r="AW135" s="16">
        <f t="shared" si="51"/>
        <v>54.166699999999999</v>
      </c>
      <c r="AX135" s="16">
        <f t="shared" si="52"/>
        <v>0.83330000000000004</v>
      </c>
      <c r="AY135" s="16">
        <f t="shared" si="53"/>
        <v>33.333300000000001</v>
      </c>
      <c r="AZ135" s="16">
        <f t="shared" si="54"/>
        <v>0.5</v>
      </c>
      <c r="BA135" s="16">
        <f t="shared" si="55"/>
        <v>0.625</v>
      </c>
      <c r="BB135" s="16">
        <f t="shared" si="56"/>
        <v>0.5</v>
      </c>
      <c r="BC135" s="16">
        <f t="shared" si="57"/>
        <v>0.54169999999999996</v>
      </c>
      <c r="BD135" s="16">
        <f t="shared" si="58"/>
        <v>0.5</v>
      </c>
      <c r="BE135" s="16">
        <f t="shared" si="59"/>
        <v>0.25</v>
      </c>
      <c r="BF135" s="16">
        <f t="shared" si="60"/>
        <v>0</v>
      </c>
      <c r="BG135" s="16">
        <f t="shared" si="61"/>
        <v>0</v>
      </c>
      <c r="BH135" s="16">
        <f t="shared" si="62"/>
        <v>8.3299999999999999E-2</v>
      </c>
      <c r="BI135" s="16">
        <f t="shared" si="63"/>
        <v>0.5</v>
      </c>
      <c r="BJ135" s="16">
        <f t="shared" si="64"/>
        <v>1.25</v>
      </c>
      <c r="BK135" s="16">
        <f t="shared" si="65"/>
        <v>0.75</v>
      </c>
      <c r="BL135" s="16">
        <f t="shared" si="66"/>
        <v>0.83330000000000004</v>
      </c>
      <c r="BM135" s="16">
        <f t="shared" si="67"/>
        <v>0.75</v>
      </c>
      <c r="BN135" s="16">
        <f t="shared" si="68"/>
        <v>0.5</v>
      </c>
      <c r="BO135" s="16">
        <f t="shared" si="69"/>
        <v>0.5</v>
      </c>
      <c r="BP135" s="16">
        <f t="shared" si="70"/>
        <v>0.58330000000000004</v>
      </c>
      <c r="BQ135" s="16">
        <f t="shared" si="71"/>
        <v>33.333300000000001</v>
      </c>
      <c r="BR135" s="16">
        <f t="shared" si="72"/>
        <v>62.5</v>
      </c>
      <c r="BS135" s="16">
        <f t="shared" si="73"/>
        <v>4.1666999999999996</v>
      </c>
      <c r="BT135" s="16">
        <f t="shared" si="74"/>
        <v>26.25</v>
      </c>
      <c r="BU135" s="16">
        <f t="shared" si="75"/>
        <v>0.625</v>
      </c>
      <c r="BV135" s="16">
        <f t="shared" si="76"/>
        <v>4.5045000000000002</v>
      </c>
      <c r="BW135" s="16">
        <f t="shared" si="77"/>
        <v>3.4466000000000001</v>
      </c>
      <c r="BX135" s="16">
        <f t="shared" si="78"/>
        <v>95.495500000000007</v>
      </c>
      <c r="BY135" s="16">
        <f t="shared" si="79"/>
        <v>0</v>
      </c>
      <c r="BZ135" s="16">
        <f t="shared" si="80"/>
        <v>0</v>
      </c>
      <c r="CA135" s="16">
        <f t="shared" si="81"/>
        <v>0</v>
      </c>
      <c r="CB135" s="16">
        <f t="shared" si="82"/>
        <v>0</v>
      </c>
      <c r="CC135" s="16">
        <f t="shared" si="83"/>
        <v>0</v>
      </c>
    </row>
    <row r="136" spans="1:81" x14ac:dyDescent="0.25">
      <c r="A136" t="s">
        <v>4</v>
      </c>
      <c r="B136" s="16">
        <f t="shared" si="4"/>
        <v>12.2</v>
      </c>
      <c r="C136" s="16">
        <f t="shared" si="5"/>
        <v>8.27</v>
      </c>
      <c r="D136" s="16">
        <f t="shared" si="6"/>
        <v>11.8</v>
      </c>
      <c r="E136" s="16">
        <f t="shared" si="7"/>
        <v>527</v>
      </c>
      <c r="F136" s="16">
        <f t="shared" si="8"/>
        <v>413</v>
      </c>
      <c r="G136" s="16">
        <f t="shared" si="9"/>
        <v>586</v>
      </c>
      <c r="H136" s="16">
        <f t="shared" si="10"/>
        <v>1526</v>
      </c>
      <c r="I136" s="16">
        <f t="shared" si="11"/>
        <v>0.78639999999999999</v>
      </c>
      <c r="J136" s="16">
        <f t="shared" si="12"/>
        <v>1.85</v>
      </c>
      <c r="K136" s="16">
        <f t="shared" si="13"/>
        <v>1.85</v>
      </c>
      <c r="L136" s="16">
        <f t="shared" si="14"/>
        <v>4.0125000000000002</v>
      </c>
      <c r="M136" s="16">
        <f t="shared" si="15"/>
        <v>2.5708000000000002</v>
      </c>
      <c r="N136" s="16">
        <f t="shared" si="16"/>
        <v>1.3363</v>
      </c>
      <c r="O136" s="16">
        <f t="shared" si="17"/>
        <v>0.27</v>
      </c>
      <c r="P136" s="16">
        <f t="shared" si="18"/>
        <v>0.16550000000000001</v>
      </c>
      <c r="Q136" s="16">
        <f t="shared" si="19"/>
        <v>0.57640000000000002</v>
      </c>
      <c r="R136" s="16">
        <f t="shared" si="20"/>
        <v>0.33939999999999998</v>
      </c>
      <c r="S136" s="16">
        <f t="shared" si="21"/>
        <v>0.2087</v>
      </c>
      <c r="T136" s="16">
        <f t="shared" si="22"/>
        <v>0.5</v>
      </c>
      <c r="U136" s="16">
        <f t="shared" si="23"/>
        <v>0.26</v>
      </c>
      <c r="V136" s="16">
        <f t="shared" si="24"/>
        <v>0.78</v>
      </c>
      <c r="W136" s="16">
        <f t="shared" si="25"/>
        <v>0.78</v>
      </c>
      <c r="X136" s="16">
        <f t="shared" si="26"/>
        <v>7.5751999999999997</v>
      </c>
      <c r="Y136" s="16">
        <f t="shared" si="27"/>
        <v>0</v>
      </c>
      <c r="Z136" s="16">
        <f t="shared" si="28"/>
        <v>43.75</v>
      </c>
      <c r="AA136" s="16">
        <f t="shared" si="29"/>
        <v>18.75</v>
      </c>
      <c r="AB136" s="16">
        <f t="shared" si="30"/>
        <v>62.5</v>
      </c>
      <c r="AC136" s="16">
        <f t="shared" si="31"/>
        <v>9.375</v>
      </c>
      <c r="AD136" s="16">
        <f t="shared" si="32"/>
        <v>28.125</v>
      </c>
      <c r="AE136" s="16">
        <f t="shared" si="33"/>
        <v>0</v>
      </c>
      <c r="AF136" s="16">
        <f t="shared" si="34"/>
        <v>37.5</v>
      </c>
      <c r="AG136" s="16">
        <f t="shared" si="35"/>
        <v>43.75</v>
      </c>
      <c r="AH136" s="16">
        <f t="shared" si="36"/>
        <v>0.32</v>
      </c>
      <c r="AI136" s="16">
        <f t="shared" si="37"/>
        <v>0.55640000000000001</v>
      </c>
      <c r="AJ136" s="16">
        <f t="shared" si="38"/>
        <v>0.05</v>
      </c>
      <c r="AK136" s="16">
        <f t="shared" si="39"/>
        <v>0.30840000000000001</v>
      </c>
      <c r="AL136" s="16">
        <f t="shared" si="40"/>
        <v>0.29630000000000001</v>
      </c>
      <c r="AM136" s="16">
        <f t="shared" si="41"/>
        <v>1.1000000000000001</v>
      </c>
      <c r="AN136" s="16">
        <f t="shared" si="42"/>
        <v>0.89</v>
      </c>
      <c r="AO136" s="16">
        <f t="shared" si="43"/>
        <v>0.09</v>
      </c>
      <c r="AP136" s="16">
        <f t="shared" si="44"/>
        <v>1.1000000000000001</v>
      </c>
      <c r="AQ136" s="16">
        <f t="shared" si="45"/>
        <v>25</v>
      </c>
      <c r="AR136" s="16">
        <f t="shared" si="46"/>
        <v>0.41670000000000001</v>
      </c>
      <c r="AS136" s="16">
        <f t="shared" si="47"/>
        <v>0</v>
      </c>
      <c r="AT136" s="16">
        <f t="shared" si="48"/>
        <v>0</v>
      </c>
      <c r="AU136" s="16">
        <f t="shared" si="49"/>
        <v>100</v>
      </c>
      <c r="AV136" s="16">
        <f t="shared" si="50"/>
        <v>33.333300000000001</v>
      </c>
      <c r="AW136" s="16">
        <f t="shared" si="51"/>
        <v>41.666699999999999</v>
      </c>
      <c r="AX136" s="16">
        <f t="shared" si="52"/>
        <v>0.41670000000000001</v>
      </c>
      <c r="AY136" s="16">
        <f t="shared" si="53"/>
        <v>8.3332999999999995</v>
      </c>
      <c r="AZ136" s="16">
        <f t="shared" si="54"/>
        <v>0</v>
      </c>
      <c r="BA136" s="16">
        <f t="shared" si="55"/>
        <v>0</v>
      </c>
      <c r="BB136" s="16">
        <f t="shared" si="56"/>
        <v>0.25</v>
      </c>
      <c r="BC136" s="16">
        <f t="shared" si="57"/>
        <v>8.3299999999999999E-2</v>
      </c>
      <c r="BD136" s="16">
        <f t="shared" si="58"/>
        <v>0.125</v>
      </c>
      <c r="BE136" s="16">
        <f t="shared" si="59"/>
        <v>0.25</v>
      </c>
      <c r="BF136" s="16">
        <f t="shared" si="60"/>
        <v>1.25</v>
      </c>
      <c r="BG136" s="16">
        <f t="shared" si="61"/>
        <v>0.25</v>
      </c>
      <c r="BH136" s="16">
        <f t="shared" si="62"/>
        <v>0.58330000000000004</v>
      </c>
      <c r="BI136" s="16">
        <f t="shared" si="63"/>
        <v>0</v>
      </c>
      <c r="BJ136" s="16">
        <f t="shared" si="64"/>
        <v>0</v>
      </c>
      <c r="BK136" s="16">
        <f t="shared" si="65"/>
        <v>0</v>
      </c>
      <c r="BL136" s="16">
        <f t="shared" si="66"/>
        <v>0</v>
      </c>
      <c r="BM136" s="16">
        <f t="shared" si="67"/>
        <v>0.75</v>
      </c>
      <c r="BN136" s="16">
        <f t="shared" si="68"/>
        <v>0.25</v>
      </c>
      <c r="BO136" s="16">
        <f t="shared" si="69"/>
        <v>3.75</v>
      </c>
      <c r="BP136" s="16">
        <f t="shared" si="70"/>
        <v>1.5832999999999999</v>
      </c>
      <c r="BQ136" s="16">
        <f t="shared" si="71"/>
        <v>8.3332999999999995</v>
      </c>
      <c r="BR136" s="16">
        <f t="shared" si="72"/>
        <v>66.666700000000006</v>
      </c>
      <c r="BS136" s="16">
        <f t="shared" si="73"/>
        <v>20.833300000000001</v>
      </c>
      <c r="BT136" s="16">
        <f t="shared" si="74"/>
        <v>37.826099999999997</v>
      </c>
      <c r="BU136" s="16">
        <f t="shared" si="75"/>
        <v>0</v>
      </c>
      <c r="BV136" s="16">
        <f t="shared" si="76"/>
        <v>100</v>
      </c>
      <c r="BW136" s="16">
        <f t="shared" si="77"/>
        <v>0</v>
      </c>
      <c r="BX136" s="16">
        <f t="shared" si="78"/>
        <v>0</v>
      </c>
      <c r="BY136" s="16">
        <f t="shared" si="79"/>
        <v>0</v>
      </c>
      <c r="BZ136" s="16">
        <f t="shared" si="80"/>
        <v>0</v>
      </c>
      <c r="CA136" s="16">
        <f t="shared" si="81"/>
        <v>0</v>
      </c>
      <c r="CB136" s="16">
        <f t="shared" si="82"/>
        <v>0</v>
      </c>
      <c r="CC136" s="16">
        <f t="shared" si="83"/>
        <v>0</v>
      </c>
    </row>
    <row r="137" spans="1:81" x14ac:dyDescent="0.25">
      <c r="A137" t="s">
        <v>5</v>
      </c>
      <c r="B137" s="16">
        <f t="shared" si="4"/>
        <v>18.100000000000001</v>
      </c>
      <c r="C137" s="16">
        <f t="shared" si="5"/>
        <v>8.6300000000000008</v>
      </c>
      <c r="D137" s="16">
        <f t="shared" si="6"/>
        <v>12.16</v>
      </c>
      <c r="E137" s="16">
        <f t="shared" si="7"/>
        <v>442</v>
      </c>
      <c r="F137" s="16">
        <f t="shared" si="8"/>
        <v>503</v>
      </c>
      <c r="G137" s="16">
        <f t="shared" si="9"/>
        <v>424</v>
      </c>
      <c r="H137" s="16">
        <f t="shared" si="10"/>
        <v>1369</v>
      </c>
      <c r="I137" s="16">
        <f t="shared" si="11"/>
        <v>0</v>
      </c>
      <c r="J137" s="16">
        <f t="shared" si="12"/>
        <v>2.0125000000000002</v>
      </c>
      <c r="K137" s="16">
        <f t="shared" si="13"/>
        <v>2.0874999999999999</v>
      </c>
      <c r="L137" s="16">
        <f t="shared" si="14"/>
        <v>1.85</v>
      </c>
      <c r="M137" s="16">
        <f t="shared" si="15"/>
        <v>1.9833000000000001</v>
      </c>
      <c r="N137" s="16">
        <f t="shared" si="16"/>
        <v>0.28539999999999999</v>
      </c>
      <c r="O137" s="16">
        <f t="shared" si="17"/>
        <v>0.22140000000000001</v>
      </c>
      <c r="P137" s="16">
        <f t="shared" si="18"/>
        <v>0.32190000000000002</v>
      </c>
      <c r="Q137" s="16">
        <f t="shared" si="19"/>
        <v>0.41</v>
      </c>
      <c r="R137" s="16">
        <f t="shared" si="20"/>
        <v>0.3034</v>
      </c>
      <c r="S137" s="16">
        <f t="shared" si="21"/>
        <v>0.12089999999999999</v>
      </c>
      <c r="T137" s="16">
        <f t="shared" si="22"/>
        <v>0.38</v>
      </c>
      <c r="U137" s="16">
        <f t="shared" si="23"/>
        <v>0.48</v>
      </c>
      <c r="V137" s="16">
        <f t="shared" si="24"/>
        <v>0.52</v>
      </c>
      <c r="W137" s="16">
        <f t="shared" si="25"/>
        <v>0.52</v>
      </c>
      <c r="X137" s="16">
        <f t="shared" si="26"/>
        <v>6.5366</v>
      </c>
      <c r="Y137" s="16">
        <f t="shared" si="27"/>
        <v>0</v>
      </c>
      <c r="Z137" s="16">
        <f t="shared" si="28"/>
        <v>15.7895</v>
      </c>
      <c r="AA137" s="16">
        <f t="shared" si="29"/>
        <v>2.6316000000000002</v>
      </c>
      <c r="AB137" s="16">
        <f t="shared" si="30"/>
        <v>18.421099999999999</v>
      </c>
      <c r="AC137" s="16">
        <f t="shared" si="31"/>
        <v>15.7895</v>
      </c>
      <c r="AD137" s="16">
        <f t="shared" si="32"/>
        <v>65.789500000000004</v>
      </c>
      <c r="AE137" s="16">
        <f t="shared" si="33"/>
        <v>0</v>
      </c>
      <c r="AF137" s="16">
        <f t="shared" si="34"/>
        <v>81.578900000000004</v>
      </c>
      <c r="AG137" s="16">
        <f t="shared" si="35"/>
        <v>65.789500000000004</v>
      </c>
      <c r="AH137" s="16">
        <f t="shared" si="36"/>
        <v>0.37919999999999998</v>
      </c>
      <c r="AI137" s="16">
        <f t="shared" si="37"/>
        <v>0.25530000000000003</v>
      </c>
      <c r="AJ137" s="16">
        <f t="shared" si="38"/>
        <v>0.32379999999999998</v>
      </c>
      <c r="AK137" s="16">
        <f t="shared" si="39"/>
        <v>0.31030000000000002</v>
      </c>
      <c r="AL137" s="16">
        <f t="shared" si="40"/>
        <v>0.1973</v>
      </c>
      <c r="AM137" s="16">
        <f t="shared" si="41"/>
        <v>0.77</v>
      </c>
      <c r="AN137" s="16">
        <f t="shared" si="42"/>
        <v>0.57999999999999996</v>
      </c>
      <c r="AO137" s="16">
        <f t="shared" si="43"/>
        <v>0.83</v>
      </c>
      <c r="AP137" s="16">
        <f t="shared" si="44"/>
        <v>0.83</v>
      </c>
      <c r="AQ137" s="16">
        <f t="shared" si="45"/>
        <v>8.3332999999999995</v>
      </c>
      <c r="AR137" s="16">
        <f t="shared" si="46"/>
        <v>0.91300000000000003</v>
      </c>
      <c r="AS137" s="16">
        <f t="shared" si="47"/>
        <v>0</v>
      </c>
      <c r="AT137" s="16">
        <f t="shared" si="48"/>
        <v>0</v>
      </c>
      <c r="AU137" s="16">
        <f t="shared" si="49"/>
        <v>0</v>
      </c>
      <c r="AV137" s="16">
        <f t="shared" si="50"/>
        <v>0</v>
      </c>
      <c r="AW137" s="16">
        <f t="shared" si="51"/>
        <v>87.5</v>
      </c>
      <c r="AX137" s="16">
        <f t="shared" si="52"/>
        <v>1.1667000000000001</v>
      </c>
      <c r="AY137" s="16">
        <f t="shared" si="53"/>
        <v>25</v>
      </c>
      <c r="AZ137" s="16">
        <f t="shared" si="54"/>
        <v>0</v>
      </c>
      <c r="BA137" s="16">
        <f t="shared" si="55"/>
        <v>0</v>
      </c>
      <c r="BB137" s="16">
        <f t="shared" si="56"/>
        <v>0</v>
      </c>
      <c r="BC137" s="16">
        <f t="shared" si="57"/>
        <v>0</v>
      </c>
      <c r="BD137" s="16">
        <f t="shared" si="58"/>
        <v>0.16669999999999999</v>
      </c>
      <c r="BE137" s="16">
        <f t="shared" si="59"/>
        <v>1</v>
      </c>
      <c r="BF137" s="16">
        <f t="shared" si="60"/>
        <v>1</v>
      </c>
      <c r="BG137" s="16">
        <f t="shared" si="61"/>
        <v>1</v>
      </c>
      <c r="BH137" s="16">
        <f t="shared" si="62"/>
        <v>1</v>
      </c>
      <c r="BI137" s="16">
        <f t="shared" si="63"/>
        <v>0.25</v>
      </c>
      <c r="BJ137" s="16">
        <f t="shared" si="64"/>
        <v>0</v>
      </c>
      <c r="BK137" s="16">
        <f t="shared" si="65"/>
        <v>0.5</v>
      </c>
      <c r="BL137" s="16">
        <f t="shared" si="66"/>
        <v>0.25</v>
      </c>
      <c r="BM137" s="16">
        <f t="shared" si="67"/>
        <v>0.5</v>
      </c>
      <c r="BN137" s="16">
        <f t="shared" si="68"/>
        <v>0.5</v>
      </c>
      <c r="BO137" s="16">
        <f t="shared" si="69"/>
        <v>0.25</v>
      </c>
      <c r="BP137" s="16">
        <f t="shared" si="70"/>
        <v>0.41670000000000001</v>
      </c>
      <c r="BQ137" s="16">
        <f t="shared" si="71"/>
        <v>0</v>
      </c>
      <c r="BR137" s="16">
        <f t="shared" si="72"/>
        <v>91.666700000000006</v>
      </c>
      <c r="BS137" s="16">
        <f t="shared" si="73"/>
        <v>8.3332999999999995</v>
      </c>
      <c r="BT137" s="16">
        <f t="shared" si="74"/>
        <v>39.791699999999999</v>
      </c>
      <c r="BU137" s="16">
        <f t="shared" si="75"/>
        <v>0.41670000000000001</v>
      </c>
      <c r="BV137" s="16">
        <f t="shared" si="76"/>
        <v>92.942899999999995</v>
      </c>
      <c r="BW137" s="16">
        <f t="shared" si="77"/>
        <v>6.0888999999999998</v>
      </c>
      <c r="BX137" s="16">
        <f t="shared" si="78"/>
        <v>7.0571000000000002</v>
      </c>
      <c r="BY137" s="16">
        <f t="shared" si="79"/>
        <v>0</v>
      </c>
      <c r="BZ137" s="16">
        <f t="shared" si="80"/>
        <v>0</v>
      </c>
      <c r="CA137" s="16">
        <f t="shared" si="81"/>
        <v>0</v>
      </c>
      <c r="CB137" s="16">
        <f t="shared" si="82"/>
        <v>0</v>
      </c>
      <c r="CC137" s="16">
        <f t="shared" si="83"/>
        <v>0</v>
      </c>
    </row>
    <row r="138" spans="1:81" x14ac:dyDescent="0.25">
      <c r="A138" t="s">
        <v>6</v>
      </c>
      <c r="B138" s="16">
        <f t="shared" si="4"/>
        <v>17.5</v>
      </c>
      <c r="C138" s="16">
        <f t="shared" si="5"/>
        <v>7.99</v>
      </c>
      <c r="D138" s="16">
        <f t="shared" si="6"/>
        <v>11.08</v>
      </c>
      <c r="E138" s="16">
        <f t="shared" si="7"/>
        <v>420</v>
      </c>
      <c r="F138" s="16">
        <f t="shared" si="8"/>
        <v>573</v>
      </c>
      <c r="G138" s="16">
        <f t="shared" si="9"/>
        <v>1025</v>
      </c>
      <c r="H138" s="16">
        <f t="shared" si="10"/>
        <v>2018</v>
      </c>
      <c r="I138" s="16">
        <f t="shared" si="11"/>
        <v>0</v>
      </c>
      <c r="J138" s="16">
        <f t="shared" si="12"/>
        <v>2.3875000000000002</v>
      </c>
      <c r="K138" s="16">
        <f t="shared" si="13"/>
        <v>3.1124999999999998</v>
      </c>
      <c r="L138" s="16">
        <f t="shared" si="14"/>
        <v>3.5249999999999999</v>
      </c>
      <c r="M138" s="16">
        <f t="shared" si="15"/>
        <v>3.0083000000000002</v>
      </c>
      <c r="N138" s="16">
        <f t="shared" si="16"/>
        <v>0.76549999999999996</v>
      </c>
      <c r="O138" s="16">
        <f t="shared" si="17"/>
        <v>0.19089999999999999</v>
      </c>
      <c r="P138" s="16">
        <f t="shared" si="18"/>
        <v>0.32550000000000001</v>
      </c>
      <c r="Q138" s="16">
        <f t="shared" si="19"/>
        <v>0.55920000000000003</v>
      </c>
      <c r="R138" s="16">
        <f t="shared" si="20"/>
        <v>0.3644</v>
      </c>
      <c r="S138" s="16">
        <f t="shared" si="21"/>
        <v>0.21870000000000001</v>
      </c>
      <c r="T138" s="16">
        <f t="shared" si="22"/>
        <v>0.46</v>
      </c>
      <c r="U138" s="16">
        <f t="shared" si="23"/>
        <v>0.62</v>
      </c>
      <c r="V138" s="16">
        <f t="shared" si="24"/>
        <v>0.82</v>
      </c>
      <c r="W138" s="16">
        <f t="shared" si="25"/>
        <v>0.82</v>
      </c>
      <c r="X138" s="16">
        <f t="shared" si="26"/>
        <v>8.2553000000000001</v>
      </c>
      <c r="Y138" s="16">
        <f t="shared" si="27"/>
        <v>0</v>
      </c>
      <c r="Z138" s="16">
        <f t="shared" si="28"/>
        <v>78.125</v>
      </c>
      <c r="AA138" s="16">
        <f t="shared" si="29"/>
        <v>3.125</v>
      </c>
      <c r="AB138" s="16">
        <f t="shared" si="30"/>
        <v>81.25</v>
      </c>
      <c r="AC138" s="16">
        <f t="shared" si="31"/>
        <v>0</v>
      </c>
      <c r="AD138" s="16">
        <f t="shared" si="32"/>
        <v>18.75</v>
      </c>
      <c r="AE138" s="16">
        <f t="shared" si="33"/>
        <v>0</v>
      </c>
      <c r="AF138" s="16">
        <f t="shared" si="34"/>
        <v>18.75</v>
      </c>
      <c r="AG138" s="16">
        <f t="shared" si="35"/>
        <v>78.125</v>
      </c>
      <c r="AH138" s="16">
        <f t="shared" si="36"/>
        <v>0.13730000000000001</v>
      </c>
      <c r="AI138" s="16">
        <f t="shared" si="37"/>
        <v>0.1545</v>
      </c>
      <c r="AJ138" s="16">
        <f t="shared" si="38"/>
        <v>2.8299999999999999E-2</v>
      </c>
      <c r="AK138" s="16">
        <f t="shared" si="39"/>
        <v>0.10440000000000001</v>
      </c>
      <c r="AL138" s="16">
        <f t="shared" si="40"/>
        <v>0.16259999999999999</v>
      </c>
      <c r="AM138" s="16">
        <f t="shared" si="41"/>
        <v>0.32</v>
      </c>
      <c r="AN138" s="16">
        <f t="shared" si="42"/>
        <v>0.78</v>
      </c>
      <c r="AO138" s="16">
        <f t="shared" si="43"/>
        <v>0.09</v>
      </c>
      <c r="AP138" s="16">
        <f t="shared" si="44"/>
        <v>0.78</v>
      </c>
      <c r="AQ138" s="16">
        <f t="shared" si="45"/>
        <v>12.5</v>
      </c>
      <c r="AR138" s="16">
        <f t="shared" si="46"/>
        <v>0.29170000000000001</v>
      </c>
      <c r="AS138" s="16">
        <f t="shared" si="47"/>
        <v>12.5</v>
      </c>
      <c r="AT138" s="16">
        <f t="shared" si="48"/>
        <v>62.5</v>
      </c>
      <c r="AU138" s="16">
        <f t="shared" si="49"/>
        <v>100</v>
      </c>
      <c r="AV138" s="16">
        <f t="shared" si="50"/>
        <v>58.333300000000001</v>
      </c>
      <c r="AW138" s="16">
        <f t="shared" si="51"/>
        <v>45.833300000000001</v>
      </c>
      <c r="AX138" s="16">
        <f t="shared" si="52"/>
        <v>0.16669999999999999</v>
      </c>
      <c r="AY138" s="16">
        <f t="shared" si="53"/>
        <v>8.3332999999999995</v>
      </c>
      <c r="AZ138" s="16">
        <f t="shared" si="54"/>
        <v>0.375</v>
      </c>
      <c r="BA138" s="16">
        <f t="shared" si="55"/>
        <v>0.625</v>
      </c>
      <c r="BB138" s="16">
        <f t="shared" si="56"/>
        <v>0.25</v>
      </c>
      <c r="BC138" s="16">
        <f t="shared" si="57"/>
        <v>0.41670000000000001</v>
      </c>
      <c r="BD138" s="16">
        <f t="shared" si="58"/>
        <v>0.95830000000000004</v>
      </c>
      <c r="BE138" s="16">
        <f t="shared" si="59"/>
        <v>0</v>
      </c>
      <c r="BF138" s="16">
        <f t="shared" si="60"/>
        <v>0.25</v>
      </c>
      <c r="BG138" s="16">
        <f t="shared" si="61"/>
        <v>0</v>
      </c>
      <c r="BH138" s="16">
        <f t="shared" si="62"/>
        <v>8.3299999999999999E-2</v>
      </c>
      <c r="BI138" s="16">
        <f t="shared" si="63"/>
        <v>0</v>
      </c>
      <c r="BJ138" s="16">
        <f t="shared" si="64"/>
        <v>0</v>
      </c>
      <c r="BK138" s="16">
        <f t="shared" si="65"/>
        <v>0</v>
      </c>
      <c r="BL138" s="16">
        <f t="shared" si="66"/>
        <v>0</v>
      </c>
      <c r="BM138" s="16">
        <f t="shared" si="67"/>
        <v>1.5</v>
      </c>
      <c r="BN138" s="16">
        <f t="shared" si="68"/>
        <v>2.25</v>
      </c>
      <c r="BO138" s="16">
        <f t="shared" si="69"/>
        <v>4</v>
      </c>
      <c r="BP138" s="16">
        <f t="shared" si="70"/>
        <v>2.5832999999999999</v>
      </c>
      <c r="BQ138" s="16">
        <f t="shared" si="71"/>
        <v>8.3332999999999995</v>
      </c>
      <c r="BR138" s="16">
        <f t="shared" si="72"/>
        <v>87.5</v>
      </c>
      <c r="BS138" s="16">
        <f t="shared" si="73"/>
        <v>4.1666999999999996</v>
      </c>
      <c r="BT138" s="16">
        <f t="shared" si="74"/>
        <v>38.333300000000001</v>
      </c>
      <c r="BU138" s="16">
        <f t="shared" si="75"/>
        <v>3.1667000000000001</v>
      </c>
      <c r="BV138" s="16">
        <f t="shared" si="76"/>
        <v>60.585599999999999</v>
      </c>
      <c r="BW138" s="16">
        <f t="shared" si="77"/>
        <v>15.921900000000001</v>
      </c>
      <c r="BX138" s="16">
        <f t="shared" si="78"/>
        <v>39.414400000000001</v>
      </c>
      <c r="BY138" s="16">
        <f t="shared" si="79"/>
        <v>0</v>
      </c>
      <c r="BZ138" s="16">
        <f t="shared" si="80"/>
        <v>0</v>
      </c>
      <c r="CA138" s="16">
        <f t="shared" si="81"/>
        <v>0</v>
      </c>
      <c r="CB138" s="16">
        <f t="shared" si="82"/>
        <v>0</v>
      </c>
      <c r="CC138" s="16">
        <f t="shared" si="83"/>
        <v>0</v>
      </c>
    </row>
    <row r="139" spans="1:81" x14ac:dyDescent="0.25">
      <c r="A139" t="s">
        <v>7</v>
      </c>
      <c r="B139" s="16">
        <f t="shared" si="4"/>
        <v>13.5</v>
      </c>
      <c r="C139" s="16">
        <f t="shared" si="5"/>
        <v>8.49</v>
      </c>
      <c r="D139" s="16">
        <f t="shared" si="6"/>
        <v>12.65</v>
      </c>
      <c r="E139" s="16">
        <f t="shared" si="7"/>
        <v>512</v>
      </c>
      <c r="F139" s="16">
        <f t="shared" si="8"/>
        <v>432</v>
      </c>
      <c r="G139" s="16">
        <f t="shared" si="9"/>
        <v>401</v>
      </c>
      <c r="H139" s="16">
        <f t="shared" si="10"/>
        <v>1345</v>
      </c>
      <c r="I139" s="16">
        <f t="shared" si="11"/>
        <v>2.2305000000000001</v>
      </c>
      <c r="J139" s="16">
        <f t="shared" si="12"/>
        <v>4.7374999999999998</v>
      </c>
      <c r="K139" s="16">
        <f t="shared" si="13"/>
        <v>4.1500000000000004</v>
      </c>
      <c r="L139" s="16">
        <f t="shared" si="14"/>
        <v>4.9874999999999998</v>
      </c>
      <c r="M139" s="16">
        <f t="shared" si="15"/>
        <v>4.625</v>
      </c>
      <c r="N139" s="16">
        <f t="shared" si="16"/>
        <v>1.4555</v>
      </c>
      <c r="O139" s="16">
        <f t="shared" si="17"/>
        <v>0.21329999999999999</v>
      </c>
      <c r="P139" s="16">
        <f t="shared" si="18"/>
        <v>0.1358</v>
      </c>
      <c r="Q139" s="16">
        <f t="shared" si="19"/>
        <v>0.16420000000000001</v>
      </c>
      <c r="R139" s="16">
        <f t="shared" si="20"/>
        <v>0.1711</v>
      </c>
      <c r="S139" s="16">
        <f t="shared" si="21"/>
        <v>0.12470000000000001</v>
      </c>
      <c r="T139" s="16">
        <f t="shared" si="22"/>
        <v>0.5</v>
      </c>
      <c r="U139" s="16">
        <f t="shared" si="23"/>
        <v>0.32</v>
      </c>
      <c r="V139" s="16">
        <f t="shared" si="24"/>
        <v>0.63</v>
      </c>
      <c r="W139" s="16">
        <f t="shared" si="25"/>
        <v>0.63</v>
      </c>
      <c r="X139" s="16">
        <f t="shared" si="26"/>
        <v>27.029199999999999</v>
      </c>
      <c r="Y139" s="16">
        <f t="shared" si="27"/>
        <v>3.7037</v>
      </c>
      <c r="Z139" s="16">
        <f t="shared" si="28"/>
        <v>0</v>
      </c>
      <c r="AA139" s="16">
        <f t="shared" si="29"/>
        <v>0</v>
      </c>
      <c r="AB139" s="16">
        <f t="shared" si="30"/>
        <v>3.7037</v>
      </c>
      <c r="AC139" s="16">
        <f t="shared" si="31"/>
        <v>0</v>
      </c>
      <c r="AD139" s="16">
        <f t="shared" si="32"/>
        <v>85.185199999999995</v>
      </c>
      <c r="AE139" s="16">
        <f t="shared" si="33"/>
        <v>11.1111</v>
      </c>
      <c r="AF139" s="16">
        <f t="shared" si="34"/>
        <v>96.296300000000002</v>
      </c>
      <c r="AG139" s="16">
        <f t="shared" si="35"/>
        <v>85.185199999999995</v>
      </c>
      <c r="AH139" s="16">
        <f t="shared" si="36"/>
        <v>0.1875</v>
      </c>
      <c r="AI139" s="16">
        <f t="shared" si="37"/>
        <v>0.25419999999999998</v>
      </c>
      <c r="AJ139" s="16">
        <f t="shared" si="38"/>
        <v>0.32450000000000001</v>
      </c>
      <c r="AK139" s="16">
        <f t="shared" si="39"/>
        <v>0.25340000000000001</v>
      </c>
      <c r="AL139" s="16">
        <f t="shared" si="40"/>
        <v>0.25459999999999999</v>
      </c>
      <c r="AM139" s="16">
        <f t="shared" si="41"/>
        <v>0.4</v>
      </c>
      <c r="AN139" s="16">
        <f t="shared" si="42"/>
        <v>0.76</v>
      </c>
      <c r="AO139" s="16">
        <f t="shared" si="43"/>
        <v>1.04</v>
      </c>
      <c r="AP139" s="16">
        <f t="shared" si="44"/>
        <v>1.04</v>
      </c>
      <c r="AQ139" s="16">
        <f t="shared" si="45"/>
        <v>45.833300000000001</v>
      </c>
      <c r="AR139" s="16">
        <f t="shared" si="46"/>
        <v>0.29170000000000001</v>
      </c>
      <c r="AS139" s="16">
        <f t="shared" si="47"/>
        <v>25</v>
      </c>
      <c r="AT139" s="16">
        <f t="shared" si="48"/>
        <v>25</v>
      </c>
      <c r="AU139" s="16">
        <f t="shared" si="49"/>
        <v>25</v>
      </c>
      <c r="AV139" s="16">
        <f t="shared" si="50"/>
        <v>25</v>
      </c>
      <c r="AW139" s="16">
        <f t="shared" si="51"/>
        <v>45.833300000000001</v>
      </c>
      <c r="AX139" s="16">
        <f t="shared" si="52"/>
        <v>0.83330000000000004</v>
      </c>
      <c r="AY139" s="16">
        <f t="shared" si="53"/>
        <v>0</v>
      </c>
      <c r="AZ139" s="16">
        <f t="shared" si="54"/>
        <v>0</v>
      </c>
      <c r="BA139" s="16">
        <f t="shared" si="55"/>
        <v>0</v>
      </c>
      <c r="BB139" s="16">
        <f t="shared" si="56"/>
        <v>0</v>
      </c>
      <c r="BC139" s="16">
        <f t="shared" si="57"/>
        <v>0</v>
      </c>
      <c r="BD139" s="16">
        <f t="shared" si="58"/>
        <v>0.29170000000000001</v>
      </c>
      <c r="BE139" s="16">
        <f t="shared" si="59"/>
        <v>0</v>
      </c>
      <c r="BF139" s="16">
        <f t="shared" si="60"/>
        <v>0</v>
      </c>
      <c r="BG139" s="16">
        <f t="shared" si="61"/>
        <v>0</v>
      </c>
      <c r="BH139" s="16">
        <f t="shared" si="62"/>
        <v>0</v>
      </c>
      <c r="BI139" s="16">
        <f t="shared" si="63"/>
        <v>1.25</v>
      </c>
      <c r="BJ139" s="16">
        <f t="shared" si="64"/>
        <v>2.6667000000000001</v>
      </c>
      <c r="BK139" s="16">
        <f t="shared" si="65"/>
        <v>2.5</v>
      </c>
      <c r="BL139" s="16">
        <f t="shared" si="66"/>
        <v>2.0909</v>
      </c>
      <c r="BM139" s="16">
        <f t="shared" si="67"/>
        <v>1</v>
      </c>
      <c r="BN139" s="16">
        <f t="shared" si="68"/>
        <v>0.5</v>
      </c>
      <c r="BO139" s="16">
        <f t="shared" si="69"/>
        <v>0</v>
      </c>
      <c r="BP139" s="16">
        <f t="shared" si="70"/>
        <v>0.54549999999999998</v>
      </c>
      <c r="BQ139" s="16">
        <f t="shared" si="71"/>
        <v>45.833300000000001</v>
      </c>
      <c r="BR139" s="16">
        <f t="shared" si="72"/>
        <v>45.833300000000001</v>
      </c>
      <c r="BS139" s="16">
        <f t="shared" si="73"/>
        <v>8.3332999999999995</v>
      </c>
      <c r="BT139" s="16">
        <f t="shared" si="74"/>
        <v>25.625</v>
      </c>
      <c r="BU139" s="16">
        <f t="shared" si="75"/>
        <v>0</v>
      </c>
      <c r="BV139" s="16">
        <f t="shared" si="76"/>
        <v>31.006</v>
      </c>
      <c r="BW139" s="16">
        <f t="shared" si="77"/>
        <v>12.9162</v>
      </c>
      <c r="BX139" s="16">
        <f t="shared" si="78"/>
        <v>68.994</v>
      </c>
      <c r="BY139" s="16">
        <f t="shared" si="79"/>
        <v>0</v>
      </c>
      <c r="BZ139" s="16">
        <f t="shared" si="80"/>
        <v>0</v>
      </c>
      <c r="CA139" s="16">
        <f t="shared" si="81"/>
        <v>0</v>
      </c>
      <c r="CB139" s="16">
        <f t="shared" si="82"/>
        <v>0</v>
      </c>
      <c r="CC139" s="16">
        <f t="shared" si="83"/>
        <v>0</v>
      </c>
    </row>
    <row r="140" spans="1:81" x14ac:dyDescent="0.25">
      <c r="A140" t="s">
        <v>8</v>
      </c>
      <c r="B140" s="16">
        <f t="shared" si="4"/>
        <v>14.7</v>
      </c>
      <c r="C140" s="16">
        <f t="shared" si="5"/>
        <v>8.5299999999999994</v>
      </c>
      <c r="D140" s="16">
        <f t="shared" si="6"/>
        <v>11.05</v>
      </c>
      <c r="E140" s="16">
        <f t="shared" si="7"/>
        <v>670</v>
      </c>
      <c r="F140" s="16">
        <f t="shared" si="8"/>
        <v>380</v>
      </c>
      <c r="G140" s="16">
        <f t="shared" si="9"/>
        <v>380</v>
      </c>
      <c r="H140" s="16">
        <f t="shared" si="10"/>
        <v>1430</v>
      </c>
      <c r="I140" s="16">
        <f t="shared" si="11"/>
        <v>1.9300999999999999</v>
      </c>
      <c r="J140" s="16">
        <f t="shared" si="12"/>
        <v>3.5125000000000002</v>
      </c>
      <c r="K140" s="16">
        <f t="shared" si="13"/>
        <v>2.8125</v>
      </c>
      <c r="L140" s="16">
        <f t="shared" si="14"/>
        <v>2.2250000000000001</v>
      </c>
      <c r="M140" s="16">
        <f t="shared" si="15"/>
        <v>2.85</v>
      </c>
      <c r="N140" s="16">
        <f t="shared" si="16"/>
        <v>0.93059999999999998</v>
      </c>
      <c r="O140" s="16">
        <f t="shared" si="17"/>
        <v>0.27829999999999999</v>
      </c>
      <c r="P140" s="16">
        <f t="shared" si="18"/>
        <v>0.15640000000000001</v>
      </c>
      <c r="Q140" s="16">
        <f t="shared" si="19"/>
        <v>0.16200000000000001</v>
      </c>
      <c r="R140" s="16">
        <f t="shared" si="20"/>
        <v>0.2024</v>
      </c>
      <c r="S140" s="16">
        <f t="shared" si="21"/>
        <v>0.1108</v>
      </c>
      <c r="T140" s="16">
        <f t="shared" si="22"/>
        <v>0.48</v>
      </c>
      <c r="U140" s="16">
        <f t="shared" si="23"/>
        <v>0.28000000000000003</v>
      </c>
      <c r="V140" s="16">
        <f t="shared" si="24"/>
        <v>0.22</v>
      </c>
      <c r="W140" s="16">
        <f t="shared" si="25"/>
        <v>0.48</v>
      </c>
      <c r="X140" s="16">
        <f t="shared" si="26"/>
        <v>14.0793</v>
      </c>
      <c r="Y140" s="16">
        <f t="shared" si="27"/>
        <v>0</v>
      </c>
      <c r="Z140" s="16">
        <f t="shared" si="28"/>
        <v>9.0908999999999995</v>
      </c>
      <c r="AA140" s="16">
        <f t="shared" si="29"/>
        <v>3.0303</v>
      </c>
      <c r="AB140" s="16">
        <f t="shared" si="30"/>
        <v>12.1212</v>
      </c>
      <c r="AC140" s="16">
        <f t="shared" si="31"/>
        <v>0</v>
      </c>
      <c r="AD140" s="16">
        <f t="shared" si="32"/>
        <v>87.878799999999998</v>
      </c>
      <c r="AE140" s="16">
        <f t="shared" si="33"/>
        <v>0</v>
      </c>
      <c r="AF140" s="16">
        <f t="shared" si="34"/>
        <v>87.878799999999998</v>
      </c>
      <c r="AG140" s="16">
        <f t="shared" si="35"/>
        <v>87.878799999999998</v>
      </c>
      <c r="AH140" s="16">
        <f t="shared" si="36"/>
        <v>0.30580000000000002</v>
      </c>
      <c r="AI140" s="16">
        <f t="shared" si="37"/>
        <v>0.54269999999999996</v>
      </c>
      <c r="AJ140" s="16">
        <f t="shared" si="38"/>
        <v>0.72799999999999998</v>
      </c>
      <c r="AK140" s="16">
        <f t="shared" si="39"/>
        <v>0.51270000000000004</v>
      </c>
      <c r="AL140" s="16">
        <f t="shared" si="40"/>
        <v>0.317</v>
      </c>
      <c r="AM140" s="16">
        <f t="shared" si="41"/>
        <v>0.78</v>
      </c>
      <c r="AN140" s="16">
        <f t="shared" si="42"/>
        <v>0.92</v>
      </c>
      <c r="AO140" s="16">
        <f t="shared" si="43"/>
        <v>1.23</v>
      </c>
      <c r="AP140" s="16">
        <f t="shared" si="44"/>
        <v>1.23</v>
      </c>
      <c r="AQ140" s="16">
        <f t="shared" si="45"/>
        <v>66.666700000000006</v>
      </c>
      <c r="AR140" s="16">
        <f t="shared" si="46"/>
        <v>0.30430000000000001</v>
      </c>
      <c r="AS140" s="16">
        <f t="shared" si="47"/>
        <v>0</v>
      </c>
      <c r="AT140" s="16">
        <f t="shared" si="48"/>
        <v>0</v>
      </c>
      <c r="AU140" s="16">
        <f t="shared" si="49"/>
        <v>0</v>
      </c>
      <c r="AV140" s="16">
        <f t="shared" si="50"/>
        <v>0</v>
      </c>
      <c r="AW140" s="16">
        <f t="shared" si="51"/>
        <v>66.666700000000006</v>
      </c>
      <c r="AX140" s="16">
        <f t="shared" si="52"/>
        <v>1.75</v>
      </c>
      <c r="AY140" s="16">
        <f t="shared" si="53"/>
        <v>50</v>
      </c>
      <c r="AZ140" s="16">
        <f t="shared" si="54"/>
        <v>0</v>
      </c>
      <c r="BA140" s="16">
        <f t="shared" si="55"/>
        <v>0.25</v>
      </c>
      <c r="BB140" s="16">
        <f t="shared" si="56"/>
        <v>0.5</v>
      </c>
      <c r="BC140" s="16">
        <f t="shared" si="57"/>
        <v>0.25</v>
      </c>
      <c r="BD140" s="16">
        <f t="shared" si="58"/>
        <v>0.29170000000000001</v>
      </c>
      <c r="BE140" s="16">
        <f t="shared" si="59"/>
        <v>0.25</v>
      </c>
      <c r="BF140" s="16">
        <f t="shared" si="60"/>
        <v>0</v>
      </c>
      <c r="BG140" s="16">
        <f t="shared" si="61"/>
        <v>0</v>
      </c>
      <c r="BH140" s="16">
        <f t="shared" si="62"/>
        <v>8.3299999999999999E-2</v>
      </c>
      <c r="BI140" s="16">
        <f t="shared" si="63"/>
        <v>0</v>
      </c>
      <c r="BJ140" s="16">
        <f t="shared" si="64"/>
        <v>0</v>
      </c>
      <c r="BK140" s="16">
        <f t="shared" si="65"/>
        <v>0.25</v>
      </c>
      <c r="BL140" s="16">
        <f t="shared" si="66"/>
        <v>8.3299999999999999E-2</v>
      </c>
      <c r="BM140" s="16">
        <f t="shared" si="67"/>
        <v>1.25</v>
      </c>
      <c r="BN140" s="16">
        <f t="shared" si="68"/>
        <v>0</v>
      </c>
      <c r="BO140" s="16">
        <f t="shared" si="69"/>
        <v>0</v>
      </c>
      <c r="BP140" s="16">
        <f t="shared" si="70"/>
        <v>0.41670000000000001</v>
      </c>
      <c r="BQ140" s="16">
        <f t="shared" si="71"/>
        <v>50</v>
      </c>
      <c r="BR140" s="16">
        <f t="shared" si="72"/>
        <v>45.833300000000001</v>
      </c>
      <c r="BS140" s="16">
        <f t="shared" si="73"/>
        <v>4.1666999999999996</v>
      </c>
      <c r="BT140" s="16">
        <f t="shared" si="74"/>
        <v>24.583300000000001</v>
      </c>
      <c r="BU140" s="16">
        <f t="shared" si="75"/>
        <v>0.35</v>
      </c>
      <c r="BV140" s="16">
        <f t="shared" si="76"/>
        <v>32.6188</v>
      </c>
      <c r="BW140" s="16">
        <f t="shared" si="77"/>
        <v>13.864000000000001</v>
      </c>
      <c r="BX140" s="16">
        <f t="shared" si="78"/>
        <v>67.381200000000007</v>
      </c>
      <c r="BY140" s="16">
        <f t="shared" si="79"/>
        <v>0</v>
      </c>
      <c r="BZ140" s="16">
        <f t="shared" si="80"/>
        <v>0</v>
      </c>
      <c r="CA140" s="16">
        <f t="shared" si="81"/>
        <v>0</v>
      </c>
      <c r="CB140" s="16">
        <f t="shared" si="82"/>
        <v>0</v>
      </c>
      <c r="CC140" s="16">
        <f t="shared" si="83"/>
        <v>0</v>
      </c>
    </row>
    <row r="141" spans="1:81" x14ac:dyDescent="0.25">
      <c r="A141">
        <v>1</v>
      </c>
      <c r="B141" s="16">
        <f t="shared" si="4"/>
        <v>13.5</v>
      </c>
      <c r="C141" s="16">
        <f t="shared" si="5"/>
        <v>8.56</v>
      </c>
      <c r="D141" s="16">
        <f t="shared" si="6"/>
        <v>10.11</v>
      </c>
      <c r="E141" s="16">
        <f t="shared" si="7"/>
        <v>2200</v>
      </c>
      <c r="F141" s="16">
        <f t="shared" si="8"/>
        <v>1072</v>
      </c>
      <c r="G141" s="16">
        <f t="shared" si="9"/>
        <v>1133</v>
      </c>
      <c r="H141" s="16">
        <f t="shared" si="10"/>
        <v>4405</v>
      </c>
      <c r="I141" s="16">
        <f t="shared" si="11"/>
        <v>0.32690000000000002</v>
      </c>
      <c r="J141" s="16">
        <f t="shared" si="12"/>
        <v>5.6875</v>
      </c>
      <c r="K141" s="16">
        <f t="shared" si="13"/>
        <v>5.9249999999999998</v>
      </c>
      <c r="L141" s="16">
        <f t="shared" si="14"/>
        <v>6.375</v>
      </c>
      <c r="M141" s="16">
        <f t="shared" si="15"/>
        <v>5.9958</v>
      </c>
      <c r="N141" s="16">
        <f t="shared" si="16"/>
        <v>1.1947000000000001</v>
      </c>
      <c r="O141" s="16">
        <f t="shared" si="17"/>
        <v>0.32629999999999998</v>
      </c>
      <c r="P141" s="16">
        <f t="shared" si="18"/>
        <v>0.42249999999999999</v>
      </c>
      <c r="Q141" s="16">
        <f t="shared" si="19"/>
        <v>0.22439999999999999</v>
      </c>
      <c r="R141" s="16">
        <f t="shared" si="20"/>
        <v>0.32440000000000002</v>
      </c>
      <c r="S141" s="16">
        <f t="shared" si="21"/>
        <v>0.15670000000000001</v>
      </c>
      <c r="T141" s="16">
        <f t="shared" si="22"/>
        <v>0.59</v>
      </c>
      <c r="U141" s="16">
        <f t="shared" si="23"/>
        <v>0.88</v>
      </c>
      <c r="V141" s="16">
        <f t="shared" si="24"/>
        <v>0.48</v>
      </c>
      <c r="W141" s="16">
        <f t="shared" si="25"/>
        <v>0.88</v>
      </c>
      <c r="X141" s="16">
        <f t="shared" si="26"/>
        <v>18.484300000000001</v>
      </c>
      <c r="Y141" s="16">
        <f t="shared" si="27"/>
        <v>0</v>
      </c>
      <c r="Z141" s="16">
        <f t="shared" si="28"/>
        <v>20.833300000000001</v>
      </c>
      <c r="AA141" s="16">
        <f t="shared" si="29"/>
        <v>4.1666999999999996</v>
      </c>
      <c r="AB141" s="16">
        <f t="shared" si="30"/>
        <v>25</v>
      </c>
      <c r="AC141" s="16">
        <f t="shared" si="31"/>
        <v>8.3332999999999995</v>
      </c>
      <c r="AD141" s="16">
        <f t="shared" si="32"/>
        <v>64.583299999999994</v>
      </c>
      <c r="AE141" s="16">
        <f t="shared" si="33"/>
        <v>2.0832999999999999</v>
      </c>
      <c r="AF141" s="16">
        <f t="shared" si="34"/>
        <v>75</v>
      </c>
      <c r="AG141" s="16">
        <f t="shared" si="35"/>
        <v>64.583299999999994</v>
      </c>
      <c r="AH141" s="16">
        <f t="shared" si="36"/>
        <v>0.314</v>
      </c>
      <c r="AI141" s="16">
        <f t="shared" si="37"/>
        <v>0.1973</v>
      </c>
      <c r="AJ141" s="16">
        <f t="shared" si="38"/>
        <v>0.29470000000000002</v>
      </c>
      <c r="AK141" s="16">
        <f t="shared" si="39"/>
        <v>0.26500000000000001</v>
      </c>
      <c r="AL141" s="16">
        <f t="shared" si="40"/>
        <v>0.1714</v>
      </c>
      <c r="AM141" s="16">
        <f t="shared" si="41"/>
        <v>0.56000000000000005</v>
      </c>
      <c r="AN141" s="16">
        <f t="shared" si="42"/>
        <v>0.53</v>
      </c>
      <c r="AO141" s="16">
        <f t="shared" si="43"/>
        <v>0.85</v>
      </c>
      <c r="AP141" s="16">
        <f t="shared" si="44"/>
        <v>0.85</v>
      </c>
      <c r="AQ141" s="16">
        <f t="shared" si="45"/>
        <v>29.166699999999999</v>
      </c>
      <c r="AR141" s="16">
        <f t="shared" si="46"/>
        <v>0.58330000000000004</v>
      </c>
      <c r="AS141" s="16">
        <f t="shared" si="47"/>
        <v>0</v>
      </c>
      <c r="AT141" s="16">
        <f t="shared" si="48"/>
        <v>37.5</v>
      </c>
      <c r="AU141" s="16">
        <f t="shared" si="49"/>
        <v>0</v>
      </c>
      <c r="AV141" s="16">
        <f t="shared" si="50"/>
        <v>12.5</v>
      </c>
      <c r="AW141" s="16">
        <f t="shared" si="51"/>
        <v>58.333300000000001</v>
      </c>
      <c r="AX141" s="16">
        <f t="shared" si="52"/>
        <v>0.5</v>
      </c>
      <c r="AY141" s="16">
        <f t="shared" si="53"/>
        <v>8.3332999999999995</v>
      </c>
      <c r="AZ141" s="16">
        <f t="shared" si="54"/>
        <v>0.625</v>
      </c>
      <c r="BA141" s="16">
        <f t="shared" si="55"/>
        <v>0.25</v>
      </c>
      <c r="BB141" s="16">
        <f t="shared" si="56"/>
        <v>1</v>
      </c>
      <c r="BC141" s="16">
        <f t="shared" si="57"/>
        <v>0.625</v>
      </c>
      <c r="BD141" s="16">
        <f t="shared" si="58"/>
        <v>0.875</v>
      </c>
      <c r="BE141" s="16">
        <f t="shared" si="59"/>
        <v>0</v>
      </c>
      <c r="BF141" s="16">
        <f t="shared" si="60"/>
        <v>0</v>
      </c>
      <c r="BG141" s="16">
        <f t="shared" si="61"/>
        <v>0.5</v>
      </c>
      <c r="BH141" s="16">
        <f t="shared" si="62"/>
        <v>0.16669999999999999</v>
      </c>
      <c r="BI141" s="16">
        <f t="shared" si="63"/>
        <v>1.5</v>
      </c>
      <c r="BJ141" s="16">
        <f t="shared" si="64"/>
        <v>0</v>
      </c>
      <c r="BK141" s="16">
        <f t="shared" si="65"/>
        <v>0.25</v>
      </c>
      <c r="BL141" s="16">
        <f t="shared" si="66"/>
        <v>0.58330000000000004</v>
      </c>
      <c r="BM141" s="16">
        <f t="shared" si="67"/>
        <v>0.75</v>
      </c>
      <c r="BN141" s="16">
        <f t="shared" si="68"/>
        <v>1.5</v>
      </c>
      <c r="BO141" s="16">
        <f t="shared" si="69"/>
        <v>0.5</v>
      </c>
      <c r="BP141" s="16">
        <f t="shared" si="70"/>
        <v>0.91669999999999996</v>
      </c>
      <c r="BQ141" s="16">
        <f t="shared" si="71"/>
        <v>8.3332999999999995</v>
      </c>
      <c r="BR141" s="16">
        <f t="shared" si="72"/>
        <v>70.833299999999994</v>
      </c>
      <c r="BS141" s="16">
        <f t="shared" si="73"/>
        <v>20.833300000000001</v>
      </c>
      <c r="BT141" s="16">
        <f t="shared" si="74"/>
        <v>41.041699999999999</v>
      </c>
      <c r="BU141" s="16">
        <f t="shared" si="75"/>
        <v>0.91669999999999996</v>
      </c>
      <c r="BV141" s="16">
        <f t="shared" si="76"/>
        <v>19.519500000000001</v>
      </c>
      <c r="BW141" s="16">
        <f t="shared" si="77"/>
        <v>11.8782</v>
      </c>
      <c r="BX141" s="16">
        <f t="shared" si="78"/>
        <v>80.480500000000006</v>
      </c>
      <c r="BY141" s="16">
        <f t="shared" si="79"/>
        <v>0</v>
      </c>
      <c r="BZ141" s="16">
        <f t="shared" si="80"/>
        <v>0</v>
      </c>
      <c r="CA141" s="16">
        <f t="shared" si="81"/>
        <v>0</v>
      </c>
      <c r="CB141" s="16">
        <f t="shared" si="82"/>
        <v>0</v>
      </c>
      <c r="CC141" s="16">
        <f t="shared" si="83"/>
        <v>0</v>
      </c>
    </row>
    <row r="142" spans="1:81" x14ac:dyDescent="0.25">
      <c r="A142">
        <v>4</v>
      </c>
      <c r="B142" s="16">
        <f t="shared" si="4"/>
        <v>13.4</v>
      </c>
      <c r="C142" s="16">
        <f t="shared" si="5"/>
        <v>8.41</v>
      </c>
      <c r="D142" s="16">
        <f t="shared" si="6"/>
        <v>10.77</v>
      </c>
      <c r="E142" s="16">
        <f t="shared" si="7"/>
        <v>884</v>
      </c>
      <c r="F142" s="16">
        <f t="shared" si="8"/>
        <v>631</v>
      </c>
      <c r="G142" s="16">
        <f t="shared" si="9"/>
        <v>410</v>
      </c>
      <c r="H142" s="16">
        <f t="shared" si="10"/>
        <v>1925</v>
      </c>
      <c r="I142" s="16">
        <f t="shared" si="11"/>
        <v>2.3376999999999999</v>
      </c>
      <c r="J142" s="16">
        <f t="shared" si="12"/>
        <v>3.2374999999999998</v>
      </c>
      <c r="K142" s="16">
        <f t="shared" si="13"/>
        <v>2.1875</v>
      </c>
      <c r="L142" s="16">
        <f t="shared" si="14"/>
        <v>1.7749999999999999</v>
      </c>
      <c r="M142" s="16">
        <f t="shared" si="15"/>
        <v>2.4</v>
      </c>
      <c r="N142" s="16">
        <f t="shared" si="16"/>
        <v>1.0061</v>
      </c>
      <c r="O142" s="16">
        <f t="shared" si="17"/>
        <v>0.13830000000000001</v>
      </c>
      <c r="P142" s="16">
        <f t="shared" si="18"/>
        <v>0.2233</v>
      </c>
      <c r="Q142" s="16">
        <f t="shared" si="19"/>
        <v>0.13450000000000001</v>
      </c>
      <c r="R142" s="16">
        <f t="shared" si="20"/>
        <v>0.1663</v>
      </c>
      <c r="S142" s="16">
        <f t="shared" si="21"/>
        <v>9.3200000000000005E-2</v>
      </c>
      <c r="T142" s="16">
        <f t="shared" si="22"/>
        <v>0.26</v>
      </c>
      <c r="U142" s="16">
        <f t="shared" si="23"/>
        <v>0.5</v>
      </c>
      <c r="V142" s="16">
        <f t="shared" si="24"/>
        <v>0.26</v>
      </c>
      <c r="W142" s="16">
        <f t="shared" si="25"/>
        <v>0.5</v>
      </c>
      <c r="X142" s="16">
        <f t="shared" si="26"/>
        <v>14.433</v>
      </c>
      <c r="Y142" s="16">
        <f t="shared" si="27"/>
        <v>0</v>
      </c>
      <c r="Z142" s="16">
        <f t="shared" si="28"/>
        <v>11.428599999999999</v>
      </c>
      <c r="AA142" s="16">
        <f t="shared" si="29"/>
        <v>0</v>
      </c>
      <c r="AB142" s="16">
        <f t="shared" si="30"/>
        <v>11.428599999999999</v>
      </c>
      <c r="AC142" s="16">
        <f t="shared" si="31"/>
        <v>0</v>
      </c>
      <c r="AD142" s="16">
        <f t="shared" si="32"/>
        <v>88.571399999999997</v>
      </c>
      <c r="AE142" s="16">
        <f t="shared" si="33"/>
        <v>0</v>
      </c>
      <c r="AF142" s="16">
        <f t="shared" si="34"/>
        <v>88.571399999999997</v>
      </c>
      <c r="AG142" s="16">
        <f t="shared" si="35"/>
        <v>88.571399999999997</v>
      </c>
      <c r="AH142" s="16">
        <f t="shared" si="36"/>
        <v>0.39579999999999999</v>
      </c>
      <c r="AI142" s="16">
        <f t="shared" si="37"/>
        <v>0.34499999999999997</v>
      </c>
      <c r="AJ142" s="16">
        <f t="shared" si="38"/>
        <v>0.26090000000000002</v>
      </c>
      <c r="AK142" s="16">
        <f t="shared" si="39"/>
        <v>0.33600000000000002</v>
      </c>
      <c r="AL142" s="16">
        <f t="shared" si="40"/>
        <v>0.26939999999999997</v>
      </c>
      <c r="AM142" s="16">
        <f t="shared" si="41"/>
        <v>0.93</v>
      </c>
      <c r="AN142" s="16">
        <f t="shared" si="42"/>
        <v>0.72</v>
      </c>
      <c r="AO142" s="16">
        <f t="shared" si="43"/>
        <v>0.75</v>
      </c>
      <c r="AP142" s="16">
        <f t="shared" si="44"/>
        <v>0.93</v>
      </c>
      <c r="AQ142" s="16">
        <f t="shared" si="45"/>
        <v>50</v>
      </c>
      <c r="AR142" s="16">
        <f t="shared" si="46"/>
        <v>0.5</v>
      </c>
      <c r="AS142" s="16">
        <f t="shared" si="47"/>
        <v>0</v>
      </c>
      <c r="AT142" s="16">
        <f t="shared" si="48"/>
        <v>0</v>
      </c>
      <c r="AU142" s="16">
        <f t="shared" si="49"/>
        <v>0</v>
      </c>
      <c r="AV142" s="16">
        <f t="shared" si="50"/>
        <v>0</v>
      </c>
      <c r="AW142" s="16">
        <f t="shared" si="51"/>
        <v>50</v>
      </c>
      <c r="AX142" s="16">
        <f t="shared" si="52"/>
        <v>1.8332999999999999</v>
      </c>
      <c r="AY142" s="16">
        <f t="shared" si="53"/>
        <v>58.333300000000001</v>
      </c>
      <c r="AZ142" s="16">
        <f t="shared" si="54"/>
        <v>0.375</v>
      </c>
      <c r="BA142" s="16">
        <f t="shared" si="55"/>
        <v>0.125</v>
      </c>
      <c r="BB142" s="16">
        <f t="shared" si="56"/>
        <v>0</v>
      </c>
      <c r="BC142" s="16">
        <f t="shared" si="57"/>
        <v>0.16669999999999999</v>
      </c>
      <c r="BD142" s="16">
        <f t="shared" si="58"/>
        <v>0.25</v>
      </c>
      <c r="BE142" s="16">
        <f t="shared" si="59"/>
        <v>0</v>
      </c>
      <c r="BF142" s="16">
        <f t="shared" si="60"/>
        <v>0.75</v>
      </c>
      <c r="BG142" s="16">
        <f t="shared" si="61"/>
        <v>0.5</v>
      </c>
      <c r="BH142" s="16">
        <f t="shared" si="62"/>
        <v>0.41670000000000001</v>
      </c>
      <c r="BI142" s="16">
        <f t="shared" si="63"/>
        <v>1</v>
      </c>
      <c r="BJ142" s="16">
        <f t="shared" si="64"/>
        <v>0.25</v>
      </c>
      <c r="BK142" s="16">
        <f t="shared" si="65"/>
        <v>0.25</v>
      </c>
      <c r="BL142" s="16">
        <f t="shared" si="66"/>
        <v>0.5</v>
      </c>
      <c r="BM142" s="16">
        <f t="shared" si="67"/>
        <v>0.25</v>
      </c>
      <c r="BN142" s="16">
        <f t="shared" si="68"/>
        <v>1</v>
      </c>
      <c r="BO142" s="16">
        <f t="shared" si="69"/>
        <v>0</v>
      </c>
      <c r="BP142" s="16">
        <f t="shared" si="70"/>
        <v>0.41670000000000001</v>
      </c>
      <c r="BQ142" s="16">
        <f t="shared" si="71"/>
        <v>12.5</v>
      </c>
      <c r="BR142" s="16">
        <f t="shared" si="72"/>
        <v>70.833299999999994</v>
      </c>
      <c r="BS142" s="16">
        <f t="shared" si="73"/>
        <v>16.666699999999999</v>
      </c>
      <c r="BT142" s="16">
        <f t="shared" si="74"/>
        <v>40</v>
      </c>
      <c r="BU142" s="16">
        <f t="shared" si="75"/>
        <v>0.16669999999999999</v>
      </c>
      <c r="BV142" s="16">
        <f t="shared" si="76"/>
        <v>45.675699999999999</v>
      </c>
      <c r="BW142" s="16">
        <f t="shared" si="77"/>
        <v>16.078399999999998</v>
      </c>
      <c r="BX142" s="16">
        <f t="shared" si="78"/>
        <v>54.324300000000001</v>
      </c>
      <c r="BY142" s="16">
        <f t="shared" si="79"/>
        <v>0</v>
      </c>
      <c r="BZ142" s="16">
        <f t="shared" si="80"/>
        <v>0</v>
      </c>
      <c r="CA142" s="16">
        <f t="shared" si="81"/>
        <v>0</v>
      </c>
      <c r="CB142" s="16">
        <f t="shared" si="82"/>
        <v>0</v>
      </c>
      <c r="CC142" s="16">
        <f t="shared" si="83"/>
        <v>0</v>
      </c>
    </row>
    <row r="143" spans="1:81" x14ac:dyDescent="0.25">
      <c r="A143">
        <v>17</v>
      </c>
      <c r="B143" s="16">
        <f t="shared" si="4"/>
        <v>17.100000000000001</v>
      </c>
      <c r="C143" s="16">
        <f t="shared" si="5"/>
        <v>8.85</v>
      </c>
      <c r="D143" s="16">
        <f t="shared" si="6"/>
        <v>10.36</v>
      </c>
      <c r="E143" s="16">
        <f t="shared" si="7"/>
        <v>203</v>
      </c>
      <c r="F143" s="16">
        <f t="shared" si="8"/>
        <v>260</v>
      </c>
      <c r="G143" s="16">
        <f t="shared" si="9"/>
        <v>450</v>
      </c>
      <c r="H143" s="16">
        <f t="shared" si="10"/>
        <v>913</v>
      </c>
      <c r="I143" s="16">
        <f t="shared" si="11"/>
        <v>6.5699999999999995E-2</v>
      </c>
      <c r="J143" s="16">
        <f t="shared" si="12"/>
        <v>2.0625</v>
      </c>
      <c r="K143" s="16">
        <f t="shared" si="13"/>
        <v>1.95</v>
      </c>
      <c r="L143" s="16">
        <f t="shared" si="14"/>
        <v>2.5188000000000001</v>
      </c>
      <c r="M143" s="16">
        <f t="shared" si="15"/>
        <v>2.1770999999999998</v>
      </c>
      <c r="N143" s="16">
        <f t="shared" si="16"/>
        <v>0.5353</v>
      </c>
      <c r="O143" s="16">
        <f t="shared" si="17"/>
        <v>0.25890000000000002</v>
      </c>
      <c r="P143" s="16">
        <f t="shared" si="18"/>
        <v>0.3125</v>
      </c>
      <c r="Q143" s="16">
        <f t="shared" si="19"/>
        <v>0.38750000000000001</v>
      </c>
      <c r="R143" s="16">
        <f t="shared" si="20"/>
        <v>0.31719999999999998</v>
      </c>
      <c r="S143" s="16">
        <f t="shared" si="21"/>
        <v>0.12609999999999999</v>
      </c>
      <c r="T143" s="16">
        <f t="shared" si="22"/>
        <v>0.36</v>
      </c>
      <c r="U143" s="16">
        <f t="shared" si="23"/>
        <v>0.44</v>
      </c>
      <c r="V143" s="16">
        <f t="shared" si="24"/>
        <v>0.74</v>
      </c>
      <c r="W143" s="16">
        <f t="shared" si="25"/>
        <v>0.74</v>
      </c>
      <c r="X143" s="16">
        <f t="shared" si="26"/>
        <v>6.8634000000000004</v>
      </c>
      <c r="Y143" s="16">
        <f t="shared" si="27"/>
        <v>0</v>
      </c>
      <c r="Z143" s="16">
        <f t="shared" si="28"/>
        <v>28</v>
      </c>
      <c r="AA143" s="16">
        <f t="shared" si="29"/>
        <v>0</v>
      </c>
      <c r="AB143" s="16">
        <f t="shared" si="30"/>
        <v>28</v>
      </c>
      <c r="AC143" s="16">
        <f t="shared" si="31"/>
        <v>0</v>
      </c>
      <c r="AD143" s="16">
        <f t="shared" si="32"/>
        <v>72</v>
      </c>
      <c r="AE143" s="16">
        <f t="shared" si="33"/>
        <v>0</v>
      </c>
      <c r="AF143" s="16">
        <f t="shared" si="34"/>
        <v>72</v>
      </c>
      <c r="AG143" s="16">
        <f t="shared" si="35"/>
        <v>72</v>
      </c>
      <c r="AH143" s="16">
        <f t="shared" si="36"/>
        <v>0.4975</v>
      </c>
      <c r="AI143" s="16">
        <f t="shared" si="37"/>
        <v>0.58130000000000004</v>
      </c>
      <c r="AJ143" s="16">
        <f t="shared" si="38"/>
        <v>0.39129999999999998</v>
      </c>
      <c r="AK143" s="16">
        <f t="shared" si="39"/>
        <v>0.4924</v>
      </c>
      <c r="AL143" s="16">
        <f t="shared" si="40"/>
        <v>0.21490000000000001</v>
      </c>
      <c r="AM143" s="16">
        <f t="shared" si="41"/>
        <v>0.79</v>
      </c>
      <c r="AN143" s="16">
        <f t="shared" si="42"/>
        <v>1.05</v>
      </c>
      <c r="AO143" s="16">
        <f t="shared" si="43"/>
        <v>0.78</v>
      </c>
      <c r="AP143" s="16">
        <f t="shared" si="44"/>
        <v>1.05</v>
      </c>
      <c r="AQ143" s="16">
        <f t="shared" si="45"/>
        <v>4.1666999999999996</v>
      </c>
      <c r="AR143" s="16">
        <f t="shared" si="46"/>
        <v>0.91300000000000003</v>
      </c>
      <c r="AS143" s="16">
        <f t="shared" si="47"/>
        <v>0</v>
      </c>
      <c r="AT143" s="16">
        <f t="shared" si="48"/>
        <v>0</v>
      </c>
      <c r="AU143" s="16">
        <f t="shared" si="49"/>
        <v>12.5</v>
      </c>
      <c r="AV143" s="16">
        <f t="shared" si="50"/>
        <v>4.1666999999999996</v>
      </c>
      <c r="AW143" s="16">
        <f t="shared" si="51"/>
        <v>87.5</v>
      </c>
      <c r="AX143" s="16">
        <f t="shared" si="52"/>
        <v>0.91669999999999996</v>
      </c>
      <c r="AY143" s="16">
        <f t="shared" si="53"/>
        <v>16.666699999999999</v>
      </c>
      <c r="AZ143" s="16">
        <f t="shared" si="54"/>
        <v>0.125</v>
      </c>
      <c r="BA143" s="16">
        <f t="shared" si="55"/>
        <v>0</v>
      </c>
      <c r="BB143" s="16">
        <f t="shared" si="56"/>
        <v>0</v>
      </c>
      <c r="BC143" s="16">
        <f t="shared" si="57"/>
        <v>4.1700000000000001E-2</v>
      </c>
      <c r="BD143" s="16">
        <f t="shared" si="58"/>
        <v>0.625</v>
      </c>
      <c r="BE143" s="16">
        <f t="shared" si="59"/>
        <v>1.5</v>
      </c>
      <c r="BF143" s="16">
        <f t="shared" si="60"/>
        <v>1.25</v>
      </c>
      <c r="BG143" s="16">
        <f t="shared" si="61"/>
        <v>1.25</v>
      </c>
      <c r="BH143" s="16">
        <f t="shared" si="62"/>
        <v>1.3332999999999999</v>
      </c>
      <c r="BI143" s="16">
        <f t="shared" si="63"/>
        <v>0</v>
      </c>
      <c r="BJ143" s="16">
        <f t="shared" si="64"/>
        <v>0</v>
      </c>
      <c r="BK143" s="16">
        <f t="shared" si="65"/>
        <v>0</v>
      </c>
      <c r="BL143" s="16">
        <f t="shared" si="66"/>
        <v>0</v>
      </c>
      <c r="BM143" s="16">
        <f t="shared" si="67"/>
        <v>0</v>
      </c>
      <c r="BN143" s="16">
        <f t="shared" si="68"/>
        <v>0</v>
      </c>
      <c r="BO143" s="16">
        <f t="shared" si="69"/>
        <v>0.25</v>
      </c>
      <c r="BP143" s="16">
        <f t="shared" si="70"/>
        <v>8.3299999999999999E-2</v>
      </c>
      <c r="BQ143" s="16">
        <f t="shared" si="71"/>
        <v>0</v>
      </c>
      <c r="BR143" s="16">
        <f t="shared" si="72"/>
        <v>54.166699999999999</v>
      </c>
      <c r="BS143" s="16">
        <f t="shared" si="73"/>
        <v>45.833300000000001</v>
      </c>
      <c r="BT143" s="16">
        <f t="shared" si="74"/>
        <v>51.666699999999999</v>
      </c>
      <c r="BU143" s="16">
        <f t="shared" si="75"/>
        <v>0.16669999999999999</v>
      </c>
      <c r="BV143" s="16">
        <f t="shared" si="76"/>
        <v>81.531499999999994</v>
      </c>
      <c r="BW143" s="16">
        <f t="shared" si="77"/>
        <v>12.074299999999999</v>
      </c>
      <c r="BX143" s="16">
        <f t="shared" si="78"/>
        <v>18.468499999999999</v>
      </c>
      <c r="BY143" s="16">
        <f t="shared" si="79"/>
        <v>0</v>
      </c>
      <c r="BZ143" s="16">
        <f t="shared" si="80"/>
        <v>0</v>
      </c>
      <c r="CA143" s="16">
        <f t="shared" si="81"/>
        <v>0</v>
      </c>
      <c r="CB143" s="16">
        <f t="shared" si="82"/>
        <v>0</v>
      </c>
      <c r="CC143" s="16">
        <f t="shared" si="83"/>
        <v>0</v>
      </c>
    </row>
    <row r="144" spans="1:81" x14ac:dyDescent="0.25">
      <c r="A144">
        <v>20</v>
      </c>
      <c r="B144" s="16">
        <f t="shared" si="4"/>
        <v>13.4</v>
      </c>
      <c r="C144" s="16">
        <f t="shared" si="5"/>
        <v>8.8000000000000007</v>
      </c>
      <c r="D144" s="16">
        <f t="shared" si="6"/>
        <v>13.01</v>
      </c>
      <c r="E144" s="16">
        <f t="shared" si="7"/>
        <v>1987</v>
      </c>
      <c r="F144" s="16">
        <f t="shared" si="8"/>
        <v>1464</v>
      </c>
      <c r="G144" s="16">
        <f t="shared" si="9"/>
        <v>1064</v>
      </c>
      <c r="H144" s="16">
        <f t="shared" si="10"/>
        <v>4515</v>
      </c>
      <c r="I144" s="16">
        <f t="shared" si="11"/>
        <v>0.95679999999999998</v>
      </c>
      <c r="J144" s="16">
        <f t="shared" si="12"/>
        <v>4.3875000000000002</v>
      </c>
      <c r="K144" s="16">
        <f t="shared" si="13"/>
        <v>4.8375000000000004</v>
      </c>
      <c r="L144" s="16">
        <f t="shared" si="14"/>
        <v>3.9375</v>
      </c>
      <c r="M144" s="16">
        <f t="shared" si="15"/>
        <v>4.3875000000000002</v>
      </c>
      <c r="N144" s="16">
        <f t="shared" si="16"/>
        <v>1.1880999999999999</v>
      </c>
      <c r="O144" s="16">
        <f t="shared" si="17"/>
        <v>0.25629999999999997</v>
      </c>
      <c r="P144" s="16">
        <f t="shared" si="18"/>
        <v>0.20599999999999999</v>
      </c>
      <c r="Q144" s="16">
        <f t="shared" si="19"/>
        <v>0.2107</v>
      </c>
      <c r="R144" s="16">
        <f t="shared" si="20"/>
        <v>0.22500000000000001</v>
      </c>
      <c r="S144" s="16">
        <f t="shared" si="21"/>
        <v>0.1138</v>
      </c>
      <c r="T144" s="16">
        <f t="shared" si="22"/>
        <v>0.56000000000000005</v>
      </c>
      <c r="U144" s="16">
        <f t="shared" si="23"/>
        <v>0.4</v>
      </c>
      <c r="V144" s="16">
        <f t="shared" si="24"/>
        <v>0.32</v>
      </c>
      <c r="W144" s="16">
        <f t="shared" si="25"/>
        <v>0.56000000000000005</v>
      </c>
      <c r="X144" s="16">
        <f t="shared" si="26"/>
        <v>19.5</v>
      </c>
      <c r="Y144" s="16">
        <f t="shared" si="27"/>
        <v>0</v>
      </c>
      <c r="Z144" s="16">
        <f t="shared" si="28"/>
        <v>13.0435</v>
      </c>
      <c r="AA144" s="16">
        <f t="shared" si="29"/>
        <v>0</v>
      </c>
      <c r="AB144" s="16">
        <f t="shared" si="30"/>
        <v>13.0435</v>
      </c>
      <c r="AC144" s="16">
        <f t="shared" si="31"/>
        <v>8.6957000000000004</v>
      </c>
      <c r="AD144" s="16">
        <f t="shared" si="32"/>
        <v>73.912999999999997</v>
      </c>
      <c r="AE144" s="16">
        <f t="shared" si="33"/>
        <v>4.3478000000000003</v>
      </c>
      <c r="AF144" s="16">
        <f t="shared" si="34"/>
        <v>86.956500000000005</v>
      </c>
      <c r="AG144" s="16">
        <f t="shared" si="35"/>
        <v>73.912999999999997</v>
      </c>
      <c r="AH144" s="16">
        <f t="shared" si="36"/>
        <v>0.21249999999999999</v>
      </c>
      <c r="AI144" s="16">
        <f t="shared" si="37"/>
        <v>0.16669999999999999</v>
      </c>
      <c r="AJ144" s="16">
        <f t="shared" si="38"/>
        <v>0.19470000000000001</v>
      </c>
      <c r="AK144" s="16">
        <f t="shared" si="39"/>
        <v>0.19170000000000001</v>
      </c>
      <c r="AL144" s="16">
        <f t="shared" si="40"/>
        <v>0.16350000000000001</v>
      </c>
      <c r="AM144" s="16">
        <f t="shared" si="41"/>
        <v>0.61</v>
      </c>
      <c r="AN144" s="16">
        <f t="shared" si="42"/>
        <v>0.49</v>
      </c>
      <c r="AO144" s="16">
        <f t="shared" si="43"/>
        <v>0.46</v>
      </c>
      <c r="AP144" s="16">
        <f t="shared" si="44"/>
        <v>0.61</v>
      </c>
      <c r="AQ144" s="16">
        <f t="shared" si="45"/>
        <v>54.166699999999999</v>
      </c>
      <c r="AR144" s="16">
        <f t="shared" si="46"/>
        <v>0.16669999999999999</v>
      </c>
      <c r="AS144" s="16">
        <f t="shared" si="47"/>
        <v>25</v>
      </c>
      <c r="AT144" s="16">
        <f t="shared" si="48"/>
        <v>37.5</v>
      </c>
      <c r="AU144" s="16">
        <f t="shared" si="49"/>
        <v>25</v>
      </c>
      <c r="AV144" s="16">
        <f t="shared" si="50"/>
        <v>29.166699999999999</v>
      </c>
      <c r="AW144" s="16">
        <f t="shared" si="51"/>
        <v>54.166699999999999</v>
      </c>
      <c r="AX144" s="16">
        <f t="shared" si="52"/>
        <v>0.83330000000000004</v>
      </c>
      <c r="AY144" s="16">
        <f t="shared" si="53"/>
        <v>25</v>
      </c>
      <c r="AZ144" s="16">
        <f t="shared" si="54"/>
        <v>0.125</v>
      </c>
      <c r="BA144" s="16">
        <f t="shared" si="55"/>
        <v>0.25</v>
      </c>
      <c r="BB144" s="16">
        <f t="shared" si="56"/>
        <v>0.25</v>
      </c>
      <c r="BC144" s="16">
        <f t="shared" si="57"/>
        <v>0.20830000000000001</v>
      </c>
      <c r="BD144" s="16">
        <f t="shared" si="58"/>
        <v>0.75</v>
      </c>
      <c r="BE144" s="16">
        <f t="shared" si="59"/>
        <v>0</v>
      </c>
      <c r="BF144" s="16">
        <f t="shared" si="60"/>
        <v>0</v>
      </c>
      <c r="BG144" s="16">
        <f t="shared" si="61"/>
        <v>0</v>
      </c>
      <c r="BH144" s="16">
        <f t="shared" si="62"/>
        <v>0</v>
      </c>
      <c r="BI144" s="16">
        <f t="shared" si="63"/>
        <v>1</v>
      </c>
      <c r="BJ144" s="16">
        <f t="shared" si="64"/>
        <v>1.75</v>
      </c>
      <c r="BK144" s="16">
        <f t="shared" si="65"/>
        <v>0.5</v>
      </c>
      <c r="BL144" s="16">
        <f t="shared" si="66"/>
        <v>1.0832999999999999</v>
      </c>
      <c r="BM144" s="16">
        <f t="shared" si="67"/>
        <v>0.75</v>
      </c>
      <c r="BN144" s="16">
        <f t="shared" si="68"/>
        <v>0.75</v>
      </c>
      <c r="BO144" s="16">
        <f t="shared" si="69"/>
        <v>0.75</v>
      </c>
      <c r="BP144" s="16">
        <f t="shared" si="70"/>
        <v>0.75</v>
      </c>
      <c r="BQ144" s="16">
        <f t="shared" si="71"/>
        <v>12.5</v>
      </c>
      <c r="BR144" s="16">
        <f t="shared" si="72"/>
        <v>79.166700000000006</v>
      </c>
      <c r="BS144" s="16">
        <f t="shared" si="73"/>
        <v>8.3332999999999995</v>
      </c>
      <c r="BT144" s="16">
        <f t="shared" si="74"/>
        <v>33.541699999999999</v>
      </c>
      <c r="BU144" s="16">
        <f t="shared" si="75"/>
        <v>0.70830000000000004</v>
      </c>
      <c r="BV144" s="16">
        <f t="shared" si="76"/>
        <v>6.5636999999999999</v>
      </c>
      <c r="BW144" s="16">
        <f t="shared" si="77"/>
        <v>4.7545000000000002</v>
      </c>
      <c r="BX144" s="16">
        <f t="shared" si="78"/>
        <v>93.436300000000003</v>
      </c>
      <c r="BY144" s="16">
        <f t="shared" si="79"/>
        <v>0</v>
      </c>
      <c r="BZ144" s="16">
        <f t="shared" si="80"/>
        <v>0</v>
      </c>
      <c r="CA144" s="16">
        <f t="shared" si="81"/>
        <v>0</v>
      </c>
      <c r="CB144" s="16">
        <f t="shared" si="82"/>
        <v>0</v>
      </c>
      <c r="CC144" s="16">
        <f t="shared" si="83"/>
        <v>0</v>
      </c>
    </row>
    <row r="145" spans="1:81" x14ac:dyDescent="0.25">
      <c r="A145">
        <v>25</v>
      </c>
      <c r="B145" s="16">
        <f t="shared" si="4"/>
        <v>15.7</v>
      </c>
      <c r="C145" s="16">
        <f t="shared" si="5"/>
        <v>8.1199999999999992</v>
      </c>
      <c r="D145" s="16">
        <f t="shared" si="6"/>
        <v>11.67</v>
      </c>
      <c r="E145" s="16">
        <f t="shared" si="7"/>
        <v>432</v>
      </c>
      <c r="F145" s="16">
        <f t="shared" si="8"/>
        <v>293</v>
      </c>
      <c r="G145" s="16">
        <f t="shared" si="9"/>
        <v>220</v>
      </c>
      <c r="H145" s="16">
        <f t="shared" si="10"/>
        <v>945</v>
      </c>
      <c r="I145" s="16">
        <f t="shared" si="11"/>
        <v>0</v>
      </c>
      <c r="J145" s="16">
        <f t="shared" si="12"/>
        <v>1.0375000000000001</v>
      </c>
      <c r="K145" s="16">
        <f t="shared" si="13"/>
        <v>0.92500000000000004</v>
      </c>
      <c r="L145" s="16">
        <f t="shared" si="14"/>
        <v>0.95</v>
      </c>
      <c r="M145" s="16">
        <f t="shared" si="15"/>
        <v>0.9708</v>
      </c>
      <c r="N145" s="16">
        <f t="shared" si="16"/>
        <v>0.27260000000000001</v>
      </c>
      <c r="O145" s="16">
        <f t="shared" si="17"/>
        <v>0.23250000000000001</v>
      </c>
      <c r="P145" s="16">
        <f t="shared" si="18"/>
        <v>0.17749999999999999</v>
      </c>
      <c r="Q145" s="16">
        <f t="shared" si="19"/>
        <v>0.22</v>
      </c>
      <c r="R145" s="16">
        <f t="shared" si="20"/>
        <v>0.21</v>
      </c>
      <c r="S145" s="16">
        <f t="shared" si="21"/>
        <v>0.1021</v>
      </c>
      <c r="T145" s="16">
        <f t="shared" si="22"/>
        <v>0.53</v>
      </c>
      <c r="U145" s="16">
        <f t="shared" si="23"/>
        <v>0.32</v>
      </c>
      <c r="V145" s="16">
        <f t="shared" si="24"/>
        <v>0.36</v>
      </c>
      <c r="W145" s="16">
        <f t="shared" si="25"/>
        <v>0.53</v>
      </c>
      <c r="X145" s="16">
        <f t="shared" si="26"/>
        <v>4.6230000000000002</v>
      </c>
      <c r="Y145" s="16">
        <f t="shared" si="27"/>
        <v>0</v>
      </c>
      <c r="Z145" s="16">
        <f t="shared" si="28"/>
        <v>12.5</v>
      </c>
      <c r="AA145" s="16">
        <f t="shared" si="29"/>
        <v>0</v>
      </c>
      <c r="AB145" s="16">
        <f t="shared" si="30"/>
        <v>12.5</v>
      </c>
      <c r="AC145" s="16">
        <f t="shared" si="31"/>
        <v>8.3332999999999995</v>
      </c>
      <c r="AD145" s="16">
        <f t="shared" si="32"/>
        <v>79.166700000000006</v>
      </c>
      <c r="AE145" s="16">
        <f t="shared" si="33"/>
        <v>0</v>
      </c>
      <c r="AF145" s="16">
        <f t="shared" si="34"/>
        <v>87.5</v>
      </c>
      <c r="AG145" s="16">
        <f t="shared" si="35"/>
        <v>79.166700000000006</v>
      </c>
      <c r="AH145" s="16">
        <f t="shared" si="36"/>
        <v>0.30249999999999999</v>
      </c>
      <c r="AI145" s="16">
        <f t="shared" si="37"/>
        <v>0.4138</v>
      </c>
      <c r="AJ145" s="16">
        <f t="shared" si="38"/>
        <v>0.26500000000000001</v>
      </c>
      <c r="AK145" s="16">
        <f t="shared" si="39"/>
        <v>0.3271</v>
      </c>
      <c r="AL145" s="16">
        <f t="shared" si="40"/>
        <v>0.19070000000000001</v>
      </c>
      <c r="AM145" s="16">
        <f t="shared" si="41"/>
        <v>0.67</v>
      </c>
      <c r="AN145" s="16">
        <f t="shared" si="42"/>
        <v>0.93</v>
      </c>
      <c r="AO145" s="16">
        <f t="shared" si="43"/>
        <v>0.36</v>
      </c>
      <c r="AP145" s="16">
        <f t="shared" si="44"/>
        <v>0.93</v>
      </c>
      <c r="AQ145" s="16">
        <f t="shared" si="45"/>
        <v>20.833300000000001</v>
      </c>
      <c r="AR145" s="16">
        <f t="shared" si="46"/>
        <v>0.70830000000000004</v>
      </c>
      <c r="AS145" s="16">
        <f t="shared" si="47"/>
        <v>25</v>
      </c>
      <c r="AT145" s="16">
        <f t="shared" si="48"/>
        <v>0</v>
      </c>
      <c r="AU145" s="16">
        <f t="shared" si="49"/>
        <v>0</v>
      </c>
      <c r="AV145" s="16">
        <f t="shared" si="50"/>
        <v>8.3332999999999995</v>
      </c>
      <c r="AW145" s="16">
        <f t="shared" si="51"/>
        <v>70.833299999999994</v>
      </c>
      <c r="AX145" s="16">
        <f t="shared" si="52"/>
        <v>0.58330000000000004</v>
      </c>
      <c r="AY145" s="16">
        <f t="shared" si="53"/>
        <v>16.666699999999999</v>
      </c>
      <c r="AZ145" s="16">
        <f t="shared" si="54"/>
        <v>0</v>
      </c>
      <c r="BA145" s="16">
        <f t="shared" si="55"/>
        <v>0</v>
      </c>
      <c r="BB145" s="16">
        <f t="shared" si="56"/>
        <v>0</v>
      </c>
      <c r="BC145" s="16">
        <f t="shared" si="57"/>
        <v>0</v>
      </c>
      <c r="BD145" s="16">
        <f t="shared" si="58"/>
        <v>0.20830000000000001</v>
      </c>
      <c r="BE145" s="16">
        <f t="shared" si="59"/>
        <v>1</v>
      </c>
      <c r="BF145" s="16">
        <f t="shared" si="60"/>
        <v>1.5</v>
      </c>
      <c r="BG145" s="16">
        <f t="shared" si="61"/>
        <v>1.25</v>
      </c>
      <c r="BH145" s="16">
        <f t="shared" si="62"/>
        <v>1.25</v>
      </c>
      <c r="BI145" s="16">
        <f t="shared" si="63"/>
        <v>0</v>
      </c>
      <c r="BJ145" s="16">
        <f t="shared" si="64"/>
        <v>0</v>
      </c>
      <c r="BK145" s="16">
        <f t="shared" si="65"/>
        <v>0</v>
      </c>
      <c r="BL145" s="16">
        <f t="shared" si="66"/>
        <v>0</v>
      </c>
      <c r="BM145" s="16">
        <f t="shared" si="67"/>
        <v>0</v>
      </c>
      <c r="BN145" s="16">
        <f t="shared" si="68"/>
        <v>0.25</v>
      </c>
      <c r="BO145" s="16">
        <f t="shared" si="69"/>
        <v>0</v>
      </c>
      <c r="BP145" s="16">
        <f t="shared" si="70"/>
        <v>8.3299999999999999E-2</v>
      </c>
      <c r="BQ145" s="16">
        <f t="shared" si="71"/>
        <v>0</v>
      </c>
      <c r="BR145" s="16">
        <f t="shared" si="72"/>
        <v>70.833299999999994</v>
      </c>
      <c r="BS145" s="16">
        <f t="shared" si="73"/>
        <v>29.166699999999999</v>
      </c>
      <c r="BT145" s="16">
        <f t="shared" si="74"/>
        <v>47.5</v>
      </c>
      <c r="BU145" s="16">
        <f t="shared" si="75"/>
        <v>0</v>
      </c>
      <c r="BV145" s="16">
        <f t="shared" si="76"/>
        <v>98.1982</v>
      </c>
      <c r="BW145" s="16">
        <f t="shared" si="77"/>
        <v>1.7753000000000001</v>
      </c>
      <c r="BX145" s="16">
        <f t="shared" si="78"/>
        <v>1.8018000000000001</v>
      </c>
      <c r="BY145" s="16">
        <f t="shared" si="79"/>
        <v>0</v>
      </c>
      <c r="BZ145" s="16">
        <f t="shared" si="80"/>
        <v>0</v>
      </c>
      <c r="CA145" s="16">
        <f t="shared" si="81"/>
        <v>0</v>
      </c>
      <c r="CB145" s="16">
        <f t="shared" si="82"/>
        <v>0</v>
      </c>
      <c r="CC145" s="16">
        <f t="shared" si="83"/>
        <v>0</v>
      </c>
    </row>
    <row r="146" spans="1:81" x14ac:dyDescent="0.25">
      <c r="A146">
        <v>29</v>
      </c>
      <c r="B146" s="16">
        <f t="shared" si="4"/>
        <v>23.2</v>
      </c>
      <c r="C146" s="16">
        <f t="shared" si="5"/>
        <v>7.96</v>
      </c>
      <c r="D146" s="16">
        <f t="shared" si="6"/>
        <v>10.3</v>
      </c>
      <c r="E146" s="16">
        <f t="shared" si="7"/>
        <v>476</v>
      </c>
      <c r="F146" s="16">
        <f t="shared" si="8"/>
        <v>504</v>
      </c>
      <c r="G146" s="16">
        <f t="shared" si="9"/>
        <v>313</v>
      </c>
      <c r="H146" s="16">
        <f t="shared" si="10"/>
        <v>1293</v>
      </c>
      <c r="I146" s="16">
        <f t="shared" si="11"/>
        <v>9.2799999999999994E-2</v>
      </c>
      <c r="J146" s="16">
        <f t="shared" si="12"/>
        <v>1.575</v>
      </c>
      <c r="K146" s="16">
        <f t="shared" si="13"/>
        <v>3.6749999999999998</v>
      </c>
      <c r="L146" s="16">
        <f t="shared" si="14"/>
        <v>2.7</v>
      </c>
      <c r="M146" s="16">
        <f t="shared" si="15"/>
        <v>2.65</v>
      </c>
      <c r="N146" s="16">
        <f t="shared" si="16"/>
        <v>1.2215</v>
      </c>
      <c r="O146" s="16">
        <f t="shared" si="17"/>
        <v>0.22</v>
      </c>
      <c r="P146" s="16">
        <f t="shared" si="18"/>
        <v>0.29830000000000001</v>
      </c>
      <c r="Q146" s="16">
        <f t="shared" si="19"/>
        <v>0.16819999999999999</v>
      </c>
      <c r="R146" s="16">
        <f t="shared" si="20"/>
        <v>0.2319</v>
      </c>
      <c r="S146" s="16">
        <f t="shared" si="21"/>
        <v>8.6099999999999996E-2</v>
      </c>
      <c r="T146" s="16">
        <f t="shared" si="22"/>
        <v>0.3</v>
      </c>
      <c r="U146" s="16">
        <f t="shared" si="23"/>
        <v>0.42</v>
      </c>
      <c r="V146" s="16">
        <f t="shared" si="24"/>
        <v>0.3</v>
      </c>
      <c r="W146" s="16">
        <f t="shared" si="25"/>
        <v>0.42</v>
      </c>
      <c r="X146" s="16">
        <f t="shared" si="26"/>
        <v>11.425599999999999</v>
      </c>
      <c r="Y146" s="16">
        <f t="shared" si="27"/>
        <v>0</v>
      </c>
      <c r="Z146" s="16">
        <f t="shared" si="28"/>
        <v>20.689699999999998</v>
      </c>
      <c r="AA146" s="16">
        <f t="shared" si="29"/>
        <v>0</v>
      </c>
      <c r="AB146" s="16">
        <f t="shared" si="30"/>
        <v>20.689699999999998</v>
      </c>
      <c r="AC146" s="16">
        <f t="shared" si="31"/>
        <v>0</v>
      </c>
      <c r="AD146" s="16">
        <f t="shared" si="32"/>
        <v>79.310299999999998</v>
      </c>
      <c r="AE146" s="16">
        <f t="shared" si="33"/>
        <v>0</v>
      </c>
      <c r="AF146" s="16">
        <f t="shared" si="34"/>
        <v>79.310299999999998</v>
      </c>
      <c r="AG146" s="16">
        <f t="shared" si="35"/>
        <v>79.310299999999998</v>
      </c>
      <c r="AH146" s="16">
        <f t="shared" si="36"/>
        <v>0.28000000000000003</v>
      </c>
      <c r="AI146" s="16">
        <f t="shared" si="37"/>
        <v>8.2699999999999996E-2</v>
      </c>
      <c r="AJ146" s="16">
        <f t="shared" si="38"/>
        <v>0.25</v>
      </c>
      <c r="AK146" s="16">
        <f t="shared" si="39"/>
        <v>0.19159999999999999</v>
      </c>
      <c r="AL146" s="16">
        <f t="shared" si="40"/>
        <v>0.1862</v>
      </c>
      <c r="AM146" s="16">
        <f t="shared" si="41"/>
        <v>0.68</v>
      </c>
      <c r="AN146" s="16">
        <f t="shared" si="42"/>
        <v>0.18</v>
      </c>
      <c r="AO146" s="16">
        <f t="shared" si="43"/>
        <v>0.67</v>
      </c>
      <c r="AP146" s="16">
        <f t="shared" si="44"/>
        <v>0.68</v>
      </c>
      <c r="AQ146" s="16">
        <f t="shared" si="45"/>
        <v>25</v>
      </c>
      <c r="AR146" s="16">
        <f t="shared" si="46"/>
        <v>0.375</v>
      </c>
      <c r="AS146" s="16">
        <f t="shared" si="47"/>
        <v>25</v>
      </c>
      <c r="AT146" s="16">
        <f t="shared" si="48"/>
        <v>75</v>
      </c>
      <c r="AU146" s="16">
        <f t="shared" si="49"/>
        <v>12.5</v>
      </c>
      <c r="AV146" s="16">
        <f t="shared" si="50"/>
        <v>37.5</v>
      </c>
      <c r="AW146" s="16">
        <f t="shared" si="51"/>
        <v>37.5</v>
      </c>
      <c r="AX146" s="16">
        <f t="shared" si="52"/>
        <v>1.25</v>
      </c>
      <c r="AY146" s="16">
        <f t="shared" si="53"/>
        <v>41.666699999999999</v>
      </c>
      <c r="AZ146" s="16">
        <f t="shared" si="54"/>
        <v>0</v>
      </c>
      <c r="BA146" s="16">
        <f t="shared" si="55"/>
        <v>0</v>
      </c>
      <c r="BB146" s="16">
        <f t="shared" si="56"/>
        <v>0.125</v>
      </c>
      <c r="BC146" s="16">
        <f t="shared" si="57"/>
        <v>4.1700000000000001E-2</v>
      </c>
      <c r="BD146" s="16">
        <f t="shared" si="58"/>
        <v>0.625</v>
      </c>
      <c r="BE146" s="16">
        <f t="shared" si="59"/>
        <v>1</v>
      </c>
      <c r="BF146" s="16">
        <f t="shared" si="60"/>
        <v>0.5</v>
      </c>
      <c r="BG146" s="16">
        <f t="shared" si="61"/>
        <v>1</v>
      </c>
      <c r="BH146" s="16">
        <f t="shared" si="62"/>
        <v>0.83330000000000004</v>
      </c>
      <c r="BI146" s="16">
        <f t="shared" si="63"/>
        <v>0</v>
      </c>
      <c r="BJ146" s="16">
        <f t="shared" si="64"/>
        <v>0</v>
      </c>
      <c r="BK146" s="16">
        <f t="shared" si="65"/>
        <v>0.5</v>
      </c>
      <c r="BL146" s="16">
        <f t="shared" si="66"/>
        <v>0.16669999999999999</v>
      </c>
      <c r="BM146" s="16">
        <f t="shared" si="67"/>
        <v>0.5</v>
      </c>
      <c r="BN146" s="16">
        <f t="shared" si="68"/>
        <v>1.25</v>
      </c>
      <c r="BO146" s="16">
        <f t="shared" si="69"/>
        <v>0.5</v>
      </c>
      <c r="BP146" s="16">
        <f t="shared" si="70"/>
        <v>0.75</v>
      </c>
      <c r="BQ146" s="16">
        <f t="shared" si="71"/>
        <v>16.666699999999999</v>
      </c>
      <c r="BR146" s="16">
        <f t="shared" si="72"/>
        <v>54.166699999999999</v>
      </c>
      <c r="BS146" s="16">
        <f t="shared" si="73"/>
        <v>29.166699999999999</v>
      </c>
      <c r="BT146" s="16">
        <f t="shared" si="74"/>
        <v>36.25</v>
      </c>
      <c r="BU146" s="16">
        <f t="shared" si="75"/>
        <v>0.16669999999999999</v>
      </c>
      <c r="BV146" s="16">
        <f t="shared" si="76"/>
        <v>42.117100000000001</v>
      </c>
      <c r="BW146" s="16">
        <f t="shared" si="77"/>
        <v>12.079000000000001</v>
      </c>
      <c r="BX146" s="16">
        <f t="shared" si="78"/>
        <v>57.882899999999999</v>
      </c>
      <c r="BY146" s="16">
        <f t="shared" si="79"/>
        <v>0</v>
      </c>
      <c r="BZ146" s="16">
        <f t="shared" si="80"/>
        <v>0</v>
      </c>
      <c r="CA146" s="16">
        <f t="shared" si="81"/>
        <v>0</v>
      </c>
      <c r="CB146" s="16">
        <f t="shared" si="82"/>
        <v>0</v>
      </c>
      <c r="CC146" s="16">
        <f t="shared" si="83"/>
        <v>0</v>
      </c>
    </row>
    <row r="147" spans="1:81" x14ac:dyDescent="0.25">
      <c r="A147">
        <v>33</v>
      </c>
      <c r="B147" s="16">
        <f t="shared" si="4"/>
        <v>13.1</v>
      </c>
      <c r="C147" s="16">
        <f t="shared" si="5"/>
        <v>7.91</v>
      </c>
      <c r="D147" s="16">
        <f t="shared" si="6"/>
        <v>12.12</v>
      </c>
      <c r="E147" s="16">
        <f t="shared" si="7"/>
        <v>251</v>
      </c>
      <c r="F147" s="16">
        <f t="shared" si="8"/>
        <v>307</v>
      </c>
      <c r="G147" s="16">
        <f t="shared" si="9"/>
        <v>178</v>
      </c>
      <c r="H147" s="16">
        <f t="shared" si="10"/>
        <v>736</v>
      </c>
      <c r="I147" s="16">
        <f t="shared" si="11"/>
        <v>0</v>
      </c>
      <c r="J147" s="16">
        <f t="shared" si="12"/>
        <v>1.9624999999999999</v>
      </c>
      <c r="K147" s="16">
        <f t="shared" si="13"/>
        <v>2.0625</v>
      </c>
      <c r="L147" s="16">
        <f t="shared" si="14"/>
        <v>1.8875</v>
      </c>
      <c r="M147" s="16">
        <f t="shared" si="15"/>
        <v>1.9708000000000001</v>
      </c>
      <c r="N147" s="16">
        <f t="shared" si="16"/>
        <v>0.74219999999999997</v>
      </c>
      <c r="O147" s="16">
        <f t="shared" si="17"/>
        <v>0.26</v>
      </c>
      <c r="P147" s="16">
        <f t="shared" si="18"/>
        <v>0.21249999999999999</v>
      </c>
      <c r="Q147" s="16">
        <f t="shared" si="19"/>
        <v>0.20250000000000001</v>
      </c>
      <c r="R147" s="16">
        <f t="shared" si="20"/>
        <v>0.22500000000000001</v>
      </c>
      <c r="S147" s="16">
        <f t="shared" si="21"/>
        <v>0.20300000000000001</v>
      </c>
      <c r="T147" s="16">
        <f t="shared" si="22"/>
        <v>0.7</v>
      </c>
      <c r="U147" s="16">
        <f t="shared" si="23"/>
        <v>0.84</v>
      </c>
      <c r="V147" s="16">
        <f t="shared" si="24"/>
        <v>0.4</v>
      </c>
      <c r="W147" s="16">
        <f t="shared" si="25"/>
        <v>0.84</v>
      </c>
      <c r="X147" s="16">
        <f t="shared" si="26"/>
        <v>8.7592999999999996</v>
      </c>
      <c r="Y147" s="16">
        <f t="shared" si="27"/>
        <v>0</v>
      </c>
      <c r="Z147" s="16">
        <f t="shared" si="28"/>
        <v>4.3478000000000003</v>
      </c>
      <c r="AA147" s="16">
        <f t="shared" si="29"/>
        <v>0</v>
      </c>
      <c r="AB147" s="16">
        <f t="shared" si="30"/>
        <v>4.3478000000000003</v>
      </c>
      <c r="AC147" s="16">
        <f t="shared" si="31"/>
        <v>0</v>
      </c>
      <c r="AD147" s="16">
        <f t="shared" si="32"/>
        <v>95.652199999999993</v>
      </c>
      <c r="AE147" s="16">
        <f t="shared" si="33"/>
        <v>0</v>
      </c>
      <c r="AF147" s="16">
        <f t="shared" si="34"/>
        <v>95.652199999999993</v>
      </c>
      <c r="AG147" s="16">
        <f t="shared" si="35"/>
        <v>95.652199999999993</v>
      </c>
      <c r="AH147" s="16">
        <f t="shared" si="36"/>
        <v>0.1613</v>
      </c>
      <c r="AI147" s="16">
        <f t="shared" si="37"/>
        <v>0.125</v>
      </c>
      <c r="AJ147" s="16">
        <f t="shared" si="38"/>
        <v>0.1363</v>
      </c>
      <c r="AK147" s="16">
        <f t="shared" si="39"/>
        <v>0.14080000000000001</v>
      </c>
      <c r="AL147" s="16">
        <f t="shared" si="40"/>
        <v>8.7099999999999997E-2</v>
      </c>
      <c r="AM147" s="16">
        <f t="shared" si="41"/>
        <v>0.28999999999999998</v>
      </c>
      <c r="AN147" s="16">
        <f t="shared" si="42"/>
        <v>0.25</v>
      </c>
      <c r="AO147" s="16">
        <f t="shared" si="43"/>
        <v>0.28000000000000003</v>
      </c>
      <c r="AP147" s="16">
        <f t="shared" si="44"/>
        <v>0.28999999999999998</v>
      </c>
      <c r="AQ147" s="16">
        <f t="shared" si="45"/>
        <v>41.666699999999999</v>
      </c>
      <c r="AR147" s="16">
        <f t="shared" si="46"/>
        <v>0.29170000000000001</v>
      </c>
      <c r="AS147" s="16">
        <f t="shared" si="47"/>
        <v>37.5</v>
      </c>
      <c r="AT147" s="16">
        <f t="shared" si="48"/>
        <v>12.5</v>
      </c>
      <c r="AU147" s="16">
        <f t="shared" si="49"/>
        <v>37.5</v>
      </c>
      <c r="AV147" s="16">
        <f t="shared" si="50"/>
        <v>29.166699999999999</v>
      </c>
      <c r="AW147" s="16">
        <f t="shared" si="51"/>
        <v>41.666699999999999</v>
      </c>
      <c r="AX147" s="16">
        <f t="shared" si="52"/>
        <v>1.75</v>
      </c>
      <c r="AY147" s="16">
        <f t="shared" si="53"/>
        <v>58.333300000000001</v>
      </c>
      <c r="AZ147" s="16">
        <f t="shared" si="54"/>
        <v>0.375</v>
      </c>
      <c r="BA147" s="16">
        <f t="shared" si="55"/>
        <v>0.625</v>
      </c>
      <c r="BB147" s="16">
        <f t="shared" si="56"/>
        <v>0.5</v>
      </c>
      <c r="BC147" s="16">
        <f t="shared" si="57"/>
        <v>0.5</v>
      </c>
      <c r="BD147" s="16">
        <f t="shared" si="58"/>
        <v>1.1667000000000001</v>
      </c>
      <c r="BE147" s="16">
        <f t="shared" si="59"/>
        <v>0.5</v>
      </c>
      <c r="BF147" s="16">
        <f t="shared" si="60"/>
        <v>0</v>
      </c>
      <c r="BG147" s="16">
        <f t="shared" si="61"/>
        <v>0.75</v>
      </c>
      <c r="BH147" s="16">
        <f t="shared" si="62"/>
        <v>0.41670000000000001</v>
      </c>
      <c r="BI147" s="16">
        <f t="shared" si="63"/>
        <v>0.75</v>
      </c>
      <c r="BJ147" s="16">
        <f t="shared" si="64"/>
        <v>0.25</v>
      </c>
      <c r="BK147" s="16">
        <f t="shared" si="65"/>
        <v>1.25</v>
      </c>
      <c r="BL147" s="16">
        <f t="shared" si="66"/>
        <v>0.75</v>
      </c>
      <c r="BM147" s="16">
        <f t="shared" si="67"/>
        <v>0.75</v>
      </c>
      <c r="BN147" s="16">
        <f t="shared" si="68"/>
        <v>0.25</v>
      </c>
      <c r="BO147" s="16">
        <f t="shared" si="69"/>
        <v>0.75</v>
      </c>
      <c r="BP147" s="16">
        <f t="shared" si="70"/>
        <v>0.58330000000000004</v>
      </c>
      <c r="BQ147" s="16">
        <f t="shared" si="71"/>
        <v>37.5</v>
      </c>
      <c r="BR147" s="16">
        <f t="shared" si="72"/>
        <v>54.166699999999999</v>
      </c>
      <c r="BS147" s="16">
        <f t="shared" si="73"/>
        <v>8.3332999999999995</v>
      </c>
      <c r="BT147" s="16">
        <f t="shared" si="74"/>
        <v>25.416699999999999</v>
      </c>
      <c r="BU147" s="16">
        <f t="shared" si="75"/>
        <v>1.2082999999999999</v>
      </c>
      <c r="BV147" s="16">
        <f t="shared" si="76"/>
        <v>7.8078000000000003</v>
      </c>
      <c r="BW147" s="16">
        <f t="shared" si="77"/>
        <v>6.1864999999999997</v>
      </c>
      <c r="BX147" s="16">
        <f t="shared" si="78"/>
        <v>92.1922</v>
      </c>
      <c r="BY147" s="16">
        <f t="shared" si="79"/>
        <v>0</v>
      </c>
      <c r="BZ147" s="16">
        <f t="shared" si="80"/>
        <v>0</v>
      </c>
      <c r="CA147" s="16">
        <f t="shared" si="81"/>
        <v>0</v>
      </c>
      <c r="CB147" s="16">
        <f t="shared" si="82"/>
        <v>0</v>
      </c>
      <c r="CC147" s="16">
        <f t="shared" si="83"/>
        <v>0</v>
      </c>
    </row>
    <row r="148" spans="1:81" x14ac:dyDescent="0.25">
      <c r="A148">
        <v>36</v>
      </c>
      <c r="B148" s="16">
        <f t="shared" si="4"/>
        <v>25.7</v>
      </c>
      <c r="C148" s="16">
        <f t="shared" si="5"/>
        <v>8.67</v>
      </c>
      <c r="D148" s="16">
        <f t="shared" si="6"/>
        <v>12.74</v>
      </c>
      <c r="E148" s="16">
        <f t="shared" si="7"/>
        <v>249</v>
      </c>
      <c r="F148" s="16">
        <f t="shared" si="8"/>
        <v>225</v>
      </c>
      <c r="G148" s="16">
        <f t="shared" si="9"/>
        <v>159</v>
      </c>
      <c r="H148" s="16">
        <f t="shared" si="10"/>
        <v>633</v>
      </c>
      <c r="I148" s="16">
        <f t="shared" si="11"/>
        <v>0</v>
      </c>
      <c r="J148" s="16">
        <f t="shared" si="12"/>
        <v>2.0375000000000001</v>
      </c>
      <c r="K148" s="16">
        <f t="shared" si="13"/>
        <v>1.6125</v>
      </c>
      <c r="L148" s="16">
        <f t="shared" si="14"/>
        <v>1.9375</v>
      </c>
      <c r="M148" s="16">
        <f t="shared" si="15"/>
        <v>1.8625</v>
      </c>
      <c r="N148" s="16">
        <f t="shared" si="16"/>
        <v>0.59699999999999998</v>
      </c>
      <c r="O148" s="16">
        <f t="shared" si="17"/>
        <v>0.1313</v>
      </c>
      <c r="P148" s="16">
        <f t="shared" si="18"/>
        <v>0.2273</v>
      </c>
      <c r="Q148" s="16">
        <f t="shared" si="19"/>
        <v>0.14829999999999999</v>
      </c>
      <c r="R148" s="16">
        <f t="shared" si="20"/>
        <v>0.1719</v>
      </c>
      <c r="S148" s="16">
        <f t="shared" si="21"/>
        <v>0.17699999999999999</v>
      </c>
      <c r="T148" s="16">
        <f t="shared" si="22"/>
        <v>0.24</v>
      </c>
      <c r="U148" s="16">
        <f t="shared" si="23"/>
        <v>0.86</v>
      </c>
      <c r="V148" s="16">
        <f t="shared" si="24"/>
        <v>0.42</v>
      </c>
      <c r="W148" s="16">
        <f t="shared" si="25"/>
        <v>0.86</v>
      </c>
      <c r="X148" s="16">
        <f t="shared" si="26"/>
        <v>10.832599999999999</v>
      </c>
      <c r="Y148" s="16">
        <f t="shared" si="27"/>
        <v>7.1429</v>
      </c>
      <c r="Z148" s="16">
        <f t="shared" si="28"/>
        <v>3.5714000000000001</v>
      </c>
      <c r="AA148" s="16">
        <f t="shared" si="29"/>
        <v>0</v>
      </c>
      <c r="AB148" s="16">
        <f t="shared" si="30"/>
        <v>10.7143</v>
      </c>
      <c r="AC148" s="16">
        <f t="shared" si="31"/>
        <v>3.5714000000000001</v>
      </c>
      <c r="AD148" s="16">
        <f t="shared" si="32"/>
        <v>82.142899999999997</v>
      </c>
      <c r="AE148" s="16">
        <f t="shared" si="33"/>
        <v>3.5714000000000001</v>
      </c>
      <c r="AF148" s="16">
        <f t="shared" si="34"/>
        <v>89.285700000000006</v>
      </c>
      <c r="AG148" s="16">
        <f t="shared" si="35"/>
        <v>82.142899999999997</v>
      </c>
      <c r="AH148" s="16">
        <f t="shared" si="36"/>
        <v>0.16250000000000001</v>
      </c>
      <c r="AI148" s="16">
        <f t="shared" si="37"/>
        <v>0.15</v>
      </c>
      <c r="AJ148" s="16">
        <f t="shared" si="38"/>
        <v>0.1273</v>
      </c>
      <c r="AK148" s="16">
        <f t="shared" si="39"/>
        <v>0.16769999999999999</v>
      </c>
      <c r="AL148" s="16">
        <f t="shared" si="40"/>
        <v>0.188</v>
      </c>
      <c r="AM148" s="16">
        <f t="shared" si="41"/>
        <v>0.36</v>
      </c>
      <c r="AN148" s="16">
        <f t="shared" si="42"/>
        <v>0.39</v>
      </c>
      <c r="AO148" s="16">
        <f t="shared" si="43"/>
        <v>0.25</v>
      </c>
      <c r="AP148" s="16">
        <f t="shared" si="44"/>
        <v>0.39</v>
      </c>
      <c r="AQ148" s="16">
        <f t="shared" si="45"/>
        <v>29.166699999999999</v>
      </c>
      <c r="AR148" s="16">
        <f t="shared" si="46"/>
        <v>0.58330000000000004</v>
      </c>
      <c r="AS148" s="16">
        <f t="shared" si="47"/>
        <v>0</v>
      </c>
      <c r="AT148" s="16">
        <f t="shared" si="48"/>
        <v>25</v>
      </c>
      <c r="AU148" s="16">
        <f t="shared" si="49"/>
        <v>12.5</v>
      </c>
      <c r="AV148" s="16">
        <f t="shared" si="50"/>
        <v>12.5</v>
      </c>
      <c r="AW148" s="16">
        <f t="shared" si="51"/>
        <v>58.333300000000001</v>
      </c>
      <c r="AX148" s="16">
        <f t="shared" si="52"/>
        <v>1.8332999999999999</v>
      </c>
      <c r="AY148" s="16">
        <f t="shared" si="53"/>
        <v>75</v>
      </c>
      <c r="AZ148" s="16">
        <f t="shared" si="54"/>
        <v>0.125</v>
      </c>
      <c r="BA148" s="16">
        <f t="shared" si="55"/>
        <v>0.25</v>
      </c>
      <c r="BB148" s="16">
        <f t="shared" si="56"/>
        <v>0</v>
      </c>
      <c r="BC148" s="16">
        <f t="shared" si="57"/>
        <v>0.125</v>
      </c>
      <c r="BD148" s="16">
        <f t="shared" si="58"/>
        <v>0.29170000000000001</v>
      </c>
      <c r="BE148" s="16">
        <f t="shared" si="59"/>
        <v>0.25</v>
      </c>
      <c r="BF148" s="16">
        <f t="shared" si="60"/>
        <v>0.25</v>
      </c>
      <c r="BG148" s="16">
        <f t="shared" si="61"/>
        <v>0</v>
      </c>
      <c r="BH148" s="16">
        <f t="shared" si="62"/>
        <v>0.16669999999999999</v>
      </c>
      <c r="BI148" s="16">
        <f t="shared" si="63"/>
        <v>0.5</v>
      </c>
      <c r="BJ148" s="16">
        <f t="shared" si="64"/>
        <v>1</v>
      </c>
      <c r="BK148" s="16">
        <f t="shared" si="65"/>
        <v>0.25</v>
      </c>
      <c r="BL148" s="16">
        <f t="shared" si="66"/>
        <v>0.58330000000000004</v>
      </c>
      <c r="BM148" s="16">
        <f t="shared" si="67"/>
        <v>0.25</v>
      </c>
      <c r="BN148" s="16">
        <f t="shared" si="68"/>
        <v>1</v>
      </c>
      <c r="BO148" s="16">
        <f t="shared" si="69"/>
        <v>0.5</v>
      </c>
      <c r="BP148" s="16">
        <f t="shared" si="70"/>
        <v>0.58330000000000004</v>
      </c>
      <c r="BQ148" s="16">
        <f t="shared" si="71"/>
        <v>37.5</v>
      </c>
      <c r="BR148" s="16">
        <f t="shared" si="72"/>
        <v>41.666699999999999</v>
      </c>
      <c r="BS148" s="16">
        <f t="shared" si="73"/>
        <v>20.833300000000001</v>
      </c>
      <c r="BT148" s="16">
        <f t="shared" si="74"/>
        <v>30.833300000000001</v>
      </c>
      <c r="BU148" s="16">
        <f t="shared" si="75"/>
        <v>0.75</v>
      </c>
      <c r="BV148" s="16">
        <f t="shared" si="76"/>
        <v>55.067599999999999</v>
      </c>
      <c r="BW148" s="16">
        <f t="shared" si="77"/>
        <v>15.7598</v>
      </c>
      <c r="BX148" s="16">
        <f t="shared" si="78"/>
        <v>44.932400000000001</v>
      </c>
      <c r="BY148" s="16">
        <f t="shared" si="79"/>
        <v>0</v>
      </c>
      <c r="BZ148" s="16">
        <f t="shared" si="80"/>
        <v>0</v>
      </c>
      <c r="CA148" s="16">
        <f t="shared" si="81"/>
        <v>0</v>
      </c>
      <c r="CB148" s="16">
        <f t="shared" si="82"/>
        <v>0</v>
      </c>
      <c r="CC148" s="16">
        <f t="shared" si="83"/>
        <v>0</v>
      </c>
    </row>
    <row r="149" spans="1:81" x14ac:dyDescent="0.25">
      <c r="A149">
        <v>39</v>
      </c>
      <c r="B149" s="16">
        <f t="shared" si="4"/>
        <v>12.5</v>
      </c>
      <c r="C149" s="16">
        <f t="shared" si="5"/>
        <v>8.5</v>
      </c>
      <c r="D149" s="16">
        <f t="shared" si="6"/>
        <v>10.3</v>
      </c>
      <c r="E149" s="16">
        <f t="shared" si="7"/>
        <v>477</v>
      </c>
      <c r="F149" s="16">
        <f t="shared" si="8"/>
        <v>537</v>
      </c>
      <c r="G149" s="16">
        <f t="shared" si="9"/>
        <v>484</v>
      </c>
      <c r="H149" s="16">
        <f t="shared" si="10"/>
        <v>1498</v>
      </c>
      <c r="I149" s="16">
        <f t="shared" si="11"/>
        <v>0</v>
      </c>
      <c r="J149" s="16">
        <f t="shared" si="12"/>
        <v>0.95</v>
      </c>
      <c r="K149" s="16">
        <f t="shared" si="13"/>
        <v>0.6875</v>
      </c>
      <c r="L149" s="16">
        <f t="shared" si="14"/>
        <v>1.1000000000000001</v>
      </c>
      <c r="M149" s="16">
        <f t="shared" si="15"/>
        <v>0.91249999999999998</v>
      </c>
      <c r="N149" s="16">
        <f t="shared" si="16"/>
        <v>0.24010000000000001</v>
      </c>
      <c r="O149" s="16">
        <f t="shared" si="17"/>
        <v>0.28249999999999997</v>
      </c>
      <c r="P149" s="16">
        <f t="shared" si="18"/>
        <v>0.30499999999999999</v>
      </c>
      <c r="Q149" s="16">
        <f t="shared" si="19"/>
        <v>0.46</v>
      </c>
      <c r="R149" s="16">
        <f t="shared" si="20"/>
        <v>0.34920000000000001</v>
      </c>
      <c r="S149" s="16">
        <f t="shared" si="21"/>
        <v>0.35909999999999997</v>
      </c>
      <c r="T149" s="16">
        <f t="shared" si="22"/>
        <v>0.42</v>
      </c>
      <c r="U149" s="16">
        <f t="shared" si="23"/>
        <v>0.4</v>
      </c>
      <c r="V149" s="16">
        <f t="shared" si="24"/>
        <v>2</v>
      </c>
      <c r="W149" s="16">
        <f t="shared" si="25"/>
        <v>2</v>
      </c>
      <c r="X149" s="16">
        <f t="shared" si="26"/>
        <v>2.6133999999999999</v>
      </c>
      <c r="Y149" s="16">
        <f t="shared" si="27"/>
        <v>0</v>
      </c>
      <c r="Z149" s="16">
        <f t="shared" si="28"/>
        <v>100</v>
      </c>
      <c r="AA149" s="16">
        <f t="shared" si="29"/>
        <v>0</v>
      </c>
      <c r="AB149" s="16">
        <f t="shared" si="30"/>
        <v>100</v>
      </c>
      <c r="AC149" s="16">
        <f t="shared" si="31"/>
        <v>0</v>
      </c>
      <c r="AD149" s="16">
        <f t="shared" si="32"/>
        <v>0</v>
      </c>
      <c r="AE149" s="16">
        <f t="shared" si="33"/>
        <v>0</v>
      </c>
      <c r="AF149" s="16">
        <f t="shared" si="34"/>
        <v>0</v>
      </c>
      <c r="AG149" s="16">
        <f t="shared" si="35"/>
        <v>100</v>
      </c>
      <c r="AH149" s="16">
        <f t="shared" si="36"/>
        <v>7.0000000000000007E-2</v>
      </c>
      <c r="AI149" s="16">
        <f t="shared" si="37"/>
        <v>0.13250000000000001</v>
      </c>
      <c r="AJ149" s="16">
        <f t="shared" si="38"/>
        <v>0.13</v>
      </c>
      <c r="AK149" s="16">
        <f t="shared" si="39"/>
        <v>0.1108</v>
      </c>
      <c r="AL149" s="16">
        <f t="shared" si="40"/>
        <v>6.2700000000000006E-2</v>
      </c>
      <c r="AM149" s="16">
        <f t="shared" si="41"/>
        <v>0.14000000000000001</v>
      </c>
      <c r="AN149" s="16">
        <f t="shared" si="42"/>
        <v>0.28999999999999998</v>
      </c>
      <c r="AO149" s="16">
        <f t="shared" si="43"/>
        <v>0.19</v>
      </c>
      <c r="AP149" s="16">
        <f t="shared" si="44"/>
        <v>0.28999999999999998</v>
      </c>
      <c r="AQ149" s="16">
        <f t="shared" si="45"/>
        <v>0</v>
      </c>
      <c r="AR149" s="16">
        <f t="shared" si="46"/>
        <v>0.20830000000000001</v>
      </c>
      <c r="AS149" s="16">
        <f t="shared" si="47"/>
        <v>50</v>
      </c>
      <c r="AT149" s="16">
        <f t="shared" si="48"/>
        <v>100</v>
      </c>
      <c r="AU149" s="16">
        <f t="shared" si="49"/>
        <v>87.5</v>
      </c>
      <c r="AV149" s="16">
        <f t="shared" si="50"/>
        <v>79.166700000000006</v>
      </c>
      <c r="AW149" s="16">
        <f t="shared" si="51"/>
        <v>75</v>
      </c>
      <c r="AX149" s="16">
        <f t="shared" si="52"/>
        <v>0</v>
      </c>
      <c r="AY149" s="16">
        <f t="shared" si="53"/>
        <v>0</v>
      </c>
      <c r="AZ149" s="16">
        <f t="shared" si="54"/>
        <v>0</v>
      </c>
      <c r="BA149" s="16">
        <f t="shared" si="55"/>
        <v>0</v>
      </c>
      <c r="BB149" s="16">
        <f t="shared" si="56"/>
        <v>0</v>
      </c>
      <c r="BC149" s="16">
        <f t="shared" si="57"/>
        <v>0</v>
      </c>
      <c r="BD149" s="16">
        <f t="shared" si="58"/>
        <v>0.125</v>
      </c>
      <c r="BE149" s="16">
        <f t="shared" si="59"/>
        <v>0</v>
      </c>
      <c r="BF149" s="16">
        <f t="shared" si="60"/>
        <v>0</v>
      </c>
      <c r="BG149" s="16">
        <f t="shared" si="61"/>
        <v>0</v>
      </c>
      <c r="BH149" s="16">
        <f t="shared" si="62"/>
        <v>0</v>
      </c>
      <c r="BI149" s="16">
        <f t="shared" si="63"/>
        <v>0</v>
      </c>
      <c r="BJ149" s="16">
        <f t="shared" si="64"/>
        <v>0</v>
      </c>
      <c r="BK149" s="16">
        <f t="shared" si="65"/>
        <v>0</v>
      </c>
      <c r="BL149" s="16">
        <f t="shared" si="66"/>
        <v>0</v>
      </c>
      <c r="BM149" s="16">
        <f t="shared" si="67"/>
        <v>0.75</v>
      </c>
      <c r="BN149" s="16">
        <f t="shared" si="68"/>
        <v>0</v>
      </c>
      <c r="BO149" s="16">
        <f t="shared" si="69"/>
        <v>1</v>
      </c>
      <c r="BP149" s="16">
        <f t="shared" si="70"/>
        <v>0.58330000000000004</v>
      </c>
      <c r="BQ149" s="16">
        <f t="shared" si="71"/>
        <v>8.3332999999999995</v>
      </c>
      <c r="BR149" s="16">
        <f t="shared" si="72"/>
        <v>91.666700000000006</v>
      </c>
      <c r="BS149" s="16">
        <f t="shared" si="73"/>
        <v>0</v>
      </c>
      <c r="BT149" s="16">
        <f t="shared" si="74"/>
        <v>32.708300000000001</v>
      </c>
      <c r="BU149" s="16">
        <f t="shared" si="75"/>
        <v>0.54169999999999996</v>
      </c>
      <c r="BV149" s="16">
        <f t="shared" si="76"/>
        <v>80.180199999999999</v>
      </c>
      <c r="BW149" s="16">
        <f t="shared" si="77"/>
        <v>11.26</v>
      </c>
      <c r="BX149" s="16">
        <f t="shared" si="78"/>
        <v>19.819800000000001</v>
      </c>
      <c r="BY149" s="16">
        <f t="shared" si="79"/>
        <v>0</v>
      </c>
      <c r="BZ149" s="16">
        <f t="shared" si="80"/>
        <v>0</v>
      </c>
      <c r="CA149" s="16">
        <f t="shared" si="81"/>
        <v>0</v>
      </c>
      <c r="CB149" s="16">
        <f t="shared" si="82"/>
        <v>0</v>
      </c>
      <c r="CC149" s="16">
        <f t="shared" si="83"/>
        <v>0</v>
      </c>
    </row>
    <row r="150" spans="1:81" x14ac:dyDescent="0.25">
      <c r="A150">
        <v>40</v>
      </c>
      <c r="B150" s="16">
        <f t="shared" si="4"/>
        <v>15.4</v>
      </c>
      <c r="C150" s="16">
        <f t="shared" si="5"/>
        <v>8.1300000000000008</v>
      </c>
      <c r="D150" s="16">
        <f t="shared" si="6"/>
        <v>10.86</v>
      </c>
      <c r="E150" s="16">
        <f t="shared" si="7"/>
        <v>1173</v>
      </c>
      <c r="F150" s="16">
        <f t="shared" si="8"/>
        <v>674</v>
      </c>
      <c r="G150" s="16">
        <f t="shared" si="9"/>
        <v>1484</v>
      </c>
      <c r="H150" s="16">
        <f t="shared" si="10"/>
        <v>3331</v>
      </c>
      <c r="I150" s="16">
        <f t="shared" si="11"/>
        <v>1.5490999999999999</v>
      </c>
      <c r="J150" s="16">
        <f t="shared" si="12"/>
        <v>7.5625</v>
      </c>
      <c r="K150" s="16">
        <f t="shared" si="13"/>
        <v>5.15</v>
      </c>
      <c r="L150" s="16">
        <f t="shared" si="14"/>
        <v>5.7249999999999996</v>
      </c>
      <c r="M150" s="16">
        <f t="shared" si="15"/>
        <v>6.1458000000000004</v>
      </c>
      <c r="N150" s="16">
        <f t="shared" si="16"/>
        <v>1.7788999999999999</v>
      </c>
      <c r="O150" s="16">
        <f t="shared" si="17"/>
        <v>0.30380000000000001</v>
      </c>
      <c r="P150" s="16">
        <f t="shared" si="18"/>
        <v>0.26750000000000002</v>
      </c>
      <c r="Q150" s="16">
        <f t="shared" si="19"/>
        <v>0.17130000000000001</v>
      </c>
      <c r="R150" s="16">
        <f t="shared" si="20"/>
        <v>0.2475</v>
      </c>
      <c r="S150" s="16">
        <f t="shared" si="21"/>
        <v>0.12909999999999999</v>
      </c>
      <c r="T150" s="16">
        <f t="shared" si="22"/>
        <v>0.5</v>
      </c>
      <c r="U150" s="16">
        <f t="shared" si="23"/>
        <v>0.48</v>
      </c>
      <c r="V150" s="16">
        <f t="shared" si="24"/>
        <v>0.62</v>
      </c>
      <c r="W150" s="16">
        <f t="shared" si="25"/>
        <v>0.62</v>
      </c>
      <c r="X150" s="16">
        <f t="shared" si="26"/>
        <v>24.831600000000002</v>
      </c>
      <c r="Y150" s="16">
        <f t="shared" si="27"/>
        <v>0</v>
      </c>
      <c r="Z150" s="16">
        <f t="shared" si="28"/>
        <v>4.5454999999999997</v>
      </c>
      <c r="AA150" s="16">
        <f t="shared" si="29"/>
        <v>0</v>
      </c>
      <c r="AB150" s="16">
        <f t="shared" si="30"/>
        <v>4.5454999999999997</v>
      </c>
      <c r="AC150" s="16">
        <f t="shared" si="31"/>
        <v>2.2726999999999999</v>
      </c>
      <c r="AD150" s="16">
        <f t="shared" si="32"/>
        <v>93.181799999999996</v>
      </c>
      <c r="AE150" s="16">
        <f t="shared" si="33"/>
        <v>0</v>
      </c>
      <c r="AF150" s="16">
        <f t="shared" si="34"/>
        <v>95.454499999999996</v>
      </c>
      <c r="AG150" s="16">
        <f t="shared" si="35"/>
        <v>93.181799999999996</v>
      </c>
      <c r="AH150" s="16">
        <f t="shared" si="36"/>
        <v>0.31</v>
      </c>
      <c r="AI150" s="16">
        <f t="shared" si="37"/>
        <v>0.39269999999999999</v>
      </c>
      <c r="AJ150" s="16">
        <f t="shared" si="38"/>
        <v>0.4027</v>
      </c>
      <c r="AK150" s="16">
        <f t="shared" si="39"/>
        <v>0.36649999999999999</v>
      </c>
      <c r="AL150" s="16">
        <f t="shared" si="40"/>
        <v>0.2462</v>
      </c>
      <c r="AM150" s="16">
        <f t="shared" si="41"/>
        <v>1.04</v>
      </c>
      <c r="AN150" s="16">
        <f t="shared" si="42"/>
        <v>0.88</v>
      </c>
      <c r="AO150" s="16">
        <f t="shared" si="43"/>
        <v>0.86</v>
      </c>
      <c r="AP150" s="16">
        <f t="shared" si="44"/>
        <v>1.04</v>
      </c>
      <c r="AQ150" s="16">
        <f t="shared" si="45"/>
        <v>50</v>
      </c>
      <c r="AR150" s="16">
        <f t="shared" si="46"/>
        <v>0.39129999999999998</v>
      </c>
      <c r="AS150" s="16">
        <f t="shared" si="47"/>
        <v>0</v>
      </c>
      <c r="AT150" s="16">
        <f t="shared" si="48"/>
        <v>12.5</v>
      </c>
      <c r="AU150" s="16">
        <f t="shared" si="49"/>
        <v>12.5</v>
      </c>
      <c r="AV150" s="16">
        <f t="shared" si="50"/>
        <v>8.3332999999999995</v>
      </c>
      <c r="AW150" s="16">
        <f t="shared" si="51"/>
        <v>50</v>
      </c>
      <c r="AX150" s="16">
        <f t="shared" si="52"/>
        <v>1.1667000000000001</v>
      </c>
      <c r="AY150" s="16">
        <f t="shared" si="53"/>
        <v>41.666699999999999</v>
      </c>
      <c r="AZ150" s="16">
        <f t="shared" si="54"/>
        <v>0</v>
      </c>
      <c r="BA150" s="16">
        <f t="shared" si="55"/>
        <v>0</v>
      </c>
      <c r="BB150" s="16">
        <f t="shared" si="56"/>
        <v>0.25</v>
      </c>
      <c r="BC150" s="16">
        <f t="shared" si="57"/>
        <v>8.3299999999999999E-2</v>
      </c>
      <c r="BD150" s="16">
        <f t="shared" si="58"/>
        <v>0.33329999999999999</v>
      </c>
      <c r="BE150" s="16">
        <f t="shared" si="59"/>
        <v>0.5</v>
      </c>
      <c r="BF150" s="16">
        <f t="shared" si="60"/>
        <v>1</v>
      </c>
      <c r="BG150" s="16">
        <f t="shared" si="61"/>
        <v>0</v>
      </c>
      <c r="BH150" s="16">
        <f t="shared" si="62"/>
        <v>0.5</v>
      </c>
      <c r="BI150" s="16">
        <f t="shared" si="63"/>
        <v>0.75</v>
      </c>
      <c r="BJ150" s="16">
        <f t="shared" si="64"/>
        <v>1.75</v>
      </c>
      <c r="BK150" s="16">
        <f t="shared" si="65"/>
        <v>0.25</v>
      </c>
      <c r="BL150" s="16">
        <f t="shared" si="66"/>
        <v>0.91669999999999996</v>
      </c>
      <c r="BM150" s="16">
        <f t="shared" si="67"/>
        <v>0.75</v>
      </c>
      <c r="BN150" s="16">
        <f t="shared" si="68"/>
        <v>0.25</v>
      </c>
      <c r="BO150" s="16">
        <f t="shared" si="69"/>
        <v>0</v>
      </c>
      <c r="BP150" s="16">
        <f t="shared" si="70"/>
        <v>0.33329999999999999</v>
      </c>
      <c r="BQ150" s="16">
        <f t="shared" si="71"/>
        <v>12.5</v>
      </c>
      <c r="BR150" s="16">
        <f t="shared" si="72"/>
        <v>87.5</v>
      </c>
      <c r="BS150" s="16">
        <f t="shared" si="73"/>
        <v>0</v>
      </c>
      <c r="BT150" s="16">
        <f t="shared" si="74"/>
        <v>33.333300000000001</v>
      </c>
      <c r="BU150" s="16">
        <f t="shared" si="75"/>
        <v>0.20830000000000001</v>
      </c>
      <c r="BV150" s="16">
        <f t="shared" si="76"/>
        <v>61.636600000000001</v>
      </c>
      <c r="BW150" s="16">
        <f t="shared" si="77"/>
        <v>15.105</v>
      </c>
      <c r="BX150" s="16">
        <f t="shared" si="78"/>
        <v>38.363399999999999</v>
      </c>
      <c r="BY150" s="16">
        <f t="shared" si="79"/>
        <v>0</v>
      </c>
      <c r="BZ150" s="16">
        <f t="shared" si="80"/>
        <v>0</v>
      </c>
      <c r="CA150" s="16">
        <f t="shared" si="81"/>
        <v>0</v>
      </c>
      <c r="CB150" s="16">
        <f t="shared" si="82"/>
        <v>0</v>
      </c>
      <c r="CC150" s="16">
        <f t="shared" si="83"/>
        <v>0</v>
      </c>
    </row>
    <row r="151" spans="1:81" x14ac:dyDescent="0.25">
      <c r="A151">
        <v>41</v>
      </c>
      <c r="B151" s="16">
        <f t="shared" si="4"/>
        <v>19.2</v>
      </c>
      <c r="C151" s="16">
        <f t="shared" si="5"/>
        <v>8.32</v>
      </c>
      <c r="D151" s="16">
        <f t="shared" si="6"/>
        <v>14.31</v>
      </c>
      <c r="E151" s="16">
        <f t="shared" si="7"/>
        <v>739</v>
      </c>
      <c r="F151" s="16">
        <f t="shared" si="8"/>
        <v>554</v>
      </c>
      <c r="G151" s="16">
        <f t="shared" si="9"/>
        <v>555</v>
      </c>
      <c r="H151" s="16">
        <f t="shared" si="10"/>
        <v>1848</v>
      </c>
      <c r="I151" s="16">
        <f t="shared" si="11"/>
        <v>0</v>
      </c>
      <c r="J151" s="16">
        <f t="shared" si="12"/>
        <v>3.0750000000000002</v>
      </c>
      <c r="K151" s="16">
        <f t="shared" si="13"/>
        <v>2.7</v>
      </c>
      <c r="L151" s="16">
        <f t="shared" si="14"/>
        <v>3.1857000000000002</v>
      </c>
      <c r="M151" s="16">
        <f t="shared" si="15"/>
        <v>2.9782999999999999</v>
      </c>
      <c r="N151" s="16">
        <f t="shared" si="16"/>
        <v>0.83830000000000005</v>
      </c>
      <c r="O151" s="16">
        <f t="shared" si="17"/>
        <v>0.27500000000000002</v>
      </c>
      <c r="P151" s="16">
        <f t="shared" si="18"/>
        <v>0.23330000000000001</v>
      </c>
      <c r="Q151" s="16">
        <f t="shared" si="19"/>
        <v>0.19089999999999999</v>
      </c>
      <c r="R151" s="16">
        <f t="shared" si="20"/>
        <v>0.23430000000000001</v>
      </c>
      <c r="S151" s="16">
        <f t="shared" si="21"/>
        <v>0.13639999999999999</v>
      </c>
      <c r="T151" s="16">
        <f t="shared" si="22"/>
        <v>0.62</v>
      </c>
      <c r="U151" s="16">
        <f t="shared" si="23"/>
        <v>0.52</v>
      </c>
      <c r="V151" s="16">
        <f t="shared" si="24"/>
        <v>0.5</v>
      </c>
      <c r="W151" s="16">
        <f t="shared" si="25"/>
        <v>0.62</v>
      </c>
      <c r="X151" s="16">
        <f t="shared" si="26"/>
        <v>12.7121</v>
      </c>
      <c r="Y151" s="16">
        <f t="shared" si="27"/>
        <v>2.9411999999999998</v>
      </c>
      <c r="Z151" s="16">
        <f t="shared" si="28"/>
        <v>5.8823999999999996</v>
      </c>
      <c r="AA151" s="16">
        <f t="shared" si="29"/>
        <v>0</v>
      </c>
      <c r="AB151" s="16">
        <f t="shared" si="30"/>
        <v>8.8234999999999992</v>
      </c>
      <c r="AC151" s="16">
        <f t="shared" si="31"/>
        <v>14.7059</v>
      </c>
      <c r="AD151" s="16">
        <f t="shared" si="32"/>
        <v>76.470600000000005</v>
      </c>
      <c r="AE151" s="16">
        <f t="shared" si="33"/>
        <v>0</v>
      </c>
      <c r="AF151" s="16">
        <f t="shared" si="34"/>
        <v>91.176500000000004</v>
      </c>
      <c r="AG151" s="16">
        <f t="shared" si="35"/>
        <v>76.470600000000005</v>
      </c>
      <c r="AH151" s="16">
        <f t="shared" si="36"/>
        <v>0.1464</v>
      </c>
      <c r="AI151" s="16">
        <f t="shared" si="37"/>
        <v>0.31</v>
      </c>
      <c r="AJ151" s="16">
        <f t="shared" si="38"/>
        <v>0.27</v>
      </c>
      <c r="AK151" s="16">
        <f t="shared" si="39"/>
        <v>0.24199999999999999</v>
      </c>
      <c r="AL151" s="16">
        <f t="shared" si="40"/>
        <v>0.17180000000000001</v>
      </c>
      <c r="AM151" s="16">
        <f t="shared" si="41"/>
        <v>0.26</v>
      </c>
      <c r="AN151" s="16">
        <f t="shared" si="42"/>
        <v>0.86</v>
      </c>
      <c r="AO151" s="16">
        <f t="shared" si="43"/>
        <v>0.5</v>
      </c>
      <c r="AP151" s="16">
        <f t="shared" si="44"/>
        <v>0.86</v>
      </c>
      <c r="AQ151" s="16">
        <f t="shared" si="45"/>
        <v>37.5</v>
      </c>
      <c r="AR151" s="16">
        <f t="shared" si="46"/>
        <v>0.41670000000000001</v>
      </c>
      <c r="AS151" s="16">
        <f t="shared" si="47"/>
        <v>12.5</v>
      </c>
      <c r="AT151" s="16">
        <f t="shared" si="48"/>
        <v>37.5</v>
      </c>
      <c r="AU151" s="16">
        <f t="shared" si="49"/>
        <v>12.5</v>
      </c>
      <c r="AV151" s="16">
        <f t="shared" si="50"/>
        <v>20.833300000000001</v>
      </c>
      <c r="AW151" s="16">
        <f t="shared" si="51"/>
        <v>41.666699999999999</v>
      </c>
      <c r="AX151" s="16">
        <f t="shared" si="52"/>
        <v>2</v>
      </c>
      <c r="AY151" s="16">
        <f t="shared" si="53"/>
        <v>75</v>
      </c>
      <c r="AZ151" s="16">
        <f t="shared" si="54"/>
        <v>0.125</v>
      </c>
      <c r="BA151" s="16">
        <f t="shared" si="55"/>
        <v>0</v>
      </c>
      <c r="BB151" s="16">
        <f t="shared" si="56"/>
        <v>0</v>
      </c>
      <c r="BC151" s="16">
        <f t="shared" si="57"/>
        <v>4.1700000000000001E-2</v>
      </c>
      <c r="BD151" s="16">
        <f t="shared" si="58"/>
        <v>0</v>
      </c>
      <c r="BE151" s="16">
        <f t="shared" si="59"/>
        <v>1</v>
      </c>
      <c r="BF151" s="16">
        <f t="shared" si="60"/>
        <v>1</v>
      </c>
      <c r="BG151" s="16">
        <f t="shared" si="61"/>
        <v>0</v>
      </c>
      <c r="BH151" s="16">
        <f t="shared" si="62"/>
        <v>0.66669999999999996</v>
      </c>
      <c r="BI151" s="16">
        <f t="shared" si="63"/>
        <v>0</v>
      </c>
      <c r="BJ151" s="16">
        <f t="shared" si="64"/>
        <v>0</v>
      </c>
      <c r="BK151" s="16">
        <f t="shared" si="65"/>
        <v>0</v>
      </c>
      <c r="BL151" s="16">
        <f t="shared" si="66"/>
        <v>0</v>
      </c>
      <c r="BM151" s="16">
        <f t="shared" si="67"/>
        <v>0.75</v>
      </c>
      <c r="BN151" s="16">
        <f t="shared" si="68"/>
        <v>1</v>
      </c>
      <c r="BO151" s="16">
        <f t="shared" si="69"/>
        <v>1</v>
      </c>
      <c r="BP151" s="16">
        <f t="shared" si="70"/>
        <v>0.91669999999999996</v>
      </c>
      <c r="BQ151" s="16">
        <f t="shared" si="71"/>
        <v>20.833300000000001</v>
      </c>
      <c r="BR151" s="16">
        <f t="shared" si="72"/>
        <v>58.333300000000001</v>
      </c>
      <c r="BS151" s="16">
        <f t="shared" si="73"/>
        <v>20.833300000000001</v>
      </c>
      <c r="BT151" s="16">
        <f t="shared" si="74"/>
        <v>34.791699999999999</v>
      </c>
      <c r="BU151" s="16">
        <f t="shared" si="75"/>
        <v>1.7082999999999999</v>
      </c>
      <c r="BV151" s="16">
        <f t="shared" si="76"/>
        <v>100</v>
      </c>
      <c r="BW151" s="16">
        <f t="shared" si="77"/>
        <v>0</v>
      </c>
      <c r="BX151" s="16">
        <f t="shared" si="78"/>
        <v>0</v>
      </c>
      <c r="BY151" s="16">
        <f t="shared" si="79"/>
        <v>0</v>
      </c>
      <c r="BZ151" s="16">
        <f t="shared" si="80"/>
        <v>0</v>
      </c>
      <c r="CA151" s="16">
        <f t="shared" si="81"/>
        <v>0</v>
      </c>
      <c r="CB151" s="16">
        <f t="shared" si="82"/>
        <v>0</v>
      </c>
      <c r="CC151" s="16">
        <f t="shared" si="83"/>
        <v>0</v>
      </c>
    </row>
    <row r="152" spans="1:81" x14ac:dyDescent="0.25">
      <c r="A152">
        <v>52</v>
      </c>
      <c r="B152" s="16">
        <f t="shared" si="4"/>
        <v>14.3</v>
      </c>
      <c r="C152" s="16">
        <f t="shared" si="5"/>
        <v>8.66</v>
      </c>
      <c r="D152" s="16">
        <f t="shared" si="6"/>
        <v>9.94</v>
      </c>
      <c r="E152" s="16">
        <f t="shared" si="7"/>
        <v>214</v>
      </c>
      <c r="F152" s="16">
        <f t="shared" si="8"/>
        <v>276</v>
      </c>
      <c r="G152" s="16">
        <f t="shared" si="9"/>
        <v>882</v>
      </c>
      <c r="H152" s="16">
        <f t="shared" si="10"/>
        <v>1372</v>
      </c>
      <c r="I152" s="16">
        <f t="shared" si="11"/>
        <v>4.3700000000000003E-2</v>
      </c>
      <c r="J152" s="16">
        <f t="shared" si="12"/>
        <v>1.4125000000000001</v>
      </c>
      <c r="K152" s="16">
        <f t="shared" si="13"/>
        <v>1.9624999999999999</v>
      </c>
      <c r="L152" s="16">
        <f t="shared" si="14"/>
        <v>2.2999999999999998</v>
      </c>
      <c r="M152" s="16">
        <f t="shared" si="15"/>
        <v>1.8916999999999999</v>
      </c>
      <c r="N152" s="16">
        <f t="shared" si="16"/>
        <v>0.55079999999999996</v>
      </c>
      <c r="O152" s="16">
        <f t="shared" si="17"/>
        <v>0.2</v>
      </c>
      <c r="P152" s="16">
        <f t="shared" si="18"/>
        <v>0.218</v>
      </c>
      <c r="Q152" s="16">
        <f t="shared" si="19"/>
        <v>0.26500000000000001</v>
      </c>
      <c r="R152" s="16">
        <f t="shared" si="20"/>
        <v>0.22689999999999999</v>
      </c>
      <c r="S152" s="16">
        <f t="shared" si="21"/>
        <v>7.8799999999999995E-2</v>
      </c>
      <c r="T152" s="16">
        <f t="shared" si="22"/>
        <v>0.28000000000000003</v>
      </c>
      <c r="U152" s="16">
        <f t="shared" si="23"/>
        <v>0.4</v>
      </c>
      <c r="V152" s="16">
        <f t="shared" si="24"/>
        <v>0.38</v>
      </c>
      <c r="W152" s="16">
        <f t="shared" si="25"/>
        <v>0.4</v>
      </c>
      <c r="X152" s="16">
        <f t="shared" si="26"/>
        <v>8.3361999999999998</v>
      </c>
      <c r="Y152" s="16">
        <f t="shared" si="27"/>
        <v>0</v>
      </c>
      <c r="Z152" s="16">
        <f t="shared" si="28"/>
        <v>11.538500000000001</v>
      </c>
      <c r="AA152" s="16">
        <f t="shared" si="29"/>
        <v>0</v>
      </c>
      <c r="AB152" s="16">
        <f t="shared" si="30"/>
        <v>11.538500000000001</v>
      </c>
      <c r="AC152" s="16">
        <f t="shared" si="31"/>
        <v>19.230799999999999</v>
      </c>
      <c r="AD152" s="16">
        <f t="shared" si="32"/>
        <v>69.230800000000002</v>
      </c>
      <c r="AE152" s="16">
        <f t="shared" si="33"/>
        <v>0</v>
      </c>
      <c r="AF152" s="16">
        <f t="shared" si="34"/>
        <v>88.461500000000001</v>
      </c>
      <c r="AG152" s="16">
        <f t="shared" si="35"/>
        <v>69.230800000000002</v>
      </c>
      <c r="AH152" s="16">
        <f t="shared" si="36"/>
        <v>0.58630000000000004</v>
      </c>
      <c r="AI152" s="16">
        <f t="shared" si="37"/>
        <v>0.52100000000000002</v>
      </c>
      <c r="AJ152" s="16">
        <f t="shared" si="38"/>
        <v>0.30380000000000001</v>
      </c>
      <c r="AK152" s="16">
        <f t="shared" si="39"/>
        <v>0.47420000000000001</v>
      </c>
      <c r="AL152" s="16">
        <f t="shared" si="40"/>
        <v>0.20860000000000001</v>
      </c>
      <c r="AM152" s="16">
        <f t="shared" si="41"/>
        <v>0.99</v>
      </c>
      <c r="AN152" s="16">
        <f t="shared" si="42"/>
        <v>0.95</v>
      </c>
      <c r="AO152" s="16">
        <f t="shared" si="43"/>
        <v>0.42</v>
      </c>
      <c r="AP152" s="16">
        <f t="shared" si="44"/>
        <v>0.99</v>
      </c>
      <c r="AQ152" s="16">
        <f t="shared" si="45"/>
        <v>29.166699999999999</v>
      </c>
      <c r="AR152" s="16">
        <f t="shared" si="46"/>
        <v>0.70830000000000004</v>
      </c>
      <c r="AS152" s="16">
        <f t="shared" si="47"/>
        <v>0</v>
      </c>
      <c r="AT152" s="16">
        <f t="shared" si="48"/>
        <v>0</v>
      </c>
      <c r="AU152" s="16">
        <f t="shared" si="49"/>
        <v>0</v>
      </c>
      <c r="AV152" s="16">
        <f t="shared" si="50"/>
        <v>0</v>
      </c>
      <c r="AW152" s="16">
        <f t="shared" si="51"/>
        <v>70.833299999999994</v>
      </c>
      <c r="AX152" s="16">
        <f t="shared" si="52"/>
        <v>2.5455000000000001</v>
      </c>
      <c r="AY152" s="16">
        <f t="shared" si="53"/>
        <v>75</v>
      </c>
      <c r="AZ152" s="16">
        <f t="shared" si="54"/>
        <v>0.5</v>
      </c>
      <c r="BA152" s="16">
        <f t="shared" si="55"/>
        <v>0.75</v>
      </c>
      <c r="BB152" s="16">
        <f t="shared" si="56"/>
        <v>0.875</v>
      </c>
      <c r="BC152" s="16">
        <f t="shared" si="57"/>
        <v>0.70830000000000004</v>
      </c>
      <c r="BD152" s="16">
        <f t="shared" si="58"/>
        <v>0.41670000000000001</v>
      </c>
      <c r="BE152" s="16">
        <f t="shared" si="59"/>
        <v>0.5</v>
      </c>
      <c r="BF152" s="16">
        <f t="shared" si="60"/>
        <v>0</v>
      </c>
      <c r="BG152" s="16">
        <f t="shared" si="61"/>
        <v>0</v>
      </c>
      <c r="BH152" s="16">
        <f t="shared" si="62"/>
        <v>0.16669999999999999</v>
      </c>
      <c r="BI152" s="16">
        <f t="shared" si="63"/>
        <v>0.25</v>
      </c>
      <c r="BJ152" s="16">
        <f t="shared" si="64"/>
        <v>1.25</v>
      </c>
      <c r="BK152" s="16">
        <f t="shared" si="65"/>
        <v>0.25</v>
      </c>
      <c r="BL152" s="16">
        <f t="shared" si="66"/>
        <v>0.58330000000000004</v>
      </c>
      <c r="BM152" s="16">
        <f t="shared" si="67"/>
        <v>0</v>
      </c>
      <c r="BN152" s="16">
        <f t="shared" si="68"/>
        <v>0</v>
      </c>
      <c r="BO152" s="16">
        <f t="shared" si="69"/>
        <v>0.25</v>
      </c>
      <c r="BP152" s="16">
        <f t="shared" si="70"/>
        <v>8.3299999999999999E-2</v>
      </c>
      <c r="BQ152" s="16">
        <f t="shared" si="71"/>
        <v>4.1666999999999996</v>
      </c>
      <c r="BR152" s="16">
        <f t="shared" si="72"/>
        <v>75</v>
      </c>
      <c r="BS152" s="16">
        <f t="shared" si="73"/>
        <v>20.833300000000001</v>
      </c>
      <c r="BT152" s="16">
        <f t="shared" si="74"/>
        <v>39.125</v>
      </c>
      <c r="BU152" s="16">
        <f t="shared" si="75"/>
        <v>0.83330000000000004</v>
      </c>
      <c r="BV152" s="16">
        <f t="shared" si="76"/>
        <v>7.4324000000000003</v>
      </c>
      <c r="BW152" s="16">
        <f t="shared" si="77"/>
        <v>5.1189999999999998</v>
      </c>
      <c r="BX152" s="16">
        <f t="shared" si="78"/>
        <v>92.567599999999999</v>
      </c>
      <c r="BY152" s="16">
        <f t="shared" si="79"/>
        <v>0</v>
      </c>
      <c r="BZ152" s="16">
        <f t="shared" si="80"/>
        <v>0</v>
      </c>
      <c r="CA152" s="16">
        <f t="shared" si="81"/>
        <v>0</v>
      </c>
      <c r="CB152" s="16">
        <f t="shared" si="82"/>
        <v>0</v>
      </c>
      <c r="CC152" s="16">
        <f t="shared" si="83"/>
        <v>0</v>
      </c>
    </row>
    <row r="153" spans="1:81" x14ac:dyDescent="0.25">
      <c r="A153">
        <v>56</v>
      </c>
      <c r="B153" s="16">
        <f t="shared" si="4"/>
        <v>18</v>
      </c>
      <c r="C153" s="16">
        <f t="shared" si="5"/>
        <v>8.33</v>
      </c>
      <c r="D153" s="16">
        <f t="shared" si="6"/>
        <v>12.17</v>
      </c>
      <c r="E153" s="16">
        <f t="shared" si="7"/>
        <v>531</v>
      </c>
      <c r="F153" s="16">
        <f t="shared" si="8"/>
        <v>357</v>
      </c>
      <c r="G153" s="16">
        <f t="shared" si="9"/>
        <v>664</v>
      </c>
      <c r="H153" s="16">
        <f t="shared" si="10"/>
        <v>1552</v>
      </c>
      <c r="I153" s="16">
        <f t="shared" si="11"/>
        <v>0.65720000000000001</v>
      </c>
      <c r="J153" s="16">
        <f t="shared" si="12"/>
        <v>3.8125</v>
      </c>
      <c r="K153" s="16">
        <f t="shared" si="13"/>
        <v>2.6875</v>
      </c>
      <c r="L153" s="16">
        <f t="shared" si="14"/>
        <v>2.7374999999999998</v>
      </c>
      <c r="M153" s="16">
        <f t="shared" si="15"/>
        <v>3.0792000000000002</v>
      </c>
      <c r="N153" s="16">
        <f t="shared" si="16"/>
        <v>0.93340000000000001</v>
      </c>
      <c r="O153" s="16">
        <f t="shared" si="17"/>
        <v>0.31</v>
      </c>
      <c r="P153" s="16">
        <f t="shared" si="18"/>
        <v>0.16819999999999999</v>
      </c>
      <c r="Q153" s="16">
        <f t="shared" si="19"/>
        <v>0.26669999999999999</v>
      </c>
      <c r="R153" s="16">
        <f t="shared" si="20"/>
        <v>0.25059999999999999</v>
      </c>
      <c r="S153" s="16">
        <f t="shared" si="21"/>
        <v>0.17810000000000001</v>
      </c>
      <c r="T153" s="16">
        <f t="shared" si="22"/>
        <v>0.74</v>
      </c>
      <c r="U153" s="16">
        <f t="shared" si="23"/>
        <v>0.26</v>
      </c>
      <c r="V153" s="16">
        <f t="shared" si="24"/>
        <v>0.72</v>
      </c>
      <c r="W153" s="16">
        <f t="shared" si="25"/>
        <v>0.74</v>
      </c>
      <c r="X153" s="16">
        <f t="shared" si="26"/>
        <v>12.288600000000001</v>
      </c>
      <c r="Y153" s="16">
        <f t="shared" si="27"/>
        <v>0</v>
      </c>
      <c r="Z153" s="16">
        <f t="shared" si="28"/>
        <v>0</v>
      </c>
      <c r="AA153" s="16">
        <f t="shared" si="29"/>
        <v>0</v>
      </c>
      <c r="AB153" s="16">
        <f t="shared" si="30"/>
        <v>0</v>
      </c>
      <c r="AC153" s="16">
        <f t="shared" si="31"/>
        <v>3.3332999999999999</v>
      </c>
      <c r="AD153" s="16">
        <f t="shared" si="32"/>
        <v>96.666700000000006</v>
      </c>
      <c r="AE153" s="16">
        <f t="shared" si="33"/>
        <v>0</v>
      </c>
      <c r="AF153" s="16">
        <f t="shared" si="34"/>
        <v>100</v>
      </c>
      <c r="AG153" s="16">
        <f t="shared" si="35"/>
        <v>96.666700000000006</v>
      </c>
      <c r="AH153" s="16">
        <f t="shared" si="36"/>
        <v>0.11550000000000001</v>
      </c>
      <c r="AI153" s="16">
        <f t="shared" si="37"/>
        <v>0.28999999999999998</v>
      </c>
      <c r="AJ153" s="16">
        <f t="shared" si="38"/>
        <v>0.2409</v>
      </c>
      <c r="AK153" s="16">
        <f t="shared" si="39"/>
        <v>0.19769999999999999</v>
      </c>
      <c r="AL153" s="16">
        <f t="shared" si="40"/>
        <v>0.20319999999999999</v>
      </c>
      <c r="AM153" s="16">
        <f t="shared" si="41"/>
        <v>0.45</v>
      </c>
      <c r="AN153" s="16">
        <f t="shared" si="42"/>
        <v>0.94</v>
      </c>
      <c r="AO153" s="16">
        <f t="shared" si="43"/>
        <v>0.56999999999999995</v>
      </c>
      <c r="AP153" s="16">
        <f t="shared" si="44"/>
        <v>0.94</v>
      </c>
      <c r="AQ153" s="16">
        <f t="shared" si="45"/>
        <v>33.333300000000001</v>
      </c>
      <c r="AR153" s="16">
        <f t="shared" si="46"/>
        <v>0.45829999999999999</v>
      </c>
      <c r="AS153" s="16">
        <f t="shared" si="47"/>
        <v>50</v>
      </c>
      <c r="AT153" s="16">
        <f t="shared" si="48"/>
        <v>0</v>
      </c>
      <c r="AU153" s="16">
        <f t="shared" si="49"/>
        <v>12.5</v>
      </c>
      <c r="AV153" s="16">
        <f t="shared" si="50"/>
        <v>20.833300000000001</v>
      </c>
      <c r="AW153" s="16">
        <f t="shared" si="51"/>
        <v>45.833300000000001</v>
      </c>
      <c r="AX153" s="16">
        <f t="shared" si="52"/>
        <v>1.5</v>
      </c>
      <c r="AY153" s="16">
        <f t="shared" si="53"/>
        <v>50</v>
      </c>
      <c r="AZ153" s="16">
        <f t="shared" si="54"/>
        <v>0.125</v>
      </c>
      <c r="BA153" s="16">
        <f t="shared" si="55"/>
        <v>0.25</v>
      </c>
      <c r="BB153" s="16">
        <f t="shared" si="56"/>
        <v>0.375</v>
      </c>
      <c r="BC153" s="16">
        <f t="shared" si="57"/>
        <v>0.25</v>
      </c>
      <c r="BD153" s="16">
        <f t="shared" si="58"/>
        <v>0.58330000000000004</v>
      </c>
      <c r="BE153" s="16">
        <f t="shared" si="59"/>
        <v>0.25</v>
      </c>
      <c r="BF153" s="16">
        <f t="shared" si="60"/>
        <v>1</v>
      </c>
      <c r="BG153" s="16">
        <f t="shared" si="61"/>
        <v>0.5</v>
      </c>
      <c r="BH153" s="16">
        <f t="shared" si="62"/>
        <v>0.58330000000000004</v>
      </c>
      <c r="BI153" s="16">
        <f t="shared" si="63"/>
        <v>0.25</v>
      </c>
      <c r="BJ153" s="16">
        <f t="shared" si="64"/>
        <v>0</v>
      </c>
      <c r="BK153" s="16">
        <f t="shared" si="65"/>
        <v>0.25</v>
      </c>
      <c r="BL153" s="16">
        <f t="shared" si="66"/>
        <v>0.16669999999999999</v>
      </c>
      <c r="BM153" s="16">
        <f t="shared" si="67"/>
        <v>1.5</v>
      </c>
      <c r="BN153" s="16">
        <f t="shared" si="68"/>
        <v>0</v>
      </c>
      <c r="BO153" s="16">
        <f t="shared" si="69"/>
        <v>0.75</v>
      </c>
      <c r="BP153" s="16">
        <f t="shared" si="70"/>
        <v>0.75</v>
      </c>
      <c r="BQ153" s="16">
        <f t="shared" si="71"/>
        <v>29.166699999999999</v>
      </c>
      <c r="BR153" s="16">
        <f t="shared" si="72"/>
        <v>45.833300000000001</v>
      </c>
      <c r="BS153" s="16">
        <f t="shared" si="73"/>
        <v>25</v>
      </c>
      <c r="BT153" s="16">
        <f t="shared" si="74"/>
        <v>31.875</v>
      </c>
      <c r="BU153" s="16">
        <f t="shared" si="75"/>
        <v>0.83330000000000004</v>
      </c>
      <c r="BV153" s="16">
        <f t="shared" si="76"/>
        <v>53.753799999999998</v>
      </c>
      <c r="BW153" s="16">
        <f t="shared" si="77"/>
        <v>15.9208</v>
      </c>
      <c r="BX153" s="16">
        <f t="shared" si="78"/>
        <v>46.246200000000002</v>
      </c>
      <c r="BY153" s="16">
        <f t="shared" si="79"/>
        <v>0</v>
      </c>
      <c r="BZ153" s="16">
        <f t="shared" si="80"/>
        <v>0</v>
      </c>
      <c r="CA153" s="16">
        <f t="shared" si="81"/>
        <v>0</v>
      </c>
      <c r="CB153" s="16">
        <f t="shared" si="82"/>
        <v>0</v>
      </c>
      <c r="CC153" s="16">
        <f t="shared" si="83"/>
        <v>0</v>
      </c>
    </row>
    <row r="154" spans="1:81" x14ac:dyDescent="0.25">
      <c r="A154">
        <v>57</v>
      </c>
      <c r="B154" s="16">
        <f t="shared" si="4"/>
        <v>20</v>
      </c>
      <c r="C154" s="16">
        <f t="shared" si="5"/>
        <v>8.6199999999999992</v>
      </c>
      <c r="D154" s="16">
        <f t="shared" si="6"/>
        <v>9.92</v>
      </c>
      <c r="E154" s="16">
        <f t="shared" si="7"/>
        <v>234</v>
      </c>
      <c r="F154" s="16">
        <f t="shared" si="8"/>
        <v>234</v>
      </c>
      <c r="G154" s="16">
        <f t="shared" si="9"/>
        <v>234</v>
      </c>
      <c r="H154" s="16">
        <f t="shared" si="10"/>
        <v>702</v>
      </c>
      <c r="I154" s="16">
        <f t="shared" si="11"/>
        <v>0</v>
      </c>
      <c r="J154" s="16">
        <f t="shared" si="12"/>
        <v>1.5375000000000001</v>
      </c>
      <c r="K154" s="16">
        <f t="shared" si="13"/>
        <v>1.5249999999999999</v>
      </c>
      <c r="L154" s="16">
        <f t="shared" si="14"/>
        <v>1.125</v>
      </c>
      <c r="M154" s="16">
        <f t="shared" si="15"/>
        <v>1.3957999999999999</v>
      </c>
      <c r="N154" s="16">
        <f t="shared" si="16"/>
        <v>0.32900000000000001</v>
      </c>
      <c r="O154" s="16">
        <f t="shared" si="17"/>
        <v>0.25380000000000003</v>
      </c>
      <c r="P154" s="16">
        <f t="shared" si="18"/>
        <v>0.26</v>
      </c>
      <c r="Q154" s="16">
        <f t="shared" si="19"/>
        <v>0.33629999999999999</v>
      </c>
      <c r="R154" s="16">
        <f t="shared" si="20"/>
        <v>0.2833</v>
      </c>
      <c r="S154" s="16">
        <f t="shared" si="21"/>
        <v>8.4400000000000003E-2</v>
      </c>
      <c r="T154" s="16">
        <f t="shared" si="22"/>
        <v>0.36</v>
      </c>
      <c r="U154" s="16">
        <f t="shared" si="23"/>
        <v>0.4</v>
      </c>
      <c r="V154" s="16">
        <f t="shared" si="24"/>
        <v>0.46</v>
      </c>
      <c r="W154" s="16">
        <f t="shared" si="25"/>
        <v>0.46</v>
      </c>
      <c r="X154" s="16">
        <f t="shared" si="26"/>
        <v>4.9264999999999999</v>
      </c>
      <c r="Y154" s="16">
        <f t="shared" si="27"/>
        <v>0</v>
      </c>
      <c r="Z154" s="16">
        <f t="shared" si="28"/>
        <v>29.166699999999999</v>
      </c>
      <c r="AA154" s="16">
        <f t="shared" si="29"/>
        <v>8.3332999999999995</v>
      </c>
      <c r="AB154" s="16">
        <f t="shared" si="30"/>
        <v>37.5</v>
      </c>
      <c r="AC154" s="16">
        <f t="shared" si="31"/>
        <v>12.5</v>
      </c>
      <c r="AD154" s="16">
        <f t="shared" si="32"/>
        <v>50</v>
      </c>
      <c r="AE154" s="16">
        <f t="shared" si="33"/>
        <v>0</v>
      </c>
      <c r="AF154" s="16">
        <f t="shared" si="34"/>
        <v>62.5</v>
      </c>
      <c r="AG154" s="16">
        <f t="shared" si="35"/>
        <v>50</v>
      </c>
      <c r="AH154" s="16">
        <f t="shared" si="36"/>
        <v>0.42130000000000001</v>
      </c>
      <c r="AI154" s="16">
        <f t="shared" si="37"/>
        <v>0.43380000000000002</v>
      </c>
      <c r="AJ154" s="16">
        <f t="shared" si="38"/>
        <v>0.23380000000000001</v>
      </c>
      <c r="AK154" s="16">
        <f t="shared" si="39"/>
        <v>0.3629</v>
      </c>
      <c r="AL154" s="16">
        <f t="shared" si="40"/>
        <v>0.15890000000000001</v>
      </c>
      <c r="AM154" s="16">
        <f t="shared" si="41"/>
        <v>0.67</v>
      </c>
      <c r="AN154" s="16">
        <f t="shared" si="42"/>
        <v>0.72</v>
      </c>
      <c r="AO154" s="16">
        <f t="shared" si="43"/>
        <v>0.44</v>
      </c>
      <c r="AP154" s="16">
        <f t="shared" si="44"/>
        <v>0.72</v>
      </c>
      <c r="AQ154" s="16">
        <f t="shared" si="45"/>
        <v>16.666699999999999</v>
      </c>
      <c r="AR154" s="16">
        <f t="shared" si="46"/>
        <v>0.75</v>
      </c>
      <c r="AS154" s="16">
        <f t="shared" si="47"/>
        <v>0</v>
      </c>
      <c r="AT154" s="16">
        <f t="shared" si="48"/>
        <v>0</v>
      </c>
      <c r="AU154" s="16">
        <f t="shared" si="49"/>
        <v>25</v>
      </c>
      <c r="AV154" s="16">
        <f t="shared" si="50"/>
        <v>8.3332999999999995</v>
      </c>
      <c r="AW154" s="16">
        <f t="shared" si="51"/>
        <v>75</v>
      </c>
      <c r="AX154" s="16">
        <f t="shared" si="52"/>
        <v>1</v>
      </c>
      <c r="AY154" s="16">
        <f t="shared" si="53"/>
        <v>33.333300000000001</v>
      </c>
      <c r="AZ154" s="16">
        <f t="shared" si="54"/>
        <v>0</v>
      </c>
      <c r="BA154" s="16">
        <f t="shared" si="55"/>
        <v>0</v>
      </c>
      <c r="BB154" s="16">
        <f t="shared" si="56"/>
        <v>0</v>
      </c>
      <c r="BC154" s="16">
        <f t="shared" si="57"/>
        <v>0</v>
      </c>
      <c r="BD154" s="16">
        <f t="shared" si="58"/>
        <v>8.3299999999999999E-2</v>
      </c>
      <c r="BE154" s="16">
        <f t="shared" si="59"/>
        <v>1</v>
      </c>
      <c r="BF154" s="16">
        <f t="shared" si="60"/>
        <v>2</v>
      </c>
      <c r="BG154" s="16">
        <f t="shared" si="61"/>
        <v>1</v>
      </c>
      <c r="BH154" s="16">
        <f t="shared" si="62"/>
        <v>1.3332999999999999</v>
      </c>
      <c r="BI154" s="16">
        <f t="shared" si="63"/>
        <v>0</v>
      </c>
      <c r="BJ154" s="16">
        <f t="shared" si="64"/>
        <v>0</v>
      </c>
      <c r="BK154" s="16">
        <f t="shared" si="65"/>
        <v>0</v>
      </c>
      <c r="BL154" s="16">
        <f t="shared" si="66"/>
        <v>0</v>
      </c>
      <c r="BM154" s="16">
        <f t="shared" si="67"/>
        <v>0.25</v>
      </c>
      <c r="BN154" s="16">
        <f t="shared" si="68"/>
        <v>0.25</v>
      </c>
      <c r="BO154" s="16">
        <f t="shared" si="69"/>
        <v>0.5</v>
      </c>
      <c r="BP154" s="16">
        <f t="shared" si="70"/>
        <v>0.33329999999999999</v>
      </c>
      <c r="BQ154" s="16">
        <f t="shared" si="71"/>
        <v>16.666699999999999</v>
      </c>
      <c r="BR154" s="16">
        <f t="shared" si="72"/>
        <v>83.333299999999994</v>
      </c>
      <c r="BS154" s="16">
        <f t="shared" si="73"/>
        <v>0</v>
      </c>
      <c r="BT154" s="16">
        <f t="shared" si="74"/>
        <v>25.416699999999999</v>
      </c>
      <c r="BU154" s="16">
        <f t="shared" si="75"/>
        <v>0.33329999999999999</v>
      </c>
      <c r="BV154" s="16">
        <f t="shared" si="76"/>
        <v>74.324299999999994</v>
      </c>
      <c r="BW154" s="16">
        <f t="shared" si="77"/>
        <v>12.958</v>
      </c>
      <c r="BX154" s="16">
        <f t="shared" si="78"/>
        <v>25.675699999999999</v>
      </c>
      <c r="BY154" s="16">
        <f t="shared" si="79"/>
        <v>0</v>
      </c>
      <c r="BZ154" s="16">
        <f t="shared" si="80"/>
        <v>0</v>
      </c>
      <c r="CA154" s="16">
        <f t="shared" si="81"/>
        <v>0</v>
      </c>
      <c r="CB154" s="16">
        <f t="shared" si="82"/>
        <v>0</v>
      </c>
      <c r="CC154" s="16">
        <f t="shared" si="83"/>
        <v>0</v>
      </c>
    </row>
    <row r="155" spans="1:81" x14ac:dyDescent="0.25">
      <c r="A155">
        <v>65</v>
      </c>
      <c r="B155" s="16">
        <f t="shared" si="4"/>
        <v>13.9</v>
      </c>
      <c r="C155" s="16">
        <f t="shared" si="5"/>
        <v>8.73</v>
      </c>
      <c r="D155" s="16">
        <f t="shared" si="6"/>
        <v>12.13</v>
      </c>
      <c r="E155" s="16">
        <f t="shared" si="7"/>
        <v>692</v>
      </c>
      <c r="F155" s="16">
        <f t="shared" si="8"/>
        <v>484</v>
      </c>
      <c r="G155" s="16">
        <f t="shared" si="9"/>
        <v>418</v>
      </c>
      <c r="H155" s="16">
        <f t="shared" si="10"/>
        <v>1594</v>
      </c>
      <c r="I155" s="16">
        <f t="shared" si="11"/>
        <v>0.60229999999999995</v>
      </c>
      <c r="J155" s="16">
        <f t="shared" si="12"/>
        <v>2</v>
      </c>
      <c r="K155" s="16">
        <f t="shared" si="13"/>
        <v>1.7</v>
      </c>
      <c r="L155" s="16">
        <f t="shared" si="14"/>
        <v>1.6875</v>
      </c>
      <c r="M155" s="16">
        <f t="shared" si="15"/>
        <v>1.7958000000000001</v>
      </c>
      <c r="N155" s="16">
        <f t="shared" si="16"/>
        <v>0.38840000000000002</v>
      </c>
      <c r="O155" s="16">
        <f t="shared" si="17"/>
        <v>0.16830000000000001</v>
      </c>
      <c r="P155" s="16">
        <f t="shared" si="18"/>
        <v>0.20330000000000001</v>
      </c>
      <c r="Q155" s="16">
        <f t="shared" si="19"/>
        <v>0.2117</v>
      </c>
      <c r="R155" s="16">
        <f t="shared" si="20"/>
        <v>0.19439999999999999</v>
      </c>
      <c r="S155" s="16">
        <f t="shared" si="21"/>
        <v>7.1300000000000002E-2</v>
      </c>
      <c r="T155" s="16">
        <f t="shared" si="22"/>
        <v>0.3</v>
      </c>
      <c r="U155" s="16">
        <f t="shared" si="23"/>
        <v>0.3</v>
      </c>
      <c r="V155" s="16">
        <f t="shared" si="24"/>
        <v>0.32</v>
      </c>
      <c r="W155" s="16">
        <f t="shared" si="25"/>
        <v>0.32</v>
      </c>
      <c r="X155" s="16">
        <f t="shared" si="26"/>
        <v>9.2356999999999996</v>
      </c>
      <c r="Y155" s="16">
        <f t="shared" si="27"/>
        <v>0</v>
      </c>
      <c r="Z155" s="16">
        <f t="shared" si="28"/>
        <v>2.7778</v>
      </c>
      <c r="AA155" s="16">
        <f t="shared" si="29"/>
        <v>0</v>
      </c>
      <c r="AB155" s="16">
        <f t="shared" si="30"/>
        <v>2.7778</v>
      </c>
      <c r="AC155" s="16">
        <f t="shared" si="31"/>
        <v>2.7778</v>
      </c>
      <c r="AD155" s="16">
        <f t="shared" si="32"/>
        <v>94.444400000000002</v>
      </c>
      <c r="AE155" s="16">
        <f t="shared" si="33"/>
        <v>0</v>
      </c>
      <c r="AF155" s="16">
        <f t="shared" si="34"/>
        <v>97.222200000000001</v>
      </c>
      <c r="AG155" s="16">
        <f t="shared" si="35"/>
        <v>94.444400000000002</v>
      </c>
      <c r="AH155" s="16">
        <f t="shared" si="36"/>
        <v>0.37419999999999998</v>
      </c>
      <c r="AI155" s="16">
        <f t="shared" si="37"/>
        <v>0.34</v>
      </c>
      <c r="AJ155" s="16">
        <f t="shared" si="38"/>
        <v>0.29170000000000001</v>
      </c>
      <c r="AK155" s="16">
        <f t="shared" si="39"/>
        <v>0.33529999999999999</v>
      </c>
      <c r="AL155" s="16">
        <f t="shared" si="40"/>
        <v>0.22270000000000001</v>
      </c>
      <c r="AM155" s="16">
        <f t="shared" si="41"/>
        <v>0.75</v>
      </c>
      <c r="AN155" s="16">
        <f t="shared" si="42"/>
        <v>0.8</v>
      </c>
      <c r="AO155" s="16">
        <f t="shared" si="43"/>
        <v>0.88</v>
      </c>
      <c r="AP155" s="16">
        <f t="shared" si="44"/>
        <v>0.88</v>
      </c>
      <c r="AQ155" s="16">
        <f t="shared" si="45"/>
        <v>37.5</v>
      </c>
      <c r="AR155" s="16">
        <f t="shared" si="46"/>
        <v>0.58330000000000004</v>
      </c>
      <c r="AS155" s="16">
        <f t="shared" si="47"/>
        <v>12.5</v>
      </c>
      <c r="AT155" s="16">
        <f t="shared" si="48"/>
        <v>0</v>
      </c>
      <c r="AU155" s="16">
        <f t="shared" si="49"/>
        <v>0</v>
      </c>
      <c r="AV155" s="16">
        <f t="shared" si="50"/>
        <v>4.1666999999999996</v>
      </c>
      <c r="AW155" s="16">
        <f t="shared" si="51"/>
        <v>58.333300000000001</v>
      </c>
      <c r="AX155" s="16">
        <f t="shared" si="52"/>
        <v>1.6</v>
      </c>
      <c r="AY155" s="16">
        <f t="shared" si="53"/>
        <v>33.333300000000001</v>
      </c>
      <c r="AZ155" s="16">
        <f t="shared" si="54"/>
        <v>0</v>
      </c>
      <c r="BA155" s="16">
        <f t="shared" si="55"/>
        <v>0</v>
      </c>
      <c r="BB155" s="16">
        <f t="shared" si="56"/>
        <v>0</v>
      </c>
      <c r="BC155" s="16">
        <f t="shared" si="57"/>
        <v>0</v>
      </c>
      <c r="BD155" s="16">
        <f t="shared" si="58"/>
        <v>4.3499999999999997E-2</v>
      </c>
      <c r="BE155" s="16">
        <f t="shared" si="59"/>
        <v>0.25</v>
      </c>
      <c r="BF155" s="16">
        <f t="shared" si="60"/>
        <v>0.25</v>
      </c>
      <c r="BG155" s="16">
        <f t="shared" si="61"/>
        <v>0</v>
      </c>
      <c r="BH155" s="16">
        <f t="shared" si="62"/>
        <v>0.18179999999999999</v>
      </c>
      <c r="BI155" s="16">
        <f t="shared" si="63"/>
        <v>0</v>
      </c>
      <c r="BJ155" s="16">
        <f t="shared" si="64"/>
        <v>0</v>
      </c>
      <c r="BK155" s="16">
        <f t="shared" si="65"/>
        <v>0.33329999999999999</v>
      </c>
      <c r="BL155" s="16">
        <f t="shared" si="66"/>
        <v>9.0899999999999995E-2</v>
      </c>
      <c r="BM155" s="16">
        <f t="shared" si="67"/>
        <v>1.25</v>
      </c>
      <c r="BN155" s="16">
        <f t="shared" si="68"/>
        <v>1.25</v>
      </c>
      <c r="BO155" s="16">
        <f t="shared" si="69"/>
        <v>0</v>
      </c>
      <c r="BP155" s="16">
        <f t="shared" si="70"/>
        <v>0.90910000000000002</v>
      </c>
      <c r="BQ155" s="16">
        <f t="shared" si="71"/>
        <v>0</v>
      </c>
      <c r="BR155" s="16">
        <f t="shared" si="72"/>
        <v>83.333299999999994</v>
      </c>
      <c r="BS155" s="16">
        <f t="shared" si="73"/>
        <v>16.666699999999999</v>
      </c>
      <c r="BT155" s="16">
        <f t="shared" si="74"/>
        <v>41.458300000000001</v>
      </c>
      <c r="BU155" s="16">
        <f t="shared" si="75"/>
        <v>1</v>
      </c>
      <c r="BV155" s="16">
        <f t="shared" si="76"/>
        <v>100</v>
      </c>
      <c r="BW155" s="16">
        <f t="shared" si="77"/>
        <v>0</v>
      </c>
      <c r="BX155" s="16">
        <f t="shared" si="78"/>
        <v>0</v>
      </c>
      <c r="BY155" s="16">
        <f t="shared" si="79"/>
        <v>0</v>
      </c>
      <c r="BZ155" s="16">
        <f t="shared" si="80"/>
        <v>0</v>
      </c>
      <c r="CA155" s="16">
        <f t="shared" si="81"/>
        <v>0</v>
      </c>
      <c r="CB155" s="16">
        <f t="shared" si="82"/>
        <v>0</v>
      </c>
      <c r="CC155" s="16">
        <f t="shared" si="83"/>
        <v>0</v>
      </c>
    </row>
    <row r="156" spans="1:81" x14ac:dyDescent="0.25">
      <c r="A156">
        <v>73</v>
      </c>
      <c r="B156" s="16">
        <f t="shared" si="4"/>
        <v>14.9</v>
      </c>
      <c r="C156" s="16">
        <f t="shared" si="5"/>
        <v>8.61</v>
      </c>
      <c r="D156" s="16">
        <f t="shared" si="6"/>
        <v>12.52</v>
      </c>
      <c r="E156" s="16">
        <f t="shared" si="7"/>
        <v>717</v>
      </c>
      <c r="F156" s="16">
        <f t="shared" si="8"/>
        <v>717</v>
      </c>
      <c r="G156" s="16">
        <f t="shared" si="9"/>
        <v>717</v>
      </c>
      <c r="H156" s="16">
        <f t="shared" si="10"/>
        <v>2151</v>
      </c>
      <c r="I156" s="16">
        <f t="shared" si="11"/>
        <v>5.5800000000000002E-2</v>
      </c>
      <c r="J156" s="16">
        <f t="shared" si="12"/>
        <v>3.2250000000000001</v>
      </c>
      <c r="K156" s="16">
        <f t="shared" si="13"/>
        <v>2.5750000000000002</v>
      </c>
      <c r="L156" s="16">
        <f t="shared" si="14"/>
        <v>2.95</v>
      </c>
      <c r="M156" s="16">
        <f t="shared" si="15"/>
        <v>2.9167000000000001</v>
      </c>
      <c r="N156" s="16">
        <f t="shared" si="16"/>
        <v>0.58579999999999999</v>
      </c>
      <c r="O156" s="16">
        <f t="shared" si="17"/>
        <v>0.47560000000000002</v>
      </c>
      <c r="P156" s="16">
        <f t="shared" si="18"/>
        <v>0.38500000000000001</v>
      </c>
      <c r="Q156" s="16">
        <f t="shared" si="19"/>
        <v>0.45600000000000002</v>
      </c>
      <c r="R156" s="16">
        <f t="shared" si="20"/>
        <v>0.4415</v>
      </c>
      <c r="S156" s="16">
        <f t="shared" si="21"/>
        <v>0.12959999999999999</v>
      </c>
      <c r="T156" s="16">
        <f t="shared" si="22"/>
        <v>0.68</v>
      </c>
      <c r="U156" s="16">
        <f t="shared" si="23"/>
        <v>0.64</v>
      </c>
      <c r="V156" s="16">
        <f t="shared" si="24"/>
        <v>0.66</v>
      </c>
      <c r="W156" s="16">
        <f t="shared" si="25"/>
        <v>0.68</v>
      </c>
      <c r="X156" s="16">
        <f t="shared" si="26"/>
        <v>6.6064999999999996</v>
      </c>
      <c r="Y156" s="16">
        <f t="shared" si="27"/>
        <v>0</v>
      </c>
      <c r="Z156" s="16">
        <f t="shared" si="28"/>
        <v>29.6296</v>
      </c>
      <c r="AA156" s="16">
        <f t="shared" si="29"/>
        <v>0</v>
      </c>
      <c r="AB156" s="16">
        <f t="shared" si="30"/>
        <v>29.6296</v>
      </c>
      <c r="AC156" s="16">
        <f t="shared" si="31"/>
        <v>11.1111</v>
      </c>
      <c r="AD156" s="16">
        <f t="shared" si="32"/>
        <v>59.259300000000003</v>
      </c>
      <c r="AE156" s="16">
        <f t="shared" si="33"/>
        <v>0</v>
      </c>
      <c r="AF156" s="16">
        <f t="shared" si="34"/>
        <v>70.370400000000004</v>
      </c>
      <c r="AG156" s="16">
        <f t="shared" si="35"/>
        <v>59.259300000000003</v>
      </c>
      <c r="AH156" s="16">
        <f t="shared" si="36"/>
        <v>0.30780000000000002</v>
      </c>
      <c r="AI156" s="16">
        <f t="shared" si="37"/>
        <v>0.65500000000000003</v>
      </c>
      <c r="AJ156" s="16">
        <f t="shared" si="38"/>
        <v>0.25700000000000001</v>
      </c>
      <c r="AK156" s="16">
        <f t="shared" si="39"/>
        <v>0.39190000000000003</v>
      </c>
      <c r="AL156" s="16">
        <f t="shared" si="40"/>
        <v>0.29930000000000001</v>
      </c>
      <c r="AM156" s="16">
        <f t="shared" si="41"/>
        <v>0.71</v>
      </c>
      <c r="AN156" s="16">
        <f t="shared" si="42"/>
        <v>1.23</v>
      </c>
      <c r="AO156" s="16">
        <f t="shared" si="43"/>
        <v>0.6</v>
      </c>
      <c r="AP156" s="16">
        <f t="shared" si="44"/>
        <v>1.23</v>
      </c>
      <c r="AQ156" s="16">
        <f t="shared" si="45"/>
        <v>8.3332999999999995</v>
      </c>
      <c r="AR156" s="16">
        <f t="shared" si="46"/>
        <v>0.90910000000000002</v>
      </c>
      <c r="AS156" s="16">
        <f t="shared" si="47"/>
        <v>0</v>
      </c>
      <c r="AT156" s="16">
        <f t="shared" si="48"/>
        <v>0</v>
      </c>
      <c r="AU156" s="16">
        <f t="shared" si="49"/>
        <v>0</v>
      </c>
      <c r="AV156" s="16">
        <f t="shared" si="50"/>
        <v>0</v>
      </c>
      <c r="AW156" s="16">
        <f t="shared" si="51"/>
        <v>83.333299999999994</v>
      </c>
      <c r="AX156" s="16">
        <f t="shared" si="52"/>
        <v>1.3332999999999999</v>
      </c>
      <c r="AY156" s="16">
        <f t="shared" si="53"/>
        <v>41.666699999999999</v>
      </c>
      <c r="AZ156" s="16">
        <f t="shared" si="54"/>
        <v>0</v>
      </c>
      <c r="BA156" s="16">
        <f t="shared" si="55"/>
        <v>0.125</v>
      </c>
      <c r="BB156" s="16">
        <f t="shared" si="56"/>
        <v>0</v>
      </c>
      <c r="BC156" s="16">
        <f t="shared" si="57"/>
        <v>4.1700000000000001E-2</v>
      </c>
      <c r="BD156" s="16">
        <f t="shared" si="58"/>
        <v>0.45829999999999999</v>
      </c>
      <c r="BE156" s="16">
        <f t="shared" si="59"/>
        <v>0.5</v>
      </c>
      <c r="BF156" s="16">
        <f t="shared" si="60"/>
        <v>0.25</v>
      </c>
      <c r="BG156" s="16">
        <f t="shared" si="61"/>
        <v>1</v>
      </c>
      <c r="BH156" s="16">
        <f t="shared" si="62"/>
        <v>0.58330000000000004</v>
      </c>
      <c r="BI156" s="16">
        <f t="shared" si="63"/>
        <v>0.25</v>
      </c>
      <c r="BJ156" s="16">
        <f t="shared" si="64"/>
        <v>0.75</v>
      </c>
      <c r="BK156" s="16">
        <f t="shared" si="65"/>
        <v>0</v>
      </c>
      <c r="BL156" s="16">
        <f t="shared" si="66"/>
        <v>0.33329999999999999</v>
      </c>
      <c r="BM156" s="16">
        <f t="shared" si="67"/>
        <v>1</v>
      </c>
      <c r="BN156" s="16">
        <f t="shared" si="68"/>
        <v>0.75</v>
      </c>
      <c r="BO156" s="16">
        <f t="shared" si="69"/>
        <v>1.75</v>
      </c>
      <c r="BP156" s="16">
        <f t="shared" si="70"/>
        <v>1.1667000000000001</v>
      </c>
      <c r="BQ156" s="16">
        <f t="shared" si="71"/>
        <v>12.5</v>
      </c>
      <c r="BR156" s="16">
        <f t="shared" si="72"/>
        <v>75</v>
      </c>
      <c r="BS156" s="16">
        <f t="shared" si="73"/>
        <v>12.5</v>
      </c>
      <c r="BT156" s="16">
        <f t="shared" si="74"/>
        <v>36.875</v>
      </c>
      <c r="BU156" s="16">
        <f t="shared" si="75"/>
        <v>0.41670000000000001</v>
      </c>
      <c r="BV156" s="16">
        <f t="shared" si="76"/>
        <v>92.342299999999994</v>
      </c>
      <c r="BW156" s="16">
        <f t="shared" si="77"/>
        <v>8.3211999999999993</v>
      </c>
      <c r="BX156" s="16">
        <f t="shared" si="78"/>
        <v>7.6577000000000002</v>
      </c>
      <c r="BY156" s="16">
        <f t="shared" si="79"/>
        <v>0</v>
      </c>
      <c r="BZ156" s="16">
        <f t="shared" si="80"/>
        <v>0</v>
      </c>
      <c r="CA156" s="16">
        <f t="shared" si="81"/>
        <v>0</v>
      </c>
      <c r="CB156" s="16">
        <f t="shared" si="82"/>
        <v>0</v>
      </c>
      <c r="CC156" s="16">
        <f t="shared" si="83"/>
        <v>0</v>
      </c>
    </row>
    <row r="157" spans="1:81" x14ac:dyDescent="0.25">
      <c r="A157">
        <v>77</v>
      </c>
      <c r="B157" s="16">
        <f t="shared" si="4"/>
        <v>21.2</v>
      </c>
      <c r="C157" s="16">
        <f t="shared" si="5"/>
        <v>8.31</v>
      </c>
      <c r="D157" s="16">
        <f t="shared" si="6"/>
        <v>11.61</v>
      </c>
      <c r="E157" s="16">
        <f t="shared" si="7"/>
        <v>663</v>
      </c>
      <c r="F157" s="16">
        <f t="shared" si="8"/>
        <v>412</v>
      </c>
      <c r="G157" s="16">
        <f t="shared" si="9"/>
        <v>529</v>
      </c>
      <c r="H157" s="16">
        <f t="shared" si="10"/>
        <v>1604</v>
      </c>
      <c r="I157" s="16">
        <f t="shared" si="11"/>
        <v>0.14960000000000001</v>
      </c>
      <c r="J157" s="16">
        <f t="shared" si="12"/>
        <v>2.5125000000000002</v>
      </c>
      <c r="K157" s="16">
        <f t="shared" si="13"/>
        <v>3.35</v>
      </c>
      <c r="L157" s="16">
        <f t="shared" si="14"/>
        <v>2.65</v>
      </c>
      <c r="M157" s="16">
        <f t="shared" si="15"/>
        <v>2.8374999999999999</v>
      </c>
      <c r="N157" s="16">
        <f t="shared" si="16"/>
        <v>0.93889999999999996</v>
      </c>
      <c r="O157" s="16">
        <f t="shared" si="17"/>
        <v>0.31380000000000002</v>
      </c>
      <c r="P157" s="16">
        <f t="shared" si="18"/>
        <v>0.39090000000000003</v>
      </c>
      <c r="Q157" s="16">
        <f t="shared" si="19"/>
        <v>0.21560000000000001</v>
      </c>
      <c r="R157" s="16">
        <f t="shared" si="20"/>
        <v>0.31269999999999998</v>
      </c>
      <c r="S157" s="16">
        <f t="shared" si="21"/>
        <v>0.1313</v>
      </c>
      <c r="T157" s="16">
        <f t="shared" si="22"/>
        <v>0.4</v>
      </c>
      <c r="U157" s="16">
        <f t="shared" si="23"/>
        <v>0.62</v>
      </c>
      <c r="V157" s="16">
        <f t="shared" si="24"/>
        <v>0.38</v>
      </c>
      <c r="W157" s="16">
        <f t="shared" si="25"/>
        <v>0.62</v>
      </c>
      <c r="X157" s="16">
        <f t="shared" si="26"/>
        <v>9.0733999999999995</v>
      </c>
      <c r="Y157" s="16">
        <f t="shared" si="27"/>
        <v>3.2258</v>
      </c>
      <c r="Z157" s="16">
        <f t="shared" si="28"/>
        <v>3.2258</v>
      </c>
      <c r="AA157" s="16">
        <f t="shared" si="29"/>
        <v>0</v>
      </c>
      <c r="AB157" s="16">
        <f t="shared" si="30"/>
        <v>6.4516</v>
      </c>
      <c r="AC157" s="16">
        <f t="shared" si="31"/>
        <v>0</v>
      </c>
      <c r="AD157" s="16">
        <f t="shared" si="32"/>
        <v>87.096800000000002</v>
      </c>
      <c r="AE157" s="16">
        <f t="shared" si="33"/>
        <v>6.4516</v>
      </c>
      <c r="AF157" s="16">
        <f t="shared" si="34"/>
        <v>93.548400000000001</v>
      </c>
      <c r="AG157" s="16">
        <f t="shared" si="35"/>
        <v>87.096800000000002</v>
      </c>
      <c r="AH157" s="16">
        <f t="shared" si="36"/>
        <v>0.37919999999999998</v>
      </c>
      <c r="AI157" s="16">
        <f t="shared" si="37"/>
        <v>0.28270000000000001</v>
      </c>
      <c r="AJ157" s="16">
        <f t="shared" si="38"/>
        <v>0.46110000000000001</v>
      </c>
      <c r="AK157" s="16">
        <f t="shared" si="39"/>
        <v>0.36149999999999999</v>
      </c>
      <c r="AL157" s="16">
        <f t="shared" si="40"/>
        <v>0.2787</v>
      </c>
      <c r="AM157" s="16">
        <f t="shared" si="41"/>
        <v>0.86</v>
      </c>
      <c r="AN157" s="16">
        <f t="shared" si="42"/>
        <v>1.1200000000000001</v>
      </c>
      <c r="AO157" s="16">
        <f t="shared" si="43"/>
        <v>0.94</v>
      </c>
      <c r="AP157" s="16">
        <f t="shared" si="44"/>
        <v>1.1200000000000001</v>
      </c>
      <c r="AQ157" s="16">
        <f t="shared" si="45"/>
        <v>45.833300000000001</v>
      </c>
      <c r="AR157" s="16">
        <f t="shared" si="46"/>
        <v>0.3478</v>
      </c>
      <c r="AS157" s="16">
        <f t="shared" si="47"/>
        <v>12.5</v>
      </c>
      <c r="AT157" s="16">
        <f t="shared" si="48"/>
        <v>37.5</v>
      </c>
      <c r="AU157" s="16">
        <f t="shared" si="49"/>
        <v>0</v>
      </c>
      <c r="AV157" s="16">
        <f t="shared" si="50"/>
        <v>16.666699999999999</v>
      </c>
      <c r="AW157" s="16">
        <f t="shared" si="51"/>
        <v>45.833300000000001</v>
      </c>
      <c r="AX157" s="16">
        <f t="shared" si="52"/>
        <v>0.91669999999999996</v>
      </c>
      <c r="AY157" s="16">
        <f t="shared" si="53"/>
        <v>25</v>
      </c>
      <c r="AZ157" s="16">
        <f t="shared" si="54"/>
        <v>0.125</v>
      </c>
      <c r="BA157" s="16">
        <f t="shared" si="55"/>
        <v>0</v>
      </c>
      <c r="BB157" s="16">
        <f t="shared" si="56"/>
        <v>0</v>
      </c>
      <c r="BC157" s="16">
        <f t="shared" si="57"/>
        <v>4.1700000000000001E-2</v>
      </c>
      <c r="BD157" s="16">
        <f t="shared" si="58"/>
        <v>0.20830000000000001</v>
      </c>
      <c r="BE157" s="16">
        <f t="shared" si="59"/>
        <v>0</v>
      </c>
      <c r="BF157" s="16">
        <f t="shared" si="60"/>
        <v>0</v>
      </c>
      <c r="BG157" s="16">
        <f t="shared" si="61"/>
        <v>0</v>
      </c>
      <c r="BH157" s="16">
        <f t="shared" si="62"/>
        <v>0</v>
      </c>
      <c r="BI157" s="16">
        <f t="shared" si="63"/>
        <v>0</v>
      </c>
      <c r="BJ157" s="16">
        <f t="shared" si="64"/>
        <v>0</v>
      </c>
      <c r="BK157" s="16">
        <f t="shared" si="65"/>
        <v>0.75</v>
      </c>
      <c r="BL157" s="16">
        <f t="shared" si="66"/>
        <v>0.25</v>
      </c>
      <c r="BM157" s="16">
        <f t="shared" si="67"/>
        <v>0.75</v>
      </c>
      <c r="BN157" s="16">
        <f t="shared" si="68"/>
        <v>1.75</v>
      </c>
      <c r="BO157" s="16">
        <f t="shared" si="69"/>
        <v>0</v>
      </c>
      <c r="BP157" s="16">
        <f t="shared" si="70"/>
        <v>0.83330000000000004</v>
      </c>
      <c r="BQ157" s="16">
        <f t="shared" si="71"/>
        <v>8.3332999999999995</v>
      </c>
      <c r="BR157" s="16">
        <f t="shared" si="72"/>
        <v>62.5</v>
      </c>
      <c r="BS157" s="16">
        <f t="shared" si="73"/>
        <v>29.166699999999999</v>
      </c>
      <c r="BT157" s="16">
        <f t="shared" si="74"/>
        <v>48.75</v>
      </c>
      <c r="BU157" s="16">
        <f t="shared" si="75"/>
        <v>0.5</v>
      </c>
      <c r="BV157" s="16">
        <f t="shared" si="76"/>
        <v>94.069100000000006</v>
      </c>
      <c r="BW157" s="16">
        <f t="shared" si="77"/>
        <v>7.9383999999999997</v>
      </c>
      <c r="BX157" s="16">
        <f t="shared" si="78"/>
        <v>5.9309000000000003</v>
      </c>
      <c r="BY157" s="16">
        <f t="shared" si="79"/>
        <v>0</v>
      </c>
      <c r="BZ157" s="16">
        <f t="shared" si="80"/>
        <v>0</v>
      </c>
      <c r="CA157" s="16">
        <f t="shared" si="81"/>
        <v>0</v>
      </c>
      <c r="CB157" s="16">
        <f t="shared" si="82"/>
        <v>0</v>
      </c>
      <c r="CC157" s="16">
        <f t="shared" si="83"/>
        <v>0</v>
      </c>
    </row>
    <row r="158" spans="1:81" x14ac:dyDescent="0.25">
      <c r="A158">
        <v>80</v>
      </c>
      <c r="B158" s="16">
        <f t="shared" si="4"/>
        <v>18.3</v>
      </c>
      <c r="C158" s="16">
        <f t="shared" si="5"/>
        <v>9.0299999999999994</v>
      </c>
      <c r="D158" s="16">
        <f t="shared" si="6"/>
        <v>11.55</v>
      </c>
      <c r="E158" s="16">
        <f t="shared" si="7"/>
        <v>570</v>
      </c>
      <c r="F158" s="16">
        <f t="shared" si="8"/>
        <v>720</v>
      </c>
      <c r="G158" s="16">
        <f t="shared" si="9"/>
        <v>392</v>
      </c>
      <c r="H158" s="16">
        <f t="shared" si="10"/>
        <v>1682</v>
      </c>
      <c r="I158" s="16">
        <f t="shared" si="11"/>
        <v>0</v>
      </c>
      <c r="J158" s="16">
        <f t="shared" si="12"/>
        <v>4.0374999999999996</v>
      </c>
      <c r="K158" s="16">
        <f t="shared" si="13"/>
        <v>3.2124999999999999</v>
      </c>
      <c r="L158" s="16">
        <f t="shared" si="14"/>
        <v>2.8250000000000002</v>
      </c>
      <c r="M158" s="16">
        <f t="shared" si="15"/>
        <v>3.3582999999999998</v>
      </c>
      <c r="N158" s="16">
        <f t="shared" si="16"/>
        <v>1.2864</v>
      </c>
      <c r="O158" s="16">
        <f t="shared" si="17"/>
        <v>0.22359999999999999</v>
      </c>
      <c r="P158" s="16">
        <f t="shared" si="18"/>
        <v>0.22270000000000001</v>
      </c>
      <c r="Q158" s="16">
        <f t="shared" si="19"/>
        <v>0.1867</v>
      </c>
      <c r="R158" s="16">
        <f t="shared" si="20"/>
        <v>0.21029999999999999</v>
      </c>
      <c r="S158" s="16">
        <f t="shared" si="21"/>
        <v>0.1404</v>
      </c>
      <c r="T158" s="16">
        <f t="shared" si="22"/>
        <v>0.54</v>
      </c>
      <c r="U158" s="16">
        <f t="shared" si="23"/>
        <v>0.5</v>
      </c>
      <c r="V158" s="16">
        <f t="shared" si="24"/>
        <v>0.4</v>
      </c>
      <c r="W158" s="16">
        <f t="shared" si="25"/>
        <v>0.54</v>
      </c>
      <c r="X158" s="16">
        <f t="shared" si="26"/>
        <v>15.9697</v>
      </c>
      <c r="Y158" s="16">
        <f t="shared" si="27"/>
        <v>0</v>
      </c>
      <c r="Z158" s="16">
        <f t="shared" si="28"/>
        <v>32.352899999999998</v>
      </c>
      <c r="AA158" s="16">
        <f t="shared" si="29"/>
        <v>0</v>
      </c>
      <c r="AB158" s="16">
        <f t="shared" si="30"/>
        <v>32.352899999999998</v>
      </c>
      <c r="AC158" s="16">
        <f t="shared" si="31"/>
        <v>2.9411999999999998</v>
      </c>
      <c r="AD158" s="16">
        <f t="shared" si="32"/>
        <v>64.7059</v>
      </c>
      <c r="AE158" s="16">
        <f t="shared" si="33"/>
        <v>0</v>
      </c>
      <c r="AF158" s="16">
        <f t="shared" si="34"/>
        <v>67.647099999999995</v>
      </c>
      <c r="AG158" s="16">
        <f t="shared" si="35"/>
        <v>64.7059</v>
      </c>
      <c r="AH158" s="16">
        <f t="shared" si="36"/>
        <v>0.14899999999999999</v>
      </c>
      <c r="AI158" s="16">
        <f t="shared" si="37"/>
        <v>8.6999999999999994E-2</v>
      </c>
      <c r="AJ158" s="16">
        <f t="shared" si="38"/>
        <v>0.13639999999999999</v>
      </c>
      <c r="AK158" s="16">
        <f t="shared" si="39"/>
        <v>0.12</v>
      </c>
      <c r="AL158" s="16">
        <f t="shared" si="40"/>
        <v>0.1163</v>
      </c>
      <c r="AM158" s="16">
        <f t="shared" si="41"/>
        <v>0.47</v>
      </c>
      <c r="AN158" s="16">
        <f t="shared" si="42"/>
        <v>0.27</v>
      </c>
      <c r="AO158" s="16">
        <f t="shared" si="43"/>
        <v>0.26</v>
      </c>
      <c r="AP158" s="16">
        <f t="shared" si="44"/>
        <v>0.47</v>
      </c>
      <c r="AQ158" s="16">
        <f t="shared" si="45"/>
        <v>16.666699999999999</v>
      </c>
      <c r="AR158" s="16">
        <f t="shared" si="46"/>
        <v>0.29170000000000001</v>
      </c>
      <c r="AS158" s="16">
        <f t="shared" si="47"/>
        <v>62.5</v>
      </c>
      <c r="AT158" s="16">
        <f t="shared" si="48"/>
        <v>62.5</v>
      </c>
      <c r="AU158" s="16">
        <f t="shared" si="49"/>
        <v>37.5</v>
      </c>
      <c r="AV158" s="16">
        <f t="shared" si="50"/>
        <v>54.166699999999999</v>
      </c>
      <c r="AW158" s="16">
        <f t="shared" si="51"/>
        <v>45.833300000000001</v>
      </c>
      <c r="AX158" s="16">
        <f t="shared" si="52"/>
        <v>0.58330000000000004</v>
      </c>
      <c r="AY158" s="16">
        <f t="shared" si="53"/>
        <v>16.666699999999999</v>
      </c>
      <c r="AZ158" s="16">
        <f t="shared" si="54"/>
        <v>0.625</v>
      </c>
      <c r="BA158" s="16">
        <f t="shared" si="55"/>
        <v>0.75</v>
      </c>
      <c r="BB158" s="16">
        <f t="shared" si="56"/>
        <v>0.125</v>
      </c>
      <c r="BC158" s="16">
        <f t="shared" si="57"/>
        <v>0.5</v>
      </c>
      <c r="BD158" s="16">
        <f t="shared" si="58"/>
        <v>0.95830000000000004</v>
      </c>
      <c r="BE158" s="16">
        <f t="shared" si="59"/>
        <v>0.5</v>
      </c>
      <c r="BF158" s="16">
        <f t="shared" si="60"/>
        <v>0.25</v>
      </c>
      <c r="BG158" s="16">
        <f t="shared" si="61"/>
        <v>0.25</v>
      </c>
      <c r="BH158" s="16">
        <f t="shared" si="62"/>
        <v>0.33329999999999999</v>
      </c>
      <c r="BI158" s="16">
        <f t="shared" si="63"/>
        <v>1.5</v>
      </c>
      <c r="BJ158" s="16">
        <f t="shared" si="64"/>
        <v>1</v>
      </c>
      <c r="BK158" s="16">
        <f t="shared" si="65"/>
        <v>1</v>
      </c>
      <c r="BL158" s="16">
        <f t="shared" si="66"/>
        <v>1.1667000000000001</v>
      </c>
      <c r="BM158" s="16">
        <f t="shared" si="67"/>
        <v>1.5</v>
      </c>
      <c r="BN158" s="16">
        <f t="shared" si="68"/>
        <v>2</v>
      </c>
      <c r="BO158" s="16">
        <f t="shared" si="69"/>
        <v>0.5</v>
      </c>
      <c r="BP158" s="16">
        <f t="shared" si="70"/>
        <v>1.3332999999999999</v>
      </c>
      <c r="BQ158" s="16">
        <f t="shared" si="71"/>
        <v>37.5</v>
      </c>
      <c r="BR158" s="16">
        <f t="shared" si="72"/>
        <v>41.666699999999999</v>
      </c>
      <c r="BS158" s="16">
        <f t="shared" si="73"/>
        <v>20.833300000000001</v>
      </c>
      <c r="BT158" s="16">
        <f t="shared" si="74"/>
        <v>32.291699999999999</v>
      </c>
      <c r="BU158" s="16">
        <f t="shared" si="75"/>
        <v>0.66669999999999996</v>
      </c>
      <c r="BV158" s="16">
        <f t="shared" si="76"/>
        <v>9.7774000000000001</v>
      </c>
      <c r="BW158" s="16">
        <f t="shared" si="77"/>
        <v>8.202</v>
      </c>
      <c r="BX158" s="16">
        <f t="shared" si="78"/>
        <v>90.2226</v>
      </c>
      <c r="BY158" s="16">
        <f t="shared" si="79"/>
        <v>0</v>
      </c>
      <c r="BZ158" s="16">
        <f t="shared" si="80"/>
        <v>0</v>
      </c>
      <c r="CA158" s="16">
        <f t="shared" si="81"/>
        <v>0</v>
      </c>
      <c r="CB158" s="16">
        <f t="shared" si="82"/>
        <v>0</v>
      </c>
      <c r="CC158" s="16">
        <f t="shared" si="83"/>
        <v>0</v>
      </c>
    </row>
    <row r="159" spans="1:81" x14ac:dyDescent="0.25">
      <c r="A159">
        <v>82</v>
      </c>
      <c r="B159" s="16">
        <f t="shared" ref="B159:B181" si="84">ROUND(F68,4)</f>
        <v>17.899999999999999</v>
      </c>
      <c r="C159" s="16">
        <f t="shared" ref="C159:C181" si="85">ROUND(G68,4)</f>
        <v>8.2100000000000009</v>
      </c>
      <c r="D159" s="16">
        <f t="shared" ref="D159:D181" si="86">ROUND(H68,4)</f>
        <v>12.86</v>
      </c>
      <c r="E159" s="16">
        <f t="shared" ref="E159:E181" si="87">ROUND(I68,4)</f>
        <v>630</v>
      </c>
      <c r="F159" s="16">
        <f t="shared" ref="F159:F181" si="88">ROUND(J68,4)</f>
        <v>515</v>
      </c>
      <c r="G159" s="16">
        <f t="shared" ref="G159:G181" si="89">ROUND(K68,4)</f>
        <v>818</v>
      </c>
      <c r="H159" s="16">
        <f t="shared" ref="H159:H181" si="90">ROUND(L68,4)</f>
        <v>1963</v>
      </c>
      <c r="I159" s="16">
        <f t="shared" ref="I159:I181" si="91">ROUND(M68,4)</f>
        <v>1.7117</v>
      </c>
      <c r="J159" s="16">
        <f t="shared" ref="J159:J181" si="92">ROUND(N68,4)</f>
        <v>3.6124999999999998</v>
      </c>
      <c r="K159" s="16">
        <f t="shared" ref="K159:K181" si="93">ROUND(O68,4)</f>
        <v>3.9624999999999999</v>
      </c>
      <c r="L159" s="16">
        <f t="shared" ref="L159:L181" si="94">ROUND(P68,4)</f>
        <v>3.9249999999999998</v>
      </c>
      <c r="M159" s="16">
        <f t="shared" ref="M159:M181" si="95">ROUND(Q68,4)</f>
        <v>3.8332999999999999</v>
      </c>
      <c r="N159" s="16">
        <f t="shared" ref="N159:N181" si="96">ROUND(R68,4)</f>
        <v>1.0511999999999999</v>
      </c>
      <c r="O159" s="16">
        <f t="shared" ref="O159:O181" si="97">ROUND(S68,4)</f>
        <v>0.44690000000000002</v>
      </c>
      <c r="P159" s="16">
        <f t="shared" ref="P159:P181" si="98">ROUND(T68,4)</f>
        <v>0.22070000000000001</v>
      </c>
      <c r="Q159" s="16">
        <f t="shared" ref="Q159:Q181" si="99">ROUND(U68,4)</f>
        <v>0.22789999999999999</v>
      </c>
      <c r="R159" s="16">
        <f t="shared" ref="R159:R181" si="100">ROUND(V68,4)</f>
        <v>0.30520000000000003</v>
      </c>
      <c r="S159" s="16">
        <f t="shared" ref="S159:S181" si="101">ROUND(W68,4)</f>
        <v>0.22439999999999999</v>
      </c>
      <c r="T159" s="16">
        <f t="shared" ref="T159:T181" si="102">ROUND(X68,4)</f>
        <v>1.08</v>
      </c>
      <c r="U159" s="16">
        <f t="shared" ref="U159:U181" si="103">ROUND(Y68,4)</f>
        <v>0.62</v>
      </c>
      <c r="V159" s="16">
        <f t="shared" ref="V159:V181" si="104">ROUND(Z68,4)</f>
        <v>0.44</v>
      </c>
      <c r="W159" s="16">
        <f t="shared" ref="W159:W181" si="105">ROUND(AA68,4)</f>
        <v>1.08</v>
      </c>
      <c r="X159" s="16">
        <f t="shared" ref="X159:X181" si="106">ROUND(AB68,4)</f>
        <v>12.5589</v>
      </c>
      <c r="Y159" s="16">
        <f t="shared" ref="Y159:Y181" si="107">ROUND(AC68,4)</f>
        <v>0</v>
      </c>
      <c r="Z159" s="16">
        <f t="shared" ref="Z159:Z181" si="108">ROUND(AD68,4)</f>
        <v>4.5454999999999997</v>
      </c>
      <c r="AA159" s="16">
        <f t="shared" ref="AA159:AA181" si="109">ROUND(AE68,4)</f>
        <v>2.2726999999999999</v>
      </c>
      <c r="AB159" s="16">
        <f t="shared" ref="AB159:AB181" si="110">ROUND(AF68,4)</f>
        <v>6.8182</v>
      </c>
      <c r="AC159" s="16">
        <f t="shared" ref="AC159:AC181" si="111">ROUND(AG68,4)</f>
        <v>0</v>
      </c>
      <c r="AD159" s="16">
        <f t="shared" ref="AD159:AD181" si="112">ROUND(AH68,4)</f>
        <v>93.181799999999996</v>
      </c>
      <c r="AE159" s="16">
        <f t="shared" ref="AE159:AE181" si="113">ROUND(AI68,4)</f>
        <v>0</v>
      </c>
      <c r="AF159" s="16">
        <f t="shared" ref="AF159:AF181" si="114">ROUND(AJ68,4)</f>
        <v>93.181799999999996</v>
      </c>
      <c r="AG159" s="16">
        <f t="shared" ref="AG159:AG181" si="115">ROUND(AK68,4)</f>
        <v>93.181799999999996</v>
      </c>
      <c r="AH159" s="16">
        <f t="shared" ref="AH159:AH181" si="116">ROUND(AL68,4)</f>
        <v>0.17799999999999999</v>
      </c>
      <c r="AI159" s="16">
        <f t="shared" ref="AI159:AI181" si="117">ROUND(AM68,4)</f>
        <v>0.30620000000000003</v>
      </c>
      <c r="AJ159" s="16">
        <f t="shared" ref="AJ159:AJ181" si="118">ROUND(AN68,4)</f>
        <v>0.2354</v>
      </c>
      <c r="AK159" s="16">
        <f t="shared" ref="AK159:AK181" si="119">ROUND(AO68,4)</f>
        <v>0.23230000000000001</v>
      </c>
      <c r="AL159" s="16">
        <f t="shared" ref="AL159:AL181" si="120">ROUND(AP68,4)</f>
        <v>0.22570000000000001</v>
      </c>
      <c r="AM159" s="16">
        <f t="shared" ref="AM159:AM181" si="121">ROUND(AQ68,4)</f>
        <v>0.89</v>
      </c>
      <c r="AN159" s="16">
        <f t="shared" ref="AN159:AN181" si="122">ROUND(AR68,4)</f>
        <v>0.78</v>
      </c>
      <c r="AO159" s="16">
        <f t="shared" ref="AO159:AO181" si="123">ROUND(AS68,4)</f>
        <v>0.63</v>
      </c>
      <c r="AP159" s="16">
        <f t="shared" ref="AP159:AP181" si="124">ROUND(AT68,4)</f>
        <v>0.89</v>
      </c>
      <c r="AQ159" s="16">
        <f t="shared" ref="AQ159:AQ181" si="125">ROUND(AU68,4)</f>
        <v>41.666699999999999</v>
      </c>
      <c r="AR159" s="16">
        <f t="shared" ref="AR159:AR181" si="126">ROUND(AV68,4)</f>
        <v>0.29170000000000001</v>
      </c>
      <c r="AS159" s="16">
        <f t="shared" ref="AS159:AS181" si="127">ROUND(AW68,4)</f>
        <v>62.5</v>
      </c>
      <c r="AT159" s="16">
        <f t="shared" ref="AT159:AT181" si="128">ROUND(AX68,4)</f>
        <v>12.5</v>
      </c>
      <c r="AU159" s="16">
        <f t="shared" ref="AU159:AU181" si="129">ROUND(AY68,4)</f>
        <v>12.5</v>
      </c>
      <c r="AV159" s="16">
        <f t="shared" ref="AV159:AV181" si="130">ROUND(AZ68,4)</f>
        <v>29.166699999999999</v>
      </c>
      <c r="AW159" s="16">
        <f t="shared" ref="AW159:AW181" si="131">ROUND(BA68,4)</f>
        <v>41.666699999999999</v>
      </c>
      <c r="AX159" s="16">
        <f t="shared" ref="AX159:AX181" si="132">ROUND(BB68,4)</f>
        <v>1</v>
      </c>
      <c r="AY159" s="16">
        <f t="shared" ref="AY159:AY181" si="133">ROUND(BC68,4)</f>
        <v>25</v>
      </c>
      <c r="AZ159" s="16">
        <f t="shared" ref="AZ159:AZ181" si="134">ROUND(BD68,4)</f>
        <v>0.25</v>
      </c>
      <c r="BA159" s="16">
        <f t="shared" ref="BA159:BA181" si="135">ROUND(BE68,4)</f>
        <v>0</v>
      </c>
      <c r="BB159" s="16">
        <f t="shared" ref="BB159:BB181" si="136">ROUND(BF68,4)</f>
        <v>0</v>
      </c>
      <c r="BC159" s="16">
        <f t="shared" ref="BC159:BC181" si="137">ROUND(BG68,4)</f>
        <v>8.3299999999999999E-2</v>
      </c>
      <c r="BD159" s="16">
        <f t="shared" ref="BD159:BD181" si="138">ROUND(BH68,4)</f>
        <v>0.54169999999999996</v>
      </c>
      <c r="BE159" s="16">
        <f t="shared" ref="BE159:BE181" si="139">ROUND(BI68,4)</f>
        <v>0.75</v>
      </c>
      <c r="BF159" s="16">
        <f t="shared" ref="BF159:BF181" si="140">ROUND(BJ68,4)</f>
        <v>0.25</v>
      </c>
      <c r="BG159" s="16">
        <f t="shared" ref="BG159:BG181" si="141">ROUND(BK68,4)</f>
        <v>0</v>
      </c>
      <c r="BH159" s="16">
        <f t="shared" ref="BH159:BH181" si="142">ROUND(BL68,4)</f>
        <v>0.33329999999999999</v>
      </c>
      <c r="BI159" s="16">
        <f t="shared" ref="BI159:BI181" si="143">ROUND(BM68,4)</f>
        <v>0</v>
      </c>
      <c r="BJ159" s="16">
        <f t="shared" ref="BJ159:BJ181" si="144">ROUND(BN68,4)</f>
        <v>0.25</v>
      </c>
      <c r="BK159" s="16">
        <f t="shared" ref="BK159:BK181" si="145">ROUND(BO68,4)</f>
        <v>1</v>
      </c>
      <c r="BL159" s="16">
        <f t="shared" ref="BL159:BL181" si="146">ROUND(BP68,4)</f>
        <v>0.41670000000000001</v>
      </c>
      <c r="BM159" s="16">
        <f t="shared" ref="BM159:BM181" si="147">ROUND(BQ68,4)</f>
        <v>2</v>
      </c>
      <c r="BN159" s="16">
        <f t="shared" ref="BN159:BN181" si="148">ROUND(BR68,4)</f>
        <v>1</v>
      </c>
      <c r="BO159" s="16">
        <f t="shared" ref="BO159:BO181" si="149">ROUND(BS68,4)</f>
        <v>0.75</v>
      </c>
      <c r="BP159" s="16">
        <f t="shared" ref="BP159:BP181" si="150">ROUND(BT68,4)</f>
        <v>1.25</v>
      </c>
      <c r="BQ159" s="16">
        <f t="shared" ref="BQ159:BQ181" si="151">ROUND(BU68,4)</f>
        <v>54.166699999999999</v>
      </c>
      <c r="BR159" s="16">
        <f t="shared" ref="BR159:BR181" si="152">ROUND(BV68,4)</f>
        <v>29.166699999999999</v>
      </c>
      <c r="BS159" s="16">
        <f t="shared" ref="BS159:BS181" si="153">ROUND(BW68,4)</f>
        <v>16.666699999999999</v>
      </c>
      <c r="BT159" s="16">
        <f t="shared" ref="BT159:BT181" si="154">ROUND(BX68,4)</f>
        <v>24.875</v>
      </c>
      <c r="BU159" s="16">
        <f t="shared" ref="BU159:BU181" si="155">ROUND(BY68,4)</f>
        <v>0.20830000000000001</v>
      </c>
      <c r="BV159" s="16">
        <f t="shared" ref="BV159:BV181" si="156">ROUND(BZ68,4)</f>
        <v>33.386299999999999</v>
      </c>
      <c r="BW159" s="16">
        <f t="shared" ref="BW159:BW181" si="157">ROUND(CA68,4)</f>
        <v>12.389799999999999</v>
      </c>
      <c r="BX159" s="16">
        <f t="shared" ref="BX159:BX181" si="158">ROUND(CB68,4)</f>
        <v>66.613699999999994</v>
      </c>
      <c r="BY159" s="16">
        <f t="shared" ref="BY159:BY181" si="159">ROUND(CC68,4)</f>
        <v>0</v>
      </c>
      <c r="BZ159" s="16">
        <f t="shared" ref="BZ159:BZ181" si="160">ROUND(CD68,4)</f>
        <v>0</v>
      </c>
      <c r="CA159" s="16">
        <f t="shared" ref="CA159:CA181" si="161">ROUND(CE68,4)</f>
        <v>0</v>
      </c>
      <c r="CB159" s="16">
        <f t="shared" ref="CB159:CB181" si="162">ROUND(CF68,4)</f>
        <v>0</v>
      </c>
      <c r="CC159" s="16">
        <f t="shared" ref="CC159:CC181" si="163">ROUND(CG68,4)</f>
        <v>0</v>
      </c>
    </row>
    <row r="160" spans="1:81" x14ac:dyDescent="0.25">
      <c r="A160">
        <v>101</v>
      </c>
      <c r="B160" s="16">
        <f t="shared" si="84"/>
        <v>17.7</v>
      </c>
      <c r="C160" s="16">
        <f t="shared" si="85"/>
        <v>7.86</v>
      </c>
      <c r="D160" s="16">
        <f t="shared" si="86"/>
        <v>12.59</v>
      </c>
      <c r="E160" s="16">
        <f t="shared" si="87"/>
        <v>232</v>
      </c>
      <c r="F160" s="16">
        <f t="shared" si="88"/>
        <v>278</v>
      </c>
      <c r="G160" s="16">
        <f t="shared" si="89"/>
        <v>393</v>
      </c>
      <c r="H160" s="16">
        <f t="shared" si="90"/>
        <v>903</v>
      </c>
      <c r="I160" s="16">
        <f t="shared" si="91"/>
        <v>0</v>
      </c>
      <c r="J160" s="16">
        <f t="shared" si="92"/>
        <v>2</v>
      </c>
      <c r="K160" s="16">
        <f t="shared" si="93"/>
        <v>2.1625000000000001</v>
      </c>
      <c r="L160" s="16">
        <f t="shared" si="94"/>
        <v>2.125</v>
      </c>
      <c r="M160" s="16">
        <f t="shared" si="95"/>
        <v>2.0958000000000001</v>
      </c>
      <c r="N160" s="16">
        <f t="shared" si="96"/>
        <v>0.57369999999999999</v>
      </c>
      <c r="O160" s="16">
        <f t="shared" si="97"/>
        <v>0.1244</v>
      </c>
      <c r="P160" s="16">
        <f t="shared" si="98"/>
        <v>0.2218</v>
      </c>
      <c r="Q160" s="16">
        <f t="shared" si="99"/>
        <v>0.20669999999999999</v>
      </c>
      <c r="R160" s="16">
        <f t="shared" si="100"/>
        <v>0.18690000000000001</v>
      </c>
      <c r="S160" s="16">
        <f t="shared" si="101"/>
        <v>0.1104</v>
      </c>
      <c r="T160" s="16">
        <f t="shared" si="102"/>
        <v>0.24</v>
      </c>
      <c r="U160" s="16">
        <f t="shared" si="103"/>
        <v>0.38</v>
      </c>
      <c r="V160" s="16">
        <f t="shared" si="104"/>
        <v>0.42</v>
      </c>
      <c r="W160" s="16">
        <f t="shared" si="105"/>
        <v>0.42</v>
      </c>
      <c r="X160" s="16">
        <f t="shared" si="106"/>
        <v>11.213900000000001</v>
      </c>
      <c r="Y160" s="16">
        <f t="shared" si="107"/>
        <v>6.8966000000000003</v>
      </c>
      <c r="Z160" s="16">
        <f t="shared" si="108"/>
        <v>3.4483000000000001</v>
      </c>
      <c r="AA160" s="16">
        <f t="shared" si="109"/>
        <v>10.344799999999999</v>
      </c>
      <c r="AB160" s="16">
        <f t="shared" si="110"/>
        <v>20.689699999999998</v>
      </c>
      <c r="AC160" s="16">
        <f t="shared" si="111"/>
        <v>13.793100000000001</v>
      </c>
      <c r="AD160" s="16">
        <f t="shared" si="112"/>
        <v>65.517200000000003</v>
      </c>
      <c r="AE160" s="16">
        <f t="shared" si="113"/>
        <v>0</v>
      </c>
      <c r="AF160" s="16">
        <f t="shared" si="114"/>
        <v>79.310299999999998</v>
      </c>
      <c r="AG160" s="16">
        <f t="shared" si="115"/>
        <v>65.517200000000003</v>
      </c>
      <c r="AH160" s="16">
        <f t="shared" si="116"/>
        <v>0.22750000000000001</v>
      </c>
      <c r="AI160" s="16">
        <f t="shared" si="117"/>
        <v>0.1091</v>
      </c>
      <c r="AJ160" s="16">
        <f t="shared" si="118"/>
        <v>0.14779999999999999</v>
      </c>
      <c r="AK160" s="16">
        <f t="shared" si="119"/>
        <v>0.15590000000000001</v>
      </c>
      <c r="AL160" s="16">
        <f t="shared" si="120"/>
        <v>0.14360000000000001</v>
      </c>
      <c r="AM160" s="16">
        <f t="shared" si="121"/>
        <v>0.44</v>
      </c>
      <c r="AN160" s="16">
        <f t="shared" si="122"/>
        <v>0.52</v>
      </c>
      <c r="AO160" s="16">
        <f t="shared" si="123"/>
        <v>0.41</v>
      </c>
      <c r="AP160" s="16">
        <f t="shared" si="124"/>
        <v>0.52</v>
      </c>
      <c r="AQ160" s="16">
        <f t="shared" si="125"/>
        <v>33.333300000000001</v>
      </c>
      <c r="AR160" s="16">
        <f t="shared" si="126"/>
        <v>0.33329999999999999</v>
      </c>
      <c r="AS160" s="16">
        <f t="shared" si="127"/>
        <v>0</v>
      </c>
      <c r="AT160" s="16">
        <f t="shared" si="128"/>
        <v>50</v>
      </c>
      <c r="AU160" s="16">
        <f t="shared" si="129"/>
        <v>50</v>
      </c>
      <c r="AV160" s="16">
        <f t="shared" si="130"/>
        <v>33.333300000000001</v>
      </c>
      <c r="AW160" s="16">
        <f t="shared" si="131"/>
        <v>33.333300000000001</v>
      </c>
      <c r="AX160" s="16">
        <f t="shared" si="132"/>
        <v>1.5832999999999999</v>
      </c>
      <c r="AY160" s="16">
        <f t="shared" si="133"/>
        <v>58.333300000000001</v>
      </c>
      <c r="AZ160" s="16">
        <f t="shared" si="134"/>
        <v>0</v>
      </c>
      <c r="BA160" s="16">
        <f t="shared" si="135"/>
        <v>0</v>
      </c>
      <c r="BB160" s="16">
        <f t="shared" si="136"/>
        <v>0</v>
      </c>
      <c r="BC160" s="16">
        <f t="shared" si="137"/>
        <v>0</v>
      </c>
      <c r="BD160" s="16">
        <f t="shared" si="138"/>
        <v>0.16669999999999999</v>
      </c>
      <c r="BE160" s="16">
        <f t="shared" si="139"/>
        <v>0</v>
      </c>
      <c r="BF160" s="16">
        <f t="shared" si="140"/>
        <v>0</v>
      </c>
      <c r="BG160" s="16">
        <f t="shared" si="141"/>
        <v>0.25</v>
      </c>
      <c r="BH160" s="16">
        <f t="shared" si="142"/>
        <v>8.3299999999999999E-2</v>
      </c>
      <c r="BI160" s="16">
        <f t="shared" si="143"/>
        <v>0</v>
      </c>
      <c r="BJ160" s="16">
        <f t="shared" si="144"/>
        <v>0</v>
      </c>
      <c r="BK160" s="16">
        <f t="shared" si="145"/>
        <v>0.25</v>
      </c>
      <c r="BL160" s="16">
        <f t="shared" si="146"/>
        <v>8.3299999999999999E-2</v>
      </c>
      <c r="BM160" s="16">
        <f t="shared" si="147"/>
        <v>0</v>
      </c>
      <c r="BN160" s="16">
        <f t="shared" si="148"/>
        <v>1</v>
      </c>
      <c r="BO160" s="16">
        <f t="shared" si="149"/>
        <v>1.25</v>
      </c>
      <c r="BP160" s="16">
        <f t="shared" si="150"/>
        <v>0.75</v>
      </c>
      <c r="BQ160" s="16">
        <f t="shared" si="151"/>
        <v>12.5</v>
      </c>
      <c r="BR160" s="16">
        <f t="shared" si="152"/>
        <v>62.5</v>
      </c>
      <c r="BS160" s="16">
        <f t="shared" si="153"/>
        <v>25</v>
      </c>
      <c r="BT160" s="16">
        <f t="shared" si="154"/>
        <v>36.875</v>
      </c>
      <c r="BU160" s="16">
        <f t="shared" si="155"/>
        <v>1.3913</v>
      </c>
      <c r="BV160" s="16">
        <f t="shared" si="156"/>
        <v>98.1982</v>
      </c>
      <c r="BW160" s="16">
        <f t="shared" si="157"/>
        <v>1.6143000000000001</v>
      </c>
      <c r="BX160" s="16">
        <f t="shared" si="158"/>
        <v>1.8018000000000001</v>
      </c>
      <c r="BY160" s="16">
        <f t="shared" si="159"/>
        <v>0</v>
      </c>
      <c r="BZ160" s="16">
        <f t="shared" si="160"/>
        <v>0</v>
      </c>
      <c r="CA160" s="16">
        <f t="shared" si="161"/>
        <v>0</v>
      </c>
      <c r="CB160" s="16">
        <f t="shared" si="162"/>
        <v>0</v>
      </c>
      <c r="CC160" s="16">
        <f t="shared" si="163"/>
        <v>0</v>
      </c>
    </row>
    <row r="161" spans="1:81" x14ac:dyDescent="0.25">
      <c r="A161">
        <v>103</v>
      </c>
      <c r="B161" s="16">
        <f t="shared" si="84"/>
        <v>15.6</v>
      </c>
      <c r="C161" s="16">
        <f t="shared" si="85"/>
        <v>8.1199999999999992</v>
      </c>
      <c r="D161" s="16">
        <f t="shared" si="86"/>
        <v>10.89</v>
      </c>
      <c r="E161" s="16">
        <f t="shared" si="87"/>
        <v>838</v>
      </c>
      <c r="F161" s="16">
        <f t="shared" si="88"/>
        <v>621</v>
      </c>
      <c r="G161" s="16">
        <f t="shared" si="89"/>
        <v>377</v>
      </c>
      <c r="H161" s="16">
        <f t="shared" si="90"/>
        <v>1836</v>
      </c>
      <c r="I161" s="16">
        <f t="shared" si="91"/>
        <v>0.16339999999999999</v>
      </c>
      <c r="J161" s="16">
        <f t="shared" si="92"/>
        <v>2.4750000000000001</v>
      </c>
      <c r="K161" s="16">
        <f t="shared" si="93"/>
        <v>2.625</v>
      </c>
      <c r="L161" s="16">
        <f t="shared" si="94"/>
        <v>2.7250000000000001</v>
      </c>
      <c r="M161" s="16">
        <f t="shared" si="95"/>
        <v>2.6082999999999998</v>
      </c>
      <c r="N161" s="16">
        <f t="shared" si="96"/>
        <v>0.82620000000000005</v>
      </c>
      <c r="O161" s="16">
        <f t="shared" si="97"/>
        <v>0.14000000000000001</v>
      </c>
      <c r="P161" s="16">
        <f t="shared" si="98"/>
        <v>0.21</v>
      </c>
      <c r="Q161" s="16">
        <f t="shared" si="99"/>
        <v>0.12330000000000001</v>
      </c>
      <c r="R161" s="16">
        <f t="shared" si="100"/>
        <v>0.1578</v>
      </c>
      <c r="S161" s="16">
        <f t="shared" si="101"/>
        <v>0.11550000000000001</v>
      </c>
      <c r="T161" s="16">
        <f t="shared" si="102"/>
        <v>0.28000000000000003</v>
      </c>
      <c r="U161" s="16">
        <f t="shared" si="103"/>
        <v>0.52</v>
      </c>
      <c r="V161" s="16">
        <f t="shared" si="104"/>
        <v>0.26</v>
      </c>
      <c r="W161" s="16">
        <f t="shared" si="105"/>
        <v>0.52</v>
      </c>
      <c r="X161" s="16">
        <f t="shared" si="106"/>
        <v>16.531700000000001</v>
      </c>
      <c r="Y161" s="16">
        <f t="shared" si="107"/>
        <v>0</v>
      </c>
      <c r="Z161" s="16">
        <f t="shared" si="108"/>
        <v>5.5556000000000001</v>
      </c>
      <c r="AA161" s="16">
        <f t="shared" si="109"/>
        <v>8.3332999999999995</v>
      </c>
      <c r="AB161" s="16">
        <f t="shared" si="110"/>
        <v>13.8889</v>
      </c>
      <c r="AC161" s="16">
        <f t="shared" si="111"/>
        <v>5.5556000000000001</v>
      </c>
      <c r="AD161" s="16">
        <f t="shared" si="112"/>
        <v>80.555599999999998</v>
      </c>
      <c r="AE161" s="16">
        <f t="shared" si="113"/>
        <v>0</v>
      </c>
      <c r="AF161" s="16">
        <f t="shared" si="114"/>
        <v>86.111099999999993</v>
      </c>
      <c r="AG161" s="16">
        <f t="shared" si="115"/>
        <v>80.555599999999998</v>
      </c>
      <c r="AH161" s="16">
        <f t="shared" si="116"/>
        <v>0.28749999999999998</v>
      </c>
      <c r="AI161" s="16">
        <f t="shared" si="117"/>
        <v>0.23330000000000001</v>
      </c>
      <c r="AJ161" s="16">
        <f t="shared" si="118"/>
        <v>0.1658</v>
      </c>
      <c r="AK161" s="16">
        <f t="shared" si="119"/>
        <v>0.22889999999999999</v>
      </c>
      <c r="AL161" s="16">
        <f t="shared" si="120"/>
        <v>0.23089999999999999</v>
      </c>
      <c r="AM161" s="16">
        <f t="shared" si="121"/>
        <v>1.04</v>
      </c>
      <c r="AN161" s="16">
        <f t="shared" si="122"/>
        <v>0.52</v>
      </c>
      <c r="AO161" s="16">
        <f t="shared" si="123"/>
        <v>0.53</v>
      </c>
      <c r="AP161" s="16">
        <f t="shared" si="124"/>
        <v>1.04</v>
      </c>
      <c r="AQ161" s="16">
        <f t="shared" si="125"/>
        <v>33.333300000000001</v>
      </c>
      <c r="AR161" s="16">
        <f t="shared" si="126"/>
        <v>0.43480000000000002</v>
      </c>
      <c r="AS161" s="16">
        <f t="shared" si="127"/>
        <v>25</v>
      </c>
      <c r="AT161" s="16">
        <f t="shared" si="128"/>
        <v>37.5</v>
      </c>
      <c r="AU161" s="16">
        <f t="shared" si="129"/>
        <v>0</v>
      </c>
      <c r="AV161" s="16">
        <f t="shared" si="130"/>
        <v>20.833300000000001</v>
      </c>
      <c r="AW161" s="16">
        <f t="shared" si="131"/>
        <v>41.666699999999999</v>
      </c>
      <c r="AX161" s="16">
        <f t="shared" si="132"/>
        <v>1</v>
      </c>
      <c r="AY161" s="16">
        <f t="shared" si="133"/>
        <v>25</v>
      </c>
      <c r="AZ161" s="16">
        <f t="shared" si="134"/>
        <v>0.375</v>
      </c>
      <c r="BA161" s="16">
        <f t="shared" si="135"/>
        <v>0.75</v>
      </c>
      <c r="BB161" s="16">
        <f t="shared" si="136"/>
        <v>0</v>
      </c>
      <c r="BC161" s="16">
        <f t="shared" si="137"/>
        <v>0.375</v>
      </c>
      <c r="BD161" s="16">
        <f t="shared" si="138"/>
        <v>1</v>
      </c>
      <c r="BE161" s="16">
        <f t="shared" si="139"/>
        <v>0.25</v>
      </c>
      <c r="BF161" s="16">
        <f t="shared" si="140"/>
        <v>0.75</v>
      </c>
      <c r="BG161" s="16">
        <f t="shared" si="141"/>
        <v>0</v>
      </c>
      <c r="BH161" s="16">
        <f t="shared" si="142"/>
        <v>0.33329999999999999</v>
      </c>
      <c r="BI161" s="16">
        <f t="shared" si="143"/>
        <v>0.5</v>
      </c>
      <c r="BJ161" s="16">
        <f t="shared" si="144"/>
        <v>0.75</v>
      </c>
      <c r="BK161" s="16">
        <f t="shared" si="145"/>
        <v>0.25</v>
      </c>
      <c r="BL161" s="16">
        <f t="shared" si="146"/>
        <v>0.5</v>
      </c>
      <c r="BM161" s="16">
        <f t="shared" si="147"/>
        <v>0.5</v>
      </c>
      <c r="BN161" s="16">
        <f t="shared" si="148"/>
        <v>1.25</v>
      </c>
      <c r="BO161" s="16">
        <f t="shared" si="149"/>
        <v>0.25</v>
      </c>
      <c r="BP161" s="16">
        <f t="shared" si="150"/>
        <v>0.66669999999999996</v>
      </c>
      <c r="BQ161" s="16">
        <f t="shared" si="151"/>
        <v>41.666699999999999</v>
      </c>
      <c r="BR161" s="16">
        <f t="shared" si="152"/>
        <v>45.833300000000001</v>
      </c>
      <c r="BS161" s="16">
        <f t="shared" si="153"/>
        <v>12.5</v>
      </c>
      <c r="BT161" s="16">
        <f t="shared" si="154"/>
        <v>25.833300000000001</v>
      </c>
      <c r="BU161" s="16">
        <f t="shared" si="155"/>
        <v>0.5</v>
      </c>
      <c r="BV161" s="16">
        <f t="shared" si="156"/>
        <v>24.662199999999999</v>
      </c>
      <c r="BW161" s="16">
        <f t="shared" si="157"/>
        <v>13.7272</v>
      </c>
      <c r="BX161" s="16">
        <f t="shared" si="158"/>
        <v>75.337800000000001</v>
      </c>
      <c r="BY161" s="16">
        <f t="shared" si="159"/>
        <v>0</v>
      </c>
      <c r="BZ161" s="16">
        <f t="shared" si="160"/>
        <v>0</v>
      </c>
      <c r="CA161" s="16">
        <f t="shared" si="161"/>
        <v>0</v>
      </c>
      <c r="CB161" s="16">
        <f t="shared" si="162"/>
        <v>0</v>
      </c>
      <c r="CC161" s="16">
        <f t="shared" si="163"/>
        <v>0</v>
      </c>
    </row>
    <row r="162" spans="1:81" x14ac:dyDescent="0.25">
      <c r="A162">
        <v>105</v>
      </c>
      <c r="B162" s="16">
        <f t="shared" si="84"/>
        <v>12.7</v>
      </c>
      <c r="C162" s="16">
        <f t="shared" si="85"/>
        <v>8.24</v>
      </c>
      <c r="D162" s="16">
        <f t="shared" si="86"/>
        <v>12.28</v>
      </c>
      <c r="E162" s="16">
        <f t="shared" si="87"/>
        <v>641</v>
      </c>
      <c r="F162" s="16">
        <f t="shared" si="88"/>
        <v>422</v>
      </c>
      <c r="G162" s="16">
        <f t="shared" si="89"/>
        <v>212</v>
      </c>
      <c r="H162" s="16">
        <f t="shared" si="90"/>
        <v>1275</v>
      </c>
      <c r="I162" s="16">
        <f t="shared" si="91"/>
        <v>0</v>
      </c>
      <c r="J162" s="16">
        <f t="shared" si="92"/>
        <v>2.6625000000000001</v>
      </c>
      <c r="K162" s="16">
        <f t="shared" si="93"/>
        <v>2.3624999999999998</v>
      </c>
      <c r="L162" s="16">
        <f t="shared" si="94"/>
        <v>2.6</v>
      </c>
      <c r="M162" s="16">
        <f t="shared" si="95"/>
        <v>2.5417000000000001</v>
      </c>
      <c r="N162" s="16">
        <f t="shared" si="96"/>
        <v>0.67820000000000003</v>
      </c>
      <c r="O162" s="16">
        <f t="shared" si="97"/>
        <v>0.1183</v>
      </c>
      <c r="P162" s="16">
        <f t="shared" si="98"/>
        <v>0.14000000000000001</v>
      </c>
      <c r="Q162" s="16">
        <f t="shared" si="99"/>
        <v>0.10249999999999999</v>
      </c>
      <c r="R162" s="16">
        <f t="shared" si="100"/>
        <v>0.1197</v>
      </c>
      <c r="S162" s="16">
        <f t="shared" si="101"/>
        <v>5.8500000000000003E-2</v>
      </c>
      <c r="T162" s="16">
        <f t="shared" si="102"/>
        <v>0.26</v>
      </c>
      <c r="U162" s="16">
        <f t="shared" si="103"/>
        <v>0.3</v>
      </c>
      <c r="V162" s="16">
        <f t="shared" si="104"/>
        <v>0.22</v>
      </c>
      <c r="W162" s="16">
        <f t="shared" si="105"/>
        <v>0.3</v>
      </c>
      <c r="X162" s="16">
        <f t="shared" si="106"/>
        <v>21.231100000000001</v>
      </c>
      <c r="Y162" s="16">
        <f t="shared" si="107"/>
        <v>0</v>
      </c>
      <c r="Z162" s="16">
        <f t="shared" si="108"/>
        <v>0</v>
      </c>
      <c r="AA162" s="16">
        <f t="shared" si="109"/>
        <v>0</v>
      </c>
      <c r="AB162" s="16">
        <f t="shared" si="110"/>
        <v>0</v>
      </c>
      <c r="AC162" s="16">
        <f t="shared" si="111"/>
        <v>0</v>
      </c>
      <c r="AD162" s="16">
        <f t="shared" si="112"/>
        <v>100</v>
      </c>
      <c r="AE162" s="16">
        <f t="shared" si="113"/>
        <v>0</v>
      </c>
      <c r="AF162" s="16">
        <f t="shared" si="114"/>
        <v>100</v>
      </c>
      <c r="AG162" s="16">
        <f t="shared" si="115"/>
        <v>100</v>
      </c>
      <c r="AH162" s="16">
        <f t="shared" si="116"/>
        <v>0.36170000000000002</v>
      </c>
      <c r="AI162" s="16">
        <f t="shared" si="117"/>
        <v>0.27179999999999999</v>
      </c>
      <c r="AJ162" s="16">
        <f t="shared" si="118"/>
        <v>0.2742</v>
      </c>
      <c r="AK162" s="16">
        <f t="shared" si="119"/>
        <v>0.3034</v>
      </c>
      <c r="AL162" s="16">
        <f t="shared" si="120"/>
        <v>0.1938</v>
      </c>
      <c r="AM162" s="16">
        <f t="shared" si="121"/>
        <v>0.7</v>
      </c>
      <c r="AN162" s="16">
        <f t="shared" si="122"/>
        <v>0.75</v>
      </c>
      <c r="AO162" s="16">
        <f t="shared" si="123"/>
        <v>0.52</v>
      </c>
      <c r="AP162" s="16">
        <f t="shared" si="124"/>
        <v>0.75</v>
      </c>
      <c r="AQ162" s="16">
        <f t="shared" si="125"/>
        <v>66.666700000000006</v>
      </c>
      <c r="AR162" s="16">
        <f t="shared" si="126"/>
        <v>0.33329999999999999</v>
      </c>
      <c r="AS162" s="16">
        <f t="shared" si="127"/>
        <v>0</v>
      </c>
      <c r="AT162" s="16">
        <f t="shared" si="128"/>
        <v>0</v>
      </c>
      <c r="AU162" s="16">
        <f t="shared" si="129"/>
        <v>0</v>
      </c>
      <c r="AV162" s="16">
        <f t="shared" si="130"/>
        <v>0</v>
      </c>
      <c r="AW162" s="16">
        <f t="shared" si="131"/>
        <v>66.666700000000006</v>
      </c>
      <c r="AX162" s="16">
        <f t="shared" si="132"/>
        <v>1.1667000000000001</v>
      </c>
      <c r="AY162" s="16">
        <f t="shared" si="133"/>
        <v>16.666699999999999</v>
      </c>
      <c r="AZ162" s="16">
        <f t="shared" si="134"/>
        <v>0.125</v>
      </c>
      <c r="BA162" s="16">
        <f t="shared" si="135"/>
        <v>0</v>
      </c>
      <c r="BB162" s="16">
        <f t="shared" si="136"/>
        <v>0</v>
      </c>
      <c r="BC162" s="16">
        <f t="shared" si="137"/>
        <v>4.1700000000000001E-2</v>
      </c>
      <c r="BD162" s="16">
        <f t="shared" si="138"/>
        <v>4.1700000000000001E-2</v>
      </c>
      <c r="BE162" s="16">
        <f t="shared" si="139"/>
        <v>0</v>
      </c>
      <c r="BF162" s="16">
        <f t="shared" si="140"/>
        <v>0.25</v>
      </c>
      <c r="BG162" s="16">
        <f t="shared" si="141"/>
        <v>0</v>
      </c>
      <c r="BH162" s="16">
        <f t="shared" si="142"/>
        <v>8.3299999999999999E-2</v>
      </c>
      <c r="BI162" s="16">
        <f t="shared" si="143"/>
        <v>0</v>
      </c>
      <c r="BJ162" s="16">
        <f t="shared" si="144"/>
        <v>0</v>
      </c>
      <c r="BK162" s="16">
        <f t="shared" si="145"/>
        <v>1</v>
      </c>
      <c r="BL162" s="16">
        <f t="shared" si="146"/>
        <v>0.33329999999999999</v>
      </c>
      <c r="BM162" s="16">
        <f t="shared" si="147"/>
        <v>0</v>
      </c>
      <c r="BN162" s="16">
        <f t="shared" si="148"/>
        <v>1</v>
      </c>
      <c r="BO162" s="16">
        <f t="shared" si="149"/>
        <v>0</v>
      </c>
      <c r="BP162" s="16">
        <f t="shared" si="150"/>
        <v>0.33329999999999999</v>
      </c>
      <c r="BQ162" s="16">
        <f t="shared" si="151"/>
        <v>33.333300000000001</v>
      </c>
      <c r="BR162" s="16">
        <f t="shared" si="152"/>
        <v>58.333300000000001</v>
      </c>
      <c r="BS162" s="16">
        <f t="shared" si="153"/>
        <v>8.3332999999999995</v>
      </c>
      <c r="BT162" s="16">
        <f t="shared" si="154"/>
        <v>24.791699999999999</v>
      </c>
      <c r="BU162" s="16">
        <f t="shared" si="155"/>
        <v>0</v>
      </c>
      <c r="BV162" s="16">
        <f t="shared" si="156"/>
        <v>23.501799999999999</v>
      </c>
      <c r="BW162" s="16">
        <f t="shared" si="157"/>
        <v>9.31</v>
      </c>
      <c r="BX162" s="16">
        <f t="shared" si="158"/>
        <v>76.498199999999997</v>
      </c>
      <c r="BY162" s="16">
        <f t="shared" si="159"/>
        <v>0</v>
      </c>
      <c r="BZ162" s="16">
        <f t="shared" si="160"/>
        <v>0</v>
      </c>
      <c r="CA162" s="16">
        <f t="shared" si="161"/>
        <v>0</v>
      </c>
      <c r="CB162" s="16">
        <f t="shared" si="162"/>
        <v>0</v>
      </c>
      <c r="CC162" s="16">
        <f t="shared" si="163"/>
        <v>0</v>
      </c>
    </row>
    <row r="163" spans="1:81" x14ac:dyDescent="0.25">
      <c r="A163">
        <v>113</v>
      </c>
      <c r="B163" s="16">
        <f t="shared" si="84"/>
        <v>19.600000000000001</v>
      </c>
      <c r="C163" s="16">
        <f t="shared" si="85"/>
        <v>8.76</v>
      </c>
      <c r="D163" s="16">
        <f t="shared" si="86"/>
        <v>10.48</v>
      </c>
      <c r="E163" s="16">
        <f t="shared" si="87"/>
        <v>164</v>
      </c>
      <c r="F163" s="16">
        <f t="shared" si="88"/>
        <v>101</v>
      </c>
      <c r="G163" s="16">
        <f t="shared" si="89"/>
        <v>148</v>
      </c>
      <c r="H163" s="16">
        <f t="shared" si="90"/>
        <v>413</v>
      </c>
      <c r="I163" s="16">
        <f t="shared" si="91"/>
        <v>0</v>
      </c>
      <c r="J163" s="16">
        <f t="shared" si="92"/>
        <v>1.1875</v>
      </c>
      <c r="K163" s="16">
        <f t="shared" si="93"/>
        <v>1.3875</v>
      </c>
      <c r="L163" s="16">
        <f t="shared" si="94"/>
        <v>1.4125000000000001</v>
      </c>
      <c r="M163" s="16">
        <f t="shared" si="95"/>
        <v>1.3291999999999999</v>
      </c>
      <c r="N163" s="16">
        <f t="shared" si="96"/>
        <v>0.21560000000000001</v>
      </c>
      <c r="O163" s="16">
        <f t="shared" si="97"/>
        <v>0.13500000000000001</v>
      </c>
      <c r="P163" s="16">
        <f t="shared" si="98"/>
        <v>0.11559999999999999</v>
      </c>
      <c r="Q163" s="16">
        <f t="shared" si="99"/>
        <v>0.23130000000000001</v>
      </c>
      <c r="R163" s="16">
        <f t="shared" si="100"/>
        <v>0.1588</v>
      </c>
      <c r="S163" s="16">
        <f t="shared" si="101"/>
        <v>0.1321</v>
      </c>
      <c r="T163" s="16">
        <f t="shared" si="102"/>
        <v>0.18</v>
      </c>
      <c r="U163" s="16">
        <f t="shared" si="103"/>
        <v>0.18</v>
      </c>
      <c r="V163" s="16">
        <f t="shared" si="104"/>
        <v>0.77</v>
      </c>
      <c r="W163" s="16">
        <f t="shared" si="105"/>
        <v>0.77</v>
      </c>
      <c r="X163" s="16">
        <f t="shared" si="106"/>
        <v>8.3701000000000008</v>
      </c>
      <c r="Y163" s="16">
        <f t="shared" si="107"/>
        <v>0</v>
      </c>
      <c r="Z163" s="16">
        <f t="shared" si="108"/>
        <v>24</v>
      </c>
      <c r="AA163" s="16">
        <f t="shared" si="109"/>
        <v>0</v>
      </c>
      <c r="AB163" s="16">
        <f t="shared" si="110"/>
        <v>24</v>
      </c>
      <c r="AC163" s="16">
        <f t="shared" si="111"/>
        <v>20</v>
      </c>
      <c r="AD163" s="16">
        <f t="shared" si="112"/>
        <v>56</v>
      </c>
      <c r="AE163" s="16">
        <f t="shared" si="113"/>
        <v>0</v>
      </c>
      <c r="AF163" s="16">
        <f t="shared" si="114"/>
        <v>76</v>
      </c>
      <c r="AG163" s="16">
        <f t="shared" si="115"/>
        <v>56</v>
      </c>
      <c r="AH163" s="16">
        <f t="shared" si="116"/>
        <v>0.3488</v>
      </c>
      <c r="AI163" s="16">
        <f t="shared" si="117"/>
        <v>0.29780000000000001</v>
      </c>
      <c r="AJ163" s="16">
        <f t="shared" si="118"/>
        <v>0.31</v>
      </c>
      <c r="AK163" s="16">
        <f t="shared" si="119"/>
        <v>0.318</v>
      </c>
      <c r="AL163" s="16">
        <f t="shared" si="120"/>
        <v>0.12759999999999999</v>
      </c>
      <c r="AM163" s="16">
        <f t="shared" si="121"/>
        <v>0.42</v>
      </c>
      <c r="AN163" s="16">
        <f t="shared" si="122"/>
        <v>0.75</v>
      </c>
      <c r="AO163" s="16">
        <f t="shared" si="123"/>
        <v>0.42</v>
      </c>
      <c r="AP163" s="16">
        <f t="shared" si="124"/>
        <v>0.75</v>
      </c>
      <c r="AQ163" s="16">
        <f t="shared" si="125"/>
        <v>25</v>
      </c>
      <c r="AR163" s="16">
        <f t="shared" si="126"/>
        <v>0.75</v>
      </c>
      <c r="AS163" s="16">
        <f t="shared" si="127"/>
        <v>0</v>
      </c>
      <c r="AT163" s="16">
        <f t="shared" si="128"/>
        <v>0</v>
      </c>
      <c r="AU163" s="16">
        <f t="shared" si="129"/>
        <v>0</v>
      </c>
      <c r="AV163" s="16">
        <f t="shared" si="130"/>
        <v>0</v>
      </c>
      <c r="AW163" s="16">
        <f t="shared" si="131"/>
        <v>75</v>
      </c>
      <c r="AX163" s="16">
        <f t="shared" si="132"/>
        <v>0.83330000000000004</v>
      </c>
      <c r="AY163" s="16">
        <f t="shared" si="133"/>
        <v>16.666699999999999</v>
      </c>
      <c r="AZ163" s="16">
        <f t="shared" si="134"/>
        <v>0.125</v>
      </c>
      <c r="BA163" s="16">
        <f t="shared" si="135"/>
        <v>1.125</v>
      </c>
      <c r="BB163" s="16">
        <f t="shared" si="136"/>
        <v>0.75</v>
      </c>
      <c r="BC163" s="16">
        <f t="shared" si="137"/>
        <v>0.66669999999999996</v>
      </c>
      <c r="BD163" s="16">
        <f t="shared" si="138"/>
        <v>1.3332999999999999</v>
      </c>
      <c r="BE163" s="16">
        <f t="shared" si="139"/>
        <v>0</v>
      </c>
      <c r="BF163" s="16">
        <f t="shared" si="140"/>
        <v>0</v>
      </c>
      <c r="BG163" s="16">
        <f t="shared" si="141"/>
        <v>0</v>
      </c>
      <c r="BH163" s="16">
        <f t="shared" si="142"/>
        <v>0</v>
      </c>
      <c r="BI163" s="16">
        <f t="shared" si="143"/>
        <v>0</v>
      </c>
      <c r="BJ163" s="16">
        <f t="shared" si="144"/>
        <v>0</v>
      </c>
      <c r="BK163" s="16">
        <f t="shared" si="145"/>
        <v>0</v>
      </c>
      <c r="BL163" s="16">
        <f t="shared" si="146"/>
        <v>0</v>
      </c>
      <c r="BM163" s="16">
        <f t="shared" si="147"/>
        <v>0</v>
      </c>
      <c r="BN163" s="16">
        <f t="shared" si="148"/>
        <v>0</v>
      </c>
      <c r="BO163" s="16">
        <f t="shared" si="149"/>
        <v>0.25</v>
      </c>
      <c r="BP163" s="16">
        <f t="shared" si="150"/>
        <v>8.3299999999999999E-2</v>
      </c>
      <c r="BQ163" s="16">
        <f t="shared" si="151"/>
        <v>4.1666999999999996</v>
      </c>
      <c r="BR163" s="16">
        <f t="shared" si="152"/>
        <v>58.333300000000001</v>
      </c>
      <c r="BS163" s="16">
        <f t="shared" si="153"/>
        <v>37.5</v>
      </c>
      <c r="BT163" s="16">
        <f t="shared" si="154"/>
        <v>45.208300000000001</v>
      </c>
      <c r="BU163" s="16">
        <f t="shared" si="155"/>
        <v>1.6667000000000001</v>
      </c>
      <c r="BV163" s="16">
        <f t="shared" si="156"/>
        <v>1.8018000000000001</v>
      </c>
      <c r="BW163" s="16">
        <f t="shared" si="157"/>
        <v>2.3094000000000001</v>
      </c>
      <c r="BX163" s="16">
        <f t="shared" si="158"/>
        <v>98.1982</v>
      </c>
      <c r="BY163" s="16">
        <f t="shared" si="159"/>
        <v>0</v>
      </c>
      <c r="BZ163" s="16">
        <f t="shared" si="160"/>
        <v>0</v>
      </c>
      <c r="CA163" s="16">
        <f t="shared" si="161"/>
        <v>0</v>
      </c>
      <c r="CB163" s="16">
        <f t="shared" si="162"/>
        <v>0</v>
      </c>
      <c r="CC163" s="16">
        <f t="shared" si="163"/>
        <v>0</v>
      </c>
    </row>
    <row r="164" spans="1:81" x14ac:dyDescent="0.25">
      <c r="A164">
        <v>119</v>
      </c>
      <c r="B164" s="16">
        <f t="shared" si="84"/>
        <v>19</v>
      </c>
      <c r="C164" s="16">
        <f t="shared" si="85"/>
        <v>8.23</v>
      </c>
      <c r="D164" s="16">
        <f t="shared" si="86"/>
        <v>13.17</v>
      </c>
      <c r="E164" s="16">
        <f t="shared" si="87"/>
        <v>799</v>
      </c>
      <c r="F164" s="16">
        <f t="shared" si="88"/>
        <v>548</v>
      </c>
      <c r="G164" s="16">
        <f t="shared" si="89"/>
        <v>490</v>
      </c>
      <c r="H164" s="16">
        <f t="shared" si="90"/>
        <v>1837</v>
      </c>
      <c r="I164" s="16">
        <f t="shared" si="91"/>
        <v>0</v>
      </c>
      <c r="J164" s="16">
        <f t="shared" si="92"/>
        <v>2.6375000000000002</v>
      </c>
      <c r="K164" s="16">
        <f t="shared" si="93"/>
        <v>3.3624999999999998</v>
      </c>
      <c r="L164" s="16">
        <f t="shared" si="94"/>
        <v>2.8875000000000002</v>
      </c>
      <c r="M164" s="16">
        <f t="shared" si="95"/>
        <v>2.9624999999999999</v>
      </c>
      <c r="N164" s="16">
        <f t="shared" si="96"/>
        <v>1.3887</v>
      </c>
      <c r="O164" s="16">
        <f t="shared" si="97"/>
        <v>0.42399999999999999</v>
      </c>
      <c r="P164" s="16">
        <f t="shared" si="98"/>
        <v>0.32440000000000002</v>
      </c>
      <c r="Q164" s="16">
        <f t="shared" si="99"/>
        <v>0.32190000000000002</v>
      </c>
      <c r="R164" s="16">
        <f t="shared" si="100"/>
        <v>0.3553</v>
      </c>
      <c r="S164" s="16">
        <f t="shared" si="101"/>
        <v>0.11509999999999999</v>
      </c>
      <c r="T164" s="16">
        <f t="shared" si="102"/>
        <v>0.56000000000000005</v>
      </c>
      <c r="U164" s="16">
        <f t="shared" si="103"/>
        <v>0.5</v>
      </c>
      <c r="V164" s="16">
        <f t="shared" si="104"/>
        <v>0.54</v>
      </c>
      <c r="W164" s="16">
        <f t="shared" si="105"/>
        <v>0.56000000000000005</v>
      </c>
      <c r="X164" s="16">
        <f t="shared" si="106"/>
        <v>8.3376000000000001</v>
      </c>
      <c r="Y164" s="16">
        <f t="shared" si="107"/>
        <v>0</v>
      </c>
      <c r="Z164" s="16">
        <f t="shared" si="108"/>
        <v>65.957400000000007</v>
      </c>
      <c r="AA164" s="16">
        <f t="shared" si="109"/>
        <v>25.5319</v>
      </c>
      <c r="AB164" s="16">
        <f t="shared" si="110"/>
        <v>91.489400000000003</v>
      </c>
      <c r="AC164" s="16">
        <f t="shared" si="111"/>
        <v>2.1276999999999999</v>
      </c>
      <c r="AD164" s="16">
        <f t="shared" si="112"/>
        <v>6.383</v>
      </c>
      <c r="AE164" s="16">
        <f t="shared" si="113"/>
        <v>0</v>
      </c>
      <c r="AF164" s="16">
        <f t="shared" si="114"/>
        <v>8.5106000000000002</v>
      </c>
      <c r="AG164" s="16">
        <f t="shared" si="115"/>
        <v>65.957400000000007</v>
      </c>
      <c r="AH164" s="16">
        <f t="shared" si="116"/>
        <v>0.1686</v>
      </c>
      <c r="AI164" s="16">
        <f t="shared" si="117"/>
        <v>0.21729999999999999</v>
      </c>
      <c r="AJ164" s="16">
        <f t="shared" si="118"/>
        <v>0.17469999999999999</v>
      </c>
      <c r="AK164" s="16">
        <f t="shared" si="119"/>
        <v>0.18720000000000001</v>
      </c>
      <c r="AL164" s="16">
        <f t="shared" si="120"/>
        <v>0.1101</v>
      </c>
      <c r="AM164" s="16">
        <f t="shared" si="121"/>
        <v>0.39</v>
      </c>
      <c r="AN164" s="16">
        <f t="shared" si="122"/>
        <v>0.4</v>
      </c>
      <c r="AO164" s="16">
        <f t="shared" si="123"/>
        <v>0.43</v>
      </c>
      <c r="AP164" s="16">
        <f t="shared" si="124"/>
        <v>0.43</v>
      </c>
      <c r="AQ164" s="16">
        <f t="shared" si="125"/>
        <v>8.3332999999999995</v>
      </c>
      <c r="AR164" s="16">
        <f t="shared" si="126"/>
        <v>0.70830000000000004</v>
      </c>
      <c r="AS164" s="16">
        <f t="shared" si="127"/>
        <v>0</v>
      </c>
      <c r="AT164" s="16">
        <f t="shared" si="128"/>
        <v>37.5</v>
      </c>
      <c r="AU164" s="16">
        <f t="shared" si="129"/>
        <v>25</v>
      </c>
      <c r="AV164" s="16">
        <f t="shared" si="130"/>
        <v>20.833300000000001</v>
      </c>
      <c r="AW164" s="16">
        <f t="shared" si="131"/>
        <v>70.833299999999994</v>
      </c>
      <c r="AX164" s="16">
        <f t="shared" si="132"/>
        <v>0.33329999999999999</v>
      </c>
      <c r="AY164" s="16">
        <f t="shared" si="133"/>
        <v>8.3332999999999995</v>
      </c>
      <c r="AZ164" s="16">
        <f t="shared" si="134"/>
        <v>0</v>
      </c>
      <c r="BA164" s="16">
        <f t="shared" si="135"/>
        <v>0</v>
      </c>
      <c r="BB164" s="16">
        <f t="shared" si="136"/>
        <v>0.25</v>
      </c>
      <c r="BC164" s="16">
        <f t="shared" si="137"/>
        <v>8.3299999999999999E-2</v>
      </c>
      <c r="BD164" s="16">
        <f t="shared" si="138"/>
        <v>8.3299999999999999E-2</v>
      </c>
      <c r="BE164" s="16">
        <f t="shared" si="139"/>
        <v>1.75</v>
      </c>
      <c r="BF164" s="16">
        <f t="shared" si="140"/>
        <v>1.75</v>
      </c>
      <c r="BG164" s="16">
        <f t="shared" si="141"/>
        <v>1.5</v>
      </c>
      <c r="BH164" s="16">
        <f t="shared" si="142"/>
        <v>1.6667000000000001</v>
      </c>
      <c r="BI164" s="16">
        <f t="shared" si="143"/>
        <v>0.25</v>
      </c>
      <c r="BJ164" s="16">
        <f t="shared" si="144"/>
        <v>0</v>
      </c>
      <c r="BK164" s="16">
        <f t="shared" si="145"/>
        <v>0</v>
      </c>
      <c r="BL164" s="16">
        <f t="shared" si="146"/>
        <v>8.3299999999999999E-2</v>
      </c>
      <c r="BM164" s="16">
        <f t="shared" si="147"/>
        <v>0.75</v>
      </c>
      <c r="BN164" s="16">
        <f t="shared" si="148"/>
        <v>1.75</v>
      </c>
      <c r="BO164" s="16">
        <f t="shared" si="149"/>
        <v>1.5</v>
      </c>
      <c r="BP164" s="16">
        <f t="shared" si="150"/>
        <v>1.3332999999999999</v>
      </c>
      <c r="BQ164" s="16">
        <f t="shared" si="151"/>
        <v>0</v>
      </c>
      <c r="BR164" s="16">
        <f t="shared" si="152"/>
        <v>100</v>
      </c>
      <c r="BS164" s="16">
        <f t="shared" si="153"/>
        <v>0</v>
      </c>
      <c r="BT164" s="16">
        <f t="shared" si="154"/>
        <v>35.208300000000001</v>
      </c>
      <c r="BU164" s="16">
        <f t="shared" si="155"/>
        <v>0.83330000000000004</v>
      </c>
      <c r="BV164" s="16">
        <f t="shared" si="156"/>
        <v>99.699700000000007</v>
      </c>
      <c r="BW164" s="16">
        <f t="shared" si="157"/>
        <v>0.46460000000000001</v>
      </c>
      <c r="BX164" s="16">
        <f t="shared" si="158"/>
        <v>0.30030000000000001</v>
      </c>
      <c r="BY164" s="16">
        <f t="shared" si="159"/>
        <v>0</v>
      </c>
      <c r="BZ164" s="16">
        <f t="shared" si="160"/>
        <v>0</v>
      </c>
      <c r="CA164" s="16">
        <f t="shared" si="161"/>
        <v>0</v>
      </c>
      <c r="CB164" s="16">
        <f t="shared" si="162"/>
        <v>0</v>
      </c>
      <c r="CC164" s="16">
        <f t="shared" si="163"/>
        <v>0</v>
      </c>
    </row>
    <row r="165" spans="1:81" x14ac:dyDescent="0.25">
      <c r="A165">
        <v>120</v>
      </c>
      <c r="B165" s="16">
        <f t="shared" si="84"/>
        <v>14.2</v>
      </c>
      <c r="C165" s="16">
        <f t="shared" si="85"/>
        <v>7.92</v>
      </c>
      <c r="D165" s="16">
        <f t="shared" si="86"/>
        <v>11.5</v>
      </c>
      <c r="E165" s="16">
        <f t="shared" si="87"/>
        <v>1290</v>
      </c>
      <c r="F165" s="16">
        <f t="shared" si="88"/>
        <v>984</v>
      </c>
      <c r="G165" s="16">
        <f t="shared" si="89"/>
        <v>855</v>
      </c>
      <c r="H165" s="16">
        <f t="shared" si="90"/>
        <v>3129</v>
      </c>
      <c r="I165" s="16">
        <f t="shared" si="91"/>
        <v>0.84370000000000001</v>
      </c>
      <c r="J165" s="16">
        <f t="shared" si="92"/>
        <v>5.4</v>
      </c>
      <c r="K165" s="16">
        <f t="shared" si="93"/>
        <v>4.1375000000000002</v>
      </c>
      <c r="L165" s="16">
        <f t="shared" si="94"/>
        <v>4</v>
      </c>
      <c r="M165" s="16">
        <f t="shared" si="95"/>
        <v>4.5125000000000002</v>
      </c>
      <c r="N165" s="16">
        <f t="shared" si="96"/>
        <v>1.3482000000000001</v>
      </c>
      <c r="O165" s="16">
        <f t="shared" si="97"/>
        <v>0.2636</v>
      </c>
      <c r="P165" s="16">
        <f t="shared" si="98"/>
        <v>0.24929999999999999</v>
      </c>
      <c r="Q165" s="16">
        <f t="shared" si="99"/>
        <v>0.1913</v>
      </c>
      <c r="R165" s="16">
        <f t="shared" si="100"/>
        <v>0.2341</v>
      </c>
      <c r="S165" s="16">
        <f t="shared" si="101"/>
        <v>0.1341</v>
      </c>
      <c r="T165" s="16">
        <f t="shared" si="102"/>
        <v>0.57999999999999996</v>
      </c>
      <c r="U165" s="16">
        <f t="shared" si="103"/>
        <v>0.44</v>
      </c>
      <c r="V165" s="16">
        <f t="shared" si="104"/>
        <v>0.54</v>
      </c>
      <c r="W165" s="16">
        <f t="shared" si="105"/>
        <v>0.57999999999999996</v>
      </c>
      <c r="X165" s="16">
        <f t="shared" si="106"/>
        <v>19.276700000000002</v>
      </c>
      <c r="Y165" s="16">
        <f t="shared" si="107"/>
        <v>2.2726999999999999</v>
      </c>
      <c r="Z165" s="16">
        <f t="shared" si="108"/>
        <v>18.181799999999999</v>
      </c>
      <c r="AA165" s="16">
        <f t="shared" si="109"/>
        <v>29.545500000000001</v>
      </c>
      <c r="AB165" s="16">
        <f t="shared" si="110"/>
        <v>50</v>
      </c>
      <c r="AC165" s="16">
        <f t="shared" si="111"/>
        <v>2.2726999999999999</v>
      </c>
      <c r="AD165" s="16">
        <f t="shared" si="112"/>
        <v>47.7273</v>
      </c>
      <c r="AE165" s="16">
        <f t="shared" si="113"/>
        <v>0</v>
      </c>
      <c r="AF165" s="16">
        <f t="shared" si="114"/>
        <v>50</v>
      </c>
      <c r="AG165" s="16">
        <f t="shared" si="115"/>
        <v>47.7273</v>
      </c>
      <c r="AH165" s="16">
        <f t="shared" si="116"/>
        <v>0.1177</v>
      </c>
      <c r="AI165" s="16">
        <f t="shared" si="117"/>
        <v>0.23499999999999999</v>
      </c>
      <c r="AJ165" s="16">
        <f t="shared" si="118"/>
        <v>0.2407</v>
      </c>
      <c r="AK165" s="16">
        <f t="shared" si="119"/>
        <v>0.20269999999999999</v>
      </c>
      <c r="AL165" s="16">
        <f t="shared" si="120"/>
        <v>0.1915</v>
      </c>
      <c r="AM165" s="16">
        <f t="shared" si="121"/>
        <v>0.28000000000000003</v>
      </c>
      <c r="AN165" s="16">
        <f t="shared" si="122"/>
        <v>0.69</v>
      </c>
      <c r="AO165" s="16">
        <f t="shared" si="123"/>
        <v>0.66</v>
      </c>
      <c r="AP165" s="16">
        <f t="shared" si="124"/>
        <v>0.69</v>
      </c>
      <c r="AQ165" s="16">
        <f t="shared" si="125"/>
        <v>25</v>
      </c>
      <c r="AR165" s="16">
        <f t="shared" si="126"/>
        <v>0.5</v>
      </c>
      <c r="AS165" s="16">
        <f t="shared" si="127"/>
        <v>25</v>
      </c>
      <c r="AT165" s="16">
        <f t="shared" si="128"/>
        <v>25</v>
      </c>
      <c r="AU165" s="16">
        <f t="shared" si="129"/>
        <v>25</v>
      </c>
      <c r="AV165" s="16">
        <f t="shared" si="130"/>
        <v>25</v>
      </c>
      <c r="AW165" s="16">
        <f t="shared" si="131"/>
        <v>50</v>
      </c>
      <c r="AX165" s="16">
        <f t="shared" si="132"/>
        <v>1.25</v>
      </c>
      <c r="AY165" s="16">
        <f t="shared" si="133"/>
        <v>41.666699999999999</v>
      </c>
      <c r="AZ165" s="16">
        <f t="shared" si="134"/>
        <v>1.25</v>
      </c>
      <c r="BA165" s="16">
        <f t="shared" si="135"/>
        <v>0.75</v>
      </c>
      <c r="BB165" s="16">
        <f t="shared" si="136"/>
        <v>0.25</v>
      </c>
      <c r="BC165" s="16">
        <f t="shared" si="137"/>
        <v>0.75</v>
      </c>
      <c r="BD165" s="16">
        <f t="shared" si="138"/>
        <v>1.25</v>
      </c>
      <c r="BE165" s="16">
        <f t="shared" si="139"/>
        <v>0.5</v>
      </c>
      <c r="BF165" s="16">
        <f t="shared" si="140"/>
        <v>1.25</v>
      </c>
      <c r="BG165" s="16">
        <f t="shared" si="141"/>
        <v>0.25</v>
      </c>
      <c r="BH165" s="16">
        <f t="shared" si="142"/>
        <v>0.66669999999999996</v>
      </c>
      <c r="BI165" s="16">
        <f t="shared" si="143"/>
        <v>0</v>
      </c>
      <c r="BJ165" s="16">
        <f t="shared" si="144"/>
        <v>0.25</v>
      </c>
      <c r="BK165" s="16">
        <f t="shared" si="145"/>
        <v>0.25</v>
      </c>
      <c r="BL165" s="16">
        <f t="shared" si="146"/>
        <v>0.16669999999999999</v>
      </c>
      <c r="BM165" s="16">
        <f t="shared" si="147"/>
        <v>1.75</v>
      </c>
      <c r="BN165" s="16">
        <f t="shared" si="148"/>
        <v>1.25</v>
      </c>
      <c r="BO165" s="16">
        <f t="shared" si="149"/>
        <v>1</v>
      </c>
      <c r="BP165" s="16">
        <f t="shared" si="150"/>
        <v>1.3332999999999999</v>
      </c>
      <c r="BQ165" s="16">
        <f t="shared" si="151"/>
        <v>25</v>
      </c>
      <c r="BR165" s="16">
        <f t="shared" si="152"/>
        <v>75</v>
      </c>
      <c r="BS165" s="16">
        <f t="shared" si="153"/>
        <v>0</v>
      </c>
      <c r="BT165" s="16">
        <f t="shared" si="154"/>
        <v>30.833300000000001</v>
      </c>
      <c r="BU165" s="16">
        <f t="shared" si="155"/>
        <v>1.2082999999999999</v>
      </c>
      <c r="BV165" s="16">
        <f t="shared" si="156"/>
        <v>36.561599999999999</v>
      </c>
      <c r="BW165" s="16">
        <f t="shared" si="157"/>
        <v>15.738</v>
      </c>
      <c r="BX165" s="16">
        <f t="shared" si="158"/>
        <v>63.438400000000001</v>
      </c>
      <c r="BY165" s="16">
        <f t="shared" si="159"/>
        <v>0</v>
      </c>
      <c r="BZ165" s="16">
        <f t="shared" si="160"/>
        <v>0</v>
      </c>
      <c r="CA165" s="16">
        <f t="shared" si="161"/>
        <v>0</v>
      </c>
      <c r="CB165" s="16">
        <f t="shared" si="162"/>
        <v>0</v>
      </c>
      <c r="CC165" s="16">
        <f t="shared" si="163"/>
        <v>0</v>
      </c>
    </row>
    <row r="166" spans="1:81" x14ac:dyDescent="0.25">
      <c r="A166">
        <v>129</v>
      </c>
      <c r="B166" s="16">
        <f t="shared" si="84"/>
        <v>16.899999999999999</v>
      </c>
      <c r="C166" s="16">
        <f t="shared" si="85"/>
        <v>7.59</v>
      </c>
      <c r="D166" s="16">
        <f t="shared" si="86"/>
        <v>10.25</v>
      </c>
      <c r="E166" s="16">
        <f t="shared" si="87"/>
        <v>436</v>
      </c>
      <c r="F166" s="16">
        <f t="shared" si="88"/>
        <v>407</v>
      </c>
      <c r="G166" s="16">
        <f t="shared" si="89"/>
        <v>348</v>
      </c>
      <c r="H166" s="16">
        <f t="shared" si="90"/>
        <v>1191</v>
      </c>
      <c r="I166" s="16">
        <f t="shared" si="91"/>
        <v>0</v>
      </c>
      <c r="J166" s="16">
        <f t="shared" si="92"/>
        <v>1.35</v>
      </c>
      <c r="K166" s="16">
        <f t="shared" si="93"/>
        <v>1.35</v>
      </c>
      <c r="L166" s="16">
        <f t="shared" si="94"/>
        <v>0.97499999999999998</v>
      </c>
      <c r="M166" s="16">
        <f t="shared" si="95"/>
        <v>1.2250000000000001</v>
      </c>
      <c r="N166" s="16">
        <f t="shared" si="96"/>
        <v>0.41620000000000001</v>
      </c>
      <c r="O166" s="16">
        <f t="shared" si="97"/>
        <v>0.37</v>
      </c>
      <c r="P166" s="16">
        <f t="shared" si="98"/>
        <v>0.38219999999999998</v>
      </c>
      <c r="Q166" s="16">
        <f t="shared" si="99"/>
        <v>0.40500000000000003</v>
      </c>
      <c r="R166" s="16">
        <f t="shared" si="100"/>
        <v>0.3856</v>
      </c>
      <c r="S166" s="16">
        <f t="shared" si="101"/>
        <v>0.11409999999999999</v>
      </c>
      <c r="T166" s="16">
        <f t="shared" si="102"/>
        <v>0.6</v>
      </c>
      <c r="U166" s="16">
        <f t="shared" si="103"/>
        <v>0.52</v>
      </c>
      <c r="V166" s="16">
        <f t="shared" si="104"/>
        <v>0.52</v>
      </c>
      <c r="W166" s="16">
        <f t="shared" si="105"/>
        <v>0.6</v>
      </c>
      <c r="X166" s="16">
        <f t="shared" si="106"/>
        <v>3.1768999999999998</v>
      </c>
      <c r="Y166" s="16">
        <f t="shared" si="107"/>
        <v>0</v>
      </c>
      <c r="Z166" s="16">
        <f t="shared" si="108"/>
        <v>4</v>
      </c>
      <c r="AA166" s="16">
        <f t="shared" si="109"/>
        <v>4</v>
      </c>
      <c r="AB166" s="16">
        <f t="shared" si="110"/>
        <v>8</v>
      </c>
      <c r="AC166" s="16">
        <f t="shared" si="111"/>
        <v>4</v>
      </c>
      <c r="AD166" s="16">
        <f t="shared" si="112"/>
        <v>88</v>
      </c>
      <c r="AE166" s="16">
        <f t="shared" si="113"/>
        <v>0</v>
      </c>
      <c r="AF166" s="16">
        <f t="shared" si="114"/>
        <v>92</v>
      </c>
      <c r="AG166" s="16">
        <f t="shared" si="115"/>
        <v>88</v>
      </c>
      <c r="AH166" s="16">
        <f t="shared" si="116"/>
        <v>0.33129999999999998</v>
      </c>
      <c r="AI166" s="16">
        <f t="shared" si="117"/>
        <v>0.40250000000000002</v>
      </c>
      <c r="AJ166" s="16">
        <f t="shared" si="118"/>
        <v>0.40629999999999999</v>
      </c>
      <c r="AK166" s="16">
        <f t="shared" si="119"/>
        <v>0.38159999999999999</v>
      </c>
      <c r="AL166" s="16">
        <f t="shared" si="120"/>
        <v>0.2132</v>
      </c>
      <c r="AM166" s="16">
        <f t="shared" si="121"/>
        <v>0.86</v>
      </c>
      <c r="AN166" s="16">
        <f t="shared" si="122"/>
        <v>0.96</v>
      </c>
      <c r="AO166" s="16">
        <f t="shared" si="123"/>
        <v>0.72</v>
      </c>
      <c r="AP166" s="16">
        <f t="shared" si="124"/>
        <v>0.96</v>
      </c>
      <c r="AQ166" s="16">
        <f t="shared" si="125"/>
        <v>8.3332999999999995</v>
      </c>
      <c r="AR166" s="16">
        <f t="shared" si="126"/>
        <v>0.83330000000000004</v>
      </c>
      <c r="AS166" s="16">
        <f t="shared" si="127"/>
        <v>12.5</v>
      </c>
      <c r="AT166" s="16">
        <f t="shared" si="128"/>
        <v>12.5</v>
      </c>
      <c r="AU166" s="16">
        <f t="shared" si="129"/>
        <v>0</v>
      </c>
      <c r="AV166" s="16">
        <f t="shared" si="130"/>
        <v>8.3332999999999995</v>
      </c>
      <c r="AW166" s="16">
        <f t="shared" si="131"/>
        <v>83.333299999999994</v>
      </c>
      <c r="AX166" s="16">
        <f t="shared" si="132"/>
        <v>0.75</v>
      </c>
      <c r="AY166" s="16">
        <f t="shared" si="133"/>
        <v>16.666699999999999</v>
      </c>
      <c r="AZ166" s="16">
        <f t="shared" si="134"/>
        <v>0</v>
      </c>
      <c r="BA166" s="16">
        <f t="shared" si="135"/>
        <v>0</v>
      </c>
      <c r="BB166" s="16">
        <f t="shared" si="136"/>
        <v>0.125</v>
      </c>
      <c r="BC166" s="16">
        <f t="shared" si="137"/>
        <v>4.1700000000000001E-2</v>
      </c>
      <c r="BD166" s="16">
        <f t="shared" si="138"/>
        <v>0.20830000000000001</v>
      </c>
      <c r="BE166" s="16">
        <f t="shared" si="139"/>
        <v>1.75</v>
      </c>
      <c r="BF166" s="16">
        <f t="shared" si="140"/>
        <v>1.75</v>
      </c>
      <c r="BG166" s="16">
        <f t="shared" si="141"/>
        <v>1.75</v>
      </c>
      <c r="BH166" s="16">
        <f t="shared" si="142"/>
        <v>1.75</v>
      </c>
      <c r="BI166" s="16">
        <f t="shared" si="143"/>
        <v>0</v>
      </c>
      <c r="BJ166" s="16">
        <f t="shared" si="144"/>
        <v>0</v>
      </c>
      <c r="BK166" s="16">
        <f t="shared" si="145"/>
        <v>0</v>
      </c>
      <c r="BL166" s="16">
        <f t="shared" si="146"/>
        <v>0</v>
      </c>
      <c r="BM166" s="16">
        <f t="shared" si="147"/>
        <v>1</v>
      </c>
      <c r="BN166" s="16">
        <f t="shared" si="148"/>
        <v>0</v>
      </c>
      <c r="BO166" s="16">
        <f t="shared" si="149"/>
        <v>0.25</v>
      </c>
      <c r="BP166" s="16">
        <f t="shared" si="150"/>
        <v>0.41670000000000001</v>
      </c>
      <c r="BQ166" s="16">
        <f t="shared" si="151"/>
        <v>0</v>
      </c>
      <c r="BR166" s="16">
        <f t="shared" si="152"/>
        <v>37.5</v>
      </c>
      <c r="BS166" s="16">
        <f t="shared" si="153"/>
        <v>62.5</v>
      </c>
      <c r="BT166" s="16">
        <f t="shared" si="154"/>
        <v>55.625</v>
      </c>
      <c r="BU166" s="16">
        <f t="shared" si="155"/>
        <v>4.1700000000000001E-2</v>
      </c>
      <c r="BV166" s="16">
        <f t="shared" si="156"/>
        <v>84.009</v>
      </c>
      <c r="BW166" s="16">
        <f t="shared" si="157"/>
        <v>11.540100000000001</v>
      </c>
      <c r="BX166" s="16">
        <f t="shared" si="158"/>
        <v>15.991</v>
      </c>
      <c r="BY166" s="16">
        <f t="shared" si="159"/>
        <v>0</v>
      </c>
      <c r="BZ166" s="16">
        <f t="shared" si="160"/>
        <v>0</v>
      </c>
      <c r="CA166" s="16">
        <f t="shared" si="161"/>
        <v>0</v>
      </c>
      <c r="CB166" s="16">
        <f t="shared" si="162"/>
        <v>0</v>
      </c>
      <c r="CC166" s="16">
        <f t="shared" si="163"/>
        <v>0</v>
      </c>
    </row>
    <row r="167" spans="1:81" x14ac:dyDescent="0.25">
      <c r="A167">
        <v>150</v>
      </c>
      <c r="B167" s="16">
        <f t="shared" si="84"/>
        <v>17.100000000000001</v>
      </c>
      <c r="C167" s="16">
        <f t="shared" si="85"/>
        <v>7.47</v>
      </c>
      <c r="D167" s="16">
        <f t="shared" si="86"/>
        <v>10.4</v>
      </c>
      <c r="E167" s="16">
        <f t="shared" si="87"/>
        <v>290</v>
      </c>
      <c r="F167" s="16">
        <f t="shared" si="88"/>
        <v>218</v>
      </c>
      <c r="G167" s="16">
        <f t="shared" si="89"/>
        <v>160</v>
      </c>
      <c r="H167" s="16">
        <f t="shared" si="90"/>
        <v>668</v>
      </c>
      <c r="I167" s="16">
        <f t="shared" si="91"/>
        <v>0</v>
      </c>
      <c r="J167" s="16">
        <f t="shared" si="92"/>
        <v>1.7250000000000001</v>
      </c>
      <c r="K167" s="16">
        <f t="shared" si="93"/>
        <v>2.3250000000000002</v>
      </c>
      <c r="L167" s="16">
        <f t="shared" si="94"/>
        <v>1.4125000000000001</v>
      </c>
      <c r="M167" s="16">
        <f t="shared" si="95"/>
        <v>1.8208</v>
      </c>
      <c r="N167" s="16">
        <f t="shared" si="96"/>
        <v>1.079</v>
      </c>
      <c r="O167" s="16">
        <f t="shared" si="97"/>
        <v>0.17219999999999999</v>
      </c>
      <c r="P167" s="16">
        <f t="shared" si="98"/>
        <v>0.1125</v>
      </c>
      <c r="Q167" s="16">
        <f t="shared" si="99"/>
        <v>0.17749999999999999</v>
      </c>
      <c r="R167" s="16">
        <f t="shared" si="100"/>
        <v>0.15479999999999999</v>
      </c>
      <c r="S167" s="16">
        <f t="shared" si="101"/>
        <v>8.8400000000000006E-2</v>
      </c>
      <c r="T167" s="16">
        <f t="shared" si="102"/>
        <v>0.44</v>
      </c>
      <c r="U167" s="16">
        <f t="shared" si="103"/>
        <v>0.18</v>
      </c>
      <c r="V167" s="16">
        <f t="shared" si="104"/>
        <v>0.28000000000000003</v>
      </c>
      <c r="W167" s="16">
        <f t="shared" si="105"/>
        <v>0.44</v>
      </c>
      <c r="X167" s="16">
        <f t="shared" si="106"/>
        <v>11.762499999999999</v>
      </c>
      <c r="Y167" s="16">
        <f t="shared" si="107"/>
        <v>0</v>
      </c>
      <c r="Z167" s="16">
        <f t="shared" si="108"/>
        <v>12</v>
      </c>
      <c r="AA167" s="16">
        <f t="shared" si="109"/>
        <v>8</v>
      </c>
      <c r="AB167" s="16">
        <f t="shared" si="110"/>
        <v>20</v>
      </c>
      <c r="AC167" s="16">
        <f t="shared" si="111"/>
        <v>16</v>
      </c>
      <c r="AD167" s="16">
        <f t="shared" si="112"/>
        <v>64</v>
      </c>
      <c r="AE167" s="16">
        <f t="shared" si="113"/>
        <v>0</v>
      </c>
      <c r="AF167" s="16">
        <f t="shared" si="114"/>
        <v>80</v>
      </c>
      <c r="AG167" s="16">
        <f t="shared" si="115"/>
        <v>64</v>
      </c>
      <c r="AH167" s="16">
        <f t="shared" si="116"/>
        <v>0.18559999999999999</v>
      </c>
      <c r="AI167" s="16">
        <f t="shared" si="117"/>
        <v>0.20880000000000001</v>
      </c>
      <c r="AJ167" s="16">
        <f t="shared" si="118"/>
        <v>0.1575</v>
      </c>
      <c r="AK167" s="16">
        <f t="shared" si="119"/>
        <v>0.184</v>
      </c>
      <c r="AL167" s="16">
        <f t="shared" si="120"/>
        <v>0.13500000000000001</v>
      </c>
      <c r="AM167" s="16">
        <f t="shared" si="121"/>
        <v>0.34</v>
      </c>
      <c r="AN167" s="16">
        <f t="shared" si="122"/>
        <v>0.45</v>
      </c>
      <c r="AO167" s="16">
        <f t="shared" si="123"/>
        <v>0.44</v>
      </c>
      <c r="AP167" s="16">
        <f t="shared" si="124"/>
        <v>0.45</v>
      </c>
      <c r="AQ167" s="16">
        <f t="shared" si="125"/>
        <v>41.666699999999999</v>
      </c>
      <c r="AR167" s="16">
        <f t="shared" si="126"/>
        <v>0.41670000000000001</v>
      </c>
      <c r="AS167" s="16">
        <f t="shared" si="127"/>
        <v>0</v>
      </c>
      <c r="AT167" s="16">
        <f t="shared" si="128"/>
        <v>25</v>
      </c>
      <c r="AU167" s="16">
        <f t="shared" si="129"/>
        <v>25</v>
      </c>
      <c r="AV167" s="16">
        <f t="shared" si="130"/>
        <v>16.666699999999999</v>
      </c>
      <c r="AW167" s="16">
        <f t="shared" si="131"/>
        <v>41.666699999999999</v>
      </c>
      <c r="AX167" s="16">
        <f t="shared" si="132"/>
        <v>1.5832999999999999</v>
      </c>
      <c r="AY167" s="16">
        <f t="shared" si="133"/>
        <v>58.333300000000001</v>
      </c>
      <c r="AZ167" s="16">
        <f t="shared" si="134"/>
        <v>0</v>
      </c>
      <c r="BA167" s="16">
        <f t="shared" si="135"/>
        <v>0</v>
      </c>
      <c r="BB167" s="16">
        <f t="shared" si="136"/>
        <v>0</v>
      </c>
      <c r="BC167" s="16">
        <f t="shared" si="137"/>
        <v>0</v>
      </c>
      <c r="BD167" s="16">
        <f t="shared" si="138"/>
        <v>4.1700000000000001E-2</v>
      </c>
      <c r="BE167" s="16">
        <f t="shared" si="139"/>
        <v>0</v>
      </c>
      <c r="BF167" s="16">
        <f t="shared" si="140"/>
        <v>0</v>
      </c>
      <c r="BG167" s="16">
        <f t="shared" si="141"/>
        <v>0.25</v>
      </c>
      <c r="BH167" s="16">
        <f t="shared" si="142"/>
        <v>8.3299999999999999E-2</v>
      </c>
      <c r="BI167" s="16">
        <f t="shared" si="143"/>
        <v>1</v>
      </c>
      <c r="BJ167" s="16">
        <f t="shared" si="144"/>
        <v>1.5</v>
      </c>
      <c r="BK167" s="16">
        <f t="shared" si="145"/>
        <v>0.75</v>
      </c>
      <c r="BL167" s="16">
        <f t="shared" si="146"/>
        <v>1.0832999999999999</v>
      </c>
      <c r="BM167" s="16">
        <f t="shared" si="147"/>
        <v>0.25</v>
      </c>
      <c r="BN167" s="16">
        <f t="shared" si="148"/>
        <v>0</v>
      </c>
      <c r="BO167" s="16">
        <f t="shared" si="149"/>
        <v>1.25</v>
      </c>
      <c r="BP167" s="16">
        <f t="shared" si="150"/>
        <v>0.5</v>
      </c>
      <c r="BQ167" s="16">
        <f t="shared" si="151"/>
        <v>58.333300000000001</v>
      </c>
      <c r="BR167" s="16">
        <f t="shared" si="152"/>
        <v>33.333300000000001</v>
      </c>
      <c r="BS167" s="16">
        <f t="shared" si="153"/>
        <v>8.3332999999999995</v>
      </c>
      <c r="BT167" s="16">
        <f t="shared" si="154"/>
        <v>21.666699999999999</v>
      </c>
      <c r="BU167" s="16">
        <f t="shared" si="155"/>
        <v>0.58330000000000004</v>
      </c>
      <c r="BV167" s="16">
        <f t="shared" si="156"/>
        <v>62.934399999999997</v>
      </c>
      <c r="BW167" s="16">
        <f t="shared" si="157"/>
        <v>16.968</v>
      </c>
      <c r="BX167" s="16">
        <f t="shared" si="158"/>
        <v>37.065600000000003</v>
      </c>
      <c r="BY167" s="16">
        <f t="shared" si="159"/>
        <v>0</v>
      </c>
      <c r="BZ167" s="16">
        <f t="shared" si="160"/>
        <v>0</v>
      </c>
      <c r="CA167" s="16">
        <f t="shared" si="161"/>
        <v>0</v>
      </c>
      <c r="CB167" s="16">
        <f t="shared" si="162"/>
        <v>0</v>
      </c>
      <c r="CC167" s="16">
        <f t="shared" si="163"/>
        <v>0</v>
      </c>
    </row>
    <row r="168" spans="1:81" x14ac:dyDescent="0.25">
      <c r="A168">
        <v>161</v>
      </c>
      <c r="B168" s="16">
        <f t="shared" si="84"/>
        <v>16</v>
      </c>
      <c r="C168" s="16">
        <f t="shared" si="85"/>
        <v>8.2200000000000006</v>
      </c>
      <c r="D168" s="16">
        <f t="shared" si="86"/>
        <v>11.12</v>
      </c>
      <c r="E168" s="16">
        <f t="shared" si="87"/>
        <v>837</v>
      </c>
      <c r="F168" s="16">
        <f t="shared" si="88"/>
        <v>1358</v>
      </c>
      <c r="G168" s="16">
        <f t="shared" si="89"/>
        <v>657</v>
      </c>
      <c r="H168" s="16">
        <f t="shared" si="90"/>
        <v>2852</v>
      </c>
      <c r="I168" s="16">
        <f t="shared" si="91"/>
        <v>0.16830000000000001</v>
      </c>
      <c r="J168" s="16">
        <f t="shared" si="92"/>
        <v>2.65</v>
      </c>
      <c r="K168" s="16">
        <f t="shared" si="93"/>
        <v>3.9</v>
      </c>
      <c r="L168" s="16">
        <f t="shared" si="94"/>
        <v>3.2</v>
      </c>
      <c r="M168" s="16">
        <f t="shared" si="95"/>
        <v>3.25</v>
      </c>
      <c r="N168" s="16">
        <f t="shared" si="96"/>
        <v>1.1617</v>
      </c>
      <c r="O168" s="16">
        <f t="shared" si="97"/>
        <v>0.23250000000000001</v>
      </c>
      <c r="P168" s="16">
        <f t="shared" si="98"/>
        <v>0.28310000000000002</v>
      </c>
      <c r="Q168" s="16">
        <f t="shared" si="99"/>
        <v>0.23830000000000001</v>
      </c>
      <c r="R168" s="16">
        <f t="shared" si="100"/>
        <v>0.25219999999999998</v>
      </c>
      <c r="S168" s="16">
        <f t="shared" si="101"/>
        <v>0.1426</v>
      </c>
      <c r="T168" s="16">
        <f t="shared" si="102"/>
        <v>0.55000000000000004</v>
      </c>
      <c r="U168" s="16">
        <f t="shared" si="103"/>
        <v>0.69</v>
      </c>
      <c r="V168" s="16">
        <f t="shared" si="104"/>
        <v>0.52</v>
      </c>
      <c r="W168" s="16">
        <f t="shared" si="105"/>
        <v>0.69</v>
      </c>
      <c r="X168" s="16">
        <f t="shared" si="106"/>
        <v>12.888500000000001</v>
      </c>
      <c r="Y168" s="16">
        <f t="shared" si="107"/>
        <v>0</v>
      </c>
      <c r="Z168" s="16">
        <f t="shared" si="108"/>
        <v>10.8108</v>
      </c>
      <c r="AA168" s="16">
        <f t="shared" si="109"/>
        <v>0</v>
      </c>
      <c r="AB168" s="16">
        <f t="shared" si="110"/>
        <v>10.8108</v>
      </c>
      <c r="AC168" s="16">
        <f t="shared" si="111"/>
        <v>16.216200000000001</v>
      </c>
      <c r="AD168" s="16">
        <f t="shared" si="112"/>
        <v>72.972999999999999</v>
      </c>
      <c r="AE168" s="16">
        <f t="shared" si="113"/>
        <v>0</v>
      </c>
      <c r="AF168" s="16">
        <f t="shared" si="114"/>
        <v>89.1892</v>
      </c>
      <c r="AG168" s="16">
        <f t="shared" si="115"/>
        <v>72.972999999999999</v>
      </c>
      <c r="AH168" s="16">
        <f t="shared" si="116"/>
        <v>0.27179999999999999</v>
      </c>
      <c r="AI168" s="16">
        <f t="shared" si="117"/>
        <v>0.20499999999999999</v>
      </c>
      <c r="AJ168" s="16">
        <f t="shared" si="118"/>
        <v>0.2109</v>
      </c>
      <c r="AK168" s="16">
        <f t="shared" si="119"/>
        <v>0.22950000000000001</v>
      </c>
      <c r="AL168" s="16">
        <f t="shared" si="120"/>
        <v>0.16980000000000001</v>
      </c>
      <c r="AM168" s="16">
        <f t="shared" si="121"/>
        <v>0.54</v>
      </c>
      <c r="AN168" s="16">
        <f t="shared" si="122"/>
        <v>0.45</v>
      </c>
      <c r="AO168" s="16">
        <f t="shared" si="123"/>
        <v>0.6</v>
      </c>
      <c r="AP168" s="16">
        <f t="shared" si="124"/>
        <v>0.6</v>
      </c>
      <c r="AQ168" s="16">
        <f t="shared" si="125"/>
        <v>25</v>
      </c>
      <c r="AR168" s="16">
        <f t="shared" si="126"/>
        <v>0.45829999999999999</v>
      </c>
      <c r="AS168" s="16">
        <f t="shared" si="127"/>
        <v>12.5</v>
      </c>
      <c r="AT168" s="16">
        <f t="shared" si="128"/>
        <v>25</v>
      </c>
      <c r="AU168" s="16">
        <f t="shared" si="129"/>
        <v>50</v>
      </c>
      <c r="AV168" s="16">
        <f t="shared" si="130"/>
        <v>29.166699999999999</v>
      </c>
      <c r="AW168" s="16">
        <f t="shared" si="131"/>
        <v>45.833300000000001</v>
      </c>
      <c r="AX168" s="16">
        <f t="shared" si="132"/>
        <v>0.75</v>
      </c>
      <c r="AY168" s="16">
        <f t="shared" si="133"/>
        <v>16.666699999999999</v>
      </c>
      <c r="AZ168" s="16">
        <f t="shared" si="134"/>
        <v>0</v>
      </c>
      <c r="BA168" s="16">
        <f t="shared" si="135"/>
        <v>0</v>
      </c>
      <c r="BB168" s="16">
        <f t="shared" si="136"/>
        <v>0</v>
      </c>
      <c r="BC168" s="16">
        <f t="shared" si="137"/>
        <v>0</v>
      </c>
      <c r="BD168" s="16">
        <f t="shared" si="138"/>
        <v>0.45829999999999999</v>
      </c>
      <c r="BE168" s="16">
        <f t="shared" si="139"/>
        <v>0.5</v>
      </c>
      <c r="BF168" s="16">
        <f t="shared" si="140"/>
        <v>0.25</v>
      </c>
      <c r="BG168" s="16">
        <f t="shared" si="141"/>
        <v>0.25</v>
      </c>
      <c r="BH168" s="16">
        <f t="shared" si="142"/>
        <v>0.33329999999999999</v>
      </c>
      <c r="BI168" s="16">
        <f t="shared" si="143"/>
        <v>0.25</v>
      </c>
      <c r="BJ168" s="16">
        <f t="shared" si="144"/>
        <v>0.75</v>
      </c>
      <c r="BK168" s="16">
        <f t="shared" si="145"/>
        <v>0</v>
      </c>
      <c r="BL168" s="16">
        <f t="shared" si="146"/>
        <v>0.33329999999999999</v>
      </c>
      <c r="BM168" s="16">
        <f t="shared" si="147"/>
        <v>0</v>
      </c>
      <c r="BN168" s="16">
        <f t="shared" si="148"/>
        <v>1.25</v>
      </c>
      <c r="BO168" s="16">
        <f t="shared" si="149"/>
        <v>0.5</v>
      </c>
      <c r="BP168" s="16">
        <f t="shared" si="150"/>
        <v>0.58330000000000004</v>
      </c>
      <c r="BQ168" s="16">
        <f t="shared" si="151"/>
        <v>16.666699999999999</v>
      </c>
      <c r="BR168" s="16">
        <f t="shared" si="152"/>
        <v>79.166700000000006</v>
      </c>
      <c r="BS168" s="16">
        <f t="shared" si="153"/>
        <v>4.1666999999999996</v>
      </c>
      <c r="BT168" s="16">
        <f t="shared" si="154"/>
        <v>27.916699999999999</v>
      </c>
      <c r="BU168" s="16">
        <f t="shared" si="155"/>
        <v>0.91669999999999996</v>
      </c>
      <c r="BV168" s="16">
        <f t="shared" si="156"/>
        <v>93.018000000000001</v>
      </c>
      <c r="BW168" s="16">
        <f t="shared" si="157"/>
        <v>8.9837000000000007</v>
      </c>
      <c r="BX168" s="16">
        <f t="shared" si="158"/>
        <v>6.9820000000000002</v>
      </c>
      <c r="BY168" s="16">
        <f t="shared" si="159"/>
        <v>0</v>
      </c>
      <c r="BZ168" s="16">
        <f t="shared" si="160"/>
        <v>0</v>
      </c>
      <c r="CA168" s="16">
        <f t="shared" si="161"/>
        <v>0</v>
      </c>
      <c r="CB168" s="16">
        <f t="shared" si="162"/>
        <v>0</v>
      </c>
      <c r="CC168" s="16">
        <f t="shared" si="163"/>
        <v>0</v>
      </c>
    </row>
    <row r="169" spans="1:81" x14ac:dyDescent="0.25">
      <c r="A169">
        <v>178</v>
      </c>
      <c r="B169" s="16">
        <f t="shared" si="84"/>
        <v>19.600000000000001</v>
      </c>
      <c r="C169" s="16">
        <f t="shared" si="85"/>
        <v>8.4700000000000006</v>
      </c>
      <c r="D169" s="16">
        <f t="shared" si="86"/>
        <v>13.28</v>
      </c>
      <c r="E169" s="16">
        <f t="shared" si="87"/>
        <v>1893</v>
      </c>
      <c r="F169" s="16">
        <f t="shared" si="88"/>
        <v>1834</v>
      </c>
      <c r="G169" s="16">
        <f t="shared" si="89"/>
        <v>1528</v>
      </c>
      <c r="H169" s="16">
        <f t="shared" si="90"/>
        <v>5255</v>
      </c>
      <c r="I169" s="16">
        <f t="shared" si="91"/>
        <v>1.8953</v>
      </c>
      <c r="J169" s="16">
        <f t="shared" si="92"/>
        <v>4.2374999999999998</v>
      </c>
      <c r="K169" s="16">
        <f t="shared" si="93"/>
        <v>4.6500000000000004</v>
      </c>
      <c r="L169" s="16">
        <f t="shared" si="94"/>
        <v>5</v>
      </c>
      <c r="M169" s="16">
        <f t="shared" si="95"/>
        <v>4.6292</v>
      </c>
      <c r="N169" s="16">
        <f t="shared" si="96"/>
        <v>1.5887</v>
      </c>
      <c r="O169" s="16">
        <f t="shared" si="97"/>
        <v>0.31169999999999998</v>
      </c>
      <c r="P169" s="16">
        <f t="shared" si="98"/>
        <v>0.31330000000000002</v>
      </c>
      <c r="Q169" s="16">
        <f t="shared" si="99"/>
        <v>0.28670000000000001</v>
      </c>
      <c r="R169" s="16">
        <f t="shared" si="100"/>
        <v>0.3039</v>
      </c>
      <c r="S169" s="16">
        <f t="shared" si="101"/>
        <v>0.14030000000000001</v>
      </c>
      <c r="T169" s="16">
        <f t="shared" si="102"/>
        <v>0.5</v>
      </c>
      <c r="U169" s="16">
        <f t="shared" si="103"/>
        <v>0.74</v>
      </c>
      <c r="V169" s="16">
        <f t="shared" si="104"/>
        <v>0.52</v>
      </c>
      <c r="W169" s="16">
        <f t="shared" si="105"/>
        <v>0.74</v>
      </c>
      <c r="X169" s="16">
        <f t="shared" si="106"/>
        <v>15.2331</v>
      </c>
      <c r="Y169" s="16">
        <f t="shared" si="107"/>
        <v>0</v>
      </c>
      <c r="Z169" s="16">
        <f t="shared" si="108"/>
        <v>2.7778</v>
      </c>
      <c r="AA169" s="16">
        <f t="shared" si="109"/>
        <v>22.222200000000001</v>
      </c>
      <c r="AB169" s="16">
        <f t="shared" si="110"/>
        <v>25</v>
      </c>
      <c r="AC169" s="16">
        <f t="shared" si="111"/>
        <v>8.3332999999999995</v>
      </c>
      <c r="AD169" s="16">
        <f t="shared" si="112"/>
        <v>66.666700000000006</v>
      </c>
      <c r="AE169" s="16">
        <f t="shared" si="113"/>
        <v>0</v>
      </c>
      <c r="AF169" s="16">
        <f t="shared" si="114"/>
        <v>75</v>
      </c>
      <c r="AG169" s="16">
        <f t="shared" si="115"/>
        <v>66.666700000000006</v>
      </c>
      <c r="AH169" s="16">
        <f t="shared" si="116"/>
        <v>0.21329999999999999</v>
      </c>
      <c r="AI169" s="16">
        <f t="shared" si="117"/>
        <v>0.255</v>
      </c>
      <c r="AJ169" s="16">
        <f t="shared" si="118"/>
        <v>0.26669999999999999</v>
      </c>
      <c r="AK169" s="16">
        <f t="shared" si="119"/>
        <v>0.245</v>
      </c>
      <c r="AL169" s="16">
        <f t="shared" si="120"/>
        <v>0.16739999999999999</v>
      </c>
      <c r="AM169" s="16">
        <f t="shared" si="121"/>
        <v>0.48</v>
      </c>
      <c r="AN169" s="16">
        <f t="shared" si="122"/>
        <v>0.53</v>
      </c>
      <c r="AO169" s="16">
        <f t="shared" si="123"/>
        <v>0.56000000000000005</v>
      </c>
      <c r="AP169" s="16">
        <f t="shared" si="124"/>
        <v>0.56000000000000005</v>
      </c>
      <c r="AQ169" s="16">
        <f t="shared" si="125"/>
        <v>20.833300000000001</v>
      </c>
      <c r="AR169" s="16">
        <f t="shared" si="126"/>
        <v>0.5</v>
      </c>
      <c r="AS169" s="16">
        <f t="shared" si="127"/>
        <v>25</v>
      </c>
      <c r="AT169" s="16">
        <f t="shared" si="128"/>
        <v>37.5</v>
      </c>
      <c r="AU169" s="16">
        <f t="shared" si="129"/>
        <v>25</v>
      </c>
      <c r="AV169" s="16">
        <f t="shared" si="130"/>
        <v>29.166699999999999</v>
      </c>
      <c r="AW169" s="16">
        <f t="shared" si="131"/>
        <v>50</v>
      </c>
      <c r="AX169" s="16">
        <f t="shared" si="132"/>
        <v>1</v>
      </c>
      <c r="AY169" s="16">
        <f t="shared" si="133"/>
        <v>41.666699999999999</v>
      </c>
      <c r="AZ169" s="16">
        <f t="shared" si="134"/>
        <v>0.125</v>
      </c>
      <c r="BA169" s="16">
        <f t="shared" si="135"/>
        <v>0.75</v>
      </c>
      <c r="BB169" s="16">
        <f t="shared" si="136"/>
        <v>0.5</v>
      </c>
      <c r="BC169" s="16">
        <f t="shared" si="137"/>
        <v>0.45829999999999999</v>
      </c>
      <c r="BD169" s="16">
        <f t="shared" si="138"/>
        <v>0.95830000000000004</v>
      </c>
      <c r="BE169" s="16">
        <f t="shared" si="139"/>
        <v>1</v>
      </c>
      <c r="BF169" s="16">
        <f t="shared" si="140"/>
        <v>0.66669999999999996</v>
      </c>
      <c r="BG169" s="16">
        <f t="shared" si="141"/>
        <v>0</v>
      </c>
      <c r="BH169" s="16">
        <f t="shared" si="142"/>
        <v>0.54549999999999998</v>
      </c>
      <c r="BI169" s="16">
        <f t="shared" si="143"/>
        <v>0</v>
      </c>
      <c r="BJ169" s="16">
        <f t="shared" si="144"/>
        <v>0</v>
      </c>
      <c r="BK169" s="16">
        <f t="shared" si="145"/>
        <v>0.25</v>
      </c>
      <c r="BL169" s="16">
        <f t="shared" si="146"/>
        <v>8.3299999999999999E-2</v>
      </c>
      <c r="BM169" s="16">
        <f t="shared" si="147"/>
        <v>2</v>
      </c>
      <c r="BN169" s="16">
        <f t="shared" si="148"/>
        <v>1.75</v>
      </c>
      <c r="BO169" s="16">
        <f t="shared" si="149"/>
        <v>0.5</v>
      </c>
      <c r="BP169" s="16">
        <f t="shared" si="150"/>
        <v>1.4167000000000001</v>
      </c>
      <c r="BQ169" s="16">
        <f t="shared" si="151"/>
        <v>29.166699999999999</v>
      </c>
      <c r="BR169" s="16">
        <f t="shared" si="152"/>
        <v>54.166699999999999</v>
      </c>
      <c r="BS169" s="16">
        <f t="shared" si="153"/>
        <v>16.666699999999999</v>
      </c>
      <c r="BT169" s="16">
        <f t="shared" si="154"/>
        <v>31.875</v>
      </c>
      <c r="BU169" s="16">
        <f t="shared" si="155"/>
        <v>0.5</v>
      </c>
      <c r="BV169" s="16">
        <f t="shared" si="156"/>
        <v>55.200699999999998</v>
      </c>
      <c r="BW169" s="16">
        <f t="shared" si="157"/>
        <v>12.6739</v>
      </c>
      <c r="BX169" s="16">
        <f t="shared" si="158"/>
        <v>44.799300000000002</v>
      </c>
      <c r="BY169" s="16">
        <f t="shared" si="159"/>
        <v>0</v>
      </c>
      <c r="BZ169" s="16">
        <f t="shared" si="160"/>
        <v>0</v>
      </c>
      <c r="CA169" s="16">
        <f t="shared" si="161"/>
        <v>0</v>
      </c>
      <c r="CB169" s="16">
        <f t="shared" si="162"/>
        <v>0</v>
      </c>
      <c r="CC169" s="16">
        <f t="shared" si="163"/>
        <v>0</v>
      </c>
    </row>
    <row r="170" spans="1:81" x14ac:dyDescent="0.25">
      <c r="A170">
        <v>193</v>
      </c>
      <c r="B170" s="16">
        <f t="shared" si="84"/>
        <v>16.7</v>
      </c>
      <c r="C170" s="16">
        <f t="shared" si="85"/>
        <v>8.31</v>
      </c>
      <c r="D170" s="16">
        <f t="shared" si="86"/>
        <v>12.28</v>
      </c>
      <c r="E170" s="16">
        <f t="shared" si="87"/>
        <v>1110</v>
      </c>
      <c r="F170" s="16">
        <f t="shared" si="88"/>
        <v>1140</v>
      </c>
      <c r="G170" s="16">
        <f t="shared" si="89"/>
        <v>1886</v>
      </c>
      <c r="H170" s="16">
        <f t="shared" si="90"/>
        <v>4136</v>
      </c>
      <c r="I170" s="16">
        <f t="shared" si="91"/>
        <v>2.7128000000000001</v>
      </c>
      <c r="J170" s="16">
        <f t="shared" si="92"/>
        <v>7.4166999999999996</v>
      </c>
      <c r="K170" s="16">
        <f t="shared" si="93"/>
        <v>7.2625000000000002</v>
      </c>
      <c r="L170" s="16">
        <f t="shared" si="94"/>
        <v>7.8</v>
      </c>
      <c r="M170" s="16">
        <f t="shared" si="95"/>
        <v>7.5</v>
      </c>
      <c r="N170" s="16">
        <f t="shared" si="96"/>
        <v>2.9575999999999998</v>
      </c>
      <c r="O170" s="16">
        <f t="shared" si="97"/>
        <v>0.46929999999999999</v>
      </c>
      <c r="P170" s="16">
        <f t="shared" si="98"/>
        <v>0.45329999999999998</v>
      </c>
      <c r="Q170" s="16">
        <f t="shared" si="99"/>
        <v>0.21940000000000001</v>
      </c>
      <c r="R170" s="16">
        <f t="shared" si="100"/>
        <v>0.37509999999999999</v>
      </c>
      <c r="S170" s="16">
        <f t="shared" si="101"/>
        <v>0.28210000000000002</v>
      </c>
      <c r="T170" s="16">
        <f t="shared" si="102"/>
        <v>1.1000000000000001</v>
      </c>
      <c r="U170" s="16">
        <f t="shared" si="103"/>
        <v>0.86</v>
      </c>
      <c r="V170" s="16">
        <f t="shared" si="104"/>
        <v>0.6</v>
      </c>
      <c r="W170" s="16">
        <f t="shared" si="105"/>
        <v>1.1000000000000001</v>
      </c>
      <c r="X170" s="16">
        <f t="shared" si="106"/>
        <v>19.9941</v>
      </c>
      <c r="Y170" s="16">
        <f t="shared" si="107"/>
        <v>2.2222</v>
      </c>
      <c r="Z170" s="16">
        <f t="shared" si="108"/>
        <v>6.6666999999999996</v>
      </c>
      <c r="AA170" s="16">
        <f t="shared" si="109"/>
        <v>8.8888999999999996</v>
      </c>
      <c r="AB170" s="16">
        <f t="shared" si="110"/>
        <v>17.777799999999999</v>
      </c>
      <c r="AC170" s="16">
        <f t="shared" si="111"/>
        <v>0</v>
      </c>
      <c r="AD170" s="16">
        <f t="shared" si="112"/>
        <v>82.222200000000001</v>
      </c>
      <c r="AE170" s="16">
        <f t="shared" si="113"/>
        <v>0</v>
      </c>
      <c r="AF170" s="16">
        <f t="shared" si="114"/>
        <v>82.222200000000001</v>
      </c>
      <c r="AG170" s="16">
        <f t="shared" si="115"/>
        <v>82.222200000000001</v>
      </c>
      <c r="AH170" s="16">
        <f t="shared" si="116"/>
        <v>0.2364</v>
      </c>
      <c r="AI170" s="16">
        <f t="shared" si="117"/>
        <v>0.2336</v>
      </c>
      <c r="AJ170" s="16">
        <f t="shared" si="118"/>
        <v>0.4007</v>
      </c>
      <c r="AK170" s="16">
        <f t="shared" si="119"/>
        <v>0.31559999999999999</v>
      </c>
      <c r="AL170" s="16">
        <f t="shared" si="120"/>
        <v>0.26550000000000001</v>
      </c>
      <c r="AM170" s="16">
        <f t="shared" si="121"/>
        <v>0.54</v>
      </c>
      <c r="AN170" s="16">
        <f t="shared" si="122"/>
        <v>0.81</v>
      </c>
      <c r="AO170" s="16">
        <f t="shared" si="123"/>
        <v>1.1599999999999999</v>
      </c>
      <c r="AP170" s="16">
        <f t="shared" si="124"/>
        <v>1.1599999999999999</v>
      </c>
      <c r="AQ170" s="16">
        <f t="shared" si="125"/>
        <v>41.666699999999999</v>
      </c>
      <c r="AR170" s="16">
        <f t="shared" si="126"/>
        <v>0.29170000000000001</v>
      </c>
      <c r="AS170" s="16">
        <f t="shared" si="127"/>
        <v>50</v>
      </c>
      <c r="AT170" s="16">
        <f t="shared" si="128"/>
        <v>25</v>
      </c>
      <c r="AU170" s="16">
        <f t="shared" si="129"/>
        <v>12.5</v>
      </c>
      <c r="AV170" s="16">
        <f t="shared" si="130"/>
        <v>29.166699999999999</v>
      </c>
      <c r="AW170" s="16">
        <f t="shared" si="131"/>
        <v>41.666699999999999</v>
      </c>
      <c r="AX170" s="16">
        <f t="shared" si="132"/>
        <v>0.5</v>
      </c>
      <c r="AY170" s="16">
        <f t="shared" si="133"/>
        <v>16.666699999999999</v>
      </c>
      <c r="AZ170" s="16">
        <f t="shared" si="134"/>
        <v>0</v>
      </c>
      <c r="BA170" s="16">
        <f t="shared" si="135"/>
        <v>0.25</v>
      </c>
      <c r="BB170" s="16">
        <f t="shared" si="136"/>
        <v>0</v>
      </c>
      <c r="BC170" s="16">
        <f t="shared" si="137"/>
        <v>8.3299999999999999E-2</v>
      </c>
      <c r="BD170" s="16">
        <f t="shared" si="138"/>
        <v>0.33329999999999999</v>
      </c>
      <c r="BE170" s="16">
        <f t="shared" si="139"/>
        <v>0.5</v>
      </c>
      <c r="BF170" s="16">
        <f t="shared" si="140"/>
        <v>0</v>
      </c>
      <c r="BG170" s="16">
        <f t="shared" si="141"/>
        <v>0</v>
      </c>
      <c r="BH170" s="16">
        <f t="shared" si="142"/>
        <v>0.16669999999999999</v>
      </c>
      <c r="BI170" s="16">
        <f t="shared" si="143"/>
        <v>0.25</v>
      </c>
      <c r="BJ170" s="16">
        <f t="shared" si="144"/>
        <v>0.25</v>
      </c>
      <c r="BK170" s="16">
        <f t="shared" si="145"/>
        <v>0.25</v>
      </c>
      <c r="BL170" s="16">
        <f t="shared" si="146"/>
        <v>0.25</v>
      </c>
      <c r="BM170" s="16">
        <f t="shared" si="147"/>
        <v>1.75</v>
      </c>
      <c r="BN170" s="16">
        <f t="shared" si="148"/>
        <v>1.5</v>
      </c>
      <c r="BO170" s="16">
        <f t="shared" si="149"/>
        <v>0.75</v>
      </c>
      <c r="BP170" s="16">
        <f t="shared" si="150"/>
        <v>1.3332999999999999</v>
      </c>
      <c r="BQ170" s="16">
        <f t="shared" si="151"/>
        <v>45.833300000000001</v>
      </c>
      <c r="BR170" s="16">
        <f t="shared" si="152"/>
        <v>16.666699999999999</v>
      </c>
      <c r="BS170" s="16">
        <f t="shared" si="153"/>
        <v>33.333300000000001</v>
      </c>
      <c r="BT170" s="16">
        <f t="shared" si="154"/>
        <v>33.043500000000002</v>
      </c>
      <c r="BU170" s="16">
        <f t="shared" si="155"/>
        <v>0.79169999999999996</v>
      </c>
      <c r="BV170" s="16">
        <f t="shared" si="156"/>
        <v>59.534500000000001</v>
      </c>
      <c r="BW170" s="16">
        <f t="shared" si="157"/>
        <v>16.185500000000001</v>
      </c>
      <c r="BX170" s="16">
        <f t="shared" si="158"/>
        <v>40.465499999999999</v>
      </c>
      <c r="BY170" s="16">
        <f t="shared" si="159"/>
        <v>0</v>
      </c>
      <c r="BZ170" s="16">
        <f t="shared" si="160"/>
        <v>0</v>
      </c>
      <c r="CA170" s="16">
        <f t="shared" si="161"/>
        <v>0</v>
      </c>
      <c r="CB170" s="16">
        <f t="shared" si="162"/>
        <v>0</v>
      </c>
      <c r="CC170" s="16">
        <f t="shared" si="163"/>
        <v>0</v>
      </c>
    </row>
    <row r="171" spans="1:81" x14ac:dyDescent="0.25">
      <c r="A171">
        <v>201</v>
      </c>
      <c r="B171" s="16">
        <f t="shared" si="84"/>
        <v>16</v>
      </c>
      <c r="C171" s="16">
        <f t="shared" si="85"/>
        <v>8.6</v>
      </c>
      <c r="D171" s="16">
        <f t="shared" si="86"/>
        <v>12.35</v>
      </c>
      <c r="E171" s="16">
        <f t="shared" si="87"/>
        <v>1123</v>
      </c>
      <c r="F171" s="16">
        <f t="shared" si="88"/>
        <v>995</v>
      </c>
      <c r="G171" s="16">
        <f t="shared" si="89"/>
        <v>766</v>
      </c>
      <c r="H171" s="16">
        <f t="shared" si="90"/>
        <v>2884</v>
      </c>
      <c r="I171" s="16">
        <f t="shared" si="91"/>
        <v>2.1012</v>
      </c>
      <c r="J171" s="16">
        <f t="shared" si="92"/>
        <v>3.25</v>
      </c>
      <c r="K171" s="16">
        <f t="shared" si="93"/>
        <v>3.0625</v>
      </c>
      <c r="L171" s="16">
        <f t="shared" si="94"/>
        <v>2.4249999999999998</v>
      </c>
      <c r="M171" s="16">
        <f t="shared" si="95"/>
        <v>2.9125000000000001</v>
      </c>
      <c r="N171" s="16">
        <f t="shared" si="96"/>
        <v>1.2564</v>
      </c>
      <c r="O171" s="16">
        <f t="shared" si="97"/>
        <v>0.34289999999999998</v>
      </c>
      <c r="P171" s="16">
        <f t="shared" si="98"/>
        <v>0.31</v>
      </c>
      <c r="Q171" s="16">
        <f t="shared" si="99"/>
        <v>0.33500000000000002</v>
      </c>
      <c r="R171" s="16">
        <f t="shared" si="100"/>
        <v>0.32950000000000002</v>
      </c>
      <c r="S171" s="16">
        <f t="shared" si="101"/>
        <v>0.2351</v>
      </c>
      <c r="T171" s="16">
        <f t="shared" si="102"/>
        <v>0.6</v>
      </c>
      <c r="U171" s="16">
        <f t="shared" si="103"/>
        <v>0.52</v>
      </c>
      <c r="V171" s="16">
        <f t="shared" si="104"/>
        <v>1.4</v>
      </c>
      <c r="W171" s="16">
        <f t="shared" si="105"/>
        <v>1.4</v>
      </c>
      <c r="X171" s="16">
        <f t="shared" si="106"/>
        <v>8.8394999999999992</v>
      </c>
      <c r="Y171" s="16">
        <f t="shared" si="107"/>
        <v>0</v>
      </c>
      <c r="Z171" s="16">
        <f t="shared" si="108"/>
        <v>31.578900000000001</v>
      </c>
      <c r="AA171" s="16">
        <f t="shared" si="109"/>
        <v>2.6316000000000002</v>
      </c>
      <c r="AB171" s="16">
        <f t="shared" si="110"/>
        <v>34.210500000000003</v>
      </c>
      <c r="AC171" s="16">
        <f t="shared" si="111"/>
        <v>5.2632000000000003</v>
      </c>
      <c r="AD171" s="16">
        <f t="shared" si="112"/>
        <v>60.526299999999999</v>
      </c>
      <c r="AE171" s="16">
        <f t="shared" si="113"/>
        <v>0</v>
      </c>
      <c r="AF171" s="16">
        <f t="shared" si="114"/>
        <v>65.789500000000004</v>
      </c>
      <c r="AG171" s="16">
        <f t="shared" si="115"/>
        <v>60.526299999999999</v>
      </c>
      <c r="AH171" s="16">
        <f t="shared" si="116"/>
        <v>0.14360000000000001</v>
      </c>
      <c r="AI171" s="16">
        <f t="shared" si="117"/>
        <v>0.23849999999999999</v>
      </c>
      <c r="AJ171" s="16">
        <f t="shared" si="118"/>
        <v>0.29830000000000001</v>
      </c>
      <c r="AK171" s="16">
        <f t="shared" si="119"/>
        <v>0.2228</v>
      </c>
      <c r="AL171" s="16">
        <f t="shared" si="120"/>
        <v>0.25480000000000003</v>
      </c>
      <c r="AM171" s="16">
        <f t="shared" si="121"/>
        <v>1.03</v>
      </c>
      <c r="AN171" s="16">
        <f t="shared" si="122"/>
        <v>0.97</v>
      </c>
      <c r="AO171" s="16">
        <f t="shared" si="123"/>
        <v>0.72</v>
      </c>
      <c r="AP171" s="16">
        <f t="shared" si="124"/>
        <v>1.03</v>
      </c>
      <c r="AQ171" s="16">
        <f t="shared" si="125"/>
        <v>20.833300000000001</v>
      </c>
      <c r="AR171" s="16">
        <f t="shared" si="126"/>
        <v>0.41670000000000001</v>
      </c>
      <c r="AS171" s="16">
        <f t="shared" si="127"/>
        <v>62.5</v>
      </c>
      <c r="AT171" s="16">
        <f t="shared" si="128"/>
        <v>25</v>
      </c>
      <c r="AU171" s="16">
        <f t="shared" si="129"/>
        <v>25</v>
      </c>
      <c r="AV171" s="16">
        <f t="shared" si="130"/>
        <v>37.5</v>
      </c>
      <c r="AW171" s="16">
        <f t="shared" si="131"/>
        <v>41.666699999999999</v>
      </c>
      <c r="AX171" s="16">
        <f t="shared" si="132"/>
        <v>0.91669999999999996</v>
      </c>
      <c r="AY171" s="16">
        <f t="shared" si="133"/>
        <v>33.333300000000001</v>
      </c>
      <c r="AZ171" s="16">
        <f t="shared" si="134"/>
        <v>0.125</v>
      </c>
      <c r="BA171" s="16">
        <f t="shared" si="135"/>
        <v>0</v>
      </c>
      <c r="BB171" s="16">
        <f t="shared" si="136"/>
        <v>0.25</v>
      </c>
      <c r="BC171" s="16">
        <f t="shared" si="137"/>
        <v>0.125</v>
      </c>
      <c r="BD171" s="16">
        <f t="shared" si="138"/>
        <v>0.33329999999999999</v>
      </c>
      <c r="BE171" s="16">
        <f t="shared" si="139"/>
        <v>0</v>
      </c>
      <c r="BF171" s="16">
        <f t="shared" si="140"/>
        <v>0.75</v>
      </c>
      <c r="BG171" s="16">
        <f t="shared" si="141"/>
        <v>1</v>
      </c>
      <c r="BH171" s="16">
        <f t="shared" si="142"/>
        <v>0.58330000000000004</v>
      </c>
      <c r="BI171" s="16">
        <f t="shared" si="143"/>
        <v>0</v>
      </c>
      <c r="BJ171" s="16">
        <f t="shared" si="144"/>
        <v>1</v>
      </c>
      <c r="BK171" s="16">
        <f t="shared" si="145"/>
        <v>0.25</v>
      </c>
      <c r="BL171" s="16">
        <f t="shared" si="146"/>
        <v>0.41670000000000001</v>
      </c>
      <c r="BM171" s="16">
        <f t="shared" si="147"/>
        <v>2.5</v>
      </c>
      <c r="BN171" s="16">
        <f t="shared" si="148"/>
        <v>0.5</v>
      </c>
      <c r="BO171" s="16">
        <f t="shared" si="149"/>
        <v>0.75</v>
      </c>
      <c r="BP171" s="16">
        <f t="shared" si="150"/>
        <v>1.25</v>
      </c>
      <c r="BQ171" s="16">
        <f t="shared" si="151"/>
        <v>0</v>
      </c>
      <c r="BR171" s="16">
        <f t="shared" si="152"/>
        <v>70.833299999999994</v>
      </c>
      <c r="BS171" s="16">
        <f t="shared" si="153"/>
        <v>29.166699999999999</v>
      </c>
      <c r="BT171" s="16">
        <f t="shared" si="154"/>
        <v>44.583300000000001</v>
      </c>
      <c r="BU171" s="16">
        <f t="shared" si="155"/>
        <v>0.625</v>
      </c>
      <c r="BV171" s="16">
        <f t="shared" si="156"/>
        <v>89.268699999999995</v>
      </c>
      <c r="BW171" s="16">
        <f t="shared" si="157"/>
        <v>9.5869</v>
      </c>
      <c r="BX171" s="16">
        <f t="shared" si="158"/>
        <v>10.731299999999999</v>
      </c>
      <c r="BY171" s="16">
        <f t="shared" si="159"/>
        <v>0</v>
      </c>
      <c r="BZ171" s="16">
        <f t="shared" si="160"/>
        <v>0</v>
      </c>
      <c r="CA171" s="16">
        <f t="shared" si="161"/>
        <v>0</v>
      </c>
      <c r="CB171" s="16">
        <f t="shared" si="162"/>
        <v>0</v>
      </c>
      <c r="CC171" s="16">
        <f t="shared" si="163"/>
        <v>0</v>
      </c>
    </row>
    <row r="172" spans="1:81" x14ac:dyDescent="0.25">
      <c r="A172">
        <v>202</v>
      </c>
      <c r="B172" s="16">
        <f t="shared" si="84"/>
        <v>15.3</v>
      </c>
      <c r="C172" s="16">
        <f t="shared" si="85"/>
        <v>8.0500000000000007</v>
      </c>
      <c r="D172" s="16">
        <f t="shared" si="86"/>
        <v>11.21</v>
      </c>
      <c r="E172" s="16">
        <f t="shared" si="87"/>
        <v>638</v>
      </c>
      <c r="F172" s="16">
        <f t="shared" si="88"/>
        <v>368</v>
      </c>
      <c r="G172" s="16">
        <f t="shared" si="89"/>
        <v>370</v>
      </c>
      <c r="H172" s="16">
        <f t="shared" si="90"/>
        <v>1376</v>
      </c>
      <c r="I172" s="16">
        <f t="shared" si="91"/>
        <v>0</v>
      </c>
      <c r="J172" s="16">
        <f t="shared" si="92"/>
        <v>1.325</v>
      </c>
      <c r="K172" s="16">
        <f t="shared" si="93"/>
        <v>1.2749999999999999</v>
      </c>
      <c r="L172" s="16">
        <f t="shared" si="94"/>
        <v>1.65</v>
      </c>
      <c r="M172" s="16">
        <f t="shared" si="95"/>
        <v>1.4167000000000001</v>
      </c>
      <c r="N172" s="16">
        <f t="shared" si="96"/>
        <v>0.61339999999999995</v>
      </c>
      <c r="O172" s="16">
        <f t="shared" si="97"/>
        <v>0.29380000000000001</v>
      </c>
      <c r="P172" s="16">
        <f t="shared" si="98"/>
        <v>0.3175</v>
      </c>
      <c r="Q172" s="16">
        <f t="shared" si="99"/>
        <v>0.23</v>
      </c>
      <c r="R172" s="16">
        <f t="shared" si="100"/>
        <v>0.28039999999999998</v>
      </c>
      <c r="S172" s="16">
        <f t="shared" si="101"/>
        <v>0.1399</v>
      </c>
      <c r="T172" s="16">
        <f t="shared" si="102"/>
        <v>0.5</v>
      </c>
      <c r="U172" s="16">
        <f t="shared" si="103"/>
        <v>0.5</v>
      </c>
      <c r="V172" s="16">
        <f t="shared" si="104"/>
        <v>0.42</v>
      </c>
      <c r="W172" s="16">
        <f t="shared" si="105"/>
        <v>0.5</v>
      </c>
      <c r="X172" s="16">
        <f t="shared" si="106"/>
        <v>5.0519999999999996</v>
      </c>
      <c r="Y172" s="16">
        <f t="shared" si="107"/>
        <v>0</v>
      </c>
      <c r="Z172" s="16">
        <f t="shared" si="108"/>
        <v>45.833300000000001</v>
      </c>
      <c r="AA172" s="16">
        <f t="shared" si="109"/>
        <v>0</v>
      </c>
      <c r="AB172" s="16">
        <f t="shared" si="110"/>
        <v>45.833300000000001</v>
      </c>
      <c r="AC172" s="16">
        <f t="shared" si="111"/>
        <v>20.833300000000001</v>
      </c>
      <c r="AD172" s="16">
        <f t="shared" si="112"/>
        <v>33.333300000000001</v>
      </c>
      <c r="AE172" s="16">
        <f t="shared" si="113"/>
        <v>0</v>
      </c>
      <c r="AF172" s="16">
        <f t="shared" si="114"/>
        <v>54.166699999999999</v>
      </c>
      <c r="AG172" s="16">
        <f t="shared" si="115"/>
        <v>45.833300000000001</v>
      </c>
      <c r="AH172" s="16">
        <f t="shared" si="116"/>
        <v>4.2500000000000003E-2</v>
      </c>
      <c r="AI172" s="16">
        <f t="shared" si="117"/>
        <v>5.2499999999999998E-2</v>
      </c>
      <c r="AJ172" s="16">
        <f t="shared" si="118"/>
        <v>7.4999999999999997E-2</v>
      </c>
      <c r="AK172" s="16">
        <f t="shared" si="119"/>
        <v>5.67E-2</v>
      </c>
      <c r="AL172" s="16">
        <f t="shared" si="120"/>
        <v>5.4899999999999997E-2</v>
      </c>
      <c r="AM172" s="16">
        <f t="shared" si="121"/>
        <v>0.13</v>
      </c>
      <c r="AN172" s="16">
        <f t="shared" si="122"/>
        <v>0.12</v>
      </c>
      <c r="AO172" s="16">
        <f t="shared" si="123"/>
        <v>0.2</v>
      </c>
      <c r="AP172" s="16">
        <f t="shared" si="124"/>
        <v>0.2</v>
      </c>
      <c r="AQ172" s="16">
        <f t="shared" si="125"/>
        <v>12.5</v>
      </c>
      <c r="AR172" s="16">
        <f t="shared" si="126"/>
        <v>0.16669999999999999</v>
      </c>
      <c r="AS172" s="16">
        <f t="shared" si="127"/>
        <v>62.5</v>
      </c>
      <c r="AT172" s="16">
        <f t="shared" si="128"/>
        <v>87.5</v>
      </c>
      <c r="AU172" s="16">
        <f t="shared" si="129"/>
        <v>62.5</v>
      </c>
      <c r="AV172" s="16">
        <f t="shared" si="130"/>
        <v>70.833299999999994</v>
      </c>
      <c r="AW172" s="16">
        <f t="shared" si="131"/>
        <v>66.666700000000006</v>
      </c>
      <c r="AX172" s="16">
        <f t="shared" si="132"/>
        <v>0.41670000000000001</v>
      </c>
      <c r="AY172" s="16">
        <f t="shared" si="133"/>
        <v>16.666699999999999</v>
      </c>
      <c r="AZ172" s="16">
        <f t="shared" si="134"/>
        <v>0</v>
      </c>
      <c r="BA172" s="16">
        <f t="shared" si="135"/>
        <v>0</v>
      </c>
      <c r="BB172" s="16">
        <f t="shared" si="136"/>
        <v>0</v>
      </c>
      <c r="BC172" s="16">
        <f t="shared" si="137"/>
        <v>0</v>
      </c>
      <c r="BD172" s="16">
        <f t="shared" si="138"/>
        <v>4.1700000000000001E-2</v>
      </c>
      <c r="BE172" s="16">
        <f t="shared" si="139"/>
        <v>1.25</v>
      </c>
      <c r="BF172" s="16">
        <f t="shared" si="140"/>
        <v>1.5</v>
      </c>
      <c r="BG172" s="16">
        <f t="shared" si="141"/>
        <v>0.75</v>
      </c>
      <c r="BH172" s="16">
        <f t="shared" si="142"/>
        <v>1.1667000000000001</v>
      </c>
      <c r="BI172" s="16">
        <f t="shared" si="143"/>
        <v>0</v>
      </c>
      <c r="BJ172" s="16">
        <f t="shared" si="144"/>
        <v>0</v>
      </c>
      <c r="BK172" s="16">
        <f t="shared" si="145"/>
        <v>0</v>
      </c>
      <c r="BL172" s="16">
        <f t="shared" si="146"/>
        <v>0</v>
      </c>
      <c r="BM172" s="16">
        <f t="shared" si="147"/>
        <v>2.25</v>
      </c>
      <c r="BN172" s="16">
        <f t="shared" si="148"/>
        <v>3.25</v>
      </c>
      <c r="BO172" s="16">
        <f t="shared" si="149"/>
        <v>2.5</v>
      </c>
      <c r="BP172" s="16">
        <f t="shared" si="150"/>
        <v>2.6667000000000001</v>
      </c>
      <c r="BQ172" s="16">
        <f t="shared" si="151"/>
        <v>0</v>
      </c>
      <c r="BR172" s="16">
        <f t="shared" si="152"/>
        <v>54.166699999999999</v>
      </c>
      <c r="BS172" s="16">
        <f t="shared" si="153"/>
        <v>45.833300000000001</v>
      </c>
      <c r="BT172" s="16">
        <f t="shared" si="154"/>
        <v>47.291699999999999</v>
      </c>
      <c r="BU172" s="16">
        <f t="shared" si="155"/>
        <v>0.58330000000000004</v>
      </c>
      <c r="BV172" s="16">
        <f t="shared" si="156"/>
        <v>88.513499999999993</v>
      </c>
      <c r="BW172" s="16">
        <f t="shared" si="157"/>
        <v>10.872199999999999</v>
      </c>
      <c r="BX172" s="16">
        <f t="shared" si="158"/>
        <v>11.486499999999999</v>
      </c>
      <c r="BY172" s="16">
        <f t="shared" si="159"/>
        <v>0</v>
      </c>
      <c r="BZ172" s="16">
        <f t="shared" si="160"/>
        <v>0</v>
      </c>
      <c r="CA172" s="16">
        <f t="shared" si="161"/>
        <v>0</v>
      </c>
      <c r="CB172" s="16">
        <f t="shared" si="162"/>
        <v>0</v>
      </c>
      <c r="CC172" s="16">
        <f t="shared" si="163"/>
        <v>0</v>
      </c>
    </row>
    <row r="173" spans="1:81" x14ac:dyDescent="0.25">
      <c r="A173">
        <v>203</v>
      </c>
      <c r="B173" s="16">
        <f t="shared" si="84"/>
        <v>11.5</v>
      </c>
      <c r="C173" s="16">
        <f t="shared" si="85"/>
        <v>7.53</v>
      </c>
      <c r="D173" s="16">
        <f t="shared" si="86"/>
        <v>10.94</v>
      </c>
      <c r="E173" s="16">
        <f t="shared" si="87"/>
        <v>1509</v>
      </c>
      <c r="F173" s="16">
        <f t="shared" si="88"/>
        <v>789</v>
      </c>
      <c r="G173" s="16">
        <f t="shared" si="89"/>
        <v>1427</v>
      </c>
      <c r="H173" s="16">
        <f t="shared" si="90"/>
        <v>3725</v>
      </c>
      <c r="I173" s="16">
        <f t="shared" si="91"/>
        <v>0.59599999999999997</v>
      </c>
      <c r="J173" s="16">
        <f t="shared" si="92"/>
        <v>6.8250000000000002</v>
      </c>
      <c r="K173" s="16">
        <f t="shared" si="93"/>
        <v>6.2</v>
      </c>
      <c r="L173" s="16">
        <f t="shared" si="94"/>
        <v>6.2750000000000004</v>
      </c>
      <c r="M173" s="16">
        <f t="shared" si="95"/>
        <v>6.4333</v>
      </c>
      <c r="N173" s="16">
        <f t="shared" si="96"/>
        <v>1.6833</v>
      </c>
      <c r="O173" s="16">
        <f t="shared" si="97"/>
        <v>0.42</v>
      </c>
      <c r="P173" s="16">
        <f t="shared" si="98"/>
        <v>0.38379999999999997</v>
      </c>
      <c r="Q173" s="16">
        <f t="shared" si="99"/>
        <v>0.43690000000000001</v>
      </c>
      <c r="R173" s="16">
        <f t="shared" si="100"/>
        <v>0.41349999999999998</v>
      </c>
      <c r="S173" s="16">
        <f t="shared" si="101"/>
        <v>0.20330000000000001</v>
      </c>
      <c r="T173" s="16">
        <f t="shared" si="102"/>
        <v>0.74</v>
      </c>
      <c r="U173" s="16">
        <f t="shared" si="103"/>
        <v>0.68</v>
      </c>
      <c r="V173" s="16">
        <f t="shared" si="104"/>
        <v>1</v>
      </c>
      <c r="W173" s="16">
        <f t="shared" si="105"/>
        <v>1</v>
      </c>
      <c r="X173" s="16">
        <f t="shared" si="106"/>
        <v>15.556699999999999</v>
      </c>
      <c r="Y173" s="16">
        <f t="shared" si="107"/>
        <v>8.5106000000000002</v>
      </c>
      <c r="Z173" s="16">
        <f t="shared" si="108"/>
        <v>0</v>
      </c>
      <c r="AA173" s="16">
        <f t="shared" si="109"/>
        <v>4.2553000000000001</v>
      </c>
      <c r="AB173" s="16">
        <f t="shared" si="110"/>
        <v>12.766</v>
      </c>
      <c r="AC173" s="16">
        <f t="shared" si="111"/>
        <v>10.638299999999999</v>
      </c>
      <c r="AD173" s="16">
        <f t="shared" si="112"/>
        <v>76.595699999999994</v>
      </c>
      <c r="AE173" s="16">
        <f t="shared" si="113"/>
        <v>0</v>
      </c>
      <c r="AF173" s="16">
        <f t="shared" si="114"/>
        <v>87.233999999999995</v>
      </c>
      <c r="AG173" s="16">
        <f t="shared" si="115"/>
        <v>76.595699999999994</v>
      </c>
      <c r="AH173" s="16">
        <f t="shared" si="116"/>
        <v>0.2833</v>
      </c>
      <c r="AI173" s="16">
        <f t="shared" si="117"/>
        <v>0.34329999999999999</v>
      </c>
      <c r="AJ173" s="16">
        <f t="shared" si="118"/>
        <v>0.39800000000000002</v>
      </c>
      <c r="AK173" s="16">
        <f t="shared" si="119"/>
        <v>0.34939999999999999</v>
      </c>
      <c r="AL173" s="16">
        <f t="shared" si="120"/>
        <v>0.21240000000000001</v>
      </c>
      <c r="AM173" s="16">
        <f t="shared" si="121"/>
        <v>0.62</v>
      </c>
      <c r="AN173" s="16">
        <f t="shared" si="122"/>
        <v>0.71</v>
      </c>
      <c r="AO173" s="16">
        <f t="shared" si="123"/>
        <v>0.87</v>
      </c>
      <c r="AP173" s="16">
        <f t="shared" si="124"/>
        <v>0.87</v>
      </c>
      <c r="AQ173" s="16">
        <f t="shared" si="125"/>
        <v>45.833300000000001</v>
      </c>
      <c r="AR173" s="16">
        <f t="shared" si="126"/>
        <v>0.5</v>
      </c>
      <c r="AS173" s="16">
        <f t="shared" si="127"/>
        <v>0</v>
      </c>
      <c r="AT173" s="16">
        <f t="shared" si="128"/>
        <v>12.5</v>
      </c>
      <c r="AU173" s="16">
        <f t="shared" si="129"/>
        <v>0</v>
      </c>
      <c r="AV173" s="16">
        <f t="shared" si="130"/>
        <v>4.1666999999999996</v>
      </c>
      <c r="AW173" s="16">
        <f t="shared" si="131"/>
        <v>50</v>
      </c>
      <c r="AX173" s="16">
        <f t="shared" si="132"/>
        <v>1.5</v>
      </c>
      <c r="AY173" s="16">
        <f t="shared" si="133"/>
        <v>50</v>
      </c>
      <c r="AZ173" s="16">
        <f t="shared" si="134"/>
        <v>1.25</v>
      </c>
      <c r="BA173" s="16">
        <f t="shared" si="135"/>
        <v>0.375</v>
      </c>
      <c r="BB173" s="16">
        <f t="shared" si="136"/>
        <v>0.25</v>
      </c>
      <c r="BC173" s="16">
        <f t="shared" si="137"/>
        <v>0.625</v>
      </c>
      <c r="BD173" s="16">
        <f t="shared" si="138"/>
        <v>1</v>
      </c>
      <c r="BE173" s="16">
        <f t="shared" si="139"/>
        <v>0.5</v>
      </c>
      <c r="BF173" s="16">
        <f t="shared" si="140"/>
        <v>1.5</v>
      </c>
      <c r="BG173" s="16">
        <f t="shared" si="141"/>
        <v>0.75</v>
      </c>
      <c r="BH173" s="16">
        <f t="shared" si="142"/>
        <v>0.91669999999999996</v>
      </c>
      <c r="BI173" s="16">
        <f t="shared" si="143"/>
        <v>0</v>
      </c>
      <c r="BJ173" s="16">
        <f t="shared" si="144"/>
        <v>0.5</v>
      </c>
      <c r="BK173" s="16">
        <f t="shared" si="145"/>
        <v>0.25</v>
      </c>
      <c r="BL173" s="16">
        <f t="shared" si="146"/>
        <v>0.25</v>
      </c>
      <c r="BM173" s="16">
        <f t="shared" si="147"/>
        <v>0.75</v>
      </c>
      <c r="BN173" s="16">
        <f t="shared" si="148"/>
        <v>0</v>
      </c>
      <c r="BO173" s="16">
        <f t="shared" si="149"/>
        <v>1.25</v>
      </c>
      <c r="BP173" s="16">
        <f t="shared" si="150"/>
        <v>0.66669999999999996</v>
      </c>
      <c r="BQ173" s="16">
        <f t="shared" si="151"/>
        <v>8.3332999999999995</v>
      </c>
      <c r="BR173" s="16">
        <f t="shared" si="152"/>
        <v>75</v>
      </c>
      <c r="BS173" s="16">
        <f t="shared" si="153"/>
        <v>16.666699999999999</v>
      </c>
      <c r="BT173" s="16">
        <f t="shared" si="154"/>
        <v>40.625</v>
      </c>
      <c r="BU173" s="16">
        <f t="shared" si="155"/>
        <v>1.4582999999999999</v>
      </c>
      <c r="BV173" s="16">
        <f t="shared" si="156"/>
        <v>60.8108</v>
      </c>
      <c r="BW173" s="16">
        <f t="shared" si="157"/>
        <v>14.531700000000001</v>
      </c>
      <c r="BX173" s="16">
        <f t="shared" si="158"/>
        <v>39.1892</v>
      </c>
      <c r="BY173" s="16">
        <f t="shared" si="159"/>
        <v>0</v>
      </c>
      <c r="BZ173" s="16">
        <f t="shared" si="160"/>
        <v>0</v>
      </c>
      <c r="CA173" s="16">
        <f t="shared" si="161"/>
        <v>0</v>
      </c>
      <c r="CB173" s="16">
        <f t="shared" si="162"/>
        <v>0</v>
      </c>
      <c r="CC173" s="16">
        <f t="shared" si="163"/>
        <v>0</v>
      </c>
    </row>
    <row r="174" spans="1:81" x14ac:dyDescent="0.25">
      <c r="A174">
        <v>204</v>
      </c>
      <c r="B174" s="16">
        <f t="shared" si="84"/>
        <v>12.5</v>
      </c>
      <c r="C174" s="16">
        <f t="shared" si="85"/>
        <v>8.09</v>
      </c>
      <c r="D174" s="16">
        <f t="shared" si="86"/>
        <v>9.7899999999999991</v>
      </c>
      <c r="E174" s="16">
        <f t="shared" si="87"/>
        <v>1775</v>
      </c>
      <c r="F174" s="16">
        <f t="shared" si="88"/>
        <v>1830</v>
      </c>
      <c r="G174" s="16">
        <f t="shared" si="89"/>
        <v>1720</v>
      </c>
      <c r="H174" s="16">
        <f t="shared" si="90"/>
        <v>5325</v>
      </c>
      <c r="I174" s="16">
        <f t="shared" si="91"/>
        <v>1.7577</v>
      </c>
      <c r="J174" s="16">
        <f t="shared" si="92"/>
        <v>5</v>
      </c>
      <c r="K174" s="16">
        <f t="shared" si="93"/>
        <v>4.3624999999999998</v>
      </c>
      <c r="L174" s="16">
        <f t="shared" si="94"/>
        <v>4.2750000000000004</v>
      </c>
      <c r="M174" s="16">
        <f t="shared" si="95"/>
        <v>4.5457999999999998</v>
      </c>
      <c r="N174" s="16">
        <f t="shared" si="96"/>
        <v>1.5511999999999999</v>
      </c>
      <c r="O174" s="16">
        <f t="shared" si="97"/>
        <v>0.30249999999999999</v>
      </c>
      <c r="P174" s="16">
        <f t="shared" si="98"/>
        <v>0.3725</v>
      </c>
      <c r="Q174" s="16">
        <f t="shared" si="99"/>
        <v>0.58250000000000002</v>
      </c>
      <c r="R174" s="16">
        <f t="shared" si="100"/>
        <v>0.41920000000000002</v>
      </c>
      <c r="S174" s="16">
        <f t="shared" si="101"/>
        <v>0.26950000000000002</v>
      </c>
      <c r="T174" s="16">
        <f t="shared" si="102"/>
        <v>0.86</v>
      </c>
      <c r="U174" s="16">
        <f t="shared" si="103"/>
        <v>0.6</v>
      </c>
      <c r="V174" s="16">
        <f t="shared" si="104"/>
        <v>0.92</v>
      </c>
      <c r="W174" s="16">
        <f t="shared" si="105"/>
        <v>0.92</v>
      </c>
      <c r="X174" s="16">
        <f t="shared" si="106"/>
        <v>10.844900000000001</v>
      </c>
      <c r="Y174" s="16">
        <f t="shared" si="107"/>
        <v>0</v>
      </c>
      <c r="Z174" s="16">
        <f t="shared" si="108"/>
        <v>25</v>
      </c>
      <c r="AA174" s="16">
        <f t="shared" si="109"/>
        <v>0</v>
      </c>
      <c r="AB174" s="16">
        <f t="shared" si="110"/>
        <v>25</v>
      </c>
      <c r="AC174" s="16">
        <f t="shared" si="111"/>
        <v>0</v>
      </c>
      <c r="AD174" s="16">
        <f t="shared" si="112"/>
        <v>75</v>
      </c>
      <c r="AE174" s="16">
        <f t="shared" si="113"/>
        <v>0</v>
      </c>
      <c r="AF174" s="16">
        <f t="shared" si="114"/>
        <v>75</v>
      </c>
      <c r="AG174" s="16">
        <f t="shared" si="115"/>
        <v>75</v>
      </c>
      <c r="AH174" s="16">
        <f t="shared" si="116"/>
        <v>0.21</v>
      </c>
      <c r="AI174" s="16">
        <f t="shared" si="117"/>
        <v>0.20250000000000001</v>
      </c>
      <c r="AJ174" s="16">
        <f t="shared" si="118"/>
        <v>0.20380000000000001</v>
      </c>
      <c r="AK174" s="16">
        <f t="shared" si="119"/>
        <v>0.2054</v>
      </c>
      <c r="AL174" s="16">
        <f t="shared" si="120"/>
        <v>0.22459999999999999</v>
      </c>
      <c r="AM174" s="16">
        <f t="shared" si="121"/>
        <v>0.41</v>
      </c>
      <c r="AN174" s="16">
        <f t="shared" si="122"/>
        <v>0.61</v>
      </c>
      <c r="AO174" s="16">
        <f t="shared" si="123"/>
        <v>0.89</v>
      </c>
      <c r="AP174" s="16">
        <f t="shared" si="124"/>
        <v>0.89</v>
      </c>
      <c r="AQ174" s="16">
        <f t="shared" si="125"/>
        <v>20.833300000000001</v>
      </c>
      <c r="AR174" s="16">
        <f t="shared" si="126"/>
        <v>0.25</v>
      </c>
      <c r="AS174" s="16">
        <f t="shared" si="127"/>
        <v>37.5</v>
      </c>
      <c r="AT174" s="16">
        <f t="shared" si="128"/>
        <v>62.5</v>
      </c>
      <c r="AU174" s="16">
        <f t="shared" si="129"/>
        <v>62.5</v>
      </c>
      <c r="AV174" s="16">
        <f t="shared" si="130"/>
        <v>54.166699999999999</v>
      </c>
      <c r="AW174" s="16">
        <f t="shared" si="131"/>
        <v>50</v>
      </c>
      <c r="AX174" s="16">
        <f t="shared" si="132"/>
        <v>0.58330000000000004</v>
      </c>
      <c r="AY174" s="16">
        <f t="shared" si="133"/>
        <v>25</v>
      </c>
      <c r="AZ174" s="16">
        <f t="shared" si="134"/>
        <v>0.125</v>
      </c>
      <c r="BA174" s="16">
        <f t="shared" si="135"/>
        <v>0.125</v>
      </c>
      <c r="BB174" s="16">
        <f t="shared" si="136"/>
        <v>0.125</v>
      </c>
      <c r="BC174" s="16">
        <f t="shared" si="137"/>
        <v>0.125</v>
      </c>
      <c r="BD174" s="16">
        <f t="shared" si="138"/>
        <v>1</v>
      </c>
      <c r="BE174" s="16">
        <f t="shared" si="139"/>
        <v>0.75</v>
      </c>
      <c r="BF174" s="16">
        <f t="shared" si="140"/>
        <v>1</v>
      </c>
      <c r="BG174" s="16">
        <f t="shared" si="141"/>
        <v>1.25</v>
      </c>
      <c r="BH174" s="16">
        <f t="shared" si="142"/>
        <v>1</v>
      </c>
      <c r="BI174" s="16">
        <f t="shared" si="143"/>
        <v>0.25</v>
      </c>
      <c r="BJ174" s="16">
        <f t="shared" si="144"/>
        <v>0</v>
      </c>
      <c r="BK174" s="16">
        <f t="shared" si="145"/>
        <v>0</v>
      </c>
      <c r="BL174" s="16">
        <f t="shared" si="146"/>
        <v>8.3299999999999999E-2</v>
      </c>
      <c r="BM174" s="16">
        <f t="shared" si="147"/>
        <v>3</v>
      </c>
      <c r="BN174" s="16">
        <f t="shared" si="148"/>
        <v>2.25</v>
      </c>
      <c r="BO174" s="16">
        <f t="shared" si="149"/>
        <v>3.25</v>
      </c>
      <c r="BP174" s="16">
        <f t="shared" si="150"/>
        <v>2.8332999999999999</v>
      </c>
      <c r="BQ174" s="16">
        <f t="shared" si="151"/>
        <v>4.1666999999999996</v>
      </c>
      <c r="BR174" s="16">
        <f t="shared" si="152"/>
        <v>54.166699999999999</v>
      </c>
      <c r="BS174" s="16">
        <f t="shared" si="153"/>
        <v>41.666699999999999</v>
      </c>
      <c r="BT174" s="16">
        <f t="shared" si="154"/>
        <v>48.75</v>
      </c>
      <c r="BU174" s="16">
        <f t="shared" si="155"/>
        <v>0.91669999999999996</v>
      </c>
      <c r="BV174" s="16">
        <f t="shared" si="156"/>
        <v>34.384399999999999</v>
      </c>
      <c r="BW174" s="16">
        <f t="shared" si="157"/>
        <v>14.290100000000001</v>
      </c>
      <c r="BX174" s="16">
        <f t="shared" si="158"/>
        <v>65.615600000000001</v>
      </c>
      <c r="BY174" s="16">
        <f t="shared" si="159"/>
        <v>0</v>
      </c>
      <c r="BZ174" s="16">
        <f t="shared" si="160"/>
        <v>0</v>
      </c>
      <c r="CA174" s="16">
        <f t="shared" si="161"/>
        <v>0</v>
      </c>
      <c r="CB174" s="16">
        <f t="shared" si="162"/>
        <v>0</v>
      </c>
      <c r="CC174" s="16">
        <f t="shared" si="163"/>
        <v>0</v>
      </c>
    </row>
    <row r="175" spans="1:81" x14ac:dyDescent="0.25">
      <c r="A175">
        <v>5</v>
      </c>
      <c r="B175" s="16">
        <f t="shared" si="84"/>
        <v>16.899999999999999</v>
      </c>
      <c r="C175" s="16">
        <f t="shared" si="85"/>
        <v>8.4600000000000009</v>
      </c>
      <c r="D175" s="16">
        <f t="shared" si="86"/>
        <v>12.22</v>
      </c>
      <c r="E175" s="16">
        <f t="shared" si="87"/>
        <v>593</v>
      </c>
      <c r="F175" s="16">
        <f t="shared" si="88"/>
        <v>713</v>
      </c>
      <c r="G175" s="16">
        <f t="shared" si="89"/>
        <v>653</v>
      </c>
      <c r="H175" s="16">
        <f t="shared" si="90"/>
        <v>1959</v>
      </c>
      <c r="I175" s="16">
        <f t="shared" si="91"/>
        <v>6.13E-2</v>
      </c>
      <c r="J175" s="16">
        <f t="shared" si="92"/>
        <v>2.4500000000000002</v>
      </c>
      <c r="K175" s="16">
        <f t="shared" si="93"/>
        <v>2.7</v>
      </c>
      <c r="L175" s="16">
        <f t="shared" si="94"/>
        <v>3.5</v>
      </c>
      <c r="M175" s="16">
        <f t="shared" si="95"/>
        <v>2.8833000000000002</v>
      </c>
      <c r="N175" s="16">
        <f t="shared" si="96"/>
        <v>0.96079999999999999</v>
      </c>
      <c r="O175" s="16">
        <f t="shared" si="97"/>
        <v>0.1183</v>
      </c>
      <c r="P175" s="16">
        <f t="shared" si="98"/>
        <v>0.13500000000000001</v>
      </c>
      <c r="Q175" s="16">
        <f t="shared" si="99"/>
        <v>0.185</v>
      </c>
      <c r="R175" s="16">
        <f t="shared" si="100"/>
        <v>0.14610000000000001</v>
      </c>
      <c r="S175" s="16">
        <f t="shared" si="101"/>
        <v>7.9100000000000004E-2</v>
      </c>
      <c r="T175" s="16">
        <f t="shared" si="102"/>
        <v>0.3</v>
      </c>
      <c r="U175" s="16">
        <f t="shared" si="103"/>
        <v>0.34</v>
      </c>
      <c r="V175" s="16">
        <f t="shared" si="104"/>
        <v>0.36</v>
      </c>
      <c r="W175" s="16">
        <f t="shared" si="105"/>
        <v>0.36</v>
      </c>
      <c r="X175" s="16">
        <f t="shared" si="106"/>
        <v>19.733799999999999</v>
      </c>
      <c r="Y175" s="16">
        <f t="shared" si="107"/>
        <v>5.5556000000000001</v>
      </c>
      <c r="Z175" s="16">
        <f t="shared" si="108"/>
        <v>13.8889</v>
      </c>
      <c r="AA175" s="16">
        <f t="shared" si="109"/>
        <v>0</v>
      </c>
      <c r="AB175" s="16">
        <f t="shared" si="110"/>
        <v>19.444400000000002</v>
      </c>
      <c r="AC175" s="16">
        <f t="shared" si="111"/>
        <v>2.7778</v>
      </c>
      <c r="AD175" s="16">
        <f t="shared" si="112"/>
        <v>77.777799999999999</v>
      </c>
      <c r="AE175" s="16">
        <f t="shared" si="113"/>
        <v>0</v>
      </c>
      <c r="AF175" s="16">
        <f t="shared" si="114"/>
        <v>80.555599999999998</v>
      </c>
      <c r="AG175" s="16">
        <f t="shared" si="115"/>
        <v>77.777799999999999</v>
      </c>
      <c r="AH175" s="16">
        <f t="shared" si="116"/>
        <v>0.22090000000000001</v>
      </c>
      <c r="AI175" s="16">
        <f t="shared" si="117"/>
        <v>0.12640000000000001</v>
      </c>
      <c r="AJ175" s="16">
        <f t="shared" si="118"/>
        <v>0.1091</v>
      </c>
      <c r="AK175" s="16">
        <f t="shared" si="119"/>
        <v>0.15</v>
      </c>
      <c r="AL175" s="16">
        <f t="shared" si="120"/>
        <v>0.17649999999999999</v>
      </c>
      <c r="AM175" s="16">
        <f t="shared" si="121"/>
        <v>0.69</v>
      </c>
      <c r="AN175" s="16">
        <f t="shared" si="122"/>
        <v>0.51</v>
      </c>
      <c r="AO175" s="16">
        <f t="shared" si="123"/>
        <v>0.41</v>
      </c>
      <c r="AP175" s="16">
        <f t="shared" si="124"/>
        <v>0.69</v>
      </c>
      <c r="AQ175" s="16">
        <f t="shared" si="125"/>
        <v>20.833300000000001</v>
      </c>
      <c r="AR175" s="16">
        <f t="shared" si="126"/>
        <v>0.20830000000000001</v>
      </c>
      <c r="AS175" s="16">
        <f t="shared" si="127"/>
        <v>37.5</v>
      </c>
      <c r="AT175" s="16">
        <f t="shared" si="128"/>
        <v>75</v>
      </c>
      <c r="AU175" s="16">
        <f t="shared" si="129"/>
        <v>62.5</v>
      </c>
      <c r="AV175" s="16">
        <f t="shared" si="130"/>
        <v>58.333300000000001</v>
      </c>
      <c r="AW175" s="16">
        <f t="shared" si="131"/>
        <v>33.333300000000001</v>
      </c>
      <c r="AX175" s="16">
        <f t="shared" si="132"/>
        <v>1</v>
      </c>
      <c r="AY175" s="16">
        <f t="shared" si="133"/>
        <v>16.666699999999999</v>
      </c>
      <c r="AZ175" s="16">
        <f t="shared" si="134"/>
        <v>0.5</v>
      </c>
      <c r="BA175" s="16">
        <f t="shared" si="135"/>
        <v>0.625</v>
      </c>
      <c r="BB175" s="16">
        <f t="shared" si="136"/>
        <v>0.75</v>
      </c>
      <c r="BC175" s="16">
        <f t="shared" si="137"/>
        <v>0.625</v>
      </c>
      <c r="BD175" s="16">
        <f t="shared" si="138"/>
        <v>1.0832999999999999</v>
      </c>
      <c r="BE175" s="16">
        <f t="shared" si="139"/>
        <v>0.25</v>
      </c>
      <c r="BF175" s="16">
        <f t="shared" si="140"/>
        <v>0</v>
      </c>
      <c r="BG175" s="16">
        <f t="shared" si="141"/>
        <v>0</v>
      </c>
      <c r="BH175" s="16">
        <f t="shared" si="142"/>
        <v>8.3299999999999999E-2</v>
      </c>
      <c r="BI175" s="16">
        <f t="shared" si="143"/>
        <v>1.25</v>
      </c>
      <c r="BJ175" s="16">
        <f t="shared" si="144"/>
        <v>0.75</v>
      </c>
      <c r="BK175" s="16">
        <f t="shared" si="145"/>
        <v>1.5</v>
      </c>
      <c r="BL175" s="16">
        <f t="shared" si="146"/>
        <v>1.1667000000000001</v>
      </c>
      <c r="BM175" s="16">
        <f t="shared" si="147"/>
        <v>0.25</v>
      </c>
      <c r="BN175" s="16">
        <f t="shared" si="148"/>
        <v>0.5</v>
      </c>
      <c r="BO175" s="16">
        <f t="shared" si="149"/>
        <v>1</v>
      </c>
      <c r="BP175" s="16">
        <f t="shared" si="150"/>
        <v>0.58330000000000004</v>
      </c>
      <c r="BQ175" s="16">
        <f t="shared" si="151"/>
        <v>4.1666999999999996</v>
      </c>
      <c r="BR175" s="16">
        <f t="shared" si="152"/>
        <v>91.666700000000006</v>
      </c>
      <c r="BS175" s="16">
        <f t="shared" si="153"/>
        <v>4.1666999999999996</v>
      </c>
      <c r="BT175" s="16">
        <f t="shared" si="154"/>
        <v>32.5</v>
      </c>
      <c r="BU175" s="16">
        <f t="shared" si="155"/>
        <v>1.25</v>
      </c>
      <c r="BV175" s="16">
        <f t="shared" si="156"/>
        <v>9.9849999999999994</v>
      </c>
      <c r="BW175" s="16">
        <f t="shared" si="157"/>
        <v>6.9645000000000001</v>
      </c>
      <c r="BX175" s="16">
        <f t="shared" si="158"/>
        <v>90.015000000000001</v>
      </c>
      <c r="BY175" s="16">
        <f t="shared" si="159"/>
        <v>0</v>
      </c>
      <c r="BZ175" s="16">
        <f t="shared" si="160"/>
        <v>0</v>
      </c>
      <c r="CA175" s="16">
        <f t="shared" si="161"/>
        <v>0</v>
      </c>
      <c r="CB175" s="16">
        <f t="shared" si="162"/>
        <v>0</v>
      </c>
      <c r="CC175" s="16">
        <f t="shared" si="163"/>
        <v>0</v>
      </c>
    </row>
    <row r="176" spans="1:81" x14ac:dyDescent="0.25">
      <c r="A176">
        <v>8</v>
      </c>
      <c r="B176" s="16">
        <f t="shared" si="84"/>
        <v>16.3</v>
      </c>
      <c r="C176" s="16">
        <f t="shared" si="85"/>
        <v>8.32</v>
      </c>
      <c r="D176" s="16">
        <f t="shared" si="86"/>
        <v>13.7</v>
      </c>
      <c r="E176" s="16">
        <f t="shared" si="87"/>
        <v>364</v>
      </c>
      <c r="F176" s="16">
        <f t="shared" si="88"/>
        <v>455</v>
      </c>
      <c r="G176" s="16">
        <f t="shared" si="89"/>
        <v>437</v>
      </c>
      <c r="H176" s="16">
        <f t="shared" si="90"/>
        <v>1256</v>
      </c>
      <c r="I176" s="16">
        <f t="shared" si="91"/>
        <v>0</v>
      </c>
      <c r="J176" s="16">
        <f t="shared" si="92"/>
        <v>2.75</v>
      </c>
      <c r="K176" s="16">
        <f t="shared" si="93"/>
        <v>2.5</v>
      </c>
      <c r="L176" s="16">
        <f t="shared" si="94"/>
        <v>3.4249999999999998</v>
      </c>
      <c r="M176" s="16">
        <f t="shared" si="95"/>
        <v>2.8917000000000002</v>
      </c>
      <c r="N176" s="16">
        <f t="shared" si="96"/>
        <v>0.77229999999999999</v>
      </c>
      <c r="O176" s="16">
        <f t="shared" si="97"/>
        <v>0.15920000000000001</v>
      </c>
      <c r="P176" s="16">
        <f t="shared" si="98"/>
        <v>0.17</v>
      </c>
      <c r="Q176" s="16">
        <f t="shared" si="99"/>
        <v>0.1225</v>
      </c>
      <c r="R176" s="16">
        <f t="shared" si="100"/>
        <v>0.15060000000000001</v>
      </c>
      <c r="S176" s="16">
        <f t="shared" si="101"/>
        <v>9.4600000000000004E-2</v>
      </c>
      <c r="T176" s="16">
        <f t="shared" si="102"/>
        <v>0.38</v>
      </c>
      <c r="U176" s="16">
        <f t="shared" si="103"/>
        <v>0.4</v>
      </c>
      <c r="V176" s="16">
        <f t="shared" si="104"/>
        <v>0.3</v>
      </c>
      <c r="W176" s="16">
        <f t="shared" si="105"/>
        <v>0.4</v>
      </c>
      <c r="X176" s="16">
        <f t="shared" si="106"/>
        <v>19.206600000000002</v>
      </c>
      <c r="Y176" s="16">
        <f t="shared" si="107"/>
        <v>0</v>
      </c>
      <c r="Z176" s="16">
        <f t="shared" si="108"/>
        <v>9.375</v>
      </c>
      <c r="AA176" s="16">
        <f t="shared" si="109"/>
        <v>3.125</v>
      </c>
      <c r="AB176" s="16">
        <f t="shared" si="110"/>
        <v>12.5</v>
      </c>
      <c r="AC176" s="16">
        <f t="shared" si="111"/>
        <v>28.125</v>
      </c>
      <c r="AD176" s="16">
        <f t="shared" si="112"/>
        <v>59.375</v>
      </c>
      <c r="AE176" s="16">
        <f t="shared" si="113"/>
        <v>0</v>
      </c>
      <c r="AF176" s="16">
        <f t="shared" si="114"/>
        <v>87.5</v>
      </c>
      <c r="AG176" s="16">
        <f t="shared" si="115"/>
        <v>59.375</v>
      </c>
      <c r="AH176" s="16">
        <f t="shared" si="116"/>
        <v>0.15670000000000001</v>
      </c>
      <c r="AI176" s="16">
        <f t="shared" si="117"/>
        <v>0.185</v>
      </c>
      <c r="AJ176" s="16">
        <f t="shared" si="118"/>
        <v>0.1767</v>
      </c>
      <c r="AK176" s="16">
        <f t="shared" si="119"/>
        <v>0.17280000000000001</v>
      </c>
      <c r="AL176" s="16">
        <f t="shared" si="120"/>
        <v>0.1386</v>
      </c>
      <c r="AM176" s="16">
        <f t="shared" si="121"/>
        <v>0.3</v>
      </c>
      <c r="AN176" s="16">
        <f t="shared" si="122"/>
        <v>0.62</v>
      </c>
      <c r="AO176" s="16">
        <f t="shared" si="123"/>
        <v>0.3</v>
      </c>
      <c r="AP176" s="16">
        <f t="shared" si="124"/>
        <v>0.62</v>
      </c>
      <c r="AQ176" s="16">
        <f t="shared" si="125"/>
        <v>66.666700000000006</v>
      </c>
      <c r="AR176" s="16">
        <f t="shared" si="126"/>
        <v>0.16669999999999999</v>
      </c>
      <c r="AS176" s="16">
        <f t="shared" si="127"/>
        <v>25</v>
      </c>
      <c r="AT176" s="16">
        <f t="shared" si="128"/>
        <v>12.5</v>
      </c>
      <c r="AU176" s="16">
        <f t="shared" si="129"/>
        <v>12.5</v>
      </c>
      <c r="AV176" s="16">
        <f t="shared" si="130"/>
        <v>16.666699999999999</v>
      </c>
      <c r="AW176" s="16">
        <f t="shared" si="131"/>
        <v>66.666700000000006</v>
      </c>
      <c r="AX176" s="16">
        <f t="shared" si="132"/>
        <v>0.83330000000000004</v>
      </c>
      <c r="AY176" s="16">
        <f t="shared" si="133"/>
        <v>16.666699999999999</v>
      </c>
      <c r="AZ176" s="16">
        <f t="shared" si="134"/>
        <v>0.25</v>
      </c>
      <c r="BA176" s="16">
        <f t="shared" si="135"/>
        <v>0.25</v>
      </c>
      <c r="BB176" s="16">
        <f t="shared" si="136"/>
        <v>0.25</v>
      </c>
      <c r="BC176" s="16">
        <f t="shared" si="137"/>
        <v>0.25</v>
      </c>
      <c r="BD176" s="16">
        <f t="shared" si="138"/>
        <v>0.625</v>
      </c>
      <c r="BE176" s="16">
        <f t="shared" si="139"/>
        <v>0.25</v>
      </c>
      <c r="BF176" s="16">
        <f t="shared" si="140"/>
        <v>0.5</v>
      </c>
      <c r="BG176" s="16">
        <f t="shared" si="141"/>
        <v>0</v>
      </c>
      <c r="BH176" s="16">
        <f t="shared" si="142"/>
        <v>0.25</v>
      </c>
      <c r="BI176" s="16">
        <f t="shared" si="143"/>
        <v>0.75</v>
      </c>
      <c r="BJ176" s="16">
        <f t="shared" si="144"/>
        <v>0.75</v>
      </c>
      <c r="BK176" s="16">
        <f t="shared" si="145"/>
        <v>2.5</v>
      </c>
      <c r="BL176" s="16">
        <f t="shared" si="146"/>
        <v>1.3332999999999999</v>
      </c>
      <c r="BM176" s="16">
        <f t="shared" si="147"/>
        <v>0.5</v>
      </c>
      <c r="BN176" s="16">
        <f t="shared" si="148"/>
        <v>0.75</v>
      </c>
      <c r="BO176" s="16">
        <f t="shared" si="149"/>
        <v>0.5</v>
      </c>
      <c r="BP176" s="16">
        <f t="shared" si="150"/>
        <v>0.58330000000000004</v>
      </c>
      <c r="BQ176" s="16">
        <f t="shared" si="151"/>
        <v>16.666699999999999</v>
      </c>
      <c r="BR176" s="16">
        <f t="shared" si="152"/>
        <v>66.666700000000006</v>
      </c>
      <c r="BS176" s="16">
        <f t="shared" si="153"/>
        <v>16.666699999999999</v>
      </c>
      <c r="BT176" s="16">
        <f t="shared" si="154"/>
        <v>33.958300000000001</v>
      </c>
      <c r="BU176" s="16">
        <f t="shared" si="155"/>
        <v>1.125</v>
      </c>
      <c r="BV176" s="16">
        <f t="shared" si="156"/>
        <v>16.816800000000001</v>
      </c>
      <c r="BW176" s="16">
        <f t="shared" si="157"/>
        <v>6.3834999999999997</v>
      </c>
      <c r="BX176" s="16">
        <f t="shared" si="158"/>
        <v>83.183199999999999</v>
      </c>
      <c r="BY176" s="16">
        <f t="shared" si="159"/>
        <v>0</v>
      </c>
      <c r="BZ176" s="16">
        <f t="shared" si="160"/>
        <v>0</v>
      </c>
      <c r="CA176" s="16">
        <f t="shared" si="161"/>
        <v>0</v>
      </c>
      <c r="CB176" s="16">
        <f t="shared" si="162"/>
        <v>0</v>
      </c>
      <c r="CC176" s="16">
        <f t="shared" si="163"/>
        <v>0</v>
      </c>
    </row>
    <row r="177" spans="1:81" x14ac:dyDescent="0.25">
      <c r="A177">
        <v>10</v>
      </c>
      <c r="B177" s="16">
        <f t="shared" si="84"/>
        <v>12.2</v>
      </c>
      <c r="C177" s="16">
        <f t="shared" si="85"/>
        <v>7.73</v>
      </c>
      <c r="D177" s="16">
        <f t="shared" si="86"/>
        <v>12.74</v>
      </c>
      <c r="E177" s="16">
        <f t="shared" si="87"/>
        <v>272</v>
      </c>
      <c r="F177" s="16">
        <f t="shared" si="88"/>
        <v>306</v>
      </c>
      <c r="G177" s="16">
        <f t="shared" si="89"/>
        <v>333</v>
      </c>
      <c r="H177" s="16">
        <f t="shared" si="90"/>
        <v>911</v>
      </c>
      <c r="I177" s="16">
        <f t="shared" si="91"/>
        <v>0</v>
      </c>
      <c r="J177" s="16">
        <f t="shared" si="92"/>
        <v>3.1124999999999998</v>
      </c>
      <c r="K177" s="16">
        <f t="shared" si="93"/>
        <v>2.7124999999999999</v>
      </c>
      <c r="L177" s="16">
        <f t="shared" si="94"/>
        <v>2.875</v>
      </c>
      <c r="M177" s="16">
        <f t="shared" si="95"/>
        <v>2.9</v>
      </c>
      <c r="N177" s="16">
        <f t="shared" si="96"/>
        <v>1.0986</v>
      </c>
      <c r="O177" s="16">
        <f t="shared" si="97"/>
        <v>0.16</v>
      </c>
      <c r="P177" s="16">
        <f t="shared" si="98"/>
        <v>0.11600000000000001</v>
      </c>
      <c r="Q177" s="16">
        <f t="shared" si="99"/>
        <v>0.1255</v>
      </c>
      <c r="R177" s="16">
        <f t="shared" si="100"/>
        <v>0.13170000000000001</v>
      </c>
      <c r="S177" s="16">
        <f t="shared" si="101"/>
        <v>5.4600000000000003E-2</v>
      </c>
      <c r="T177" s="16">
        <f t="shared" si="102"/>
        <v>0.24</v>
      </c>
      <c r="U177" s="16">
        <f t="shared" si="103"/>
        <v>0.19</v>
      </c>
      <c r="V177" s="16">
        <f t="shared" si="104"/>
        <v>0.22</v>
      </c>
      <c r="W177" s="16">
        <f t="shared" si="105"/>
        <v>0.24</v>
      </c>
      <c r="X177" s="16">
        <f t="shared" si="106"/>
        <v>22.015699999999999</v>
      </c>
      <c r="Y177" s="16">
        <f t="shared" si="107"/>
        <v>0</v>
      </c>
      <c r="Z177" s="16">
        <f t="shared" si="108"/>
        <v>11.1111</v>
      </c>
      <c r="AA177" s="16">
        <f t="shared" si="109"/>
        <v>11.1111</v>
      </c>
      <c r="AB177" s="16">
        <f t="shared" si="110"/>
        <v>22.222200000000001</v>
      </c>
      <c r="AC177" s="16">
        <f t="shared" si="111"/>
        <v>7.4074</v>
      </c>
      <c r="AD177" s="16">
        <f t="shared" si="112"/>
        <v>70.370400000000004</v>
      </c>
      <c r="AE177" s="16">
        <f t="shared" si="113"/>
        <v>0</v>
      </c>
      <c r="AF177" s="16">
        <f t="shared" si="114"/>
        <v>77.777799999999999</v>
      </c>
      <c r="AG177" s="16">
        <f t="shared" si="115"/>
        <v>70.370400000000004</v>
      </c>
      <c r="AH177" s="16">
        <f t="shared" si="116"/>
        <v>0.17630000000000001</v>
      </c>
      <c r="AI177" s="16">
        <f t="shared" si="117"/>
        <v>0.17</v>
      </c>
      <c r="AJ177" s="16">
        <f t="shared" si="118"/>
        <v>0.111</v>
      </c>
      <c r="AK177" s="16">
        <f t="shared" si="119"/>
        <v>0.19</v>
      </c>
      <c r="AL177" s="16">
        <f t="shared" si="120"/>
        <v>0.21510000000000001</v>
      </c>
      <c r="AM177" s="16">
        <f t="shared" si="121"/>
        <v>0.39</v>
      </c>
      <c r="AN177" s="16">
        <f t="shared" si="122"/>
        <v>0.39</v>
      </c>
      <c r="AO177" s="16">
        <f t="shared" si="123"/>
        <v>0.38</v>
      </c>
      <c r="AP177" s="16">
        <f t="shared" si="124"/>
        <v>0.39</v>
      </c>
      <c r="AQ177" s="16">
        <f t="shared" si="125"/>
        <v>50</v>
      </c>
      <c r="AR177" s="16">
        <f t="shared" si="126"/>
        <v>0.29170000000000001</v>
      </c>
      <c r="AS177" s="16">
        <f t="shared" si="127"/>
        <v>37.5</v>
      </c>
      <c r="AT177" s="16">
        <f t="shared" si="128"/>
        <v>0</v>
      </c>
      <c r="AU177" s="16">
        <f t="shared" si="129"/>
        <v>25</v>
      </c>
      <c r="AV177" s="16">
        <f t="shared" si="130"/>
        <v>20.833300000000001</v>
      </c>
      <c r="AW177" s="16">
        <f t="shared" si="131"/>
        <v>50</v>
      </c>
      <c r="AX177" s="16">
        <f t="shared" si="132"/>
        <v>1</v>
      </c>
      <c r="AY177" s="16">
        <f t="shared" si="133"/>
        <v>8.3332999999999995</v>
      </c>
      <c r="AZ177" s="16">
        <f t="shared" si="134"/>
        <v>0.125</v>
      </c>
      <c r="BA177" s="16">
        <f t="shared" si="135"/>
        <v>0</v>
      </c>
      <c r="BB177" s="16">
        <f t="shared" si="136"/>
        <v>0.25</v>
      </c>
      <c r="BC177" s="16">
        <f t="shared" si="137"/>
        <v>0.125</v>
      </c>
      <c r="BD177" s="16">
        <f t="shared" si="138"/>
        <v>0.91669999999999996</v>
      </c>
      <c r="BE177" s="16">
        <f t="shared" si="139"/>
        <v>0.25</v>
      </c>
      <c r="BF177" s="16">
        <f t="shared" si="140"/>
        <v>0.25</v>
      </c>
      <c r="BG177" s="16">
        <f t="shared" si="141"/>
        <v>0.75</v>
      </c>
      <c r="BH177" s="16">
        <f t="shared" si="142"/>
        <v>0.41670000000000001</v>
      </c>
      <c r="BI177" s="16">
        <f t="shared" si="143"/>
        <v>1</v>
      </c>
      <c r="BJ177" s="16">
        <f t="shared" si="144"/>
        <v>2.5</v>
      </c>
      <c r="BK177" s="16">
        <f t="shared" si="145"/>
        <v>2.25</v>
      </c>
      <c r="BL177" s="16">
        <f t="shared" si="146"/>
        <v>1.9167000000000001</v>
      </c>
      <c r="BM177" s="16">
        <f t="shared" si="147"/>
        <v>0</v>
      </c>
      <c r="BN177" s="16">
        <f t="shared" si="148"/>
        <v>0.5</v>
      </c>
      <c r="BO177" s="16">
        <f t="shared" si="149"/>
        <v>0.75</v>
      </c>
      <c r="BP177" s="16">
        <f t="shared" si="150"/>
        <v>0.41670000000000001</v>
      </c>
      <c r="BQ177" s="16">
        <f t="shared" si="151"/>
        <v>54.166699999999999</v>
      </c>
      <c r="BR177" s="16">
        <f t="shared" si="152"/>
        <v>41.666699999999999</v>
      </c>
      <c r="BS177" s="16">
        <f t="shared" si="153"/>
        <v>4.1666999999999996</v>
      </c>
      <c r="BT177" s="16">
        <f t="shared" si="154"/>
        <v>20.583300000000001</v>
      </c>
      <c r="BU177" s="16">
        <f t="shared" si="155"/>
        <v>1.3332999999999999</v>
      </c>
      <c r="BV177" s="16">
        <f t="shared" si="156"/>
        <v>3.1532</v>
      </c>
      <c r="BW177" s="16">
        <f t="shared" si="157"/>
        <v>2.1509</v>
      </c>
      <c r="BX177" s="16">
        <f t="shared" si="158"/>
        <v>96.846800000000002</v>
      </c>
      <c r="BY177" s="16">
        <f t="shared" si="159"/>
        <v>0</v>
      </c>
      <c r="BZ177" s="16">
        <f t="shared" si="160"/>
        <v>0</v>
      </c>
      <c r="CA177" s="16">
        <f t="shared" si="161"/>
        <v>0</v>
      </c>
      <c r="CB177" s="16">
        <f t="shared" si="162"/>
        <v>0</v>
      </c>
      <c r="CC177" s="16">
        <f t="shared" si="163"/>
        <v>0</v>
      </c>
    </row>
    <row r="178" spans="1:81" x14ac:dyDescent="0.25">
      <c r="A178">
        <v>17</v>
      </c>
      <c r="B178" s="16">
        <f t="shared" si="84"/>
        <v>13.9</v>
      </c>
      <c r="C178" s="16">
        <f t="shared" si="85"/>
        <v>8.32</v>
      </c>
      <c r="D178" s="16">
        <f t="shared" si="86"/>
        <v>11.65</v>
      </c>
      <c r="E178" s="16">
        <f t="shared" si="87"/>
        <v>888</v>
      </c>
      <c r="F178" s="16">
        <f t="shared" si="88"/>
        <v>786</v>
      </c>
      <c r="G178" s="16">
        <f t="shared" si="89"/>
        <v>813</v>
      </c>
      <c r="H178" s="16">
        <f t="shared" si="90"/>
        <v>2487</v>
      </c>
      <c r="I178" s="16">
        <f t="shared" si="91"/>
        <v>7.2400000000000006E-2</v>
      </c>
      <c r="J178" s="16">
        <f t="shared" si="92"/>
        <v>5.2874999999999996</v>
      </c>
      <c r="K178" s="16">
        <f t="shared" si="93"/>
        <v>4.9124999999999996</v>
      </c>
      <c r="L178" s="16">
        <f t="shared" si="94"/>
        <v>4.2</v>
      </c>
      <c r="M178" s="16">
        <f t="shared" si="95"/>
        <v>4.8</v>
      </c>
      <c r="N178" s="16">
        <f t="shared" si="96"/>
        <v>1.8309</v>
      </c>
      <c r="O178" s="16">
        <f t="shared" si="97"/>
        <v>0.21310000000000001</v>
      </c>
      <c r="P178" s="16">
        <f t="shared" si="98"/>
        <v>0.24</v>
      </c>
      <c r="Q178" s="16">
        <f t="shared" si="99"/>
        <v>0.25879999999999997</v>
      </c>
      <c r="R178" s="16">
        <f t="shared" si="100"/>
        <v>0.23719999999999999</v>
      </c>
      <c r="S178" s="16">
        <f t="shared" si="101"/>
        <v>0.15359999999999999</v>
      </c>
      <c r="T178" s="16">
        <f t="shared" si="102"/>
        <v>0.59</v>
      </c>
      <c r="U178" s="16">
        <f t="shared" si="103"/>
        <v>0.72</v>
      </c>
      <c r="V178" s="16">
        <f t="shared" si="104"/>
        <v>0.57999999999999996</v>
      </c>
      <c r="W178" s="16">
        <f t="shared" si="105"/>
        <v>0.72</v>
      </c>
      <c r="X178" s="16">
        <f t="shared" si="106"/>
        <v>20.2332</v>
      </c>
      <c r="Y178" s="16">
        <f t="shared" si="107"/>
        <v>0</v>
      </c>
      <c r="Z178" s="16">
        <f t="shared" si="108"/>
        <v>9.5237999999999996</v>
      </c>
      <c r="AA178" s="16">
        <f t="shared" si="109"/>
        <v>7.1429</v>
      </c>
      <c r="AB178" s="16">
        <f t="shared" si="110"/>
        <v>16.666699999999999</v>
      </c>
      <c r="AC178" s="16">
        <f t="shared" si="111"/>
        <v>0</v>
      </c>
      <c r="AD178" s="16">
        <f t="shared" si="112"/>
        <v>80.952399999999997</v>
      </c>
      <c r="AE178" s="16">
        <f t="shared" si="113"/>
        <v>2.3809999999999998</v>
      </c>
      <c r="AF178" s="16">
        <f t="shared" si="114"/>
        <v>83.333299999999994</v>
      </c>
      <c r="AG178" s="16">
        <f t="shared" si="115"/>
        <v>80.952399999999997</v>
      </c>
      <c r="AH178" s="16">
        <f t="shared" si="116"/>
        <v>0.19</v>
      </c>
      <c r="AI178" s="16">
        <f t="shared" si="117"/>
        <v>0.13800000000000001</v>
      </c>
      <c r="AJ178" s="16">
        <f t="shared" si="118"/>
        <v>0.1988</v>
      </c>
      <c r="AK178" s="16">
        <f t="shared" si="119"/>
        <v>0.1764</v>
      </c>
      <c r="AL178" s="16">
        <f t="shared" si="120"/>
        <v>0.1522</v>
      </c>
      <c r="AM178" s="16">
        <f t="shared" si="121"/>
        <v>0.56999999999999995</v>
      </c>
      <c r="AN178" s="16">
        <f t="shared" si="122"/>
        <v>0.4</v>
      </c>
      <c r="AO178" s="16">
        <f t="shared" si="123"/>
        <v>0.53</v>
      </c>
      <c r="AP178" s="16">
        <f t="shared" si="124"/>
        <v>0.56999999999999995</v>
      </c>
      <c r="AQ178" s="16">
        <f t="shared" si="125"/>
        <v>41.666699999999999</v>
      </c>
      <c r="AR178" s="16">
        <f t="shared" si="126"/>
        <v>0.20830000000000001</v>
      </c>
      <c r="AS178" s="16">
        <f t="shared" si="127"/>
        <v>37.5</v>
      </c>
      <c r="AT178" s="16">
        <f t="shared" si="128"/>
        <v>37.5</v>
      </c>
      <c r="AU178" s="16">
        <f t="shared" si="129"/>
        <v>37.5</v>
      </c>
      <c r="AV178" s="16">
        <f t="shared" si="130"/>
        <v>37.5</v>
      </c>
      <c r="AW178" s="16">
        <f t="shared" si="131"/>
        <v>41.666699999999999</v>
      </c>
      <c r="AX178" s="16">
        <f t="shared" si="132"/>
        <v>1</v>
      </c>
      <c r="AY178" s="16">
        <f t="shared" si="133"/>
        <v>25</v>
      </c>
      <c r="AZ178" s="16">
        <f t="shared" si="134"/>
        <v>0.625</v>
      </c>
      <c r="BA178" s="16">
        <f t="shared" si="135"/>
        <v>0.625</v>
      </c>
      <c r="BB178" s="16">
        <f t="shared" si="136"/>
        <v>0.75</v>
      </c>
      <c r="BC178" s="16">
        <f t="shared" si="137"/>
        <v>0.66669999999999996</v>
      </c>
      <c r="BD178" s="16">
        <f t="shared" si="138"/>
        <v>1.0417000000000001</v>
      </c>
      <c r="BE178" s="16">
        <f t="shared" si="139"/>
        <v>0.5</v>
      </c>
      <c r="BF178" s="16">
        <f t="shared" si="140"/>
        <v>0.25</v>
      </c>
      <c r="BG178" s="16">
        <f t="shared" si="141"/>
        <v>0.75</v>
      </c>
      <c r="BH178" s="16">
        <f t="shared" si="142"/>
        <v>0.5</v>
      </c>
      <c r="BI178" s="16">
        <f t="shared" si="143"/>
        <v>0.75</v>
      </c>
      <c r="BJ178" s="16">
        <f t="shared" si="144"/>
        <v>2</v>
      </c>
      <c r="BK178" s="16">
        <f t="shared" si="145"/>
        <v>1</v>
      </c>
      <c r="BL178" s="16">
        <f t="shared" si="146"/>
        <v>1.25</v>
      </c>
      <c r="BM178" s="16">
        <f t="shared" si="147"/>
        <v>1</v>
      </c>
      <c r="BN178" s="16">
        <f t="shared" si="148"/>
        <v>1.25</v>
      </c>
      <c r="BO178" s="16">
        <f t="shared" si="149"/>
        <v>2</v>
      </c>
      <c r="BP178" s="16">
        <f t="shared" si="150"/>
        <v>1.4167000000000001</v>
      </c>
      <c r="BQ178" s="16">
        <f t="shared" si="151"/>
        <v>25</v>
      </c>
      <c r="BR178" s="16">
        <f t="shared" si="152"/>
        <v>58.333300000000001</v>
      </c>
      <c r="BS178" s="16">
        <f t="shared" si="153"/>
        <v>16.666699999999999</v>
      </c>
      <c r="BT178" s="16">
        <f t="shared" si="154"/>
        <v>32.083300000000001</v>
      </c>
      <c r="BU178" s="16">
        <f t="shared" si="155"/>
        <v>0.41670000000000001</v>
      </c>
      <c r="BV178" s="16">
        <f t="shared" si="156"/>
        <v>18.918900000000001</v>
      </c>
      <c r="BW178" s="16">
        <f t="shared" si="157"/>
        <v>6.2335000000000003</v>
      </c>
      <c r="BX178" s="16">
        <f t="shared" si="158"/>
        <v>81.081100000000006</v>
      </c>
      <c r="BY178" s="16">
        <f t="shared" si="159"/>
        <v>0</v>
      </c>
      <c r="BZ178" s="16">
        <f t="shared" si="160"/>
        <v>0</v>
      </c>
      <c r="CA178" s="16">
        <f t="shared" si="161"/>
        <v>0</v>
      </c>
      <c r="CB178" s="16">
        <f t="shared" si="162"/>
        <v>0</v>
      </c>
      <c r="CC178" s="16">
        <f t="shared" si="163"/>
        <v>0</v>
      </c>
    </row>
    <row r="179" spans="1:81" x14ac:dyDescent="0.25">
      <c r="A179" t="s">
        <v>11</v>
      </c>
      <c r="B179" s="16">
        <f t="shared" si="84"/>
        <v>16</v>
      </c>
      <c r="C179" s="16">
        <f t="shared" si="85"/>
        <v>8.07</v>
      </c>
      <c r="D179" s="16">
        <f t="shared" si="86"/>
        <v>11.17</v>
      </c>
      <c r="E179" s="16">
        <f t="shared" si="87"/>
        <v>283</v>
      </c>
      <c r="F179" s="16">
        <f t="shared" si="88"/>
        <v>353</v>
      </c>
      <c r="G179" s="16">
        <f t="shared" si="89"/>
        <v>384</v>
      </c>
      <c r="H179" s="16">
        <f t="shared" si="90"/>
        <v>1020</v>
      </c>
      <c r="I179" s="16">
        <f t="shared" si="91"/>
        <v>0</v>
      </c>
      <c r="J179" s="16">
        <f t="shared" si="92"/>
        <v>1.675</v>
      </c>
      <c r="K179" s="16">
        <f t="shared" si="93"/>
        <v>1.675</v>
      </c>
      <c r="L179" s="16">
        <f t="shared" si="94"/>
        <v>2.375</v>
      </c>
      <c r="M179" s="16">
        <f t="shared" si="95"/>
        <v>1.9083000000000001</v>
      </c>
      <c r="N179" s="16">
        <f t="shared" si="96"/>
        <v>0.52739999999999998</v>
      </c>
      <c r="O179" s="16">
        <f t="shared" si="97"/>
        <v>0.23</v>
      </c>
      <c r="P179" s="16">
        <f t="shared" si="98"/>
        <v>0.216</v>
      </c>
      <c r="Q179" s="16">
        <f t="shared" si="99"/>
        <v>0.26290000000000002</v>
      </c>
      <c r="R179" s="16">
        <f t="shared" si="100"/>
        <v>0.2394</v>
      </c>
      <c r="S179" s="16">
        <f t="shared" si="101"/>
        <v>7.8600000000000003E-2</v>
      </c>
      <c r="T179" s="16">
        <f t="shared" si="102"/>
        <v>0.3</v>
      </c>
      <c r="U179" s="16">
        <f t="shared" si="103"/>
        <v>0.3</v>
      </c>
      <c r="V179" s="16">
        <f t="shared" si="104"/>
        <v>0.38</v>
      </c>
      <c r="W179" s="16">
        <f t="shared" si="105"/>
        <v>0.38</v>
      </c>
      <c r="X179" s="16">
        <f t="shared" si="106"/>
        <v>7.9709000000000003</v>
      </c>
      <c r="Y179" s="16">
        <f t="shared" si="107"/>
        <v>2.9411999999999998</v>
      </c>
      <c r="Z179" s="16">
        <f t="shared" si="108"/>
        <v>50</v>
      </c>
      <c r="AA179" s="16">
        <f t="shared" si="109"/>
        <v>8.8234999999999992</v>
      </c>
      <c r="AB179" s="16">
        <f t="shared" si="110"/>
        <v>61.764699999999998</v>
      </c>
      <c r="AC179" s="16">
        <f t="shared" si="111"/>
        <v>14.7059</v>
      </c>
      <c r="AD179" s="16">
        <f t="shared" si="112"/>
        <v>23.529399999999999</v>
      </c>
      <c r="AE179" s="16">
        <f t="shared" si="113"/>
        <v>0</v>
      </c>
      <c r="AF179" s="16">
        <f t="shared" si="114"/>
        <v>38.235300000000002</v>
      </c>
      <c r="AG179" s="16">
        <f t="shared" si="115"/>
        <v>50</v>
      </c>
      <c r="AH179" s="16">
        <f t="shared" si="116"/>
        <v>6.7799999999999999E-2</v>
      </c>
      <c r="AI179" s="16">
        <f t="shared" si="117"/>
        <v>0.15329999999999999</v>
      </c>
      <c r="AJ179" s="16">
        <f t="shared" si="118"/>
        <v>4.4600000000000001E-2</v>
      </c>
      <c r="AK179" s="16">
        <f t="shared" si="119"/>
        <v>8.5900000000000004E-2</v>
      </c>
      <c r="AL179" s="16">
        <f t="shared" si="120"/>
        <v>0.113</v>
      </c>
      <c r="AM179" s="16">
        <f t="shared" si="121"/>
        <v>0.18</v>
      </c>
      <c r="AN179" s="16">
        <f t="shared" si="122"/>
        <v>0.57999999999999996</v>
      </c>
      <c r="AO179" s="16">
        <f t="shared" si="123"/>
        <v>0.17</v>
      </c>
      <c r="AP179" s="16">
        <f t="shared" si="124"/>
        <v>0.57999999999999996</v>
      </c>
      <c r="AQ179" s="16">
        <f t="shared" si="125"/>
        <v>8.3332999999999995</v>
      </c>
      <c r="AR179" s="16">
        <f t="shared" si="126"/>
        <v>0.41670000000000001</v>
      </c>
      <c r="AS179" s="16">
        <f t="shared" si="127"/>
        <v>37.5</v>
      </c>
      <c r="AT179" s="16">
        <f t="shared" si="128"/>
        <v>37.5</v>
      </c>
      <c r="AU179" s="16">
        <f t="shared" si="129"/>
        <v>75</v>
      </c>
      <c r="AV179" s="16">
        <f t="shared" si="130"/>
        <v>50</v>
      </c>
      <c r="AW179" s="16">
        <f t="shared" si="131"/>
        <v>41.666699999999999</v>
      </c>
      <c r="AX179" s="16">
        <f t="shared" si="132"/>
        <v>0.16669999999999999</v>
      </c>
      <c r="AY179" s="16">
        <f t="shared" si="133"/>
        <v>8.3332999999999995</v>
      </c>
      <c r="AZ179" s="16">
        <f t="shared" si="134"/>
        <v>0.125</v>
      </c>
      <c r="BA179" s="16">
        <f t="shared" si="135"/>
        <v>0.125</v>
      </c>
      <c r="BB179" s="16">
        <f t="shared" si="136"/>
        <v>0</v>
      </c>
      <c r="BC179" s="16">
        <f t="shared" si="137"/>
        <v>8.3299999999999999E-2</v>
      </c>
      <c r="BD179" s="16">
        <f t="shared" si="138"/>
        <v>8.3299999999999999E-2</v>
      </c>
      <c r="BE179" s="16">
        <f t="shared" si="139"/>
        <v>1.25</v>
      </c>
      <c r="BF179" s="16">
        <f t="shared" si="140"/>
        <v>2.5</v>
      </c>
      <c r="BG179" s="16">
        <f t="shared" si="141"/>
        <v>1.75</v>
      </c>
      <c r="BH179" s="16">
        <f t="shared" si="142"/>
        <v>1.8332999999999999</v>
      </c>
      <c r="BI179" s="16">
        <f t="shared" si="143"/>
        <v>0</v>
      </c>
      <c r="BJ179" s="16">
        <f t="shared" si="144"/>
        <v>0</v>
      </c>
      <c r="BK179" s="16">
        <f t="shared" si="145"/>
        <v>0</v>
      </c>
      <c r="BL179" s="16">
        <f t="shared" si="146"/>
        <v>0</v>
      </c>
      <c r="BM179" s="16">
        <f t="shared" si="147"/>
        <v>1.75</v>
      </c>
      <c r="BN179" s="16">
        <f t="shared" si="148"/>
        <v>2.25</v>
      </c>
      <c r="BO179" s="16">
        <f t="shared" si="149"/>
        <v>2.5</v>
      </c>
      <c r="BP179" s="16">
        <f t="shared" si="150"/>
        <v>2.1667000000000001</v>
      </c>
      <c r="BQ179" s="16">
        <f t="shared" si="151"/>
        <v>0</v>
      </c>
      <c r="BR179" s="16">
        <f t="shared" si="152"/>
        <v>66.666700000000006</v>
      </c>
      <c r="BS179" s="16">
        <f t="shared" si="153"/>
        <v>33.333300000000001</v>
      </c>
      <c r="BT179" s="16">
        <f t="shared" si="154"/>
        <v>47.083300000000001</v>
      </c>
      <c r="BU179" s="16">
        <f t="shared" si="155"/>
        <v>0.41670000000000001</v>
      </c>
      <c r="BV179" s="16">
        <f t="shared" si="156"/>
        <v>43.6937</v>
      </c>
      <c r="BW179" s="16">
        <f t="shared" si="157"/>
        <v>10.2942</v>
      </c>
      <c r="BX179" s="16">
        <f t="shared" si="158"/>
        <v>56.3063</v>
      </c>
      <c r="BY179" s="16">
        <f t="shared" si="159"/>
        <v>0</v>
      </c>
      <c r="BZ179" s="16">
        <f t="shared" si="160"/>
        <v>0</v>
      </c>
      <c r="CA179" s="16">
        <f t="shared" si="161"/>
        <v>0</v>
      </c>
      <c r="CB179" s="16">
        <f t="shared" si="162"/>
        <v>0</v>
      </c>
      <c r="CC179" s="16">
        <f t="shared" si="163"/>
        <v>0</v>
      </c>
    </row>
    <row r="180" spans="1:81" x14ac:dyDescent="0.25">
      <c r="A180">
        <v>24</v>
      </c>
      <c r="B180" s="16">
        <f t="shared" si="84"/>
        <v>14.9</v>
      </c>
      <c r="C180" s="16">
        <f t="shared" si="85"/>
        <v>7.69</v>
      </c>
      <c r="D180" s="16">
        <f t="shared" si="86"/>
        <v>10.23</v>
      </c>
      <c r="E180" s="16">
        <f t="shared" si="87"/>
        <v>868</v>
      </c>
      <c r="F180" s="16">
        <f t="shared" si="88"/>
        <v>520</v>
      </c>
      <c r="G180" s="16">
        <f t="shared" si="89"/>
        <v>488</v>
      </c>
      <c r="H180" s="16">
        <f t="shared" si="90"/>
        <v>1876</v>
      </c>
      <c r="I180" s="16">
        <f t="shared" si="91"/>
        <v>0.89549999999999996</v>
      </c>
      <c r="J180" s="16">
        <f t="shared" si="92"/>
        <v>3.2875000000000001</v>
      </c>
      <c r="K180" s="16">
        <f t="shared" si="93"/>
        <v>3.7</v>
      </c>
      <c r="L180" s="16">
        <f t="shared" si="94"/>
        <v>3.45</v>
      </c>
      <c r="M180" s="16">
        <f t="shared" si="95"/>
        <v>3.4792000000000001</v>
      </c>
      <c r="N180" s="16">
        <f t="shared" si="96"/>
        <v>0.89300000000000002</v>
      </c>
      <c r="O180" s="16">
        <f t="shared" si="97"/>
        <v>0.28000000000000003</v>
      </c>
      <c r="P180" s="16">
        <f t="shared" si="98"/>
        <v>0.15079999999999999</v>
      </c>
      <c r="Q180" s="16">
        <f t="shared" si="99"/>
        <v>0.29430000000000001</v>
      </c>
      <c r="R180" s="16">
        <f t="shared" si="100"/>
        <v>0.24479999999999999</v>
      </c>
      <c r="S180" s="16">
        <f t="shared" si="101"/>
        <v>0.14910000000000001</v>
      </c>
      <c r="T180" s="16">
        <f t="shared" si="102"/>
        <v>0.6</v>
      </c>
      <c r="U180" s="16">
        <f t="shared" si="103"/>
        <v>0.4</v>
      </c>
      <c r="V180" s="16">
        <f t="shared" si="104"/>
        <v>0.54</v>
      </c>
      <c r="W180" s="16">
        <f t="shared" si="105"/>
        <v>0.6</v>
      </c>
      <c r="X180" s="16">
        <f t="shared" si="106"/>
        <v>14.214499999999999</v>
      </c>
      <c r="Y180" s="16">
        <f t="shared" si="107"/>
        <v>2.5</v>
      </c>
      <c r="Z180" s="16">
        <f t="shared" si="108"/>
        <v>5</v>
      </c>
      <c r="AA180" s="16">
        <f t="shared" si="109"/>
        <v>0</v>
      </c>
      <c r="AB180" s="16">
        <f t="shared" si="110"/>
        <v>7.5</v>
      </c>
      <c r="AC180" s="16">
        <f t="shared" si="111"/>
        <v>5</v>
      </c>
      <c r="AD180" s="16">
        <f t="shared" si="112"/>
        <v>85</v>
      </c>
      <c r="AE180" s="16">
        <f t="shared" si="113"/>
        <v>2.5</v>
      </c>
      <c r="AF180" s="16">
        <f t="shared" si="114"/>
        <v>92.5</v>
      </c>
      <c r="AG180" s="16">
        <f t="shared" si="115"/>
        <v>85</v>
      </c>
      <c r="AH180" s="16">
        <f t="shared" si="116"/>
        <v>0.11600000000000001</v>
      </c>
      <c r="AI180" s="16">
        <f t="shared" si="117"/>
        <v>0.19919999999999999</v>
      </c>
      <c r="AJ180" s="16">
        <f t="shared" si="118"/>
        <v>0.1215</v>
      </c>
      <c r="AK180" s="16">
        <f t="shared" si="119"/>
        <v>0.1462</v>
      </c>
      <c r="AL180" s="16">
        <f t="shared" si="120"/>
        <v>0.1457</v>
      </c>
      <c r="AM180" s="16">
        <f t="shared" si="121"/>
        <v>0.31</v>
      </c>
      <c r="AN180" s="16">
        <f t="shared" si="122"/>
        <v>0.44</v>
      </c>
      <c r="AO180" s="16">
        <f t="shared" si="123"/>
        <v>0.69</v>
      </c>
      <c r="AP180" s="16">
        <f t="shared" si="124"/>
        <v>0.69</v>
      </c>
      <c r="AQ180" s="16">
        <f t="shared" si="125"/>
        <v>29.166699999999999</v>
      </c>
      <c r="AR180" s="16">
        <f t="shared" si="126"/>
        <v>0.33329999999999999</v>
      </c>
      <c r="AS180" s="16">
        <f t="shared" si="127"/>
        <v>50</v>
      </c>
      <c r="AT180" s="16">
        <f t="shared" si="128"/>
        <v>0</v>
      </c>
      <c r="AU180" s="16">
        <f t="shared" si="129"/>
        <v>62.5</v>
      </c>
      <c r="AV180" s="16">
        <f t="shared" si="130"/>
        <v>37.5</v>
      </c>
      <c r="AW180" s="16">
        <f t="shared" si="131"/>
        <v>33.333300000000001</v>
      </c>
      <c r="AX180" s="16">
        <f t="shared" si="132"/>
        <v>1.25</v>
      </c>
      <c r="AY180" s="16">
        <f t="shared" si="133"/>
        <v>41.666699999999999</v>
      </c>
      <c r="AZ180" s="16">
        <f t="shared" si="134"/>
        <v>0.125</v>
      </c>
      <c r="BA180" s="16">
        <f t="shared" si="135"/>
        <v>0</v>
      </c>
      <c r="BB180" s="16">
        <f t="shared" si="136"/>
        <v>0.375</v>
      </c>
      <c r="BC180" s="16">
        <f t="shared" si="137"/>
        <v>0.16669999999999999</v>
      </c>
      <c r="BD180" s="16">
        <f t="shared" si="138"/>
        <v>0.95830000000000004</v>
      </c>
      <c r="BE180" s="16">
        <f t="shared" si="139"/>
        <v>1.25</v>
      </c>
      <c r="BF180" s="16">
        <f t="shared" si="140"/>
        <v>0.5</v>
      </c>
      <c r="BG180" s="16">
        <f t="shared" si="141"/>
        <v>1.5</v>
      </c>
      <c r="BH180" s="16">
        <f t="shared" si="142"/>
        <v>1.0832999999999999</v>
      </c>
      <c r="BI180" s="16">
        <f t="shared" si="143"/>
        <v>0.5</v>
      </c>
      <c r="BJ180" s="16">
        <f t="shared" si="144"/>
        <v>1</v>
      </c>
      <c r="BK180" s="16">
        <f t="shared" si="145"/>
        <v>0</v>
      </c>
      <c r="BL180" s="16">
        <f t="shared" si="146"/>
        <v>0.5</v>
      </c>
      <c r="BM180" s="16">
        <f t="shared" si="147"/>
        <v>1.75</v>
      </c>
      <c r="BN180" s="16">
        <f t="shared" si="148"/>
        <v>0.25</v>
      </c>
      <c r="BO180" s="16">
        <f t="shared" si="149"/>
        <v>2.75</v>
      </c>
      <c r="BP180" s="16">
        <f t="shared" si="150"/>
        <v>1.5832999999999999</v>
      </c>
      <c r="BQ180" s="16">
        <f t="shared" si="151"/>
        <v>8.3332999999999995</v>
      </c>
      <c r="BR180" s="16">
        <f t="shared" si="152"/>
        <v>62.5</v>
      </c>
      <c r="BS180" s="16">
        <f t="shared" si="153"/>
        <v>29.166699999999999</v>
      </c>
      <c r="BT180" s="16">
        <f t="shared" si="154"/>
        <v>37.708300000000001</v>
      </c>
      <c r="BU180" s="16">
        <f t="shared" si="155"/>
        <v>0.83330000000000004</v>
      </c>
      <c r="BV180" s="16">
        <f t="shared" si="156"/>
        <v>7.8829000000000002</v>
      </c>
      <c r="BW180" s="16">
        <f t="shared" si="157"/>
        <v>8.0191999999999997</v>
      </c>
      <c r="BX180" s="16">
        <f t="shared" si="158"/>
        <v>92.117099999999994</v>
      </c>
      <c r="BY180" s="16">
        <f t="shared" si="159"/>
        <v>0</v>
      </c>
      <c r="BZ180" s="16">
        <f t="shared" si="160"/>
        <v>0</v>
      </c>
      <c r="CA180" s="16">
        <f t="shared" si="161"/>
        <v>0</v>
      </c>
      <c r="CB180" s="16">
        <f t="shared" si="162"/>
        <v>0</v>
      </c>
      <c r="CC180" s="16">
        <f t="shared" si="163"/>
        <v>0</v>
      </c>
    </row>
    <row r="181" spans="1:81" x14ac:dyDescent="0.25">
      <c r="A181">
        <v>61</v>
      </c>
      <c r="B181" s="16">
        <f t="shared" si="84"/>
        <v>22.2</v>
      </c>
      <c r="C181" s="16">
        <f t="shared" si="85"/>
        <v>8.6</v>
      </c>
      <c r="D181" s="16">
        <f t="shared" si="86"/>
        <v>12.61</v>
      </c>
      <c r="E181" s="16">
        <f t="shared" si="87"/>
        <v>1875</v>
      </c>
      <c r="F181" s="16">
        <f t="shared" si="88"/>
        <v>1456</v>
      </c>
      <c r="G181" s="16">
        <f t="shared" si="89"/>
        <v>1552</v>
      </c>
      <c r="H181" s="16">
        <f t="shared" si="90"/>
        <v>4883</v>
      </c>
      <c r="I181" s="16">
        <f t="shared" si="91"/>
        <v>1.23E-2</v>
      </c>
      <c r="J181" s="16">
        <f t="shared" si="92"/>
        <v>3.2124999999999999</v>
      </c>
      <c r="K181" s="16">
        <f t="shared" si="93"/>
        <v>4.9749999999999996</v>
      </c>
      <c r="L181" s="16">
        <f t="shared" si="94"/>
        <v>8.7249999999999996</v>
      </c>
      <c r="M181" s="16">
        <f t="shared" si="95"/>
        <v>5.6375000000000002</v>
      </c>
      <c r="N181" s="16">
        <f t="shared" si="96"/>
        <v>3.0394000000000001</v>
      </c>
      <c r="O181" s="16">
        <f t="shared" si="97"/>
        <v>0.33800000000000002</v>
      </c>
      <c r="P181" s="16">
        <f t="shared" si="98"/>
        <v>0.23380000000000001</v>
      </c>
      <c r="Q181" s="16">
        <f t="shared" si="99"/>
        <v>0.32129999999999997</v>
      </c>
      <c r="R181" s="16">
        <f t="shared" si="100"/>
        <v>0.29630000000000001</v>
      </c>
      <c r="S181" s="16">
        <f t="shared" si="101"/>
        <v>0.18659999999999999</v>
      </c>
      <c r="T181" s="16">
        <f t="shared" si="102"/>
        <v>0.64</v>
      </c>
      <c r="U181" s="16">
        <f t="shared" si="103"/>
        <v>0.52</v>
      </c>
      <c r="V181" s="16">
        <f t="shared" si="104"/>
        <v>1.08</v>
      </c>
      <c r="W181" s="16">
        <f t="shared" si="105"/>
        <v>1.08</v>
      </c>
      <c r="X181" s="16">
        <f t="shared" si="106"/>
        <v>19.026</v>
      </c>
      <c r="Y181" s="16">
        <f t="shared" si="107"/>
        <v>2.1739000000000002</v>
      </c>
      <c r="Z181" s="16">
        <f t="shared" si="108"/>
        <v>8.6957000000000004</v>
      </c>
      <c r="AA181" s="16">
        <f t="shared" si="109"/>
        <v>8.6957000000000004</v>
      </c>
      <c r="AB181" s="16">
        <f t="shared" si="110"/>
        <v>19.565200000000001</v>
      </c>
      <c r="AC181" s="16">
        <f t="shared" si="111"/>
        <v>0</v>
      </c>
      <c r="AD181" s="16">
        <f t="shared" si="112"/>
        <v>73.912999999999997</v>
      </c>
      <c r="AE181" s="16">
        <f t="shared" si="113"/>
        <v>6.5217000000000001</v>
      </c>
      <c r="AF181" s="16">
        <f t="shared" si="114"/>
        <v>80.434799999999996</v>
      </c>
      <c r="AG181" s="16">
        <f t="shared" si="115"/>
        <v>73.912999999999997</v>
      </c>
      <c r="AH181" s="16">
        <f t="shared" si="116"/>
        <v>0.15640000000000001</v>
      </c>
      <c r="AI181" s="16">
        <f t="shared" si="117"/>
        <v>0.28599999999999998</v>
      </c>
      <c r="AJ181" s="16">
        <f t="shared" si="118"/>
        <v>0.12429999999999999</v>
      </c>
      <c r="AK181" s="16">
        <f t="shared" si="119"/>
        <v>0.18110000000000001</v>
      </c>
      <c r="AL181" s="16">
        <f t="shared" si="120"/>
        <v>0.1888</v>
      </c>
      <c r="AM181" s="16">
        <f t="shared" si="121"/>
        <v>0.69</v>
      </c>
      <c r="AN181" s="16">
        <f t="shared" si="122"/>
        <v>0.78</v>
      </c>
      <c r="AO181" s="16">
        <f t="shared" si="123"/>
        <v>0.41</v>
      </c>
      <c r="AP181" s="16">
        <f t="shared" si="124"/>
        <v>0.78</v>
      </c>
      <c r="AQ181" s="16">
        <f t="shared" si="125"/>
        <v>25</v>
      </c>
      <c r="AR181" s="16">
        <f t="shared" si="126"/>
        <v>0.41670000000000001</v>
      </c>
      <c r="AS181" s="16">
        <f t="shared" si="127"/>
        <v>25</v>
      </c>
      <c r="AT181" s="16">
        <f t="shared" si="128"/>
        <v>12.5</v>
      </c>
      <c r="AU181" s="16">
        <f t="shared" si="129"/>
        <v>62.5</v>
      </c>
      <c r="AV181" s="16">
        <f t="shared" si="130"/>
        <v>33.333300000000001</v>
      </c>
      <c r="AW181" s="16">
        <f t="shared" si="131"/>
        <v>41.666699999999999</v>
      </c>
      <c r="AX181" s="16">
        <f t="shared" si="132"/>
        <v>2.3332999999999999</v>
      </c>
      <c r="AY181" s="16">
        <f t="shared" si="133"/>
        <v>66.666700000000006</v>
      </c>
      <c r="AZ181" s="16">
        <f t="shared" si="134"/>
        <v>0.125</v>
      </c>
      <c r="BA181" s="16">
        <f t="shared" si="135"/>
        <v>0.25</v>
      </c>
      <c r="BB181" s="16">
        <f t="shared" si="136"/>
        <v>0</v>
      </c>
      <c r="BC181" s="16">
        <f t="shared" si="137"/>
        <v>0.125</v>
      </c>
      <c r="BD181" s="16">
        <f t="shared" si="138"/>
        <v>0.625</v>
      </c>
      <c r="BE181" s="16">
        <f t="shared" si="139"/>
        <v>0.75</v>
      </c>
      <c r="BF181" s="16">
        <f t="shared" si="140"/>
        <v>0.25</v>
      </c>
      <c r="BG181" s="16">
        <f t="shared" si="141"/>
        <v>0</v>
      </c>
      <c r="BH181" s="16">
        <f t="shared" si="142"/>
        <v>0.33329999999999999</v>
      </c>
      <c r="BI181" s="16">
        <f t="shared" si="143"/>
        <v>1</v>
      </c>
      <c r="BJ181" s="16">
        <f t="shared" si="144"/>
        <v>3</v>
      </c>
      <c r="BK181" s="16">
        <f t="shared" si="145"/>
        <v>1.5</v>
      </c>
      <c r="BL181" s="16">
        <f t="shared" si="146"/>
        <v>1.8332999999999999</v>
      </c>
      <c r="BM181" s="16">
        <f t="shared" si="147"/>
        <v>1.25</v>
      </c>
      <c r="BN181" s="16">
        <f t="shared" si="148"/>
        <v>0.5</v>
      </c>
      <c r="BO181" s="16">
        <f t="shared" si="149"/>
        <v>0.75</v>
      </c>
      <c r="BP181" s="16">
        <f t="shared" si="150"/>
        <v>0.83330000000000004</v>
      </c>
      <c r="BQ181" s="16">
        <f t="shared" si="151"/>
        <v>33.333300000000001</v>
      </c>
      <c r="BR181" s="16">
        <f t="shared" si="152"/>
        <v>58.333300000000001</v>
      </c>
      <c r="BS181" s="16">
        <f t="shared" si="153"/>
        <v>8.3332999999999995</v>
      </c>
      <c r="BT181" s="16">
        <f t="shared" si="154"/>
        <v>29.166699999999999</v>
      </c>
      <c r="BU181" s="16">
        <f t="shared" si="155"/>
        <v>0.625</v>
      </c>
      <c r="BV181" s="16">
        <f t="shared" si="156"/>
        <v>33.1081</v>
      </c>
      <c r="BW181" s="16">
        <f t="shared" si="157"/>
        <v>15.2247</v>
      </c>
      <c r="BX181" s="16">
        <f t="shared" si="158"/>
        <v>66.891900000000007</v>
      </c>
      <c r="BY181" s="16">
        <f t="shared" si="159"/>
        <v>0</v>
      </c>
      <c r="BZ181" s="16">
        <f t="shared" si="160"/>
        <v>0</v>
      </c>
      <c r="CA181" s="16">
        <f t="shared" si="161"/>
        <v>0</v>
      </c>
      <c r="CB181" s="16">
        <f t="shared" si="162"/>
        <v>0</v>
      </c>
      <c r="CC181" s="16">
        <f t="shared" si="163"/>
        <v>0</v>
      </c>
    </row>
    <row r="184" spans="1:81" x14ac:dyDescent="0.25">
      <c r="B184">
        <v>16.899999999999999</v>
      </c>
      <c r="C184">
        <v>7.81</v>
      </c>
      <c r="D184">
        <v>11.79</v>
      </c>
      <c r="E184">
        <v>537</v>
      </c>
      <c r="F184">
        <v>575</v>
      </c>
      <c r="G184">
        <v>351</v>
      </c>
      <c r="H184">
        <v>1463</v>
      </c>
      <c r="I184">
        <v>0.57420000000000004</v>
      </c>
      <c r="J184">
        <v>2.7875000000000001</v>
      </c>
      <c r="K184">
        <v>3.2875000000000001</v>
      </c>
      <c r="L184">
        <v>3.3</v>
      </c>
      <c r="M184">
        <v>3.125</v>
      </c>
      <c r="N184">
        <v>0.92610000000000003</v>
      </c>
      <c r="O184">
        <v>0.2225</v>
      </c>
      <c r="P184">
        <v>0.37690000000000001</v>
      </c>
      <c r="Q184">
        <v>0.4138</v>
      </c>
      <c r="R184">
        <v>0.3327</v>
      </c>
      <c r="S184">
        <v>0.20599999999999999</v>
      </c>
      <c r="T184">
        <v>0.32</v>
      </c>
      <c r="U184">
        <v>1</v>
      </c>
      <c r="V184">
        <v>0.92</v>
      </c>
      <c r="W184">
        <v>1</v>
      </c>
      <c r="X184">
        <v>9.3938000000000006</v>
      </c>
      <c r="Y184">
        <v>2.2222</v>
      </c>
      <c r="Z184">
        <v>26.666699999999999</v>
      </c>
      <c r="AA184">
        <v>24.444400000000002</v>
      </c>
      <c r="AB184">
        <v>53.333300000000001</v>
      </c>
      <c r="AC184">
        <v>2.2222</v>
      </c>
      <c r="AD184">
        <v>42.222200000000001</v>
      </c>
      <c r="AE184">
        <v>0</v>
      </c>
      <c r="AF184">
        <v>44.444400000000002</v>
      </c>
      <c r="AG184">
        <v>42.222200000000001</v>
      </c>
      <c r="AH184">
        <v>0.22559999999999999</v>
      </c>
      <c r="AI184">
        <v>0.1263</v>
      </c>
      <c r="AJ184">
        <v>0.1731</v>
      </c>
      <c r="AK184">
        <v>0.17510000000000001</v>
      </c>
      <c r="AL184">
        <v>0.18240000000000001</v>
      </c>
      <c r="AM184">
        <v>0.57999999999999996</v>
      </c>
      <c r="AN184">
        <v>0.5</v>
      </c>
      <c r="AO184">
        <v>0.68</v>
      </c>
      <c r="AP184">
        <v>0.68</v>
      </c>
      <c r="AQ184">
        <v>50</v>
      </c>
      <c r="AR184">
        <v>0.375</v>
      </c>
      <c r="AS184">
        <v>0</v>
      </c>
      <c r="AT184">
        <v>50</v>
      </c>
      <c r="AU184">
        <v>62.5</v>
      </c>
      <c r="AV184">
        <v>37.5</v>
      </c>
      <c r="AW184">
        <v>37.5</v>
      </c>
      <c r="AX184">
        <v>0.83330000000000004</v>
      </c>
      <c r="AY184">
        <v>25</v>
      </c>
      <c r="AZ184">
        <v>0</v>
      </c>
      <c r="BA184">
        <v>0.375</v>
      </c>
      <c r="BB184">
        <v>0</v>
      </c>
      <c r="BC184">
        <v>0.13039999999999999</v>
      </c>
      <c r="BD184">
        <v>0.30430000000000001</v>
      </c>
      <c r="BE184">
        <v>0.5</v>
      </c>
      <c r="BF184">
        <v>0.5</v>
      </c>
      <c r="BG184">
        <v>0.33329999999999999</v>
      </c>
      <c r="BH184">
        <v>0.45450000000000002</v>
      </c>
      <c r="BI184">
        <v>0.25</v>
      </c>
      <c r="BJ184">
        <v>0.25</v>
      </c>
      <c r="BK184">
        <v>0</v>
      </c>
      <c r="BL184">
        <v>0.18179999999999999</v>
      </c>
      <c r="BM184">
        <v>0.75</v>
      </c>
      <c r="BN184">
        <v>2.25</v>
      </c>
      <c r="BO184">
        <v>1</v>
      </c>
      <c r="BP184">
        <v>1.3635999999999999</v>
      </c>
      <c r="BQ184">
        <v>4.1666999999999996</v>
      </c>
      <c r="BR184">
        <v>95.833299999999994</v>
      </c>
      <c r="BS184">
        <v>0</v>
      </c>
      <c r="BT184">
        <v>37.541699999999999</v>
      </c>
      <c r="BU184">
        <v>1.3332999999999999</v>
      </c>
      <c r="BV184">
        <v>72.178100000000001</v>
      </c>
      <c r="BW184">
        <v>12.9229</v>
      </c>
      <c r="BX184">
        <v>27.821899999999999</v>
      </c>
      <c r="BY184">
        <v>0</v>
      </c>
      <c r="BZ184">
        <v>0</v>
      </c>
      <c r="CA184">
        <v>0</v>
      </c>
      <c r="CB184">
        <v>0</v>
      </c>
      <c r="CC184">
        <v>0</v>
      </c>
    </row>
    <row r="185" spans="1:81" x14ac:dyDescent="0.25">
      <c r="B185">
        <v>12.9</v>
      </c>
      <c r="C185">
        <v>8.6</v>
      </c>
      <c r="D185">
        <v>11.64</v>
      </c>
      <c r="E185">
        <v>2133</v>
      </c>
      <c r="F185">
        <v>1487</v>
      </c>
      <c r="G185">
        <v>1810</v>
      </c>
      <c r="H185">
        <v>5430</v>
      </c>
      <c r="I185">
        <v>0</v>
      </c>
      <c r="J185">
        <v>6.9375</v>
      </c>
      <c r="K185">
        <v>7.0125000000000002</v>
      </c>
      <c r="L185">
        <v>6.8</v>
      </c>
      <c r="M185">
        <v>6.9166999999999996</v>
      </c>
      <c r="N185">
        <v>0.49490000000000001</v>
      </c>
      <c r="O185">
        <v>0.44790000000000002</v>
      </c>
      <c r="P185">
        <v>0.29170000000000001</v>
      </c>
      <c r="Q185">
        <v>0.30690000000000001</v>
      </c>
      <c r="R185">
        <v>0.36049999999999999</v>
      </c>
      <c r="S185">
        <v>0.14410000000000001</v>
      </c>
      <c r="T185">
        <v>0.7</v>
      </c>
      <c r="U185">
        <v>0.46</v>
      </c>
      <c r="V185">
        <v>0.54</v>
      </c>
      <c r="W185">
        <v>0.7</v>
      </c>
      <c r="X185">
        <v>19.185400000000001</v>
      </c>
      <c r="Y185">
        <v>0</v>
      </c>
      <c r="Z185">
        <v>7.0175000000000001</v>
      </c>
      <c r="AA185">
        <v>24.561399999999999</v>
      </c>
      <c r="AB185">
        <v>31.578900000000001</v>
      </c>
      <c r="AC185">
        <v>8.7719000000000005</v>
      </c>
      <c r="AD185">
        <v>57.8947</v>
      </c>
      <c r="AE185">
        <v>0</v>
      </c>
      <c r="AF185">
        <v>66.666700000000006</v>
      </c>
      <c r="AG185">
        <v>57.8947</v>
      </c>
      <c r="AH185">
        <v>0.25090000000000001</v>
      </c>
      <c r="AI185">
        <v>0.3322</v>
      </c>
      <c r="AJ185">
        <v>0.3619</v>
      </c>
      <c r="AK185">
        <v>0.3029</v>
      </c>
      <c r="AL185">
        <v>0.20300000000000001</v>
      </c>
      <c r="AM185">
        <v>0.83</v>
      </c>
      <c r="AN185">
        <v>0.75</v>
      </c>
      <c r="AO185">
        <v>0.75</v>
      </c>
      <c r="AP185">
        <v>0.83</v>
      </c>
      <c r="AQ185">
        <v>20.833300000000001</v>
      </c>
      <c r="AR185">
        <v>0.69569999999999999</v>
      </c>
      <c r="AS185">
        <v>25</v>
      </c>
      <c r="AT185">
        <v>0</v>
      </c>
      <c r="AU185">
        <v>0</v>
      </c>
      <c r="AV185">
        <v>8.3332999999999995</v>
      </c>
      <c r="AW185">
        <v>66.666700000000006</v>
      </c>
      <c r="AX185">
        <v>0.66669999999999996</v>
      </c>
      <c r="AY185">
        <v>16.666699999999999</v>
      </c>
      <c r="AZ185">
        <v>0.75</v>
      </c>
      <c r="BA185">
        <v>0</v>
      </c>
      <c r="BB185">
        <v>0.25</v>
      </c>
      <c r="BC185">
        <v>0.33329999999999999</v>
      </c>
      <c r="BD185">
        <v>0.875</v>
      </c>
      <c r="BE185">
        <v>1.75</v>
      </c>
      <c r="BF185">
        <v>0</v>
      </c>
      <c r="BG185">
        <v>0.25</v>
      </c>
      <c r="BH185">
        <v>0.66669999999999996</v>
      </c>
      <c r="BI185">
        <v>0</v>
      </c>
      <c r="BJ185">
        <v>0</v>
      </c>
      <c r="BK185">
        <v>0.25</v>
      </c>
      <c r="BL185">
        <v>8.3299999999999999E-2</v>
      </c>
      <c r="BM185">
        <v>2.25</v>
      </c>
      <c r="BN185">
        <v>0.25</v>
      </c>
      <c r="BO185">
        <v>1.25</v>
      </c>
      <c r="BP185">
        <v>1.25</v>
      </c>
      <c r="BQ185">
        <v>4.1666999999999996</v>
      </c>
      <c r="BR185">
        <v>58.333300000000001</v>
      </c>
      <c r="BS185">
        <v>33.333300000000001</v>
      </c>
      <c r="BT185">
        <v>50</v>
      </c>
      <c r="BU185">
        <v>1.75</v>
      </c>
      <c r="BV185">
        <v>78.528499999999994</v>
      </c>
      <c r="BW185">
        <v>11.4491</v>
      </c>
      <c r="BX185">
        <v>21.471499999999999</v>
      </c>
      <c r="BY185">
        <v>0</v>
      </c>
      <c r="BZ185">
        <v>0</v>
      </c>
      <c r="CA185">
        <v>0</v>
      </c>
      <c r="CB185">
        <v>0</v>
      </c>
      <c r="CC185">
        <v>0</v>
      </c>
    </row>
    <row r="186" spans="1:81" x14ac:dyDescent="0.25">
      <c r="B186">
        <v>13.1</v>
      </c>
      <c r="C186">
        <v>9.4</v>
      </c>
      <c r="D186">
        <v>13.5</v>
      </c>
      <c r="E186">
        <v>1310</v>
      </c>
      <c r="F186">
        <v>1447</v>
      </c>
      <c r="G186">
        <v>1067</v>
      </c>
      <c r="H186">
        <v>3824</v>
      </c>
      <c r="I186">
        <v>1.5699999999999999E-2</v>
      </c>
      <c r="J186">
        <v>3.9624999999999999</v>
      </c>
      <c r="K186">
        <v>3.95</v>
      </c>
      <c r="L186">
        <v>3.5625</v>
      </c>
      <c r="M186">
        <v>3.8250000000000002</v>
      </c>
      <c r="N186">
        <v>0.41830000000000001</v>
      </c>
      <c r="O186">
        <v>0.54290000000000005</v>
      </c>
      <c r="P186">
        <v>0.4546</v>
      </c>
      <c r="Q186">
        <v>0.38879999999999998</v>
      </c>
      <c r="R186">
        <v>0.46210000000000001</v>
      </c>
      <c r="S186">
        <v>0.1222</v>
      </c>
      <c r="T186">
        <v>0.7</v>
      </c>
      <c r="U186">
        <v>0.68</v>
      </c>
      <c r="V186">
        <v>0.61</v>
      </c>
      <c r="W186">
        <v>0.7</v>
      </c>
      <c r="X186">
        <v>8.2776999999999994</v>
      </c>
      <c r="Y186">
        <v>1.3889</v>
      </c>
      <c r="Z186">
        <v>55.555599999999998</v>
      </c>
      <c r="AA186">
        <v>13.8889</v>
      </c>
      <c r="AB186">
        <v>70.833299999999994</v>
      </c>
      <c r="AC186">
        <v>8.3332999999999995</v>
      </c>
      <c r="AD186">
        <v>18.055599999999998</v>
      </c>
      <c r="AE186">
        <v>2.7778</v>
      </c>
      <c r="AF186">
        <v>29.166699999999999</v>
      </c>
      <c r="AG186">
        <v>55.555599999999998</v>
      </c>
      <c r="AH186">
        <v>0.24729999999999999</v>
      </c>
      <c r="AI186">
        <v>0.27760000000000001</v>
      </c>
      <c r="AJ186">
        <v>0.44679999999999997</v>
      </c>
      <c r="AK186">
        <v>0.31919999999999998</v>
      </c>
      <c r="AL186">
        <v>0.1918</v>
      </c>
      <c r="AM186">
        <v>0.39</v>
      </c>
      <c r="AN186">
        <v>0.46</v>
      </c>
      <c r="AO186">
        <v>1.01</v>
      </c>
      <c r="AP186">
        <v>1.01</v>
      </c>
      <c r="AQ186">
        <v>4.1666999999999996</v>
      </c>
      <c r="AR186">
        <v>0.78259999999999996</v>
      </c>
      <c r="AS186">
        <v>0</v>
      </c>
      <c r="AT186">
        <v>50</v>
      </c>
      <c r="AU186">
        <v>0</v>
      </c>
      <c r="AV186">
        <v>16.666699999999999</v>
      </c>
      <c r="AW186">
        <v>75</v>
      </c>
      <c r="AX186">
        <v>0</v>
      </c>
      <c r="AY186">
        <v>0</v>
      </c>
      <c r="AZ186">
        <v>0</v>
      </c>
      <c r="BA186">
        <v>0</v>
      </c>
      <c r="BB186">
        <v>0</v>
      </c>
      <c r="BC186">
        <v>0</v>
      </c>
      <c r="BD186">
        <v>8.3299999999999999E-2</v>
      </c>
      <c r="BE186">
        <v>3.5</v>
      </c>
      <c r="BF186">
        <v>2</v>
      </c>
      <c r="BG186">
        <v>1.75</v>
      </c>
      <c r="BH186">
        <v>2.4167000000000001</v>
      </c>
      <c r="BI186">
        <v>1.25</v>
      </c>
      <c r="BJ186">
        <v>0</v>
      </c>
      <c r="BK186">
        <v>0</v>
      </c>
      <c r="BL186">
        <v>0.41670000000000001</v>
      </c>
      <c r="BM186">
        <v>3.25</v>
      </c>
      <c r="BN186">
        <v>3.25</v>
      </c>
      <c r="BO186">
        <v>1.75</v>
      </c>
      <c r="BP186">
        <v>2.75</v>
      </c>
      <c r="BQ186">
        <v>4.1666999999999996</v>
      </c>
      <c r="BR186">
        <v>75</v>
      </c>
      <c r="BS186">
        <v>20.833300000000001</v>
      </c>
      <c r="BT186">
        <v>44.583300000000001</v>
      </c>
      <c r="BU186">
        <v>1.875</v>
      </c>
      <c r="BV186">
        <v>97.297300000000007</v>
      </c>
      <c r="BW186">
        <v>3.5697000000000001</v>
      </c>
      <c r="BX186">
        <v>2.7027000000000001</v>
      </c>
      <c r="BY186">
        <v>0</v>
      </c>
      <c r="BZ186">
        <v>0</v>
      </c>
      <c r="CA186">
        <v>0</v>
      </c>
      <c r="CB186">
        <v>0</v>
      </c>
      <c r="CC186">
        <v>0</v>
      </c>
    </row>
    <row r="187" spans="1:81" x14ac:dyDescent="0.25">
      <c r="B187">
        <v>10.6</v>
      </c>
      <c r="C187">
        <v>8.4499999999999993</v>
      </c>
      <c r="D187">
        <v>11.24</v>
      </c>
      <c r="E187">
        <v>496</v>
      </c>
      <c r="F187">
        <v>356</v>
      </c>
      <c r="G187">
        <v>426</v>
      </c>
      <c r="H187">
        <v>1278</v>
      </c>
      <c r="I187">
        <v>0</v>
      </c>
      <c r="J187">
        <v>1.7875000000000001</v>
      </c>
      <c r="K187">
        <v>1.9375</v>
      </c>
      <c r="L187">
        <v>2.5874999999999999</v>
      </c>
      <c r="M187">
        <v>2.1042000000000001</v>
      </c>
      <c r="N187">
        <v>0.60250000000000004</v>
      </c>
      <c r="O187">
        <v>9.1300000000000006E-2</v>
      </c>
      <c r="P187">
        <v>0.14330000000000001</v>
      </c>
      <c r="Q187">
        <v>8.5400000000000004E-2</v>
      </c>
      <c r="R187">
        <v>0.1079</v>
      </c>
      <c r="S187">
        <v>4.3099999999999999E-2</v>
      </c>
      <c r="T187">
        <v>0.13</v>
      </c>
      <c r="U187">
        <v>0.24</v>
      </c>
      <c r="V187">
        <v>0.15</v>
      </c>
      <c r="W187">
        <v>0.24</v>
      </c>
      <c r="X187">
        <v>19.504899999999999</v>
      </c>
      <c r="Y187">
        <v>3.0303</v>
      </c>
      <c r="Z187">
        <v>9.0908999999999995</v>
      </c>
      <c r="AA187">
        <v>0</v>
      </c>
      <c r="AB187">
        <v>12.1212</v>
      </c>
      <c r="AC187">
        <v>0</v>
      </c>
      <c r="AD187">
        <v>87.878799999999998</v>
      </c>
      <c r="AE187">
        <v>0</v>
      </c>
      <c r="AF187">
        <v>87.878799999999998</v>
      </c>
      <c r="AG187">
        <v>87.878799999999998</v>
      </c>
      <c r="AH187">
        <v>0.46750000000000003</v>
      </c>
      <c r="AI187">
        <v>0.21329999999999999</v>
      </c>
      <c r="AJ187">
        <v>0.36309999999999998</v>
      </c>
      <c r="AK187">
        <v>0.33389999999999997</v>
      </c>
      <c r="AL187">
        <v>0.18859999999999999</v>
      </c>
      <c r="AM187">
        <v>0.69</v>
      </c>
      <c r="AN187">
        <v>0.44</v>
      </c>
      <c r="AO187">
        <v>0.65</v>
      </c>
      <c r="AP187">
        <v>0.69</v>
      </c>
      <c r="AQ187">
        <v>83.333299999999994</v>
      </c>
      <c r="AR187">
        <v>0.16669999999999999</v>
      </c>
      <c r="AS187">
        <v>0</v>
      </c>
      <c r="AT187">
        <v>0</v>
      </c>
      <c r="AU187">
        <v>0</v>
      </c>
      <c r="AV187">
        <v>0</v>
      </c>
      <c r="AW187">
        <v>83.333299999999994</v>
      </c>
      <c r="AX187">
        <v>0.58330000000000004</v>
      </c>
      <c r="AY187">
        <v>8.3332999999999995</v>
      </c>
      <c r="AZ187">
        <v>0.375</v>
      </c>
      <c r="BA187">
        <v>1</v>
      </c>
      <c r="BB187">
        <v>0.5</v>
      </c>
      <c r="BC187">
        <v>0.625</v>
      </c>
      <c r="BD187">
        <v>1.1667000000000001</v>
      </c>
      <c r="BE187">
        <v>0.5</v>
      </c>
      <c r="BF187">
        <v>0.25</v>
      </c>
      <c r="BG187">
        <v>0</v>
      </c>
      <c r="BH187">
        <v>0.25</v>
      </c>
      <c r="BI187">
        <v>0.25</v>
      </c>
      <c r="BJ187">
        <v>0</v>
      </c>
      <c r="BK187">
        <v>0.75</v>
      </c>
      <c r="BL187">
        <v>0.33329999999999999</v>
      </c>
      <c r="BM187">
        <v>0.25</v>
      </c>
      <c r="BN187">
        <v>0.25</v>
      </c>
      <c r="BO187">
        <v>0</v>
      </c>
      <c r="BP187">
        <v>0.16669999999999999</v>
      </c>
      <c r="BQ187">
        <v>41.666699999999999</v>
      </c>
      <c r="BR187">
        <v>58.333300000000001</v>
      </c>
      <c r="BS187">
        <v>0</v>
      </c>
      <c r="BT187">
        <v>21.333300000000001</v>
      </c>
      <c r="BU187">
        <v>0.41670000000000001</v>
      </c>
      <c r="BV187">
        <v>11.036</v>
      </c>
      <c r="BW187">
        <v>9.7728000000000002</v>
      </c>
      <c r="BX187">
        <v>88.963999999999999</v>
      </c>
      <c r="BY187">
        <v>0</v>
      </c>
      <c r="BZ187">
        <v>0</v>
      </c>
      <c r="CA187">
        <v>0</v>
      </c>
      <c r="CB187">
        <v>0</v>
      </c>
      <c r="CC187">
        <v>0</v>
      </c>
    </row>
    <row r="188" spans="1:81" x14ac:dyDescent="0.25">
      <c r="B188">
        <v>11.7</v>
      </c>
      <c r="C188">
        <v>9.02</v>
      </c>
      <c r="D188">
        <v>15.53</v>
      </c>
      <c r="E188">
        <v>350</v>
      </c>
      <c r="F188">
        <v>339</v>
      </c>
      <c r="G188">
        <v>437</v>
      </c>
      <c r="H188">
        <v>1126</v>
      </c>
      <c r="I188">
        <v>0.21310000000000001</v>
      </c>
      <c r="J188">
        <v>1.65</v>
      </c>
      <c r="K188">
        <v>2.1875</v>
      </c>
      <c r="L188">
        <v>2.3374999999999999</v>
      </c>
      <c r="M188">
        <v>2.0583</v>
      </c>
      <c r="N188">
        <v>0.94640000000000002</v>
      </c>
      <c r="O188">
        <v>0.11</v>
      </c>
      <c r="P188">
        <v>0.25059999999999999</v>
      </c>
      <c r="Q188">
        <v>0.19</v>
      </c>
      <c r="R188">
        <v>0.1835</v>
      </c>
      <c r="S188">
        <v>0.1573</v>
      </c>
      <c r="T188">
        <v>0.36</v>
      </c>
      <c r="U188">
        <v>0.59</v>
      </c>
      <c r="V188">
        <v>0.57999999999999996</v>
      </c>
      <c r="W188">
        <v>0.59</v>
      </c>
      <c r="X188">
        <v>11.214499999999999</v>
      </c>
      <c r="Y188">
        <v>0</v>
      </c>
      <c r="Z188">
        <v>27.659600000000001</v>
      </c>
      <c r="AA188">
        <v>0</v>
      </c>
      <c r="AB188">
        <v>27.659600000000001</v>
      </c>
      <c r="AC188">
        <v>6.383</v>
      </c>
      <c r="AD188">
        <v>65.957400000000007</v>
      </c>
      <c r="AE188">
        <v>0</v>
      </c>
      <c r="AF188">
        <v>72.340400000000002</v>
      </c>
      <c r="AG188">
        <v>65.957400000000007</v>
      </c>
      <c r="AH188">
        <v>0.16200000000000001</v>
      </c>
      <c r="AI188">
        <v>6.13E-2</v>
      </c>
      <c r="AJ188">
        <v>0.13869999999999999</v>
      </c>
      <c r="AK188">
        <v>0.1144</v>
      </c>
      <c r="AL188">
        <v>0.19109999999999999</v>
      </c>
      <c r="AM188">
        <v>0.93</v>
      </c>
      <c r="AN188">
        <v>0.52</v>
      </c>
      <c r="AO188">
        <v>0.6</v>
      </c>
      <c r="AP188">
        <v>0.93</v>
      </c>
      <c r="AQ188">
        <v>41.666699999999999</v>
      </c>
      <c r="AR188">
        <v>0.33329999999999999</v>
      </c>
      <c r="AS188">
        <v>0</v>
      </c>
      <c r="AT188">
        <v>37.5</v>
      </c>
      <c r="AU188">
        <v>37.5</v>
      </c>
      <c r="AV188">
        <v>25</v>
      </c>
      <c r="AW188">
        <v>41.666699999999999</v>
      </c>
      <c r="AX188">
        <v>1.5</v>
      </c>
      <c r="AY188">
        <v>41.666699999999999</v>
      </c>
      <c r="AZ188">
        <v>0</v>
      </c>
      <c r="BA188">
        <v>0</v>
      </c>
      <c r="BB188">
        <v>0</v>
      </c>
      <c r="BC188">
        <v>0</v>
      </c>
      <c r="BD188">
        <v>8.3299999999999999E-2</v>
      </c>
      <c r="BE188">
        <v>1</v>
      </c>
      <c r="BF188">
        <v>2</v>
      </c>
      <c r="BG188">
        <v>0.5</v>
      </c>
      <c r="BH188">
        <v>1.1667000000000001</v>
      </c>
      <c r="BI188">
        <v>0.25</v>
      </c>
      <c r="BJ188">
        <v>0.25</v>
      </c>
      <c r="BK188">
        <v>0</v>
      </c>
      <c r="BL188">
        <v>0.16669999999999999</v>
      </c>
      <c r="BM188">
        <v>0.75</v>
      </c>
      <c r="BN188">
        <v>2.75</v>
      </c>
      <c r="BO188">
        <v>1.75</v>
      </c>
      <c r="BP188">
        <v>1.75</v>
      </c>
      <c r="BQ188">
        <v>20.833300000000001</v>
      </c>
      <c r="BR188">
        <v>45.833300000000001</v>
      </c>
      <c r="BS188">
        <v>33.333300000000001</v>
      </c>
      <c r="BT188">
        <v>43.333300000000001</v>
      </c>
      <c r="BU188">
        <v>1.4167000000000001</v>
      </c>
      <c r="BV188">
        <v>68.693700000000007</v>
      </c>
      <c r="BW188">
        <v>13.519</v>
      </c>
      <c r="BX188">
        <v>31.3063</v>
      </c>
      <c r="BY188">
        <v>0</v>
      </c>
      <c r="BZ188">
        <v>0</v>
      </c>
      <c r="CA188">
        <v>0</v>
      </c>
      <c r="CB188">
        <v>0</v>
      </c>
      <c r="CC188">
        <v>0</v>
      </c>
    </row>
    <row r="189" spans="1:81" x14ac:dyDescent="0.25">
      <c r="B189">
        <v>15.9</v>
      </c>
      <c r="C189">
        <v>8.1</v>
      </c>
      <c r="D189">
        <v>9.74</v>
      </c>
      <c r="E189">
        <v>1054</v>
      </c>
      <c r="F189">
        <v>633</v>
      </c>
      <c r="G189">
        <v>599</v>
      </c>
      <c r="H189">
        <v>2286</v>
      </c>
      <c r="I189">
        <v>0</v>
      </c>
      <c r="J189">
        <v>4.8250000000000002</v>
      </c>
      <c r="K189">
        <v>2.3875000000000002</v>
      </c>
      <c r="L189">
        <v>3.7625000000000002</v>
      </c>
      <c r="M189">
        <v>3.6583000000000001</v>
      </c>
      <c r="N189">
        <v>1.4945999999999999</v>
      </c>
      <c r="O189">
        <v>0.45469999999999999</v>
      </c>
      <c r="P189">
        <v>0.33</v>
      </c>
      <c r="Q189">
        <v>0.53380000000000005</v>
      </c>
      <c r="R189">
        <v>0.43940000000000001</v>
      </c>
      <c r="S189">
        <v>0.20860000000000001</v>
      </c>
      <c r="T189">
        <v>0.78</v>
      </c>
      <c r="U189">
        <v>0.46</v>
      </c>
      <c r="V189">
        <v>0.88</v>
      </c>
      <c r="W189">
        <v>0.88</v>
      </c>
      <c r="X189">
        <v>8.3262</v>
      </c>
      <c r="Y189">
        <v>0</v>
      </c>
      <c r="Z189">
        <v>37.5</v>
      </c>
      <c r="AA189">
        <v>6.25</v>
      </c>
      <c r="AB189">
        <v>43.75</v>
      </c>
      <c r="AC189">
        <v>6.25</v>
      </c>
      <c r="AD189">
        <v>50</v>
      </c>
      <c r="AE189">
        <v>0</v>
      </c>
      <c r="AF189">
        <v>56.25</v>
      </c>
      <c r="AG189">
        <v>50</v>
      </c>
      <c r="AH189">
        <v>9.2899999999999996E-2</v>
      </c>
      <c r="AI189">
        <v>0.2838</v>
      </c>
      <c r="AJ189">
        <v>0.1638</v>
      </c>
      <c r="AK189">
        <v>0.1681</v>
      </c>
      <c r="AL189">
        <v>0.15429999999999999</v>
      </c>
      <c r="AM189">
        <v>0.28999999999999998</v>
      </c>
      <c r="AN189">
        <v>0.43</v>
      </c>
      <c r="AO189">
        <v>0.6</v>
      </c>
      <c r="AP189">
        <v>0.6</v>
      </c>
      <c r="AQ189">
        <v>25</v>
      </c>
      <c r="AR189">
        <v>0.29170000000000001</v>
      </c>
      <c r="AS189">
        <v>62.5</v>
      </c>
      <c r="AT189">
        <v>12.5</v>
      </c>
      <c r="AU189">
        <v>62.5</v>
      </c>
      <c r="AV189">
        <v>45.833300000000001</v>
      </c>
      <c r="AW189">
        <v>37.5</v>
      </c>
      <c r="AX189">
        <v>0.75</v>
      </c>
      <c r="AY189">
        <v>16.666699999999999</v>
      </c>
      <c r="AZ189">
        <v>0.75</v>
      </c>
      <c r="BA189">
        <v>0</v>
      </c>
      <c r="BB189">
        <v>0</v>
      </c>
      <c r="BC189">
        <v>0.25</v>
      </c>
      <c r="BD189">
        <v>0.95830000000000004</v>
      </c>
      <c r="BE189">
        <v>0.25</v>
      </c>
      <c r="BF189">
        <v>0.5</v>
      </c>
      <c r="BG189">
        <v>0</v>
      </c>
      <c r="BH189">
        <v>0.25</v>
      </c>
      <c r="BI189">
        <v>0</v>
      </c>
      <c r="BJ189">
        <v>0</v>
      </c>
      <c r="BK189">
        <v>0</v>
      </c>
      <c r="BL189">
        <v>0</v>
      </c>
      <c r="BM189">
        <v>2.5</v>
      </c>
      <c r="BN189">
        <v>0</v>
      </c>
      <c r="BO189">
        <v>2.5</v>
      </c>
      <c r="BP189">
        <v>1.6667000000000001</v>
      </c>
      <c r="BQ189">
        <v>0</v>
      </c>
      <c r="BR189">
        <v>83.333299999999994</v>
      </c>
      <c r="BS189">
        <v>16.666699999999999</v>
      </c>
      <c r="BT189">
        <v>44.375</v>
      </c>
      <c r="BU189">
        <v>2.7082999999999999</v>
      </c>
      <c r="BV189">
        <v>37.537500000000001</v>
      </c>
      <c r="BW189">
        <v>15.665800000000001</v>
      </c>
      <c r="BX189">
        <v>62.462499999999999</v>
      </c>
      <c r="BY189">
        <v>0</v>
      </c>
      <c r="BZ189">
        <v>0</v>
      </c>
      <c r="CA189">
        <v>0</v>
      </c>
      <c r="CB189">
        <v>0</v>
      </c>
      <c r="CC189">
        <v>0</v>
      </c>
    </row>
    <row r="190" spans="1:81" x14ac:dyDescent="0.25">
      <c r="B190">
        <v>13.4</v>
      </c>
      <c r="C190">
        <v>8.68</v>
      </c>
      <c r="D190">
        <v>11.84</v>
      </c>
      <c r="E190">
        <v>417</v>
      </c>
      <c r="F190">
        <v>429</v>
      </c>
      <c r="G190">
        <v>199</v>
      </c>
      <c r="H190">
        <v>1045</v>
      </c>
      <c r="I190">
        <v>0.1148</v>
      </c>
      <c r="J190">
        <v>2.5874999999999999</v>
      </c>
      <c r="K190">
        <v>2.8125</v>
      </c>
      <c r="L190">
        <v>2.3250000000000002</v>
      </c>
      <c r="M190">
        <v>2.5750000000000002</v>
      </c>
      <c r="N190">
        <v>0.71030000000000004</v>
      </c>
      <c r="O190">
        <v>0.18629999999999999</v>
      </c>
      <c r="P190">
        <v>0.35560000000000003</v>
      </c>
      <c r="Q190">
        <v>0.17469999999999999</v>
      </c>
      <c r="R190">
        <v>0.2402</v>
      </c>
      <c r="S190">
        <v>0.15970000000000001</v>
      </c>
      <c r="T190">
        <v>0.36</v>
      </c>
      <c r="U190">
        <v>0.62</v>
      </c>
      <c r="V190">
        <v>0.28000000000000003</v>
      </c>
      <c r="W190">
        <v>0.62</v>
      </c>
      <c r="X190">
        <v>10.7197</v>
      </c>
      <c r="Y190">
        <v>8.6957000000000004</v>
      </c>
      <c r="Z190">
        <v>4.3478000000000003</v>
      </c>
      <c r="AA190">
        <v>34.782600000000002</v>
      </c>
      <c r="AB190">
        <v>47.826099999999997</v>
      </c>
      <c r="AC190">
        <v>23.913</v>
      </c>
      <c r="AD190">
        <v>28.260899999999999</v>
      </c>
      <c r="AE190">
        <v>0</v>
      </c>
      <c r="AF190">
        <v>52.173900000000003</v>
      </c>
      <c r="AG190">
        <v>34.782600000000002</v>
      </c>
      <c r="AH190">
        <v>0.32879999999999998</v>
      </c>
      <c r="AI190">
        <v>0.18129999999999999</v>
      </c>
      <c r="AJ190">
        <v>0.218</v>
      </c>
      <c r="AK190">
        <v>0.2432</v>
      </c>
      <c r="AL190">
        <v>0.1472</v>
      </c>
      <c r="AM190">
        <v>0.74</v>
      </c>
      <c r="AN190">
        <v>0.53</v>
      </c>
      <c r="AO190">
        <v>0.42</v>
      </c>
      <c r="AP190">
        <v>0.74</v>
      </c>
      <c r="AQ190">
        <v>29.166699999999999</v>
      </c>
      <c r="AR190">
        <v>0.58330000000000004</v>
      </c>
      <c r="AS190">
        <v>0</v>
      </c>
      <c r="AT190">
        <v>37.5</v>
      </c>
      <c r="AU190">
        <v>0</v>
      </c>
      <c r="AV190">
        <v>12.5</v>
      </c>
      <c r="AW190">
        <v>58.333300000000001</v>
      </c>
      <c r="AX190">
        <v>0.75</v>
      </c>
      <c r="AY190">
        <v>25</v>
      </c>
      <c r="AZ190">
        <v>0</v>
      </c>
      <c r="BA190">
        <v>0</v>
      </c>
      <c r="BB190">
        <v>0</v>
      </c>
      <c r="BC190">
        <v>0</v>
      </c>
      <c r="BD190">
        <v>0.58330000000000004</v>
      </c>
      <c r="BE190">
        <v>0</v>
      </c>
      <c r="BF190">
        <v>0.5</v>
      </c>
      <c r="BG190">
        <v>0.5</v>
      </c>
      <c r="BH190">
        <v>0.33329999999999999</v>
      </c>
      <c r="BI190">
        <v>0.25</v>
      </c>
      <c r="BJ190">
        <v>0</v>
      </c>
      <c r="BK190">
        <v>0</v>
      </c>
      <c r="BL190">
        <v>8.3299999999999999E-2</v>
      </c>
      <c r="BM190">
        <v>0.25</v>
      </c>
      <c r="BN190">
        <v>2.25</v>
      </c>
      <c r="BO190">
        <v>0</v>
      </c>
      <c r="BP190">
        <v>0.83330000000000004</v>
      </c>
      <c r="BQ190">
        <v>12.5</v>
      </c>
      <c r="BR190">
        <v>75</v>
      </c>
      <c r="BS190">
        <v>12.5</v>
      </c>
      <c r="BT190">
        <v>36.875</v>
      </c>
      <c r="BU190">
        <v>0.58330000000000004</v>
      </c>
      <c r="BV190">
        <v>81.681700000000006</v>
      </c>
      <c r="BW190">
        <v>12.1069</v>
      </c>
      <c r="BX190">
        <v>18.318300000000001</v>
      </c>
      <c r="BY190">
        <v>0</v>
      </c>
      <c r="BZ190">
        <v>0</v>
      </c>
      <c r="CA190">
        <v>0</v>
      </c>
      <c r="CB190">
        <v>0</v>
      </c>
      <c r="CC190">
        <v>0</v>
      </c>
    </row>
    <row r="191" spans="1:81" x14ac:dyDescent="0.25">
      <c r="B191">
        <v>14.6</v>
      </c>
      <c r="C191">
        <v>8.06</v>
      </c>
      <c r="D191">
        <v>10.55</v>
      </c>
      <c r="E191">
        <v>518</v>
      </c>
      <c r="F191">
        <v>323</v>
      </c>
      <c r="G191">
        <v>317</v>
      </c>
      <c r="H191">
        <v>1158</v>
      </c>
      <c r="I191">
        <v>0</v>
      </c>
      <c r="J191">
        <v>1.8125</v>
      </c>
      <c r="K191">
        <v>1.575</v>
      </c>
      <c r="L191">
        <v>1.2250000000000001</v>
      </c>
      <c r="M191">
        <v>1.5375000000000001</v>
      </c>
      <c r="N191">
        <v>0.61980000000000002</v>
      </c>
      <c r="O191">
        <v>0.26669999999999999</v>
      </c>
      <c r="P191">
        <v>0.30330000000000001</v>
      </c>
      <c r="Q191">
        <v>0.2767</v>
      </c>
      <c r="R191">
        <v>0.28220000000000001</v>
      </c>
      <c r="S191">
        <v>0.1071</v>
      </c>
      <c r="T191">
        <v>0.42</v>
      </c>
      <c r="U191">
        <v>0.5</v>
      </c>
      <c r="V191">
        <v>0.44</v>
      </c>
      <c r="W191">
        <v>0.5</v>
      </c>
      <c r="X191">
        <v>5.4478</v>
      </c>
      <c r="Y191">
        <v>0</v>
      </c>
      <c r="Z191">
        <v>61.1111</v>
      </c>
      <c r="AA191">
        <v>0</v>
      </c>
      <c r="AB191">
        <v>61.1111</v>
      </c>
      <c r="AC191">
        <v>2.7778</v>
      </c>
      <c r="AD191">
        <v>36.1111</v>
      </c>
      <c r="AE191">
        <v>0</v>
      </c>
      <c r="AF191">
        <v>38.8889</v>
      </c>
      <c r="AG191">
        <v>61.1111</v>
      </c>
      <c r="AH191">
        <v>0.26179999999999998</v>
      </c>
      <c r="AI191">
        <v>0.20449999999999999</v>
      </c>
      <c r="AJ191">
        <v>0.24179999999999999</v>
      </c>
      <c r="AK191">
        <v>0.23</v>
      </c>
      <c r="AL191">
        <v>0.15690000000000001</v>
      </c>
      <c r="AM191">
        <v>0.61</v>
      </c>
      <c r="AN191">
        <v>0.54</v>
      </c>
      <c r="AO191">
        <v>0.46</v>
      </c>
      <c r="AP191">
        <v>0.61</v>
      </c>
      <c r="AQ191">
        <v>12.5</v>
      </c>
      <c r="AR191">
        <v>0.83330000000000004</v>
      </c>
      <c r="AS191">
        <v>12.5</v>
      </c>
      <c r="AT191">
        <v>0</v>
      </c>
      <c r="AU191">
        <v>0</v>
      </c>
      <c r="AV191">
        <v>4.1666999999999996</v>
      </c>
      <c r="AW191">
        <v>83.333299999999994</v>
      </c>
      <c r="AX191">
        <v>1.3332999999999999</v>
      </c>
      <c r="AY191">
        <v>33.333300000000001</v>
      </c>
      <c r="AZ191">
        <v>0.125</v>
      </c>
      <c r="BA191">
        <v>0</v>
      </c>
      <c r="BB191">
        <v>0</v>
      </c>
      <c r="BC191">
        <v>4.1700000000000001E-2</v>
      </c>
      <c r="BD191">
        <v>4.1700000000000001E-2</v>
      </c>
      <c r="BE191">
        <v>0.5</v>
      </c>
      <c r="BF191">
        <v>0.25</v>
      </c>
      <c r="BG191">
        <v>0.5</v>
      </c>
      <c r="BH191">
        <v>0.41670000000000001</v>
      </c>
      <c r="BI191">
        <v>0</v>
      </c>
      <c r="BJ191">
        <v>0</v>
      </c>
      <c r="BK191">
        <v>0</v>
      </c>
      <c r="BL191">
        <v>0</v>
      </c>
      <c r="BM191">
        <v>0.75</v>
      </c>
      <c r="BN191">
        <v>0.5</v>
      </c>
      <c r="BO191">
        <v>0</v>
      </c>
      <c r="BP191">
        <v>0.41670000000000001</v>
      </c>
      <c r="BQ191">
        <v>20.833300000000001</v>
      </c>
      <c r="BR191">
        <v>29.166699999999999</v>
      </c>
      <c r="BS191">
        <v>50</v>
      </c>
      <c r="BT191">
        <v>49.375</v>
      </c>
      <c r="BU191">
        <v>1.375</v>
      </c>
      <c r="BV191">
        <v>78.571399999999997</v>
      </c>
      <c r="BW191">
        <v>15.7552</v>
      </c>
      <c r="BX191">
        <v>21.428599999999999</v>
      </c>
      <c r="BY191">
        <v>0</v>
      </c>
      <c r="BZ191">
        <v>0</v>
      </c>
      <c r="CA191">
        <v>0</v>
      </c>
      <c r="CB191">
        <v>0</v>
      </c>
      <c r="CC191">
        <v>0</v>
      </c>
    </row>
    <row r="192" spans="1:81" x14ac:dyDescent="0.25">
      <c r="B192">
        <v>15.6</v>
      </c>
      <c r="C192">
        <v>8.85</v>
      </c>
      <c r="D192">
        <v>14.3</v>
      </c>
      <c r="E192">
        <v>781</v>
      </c>
      <c r="F192">
        <v>739</v>
      </c>
      <c r="G192">
        <v>531</v>
      </c>
      <c r="H192">
        <v>2051</v>
      </c>
      <c r="I192">
        <v>5.8500000000000003E-2</v>
      </c>
      <c r="J192">
        <v>2.9874999999999998</v>
      </c>
      <c r="K192">
        <v>2.7374999999999998</v>
      </c>
      <c r="L192">
        <v>2.9750000000000001</v>
      </c>
      <c r="M192">
        <v>2.9</v>
      </c>
      <c r="N192">
        <v>0.69969999999999999</v>
      </c>
      <c r="O192">
        <v>0.15060000000000001</v>
      </c>
      <c r="P192">
        <v>0.14249999999999999</v>
      </c>
      <c r="Q192">
        <v>0.18440000000000001</v>
      </c>
      <c r="R192">
        <v>0.15920000000000001</v>
      </c>
      <c r="S192">
        <v>0.10009999999999999</v>
      </c>
      <c r="T192">
        <v>0.44</v>
      </c>
      <c r="U192">
        <v>0.44</v>
      </c>
      <c r="V192">
        <v>0.32</v>
      </c>
      <c r="W192">
        <v>0.44</v>
      </c>
      <c r="X192">
        <v>18.219899999999999</v>
      </c>
      <c r="Y192">
        <v>0</v>
      </c>
      <c r="Z192">
        <v>47.916699999999999</v>
      </c>
      <c r="AA192">
        <v>2.0832999999999999</v>
      </c>
      <c r="AB192">
        <v>50</v>
      </c>
      <c r="AC192">
        <v>4.1666999999999996</v>
      </c>
      <c r="AD192">
        <v>43.75</v>
      </c>
      <c r="AE192">
        <v>2.0832999999999999</v>
      </c>
      <c r="AF192">
        <v>50</v>
      </c>
      <c r="AG192">
        <v>47.916699999999999</v>
      </c>
      <c r="AH192">
        <v>4.9399999999999999E-2</v>
      </c>
      <c r="AI192">
        <v>0.1381</v>
      </c>
      <c r="AJ192">
        <v>1.1900000000000001E-2</v>
      </c>
      <c r="AK192">
        <v>6.6500000000000004E-2</v>
      </c>
      <c r="AL192">
        <v>0.123</v>
      </c>
      <c r="AM192">
        <v>0.25</v>
      </c>
      <c r="AN192">
        <v>0.61</v>
      </c>
      <c r="AO192">
        <v>0.05</v>
      </c>
      <c r="AP192">
        <v>0.61</v>
      </c>
      <c r="AQ192">
        <v>29.166699999999999</v>
      </c>
      <c r="AR192">
        <v>0.125</v>
      </c>
      <c r="AS192">
        <v>50</v>
      </c>
      <c r="AT192">
        <v>37.5</v>
      </c>
      <c r="AU192">
        <v>87.5</v>
      </c>
      <c r="AV192">
        <v>58.333300000000001</v>
      </c>
      <c r="AW192">
        <v>58.333300000000001</v>
      </c>
      <c r="AX192">
        <v>0.66669999999999996</v>
      </c>
      <c r="AY192">
        <v>25</v>
      </c>
      <c r="AZ192">
        <v>0.5</v>
      </c>
      <c r="BA192">
        <v>0.125</v>
      </c>
      <c r="BB192">
        <v>0</v>
      </c>
      <c r="BC192">
        <v>0.20830000000000001</v>
      </c>
      <c r="BD192">
        <v>0.45829999999999999</v>
      </c>
      <c r="BE192">
        <v>0.25</v>
      </c>
      <c r="BF192">
        <v>0</v>
      </c>
      <c r="BG192">
        <v>0</v>
      </c>
      <c r="BH192">
        <v>8.3299999999999999E-2</v>
      </c>
      <c r="BI192">
        <v>1.25</v>
      </c>
      <c r="BJ192">
        <v>1.5</v>
      </c>
      <c r="BK192">
        <v>0</v>
      </c>
      <c r="BL192">
        <v>0.91669999999999996</v>
      </c>
      <c r="BM192">
        <v>2.5</v>
      </c>
      <c r="BN192">
        <v>1.5</v>
      </c>
      <c r="BO192">
        <v>4</v>
      </c>
      <c r="BP192">
        <v>2.6667000000000001</v>
      </c>
      <c r="BQ192">
        <v>20.833300000000001</v>
      </c>
      <c r="BR192">
        <v>70.833299999999994</v>
      </c>
      <c r="BS192">
        <v>8.3332999999999995</v>
      </c>
      <c r="BT192">
        <v>29.791699999999999</v>
      </c>
      <c r="BU192">
        <v>1.625</v>
      </c>
      <c r="BV192">
        <v>33.258299999999998</v>
      </c>
      <c r="BW192">
        <v>14.392099999999999</v>
      </c>
      <c r="BX192">
        <v>66.741699999999994</v>
      </c>
      <c r="BY192">
        <v>0</v>
      </c>
      <c r="BZ192">
        <v>0</v>
      </c>
      <c r="CA192">
        <v>0</v>
      </c>
      <c r="CB192">
        <v>0</v>
      </c>
      <c r="CC192">
        <v>0</v>
      </c>
    </row>
    <row r="193" spans="2:81" x14ac:dyDescent="0.25">
      <c r="B193">
        <v>16.600000000000001</v>
      </c>
      <c r="C193">
        <v>8.1999999999999993</v>
      </c>
      <c r="D193">
        <v>10.63</v>
      </c>
      <c r="E193">
        <v>334</v>
      </c>
      <c r="F193">
        <v>547</v>
      </c>
      <c r="G193">
        <v>317</v>
      </c>
      <c r="H193">
        <v>1198</v>
      </c>
      <c r="I193">
        <v>2.0533999999999999</v>
      </c>
      <c r="J193">
        <v>1.9125000000000001</v>
      </c>
      <c r="K193">
        <v>2.4500000000000002</v>
      </c>
      <c r="L193">
        <v>2.1875</v>
      </c>
      <c r="M193">
        <v>2.1833</v>
      </c>
      <c r="N193">
        <v>0.44790000000000002</v>
      </c>
      <c r="O193">
        <v>0.21</v>
      </c>
      <c r="P193">
        <v>0.24909999999999999</v>
      </c>
      <c r="Q193">
        <v>0.32300000000000001</v>
      </c>
      <c r="R193">
        <v>0.26029999999999998</v>
      </c>
      <c r="S193">
        <v>9.98E-2</v>
      </c>
      <c r="T193">
        <v>0.28000000000000003</v>
      </c>
      <c r="U193">
        <v>0.52</v>
      </c>
      <c r="V193">
        <v>0.46</v>
      </c>
      <c r="W193">
        <v>0.52</v>
      </c>
      <c r="X193">
        <v>8.3870000000000005</v>
      </c>
      <c r="Y193">
        <v>0</v>
      </c>
      <c r="Z193">
        <v>22.5806</v>
      </c>
      <c r="AA193">
        <v>9.6774000000000004</v>
      </c>
      <c r="AB193">
        <v>32.258099999999999</v>
      </c>
      <c r="AC193">
        <v>25.8065</v>
      </c>
      <c r="AD193">
        <v>41.935499999999998</v>
      </c>
      <c r="AE193">
        <v>0</v>
      </c>
      <c r="AF193">
        <v>67.741900000000001</v>
      </c>
      <c r="AG193">
        <v>41.935499999999998</v>
      </c>
      <c r="AH193">
        <v>0.36890000000000001</v>
      </c>
      <c r="AI193">
        <v>0.28299999999999997</v>
      </c>
      <c r="AJ193">
        <v>0.19220000000000001</v>
      </c>
      <c r="AK193">
        <v>0.26840000000000003</v>
      </c>
      <c r="AL193">
        <v>0.15679999999999999</v>
      </c>
      <c r="AM193">
        <v>0.6</v>
      </c>
      <c r="AN193">
        <v>0.72</v>
      </c>
      <c r="AO193">
        <v>0.36</v>
      </c>
      <c r="AP193">
        <v>0.72</v>
      </c>
      <c r="AQ193">
        <v>37.5</v>
      </c>
      <c r="AR193">
        <v>0.45829999999999999</v>
      </c>
      <c r="AS193">
        <v>0</v>
      </c>
      <c r="AT193">
        <v>12.5</v>
      </c>
      <c r="AU193">
        <v>37.5</v>
      </c>
      <c r="AV193">
        <v>16.666699999999999</v>
      </c>
      <c r="AW193">
        <v>45.833300000000001</v>
      </c>
      <c r="AX193">
        <v>0.83330000000000004</v>
      </c>
      <c r="AY193">
        <v>25</v>
      </c>
      <c r="AZ193">
        <v>0.375</v>
      </c>
      <c r="BA193">
        <v>0.125</v>
      </c>
      <c r="BB193">
        <v>0</v>
      </c>
      <c r="BC193">
        <v>0.16669999999999999</v>
      </c>
      <c r="BD193">
        <v>0.25</v>
      </c>
      <c r="BE193">
        <v>1.5</v>
      </c>
      <c r="BF193">
        <v>1.25</v>
      </c>
      <c r="BG193">
        <v>1.5</v>
      </c>
      <c r="BH193">
        <v>1.4167000000000001</v>
      </c>
      <c r="BI193">
        <v>0</v>
      </c>
      <c r="BJ193">
        <v>0</v>
      </c>
      <c r="BK193">
        <v>0.5</v>
      </c>
      <c r="BL193">
        <v>0.16669999999999999</v>
      </c>
      <c r="BM193">
        <v>0</v>
      </c>
      <c r="BN193">
        <v>0</v>
      </c>
      <c r="BO193">
        <v>0.5</v>
      </c>
      <c r="BP193">
        <v>0.16669999999999999</v>
      </c>
      <c r="BQ193">
        <v>0</v>
      </c>
      <c r="BR193">
        <v>95.833299999999994</v>
      </c>
      <c r="BS193">
        <v>4.1666999999999996</v>
      </c>
      <c r="BT193">
        <v>40</v>
      </c>
      <c r="BU193">
        <v>0.79169999999999996</v>
      </c>
      <c r="BV193">
        <v>96.3964</v>
      </c>
      <c r="BW193">
        <v>2.9948999999999999</v>
      </c>
      <c r="BX193">
        <v>3.6036000000000001</v>
      </c>
      <c r="BY193">
        <v>0</v>
      </c>
      <c r="BZ193">
        <v>0</v>
      </c>
      <c r="CA193">
        <v>0</v>
      </c>
      <c r="CB193">
        <v>0</v>
      </c>
      <c r="CC193">
        <v>0</v>
      </c>
    </row>
    <row r="194" spans="2:81" x14ac:dyDescent="0.25">
      <c r="B194">
        <v>18.899999999999999</v>
      </c>
      <c r="C194">
        <v>8.8800000000000008</v>
      </c>
      <c r="D194">
        <v>10.58</v>
      </c>
      <c r="E194">
        <v>2375</v>
      </c>
      <c r="F194">
        <v>2435</v>
      </c>
      <c r="G194">
        <v>2405</v>
      </c>
      <c r="H194">
        <v>7215</v>
      </c>
      <c r="I194">
        <v>3.3300000000000003E-2</v>
      </c>
      <c r="J194">
        <v>6.0125000000000002</v>
      </c>
      <c r="K194">
        <v>4.9249999999999998</v>
      </c>
      <c r="L194">
        <v>6.25</v>
      </c>
      <c r="M194">
        <v>5.7291999999999996</v>
      </c>
      <c r="N194">
        <v>1.8360000000000001</v>
      </c>
      <c r="O194">
        <v>0.24809999999999999</v>
      </c>
      <c r="P194">
        <v>0.33879999999999999</v>
      </c>
      <c r="Q194">
        <v>0.25750000000000001</v>
      </c>
      <c r="R194">
        <v>0.28149999999999997</v>
      </c>
      <c r="S194">
        <v>0.2288</v>
      </c>
      <c r="T194">
        <v>0.54</v>
      </c>
      <c r="U194">
        <v>1.5</v>
      </c>
      <c r="V194">
        <v>0.48</v>
      </c>
      <c r="W194">
        <v>1.5</v>
      </c>
      <c r="X194">
        <v>20.3553</v>
      </c>
      <c r="Y194">
        <v>0</v>
      </c>
      <c r="Z194">
        <v>20.833300000000001</v>
      </c>
      <c r="AA194">
        <v>0</v>
      </c>
      <c r="AB194">
        <v>20.833300000000001</v>
      </c>
      <c r="AC194">
        <v>0</v>
      </c>
      <c r="AD194">
        <v>77.083299999999994</v>
      </c>
      <c r="AE194">
        <v>2.0832999999999999</v>
      </c>
      <c r="AF194">
        <v>79.166700000000006</v>
      </c>
      <c r="AG194">
        <v>77.083299999999994</v>
      </c>
      <c r="AH194">
        <v>0.33560000000000001</v>
      </c>
      <c r="AI194">
        <v>0.46250000000000002</v>
      </c>
      <c r="AJ194">
        <v>0.3306</v>
      </c>
      <c r="AK194">
        <v>0.37630000000000002</v>
      </c>
      <c r="AL194">
        <v>0.33539999999999998</v>
      </c>
      <c r="AM194">
        <v>0.72</v>
      </c>
      <c r="AN194">
        <v>1.34</v>
      </c>
      <c r="AO194">
        <v>1.2</v>
      </c>
      <c r="AP194">
        <v>1.34</v>
      </c>
      <c r="AQ194">
        <v>29.166699999999999</v>
      </c>
      <c r="AR194">
        <v>0.35</v>
      </c>
      <c r="AS194">
        <v>12.5</v>
      </c>
      <c r="AT194">
        <v>25</v>
      </c>
      <c r="AU194">
        <v>37.5</v>
      </c>
      <c r="AV194">
        <v>25</v>
      </c>
      <c r="AW194">
        <v>29.166699999999999</v>
      </c>
      <c r="AX194">
        <v>0.83330000000000004</v>
      </c>
      <c r="AY194">
        <v>16.666699999999999</v>
      </c>
      <c r="AZ194">
        <v>0.125</v>
      </c>
      <c r="BA194">
        <v>0.25</v>
      </c>
      <c r="BB194">
        <v>0.125</v>
      </c>
      <c r="BC194">
        <v>0.16669999999999999</v>
      </c>
      <c r="BD194">
        <v>0.54169999999999996</v>
      </c>
      <c r="BE194">
        <v>0</v>
      </c>
      <c r="BF194">
        <v>0</v>
      </c>
      <c r="BG194">
        <v>0.5</v>
      </c>
      <c r="BH194">
        <v>0.16669999999999999</v>
      </c>
      <c r="BI194">
        <v>1</v>
      </c>
      <c r="BJ194">
        <v>0</v>
      </c>
      <c r="BK194">
        <v>0</v>
      </c>
      <c r="BL194">
        <v>0.33329999999999999</v>
      </c>
      <c r="BM194">
        <v>0.75</v>
      </c>
      <c r="BN194">
        <v>1.25</v>
      </c>
      <c r="BO194">
        <v>1</v>
      </c>
      <c r="BP194">
        <v>1</v>
      </c>
      <c r="BQ194">
        <v>50</v>
      </c>
      <c r="BR194">
        <v>41.666699999999999</v>
      </c>
      <c r="BS194">
        <v>8.3332999999999995</v>
      </c>
      <c r="BT194">
        <v>21.833300000000001</v>
      </c>
      <c r="BU194">
        <v>0.91669999999999996</v>
      </c>
      <c r="BV194">
        <v>41.516500000000001</v>
      </c>
      <c r="BW194">
        <v>14.4838</v>
      </c>
      <c r="BX194">
        <v>58.483499999999999</v>
      </c>
      <c r="BY194">
        <v>0</v>
      </c>
      <c r="BZ194">
        <v>0</v>
      </c>
      <c r="CA194">
        <v>0</v>
      </c>
      <c r="CB194">
        <v>0</v>
      </c>
      <c r="CC194">
        <v>0</v>
      </c>
    </row>
    <row r="195" spans="2:81" x14ac:dyDescent="0.25">
      <c r="B195">
        <v>10.9</v>
      </c>
      <c r="C195">
        <v>10.199999999999999</v>
      </c>
      <c r="D195">
        <v>12.7</v>
      </c>
      <c r="E195">
        <v>1643</v>
      </c>
      <c r="F195">
        <v>1896</v>
      </c>
      <c r="G195">
        <v>1770</v>
      </c>
      <c r="H195">
        <v>5309</v>
      </c>
      <c r="I195">
        <v>0</v>
      </c>
      <c r="J195">
        <v>3.95</v>
      </c>
      <c r="K195">
        <v>3.8963000000000001</v>
      </c>
      <c r="L195">
        <v>4.2874999999999996</v>
      </c>
      <c r="M195">
        <v>4.0446</v>
      </c>
      <c r="N195">
        <v>0.77090000000000003</v>
      </c>
      <c r="O195">
        <v>0.3594</v>
      </c>
      <c r="P195">
        <v>0.31230000000000002</v>
      </c>
      <c r="Q195">
        <v>0.48380000000000001</v>
      </c>
      <c r="R195">
        <v>0.39</v>
      </c>
      <c r="S195">
        <v>0.1464</v>
      </c>
      <c r="T195">
        <v>0.62</v>
      </c>
      <c r="U195">
        <v>0.48</v>
      </c>
      <c r="V195">
        <v>0.72</v>
      </c>
      <c r="W195">
        <v>0.72</v>
      </c>
      <c r="X195">
        <v>10.370699999999999</v>
      </c>
      <c r="Y195">
        <v>0</v>
      </c>
      <c r="Z195">
        <v>29.166699999999999</v>
      </c>
      <c r="AA195">
        <v>4.1666999999999996</v>
      </c>
      <c r="AB195">
        <v>33.333300000000001</v>
      </c>
      <c r="AC195">
        <v>4.1666999999999996</v>
      </c>
      <c r="AD195">
        <v>62.5</v>
      </c>
      <c r="AE195">
        <v>0</v>
      </c>
      <c r="AF195">
        <v>66.666700000000006</v>
      </c>
      <c r="AG195">
        <v>62.5</v>
      </c>
      <c r="AH195">
        <v>0.41670000000000001</v>
      </c>
      <c r="AI195">
        <v>0.57399999999999995</v>
      </c>
      <c r="AJ195">
        <v>0.216</v>
      </c>
      <c r="AK195">
        <v>0.4073</v>
      </c>
      <c r="AL195">
        <v>0.32519999999999999</v>
      </c>
      <c r="AM195">
        <v>1.1499999999999999</v>
      </c>
      <c r="AN195">
        <v>1.46</v>
      </c>
      <c r="AO195">
        <v>0.4</v>
      </c>
      <c r="AP195">
        <v>1.46</v>
      </c>
      <c r="AQ195">
        <v>16.666699999999999</v>
      </c>
      <c r="AR195">
        <v>0.71430000000000005</v>
      </c>
      <c r="AS195">
        <v>12.5</v>
      </c>
      <c r="AT195">
        <v>0</v>
      </c>
      <c r="AU195">
        <v>12.5</v>
      </c>
      <c r="AV195">
        <v>8.3332999999999995</v>
      </c>
      <c r="AW195">
        <v>62.5</v>
      </c>
      <c r="AX195">
        <v>1.1667000000000001</v>
      </c>
      <c r="AY195">
        <v>33.333300000000001</v>
      </c>
      <c r="AZ195">
        <v>0.125</v>
      </c>
      <c r="BA195">
        <v>0.125</v>
      </c>
      <c r="BB195">
        <v>1</v>
      </c>
      <c r="BC195">
        <v>0.41670000000000001</v>
      </c>
      <c r="BD195">
        <v>0.70830000000000004</v>
      </c>
      <c r="BE195">
        <v>1</v>
      </c>
      <c r="BF195">
        <v>0.75</v>
      </c>
      <c r="BG195">
        <v>0.5</v>
      </c>
      <c r="BH195">
        <v>0.75</v>
      </c>
      <c r="BI195">
        <v>0.5</v>
      </c>
      <c r="BJ195">
        <v>1.25</v>
      </c>
      <c r="BK195">
        <v>0</v>
      </c>
      <c r="BL195">
        <v>0.58330000000000004</v>
      </c>
      <c r="BM195">
        <v>0.75</v>
      </c>
      <c r="BN195">
        <v>0.25</v>
      </c>
      <c r="BO195">
        <v>2.5</v>
      </c>
      <c r="BP195">
        <v>1.1667000000000001</v>
      </c>
      <c r="BQ195">
        <v>12.5</v>
      </c>
      <c r="BR195">
        <v>54.166699999999999</v>
      </c>
      <c r="BS195">
        <v>33.333300000000001</v>
      </c>
      <c r="BT195">
        <v>40.625</v>
      </c>
      <c r="BU195">
        <v>1.2917000000000001</v>
      </c>
      <c r="BV195">
        <v>35.285299999999999</v>
      </c>
      <c r="BW195">
        <v>13.829499999999999</v>
      </c>
      <c r="BX195">
        <v>64.714699999999993</v>
      </c>
      <c r="BY195">
        <v>0</v>
      </c>
      <c r="BZ195">
        <v>0</v>
      </c>
      <c r="CA195">
        <v>0</v>
      </c>
      <c r="CB195">
        <v>0</v>
      </c>
      <c r="CC195">
        <v>0</v>
      </c>
    </row>
    <row r="196" spans="2:81" x14ac:dyDescent="0.25">
      <c r="B196">
        <v>14.2</v>
      </c>
      <c r="C196">
        <v>9.43</v>
      </c>
      <c r="D196">
        <v>10.97</v>
      </c>
      <c r="E196">
        <v>334</v>
      </c>
      <c r="F196">
        <v>333</v>
      </c>
      <c r="G196">
        <v>217</v>
      </c>
      <c r="H196">
        <v>884</v>
      </c>
      <c r="I196">
        <v>0</v>
      </c>
      <c r="J196">
        <v>1.575</v>
      </c>
      <c r="K196">
        <v>1.7625</v>
      </c>
      <c r="L196">
        <v>1.1625000000000001</v>
      </c>
      <c r="M196">
        <v>1.5</v>
      </c>
      <c r="N196">
        <v>0.54690000000000005</v>
      </c>
      <c r="O196">
        <v>0.27</v>
      </c>
      <c r="P196">
        <v>0.1578</v>
      </c>
      <c r="Q196">
        <v>0.12889999999999999</v>
      </c>
      <c r="R196">
        <v>0.18229999999999999</v>
      </c>
      <c r="S196">
        <v>0.13059999999999999</v>
      </c>
      <c r="T196">
        <v>0.68</v>
      </c>
      <c r="U196">
        <v>0.28000000000000003</v>
      </c>
      <c r="V196">
        <v>0.18</v>
      </c>
      <c r="W196">
        <v>0.68</v>
      </c>
      <c r="X196">
        <v>8.2278000000000002</v>
      </c>
      <c r="Y196">
        <v>0</v>
      </c>
      <c r="Z196">
        <v>19.230799999999999</v>
      </c>
      <c r="AA196">
        <v>0</v>
      </c>
      <c r="AB196">
        <v>19.230799999999999</v>
      </c>
      <c r="AC196">
        <v>7.6923000000000004</v>
      </c>
      <c r="AD196">
        <v>73.076899999999995</v>
      </c>
      <c r="AE196">
        <v>0</v>
      </c>
      <c r="AF196">
        <v>80.769199999999998</v>
      </c>
      <c r="AG196">
        <v>73.076899999999995</v>
      </c>
      <c r="AH196">
        <v>9.5000000000000001E-2</v>
      </c>
      <c r="AI196">
        <v>9.8799999999999999E-2</v>
      </c>
      <c r="AJ196">
        <v>0.19670000000000001</v>
      </c>
      <c r="AK196">
        <v>0.1288</v>
      </c>
      <c r="AL196">
        <v>0.1208</v>
      </c>
      <c r="AM196">
        <v>0.28000000000000003</v>
      </c>
      <c r="AN196">
        <v>0.31</v>
      </c>
      <c r="AO196">
        <v>0.49</v>
      </c>
      <c r="AP196">
        <v>0.49</v>
      </c>
      <c r="AQ196">
        <v>29.166699999999999</v>
      </c>
      <c r="AR196">
        <v>0.33329999999999999</v>
      </c>
      <c r="AS196">
        <v>62.5</v>
      </c>
      <c r="AT196">
        <v>50</v>
      </c>
      <c r="AU196">
        <v>0</v>
      </c>
      <c r="AV196">
        <v>37.5</v>
      </c>
      <c r="AW196">
        <v>33.333300000000001</v>
      </c>
      <c r="AX196">
        <v>1.75</v>
      </c>
      <c r="AY196">
        <v>58.333300000000001</v>
      </c>
      <c r="AZ196">
        <v>0.375</v>
      </c>
      <c r="BA196">
        <v>0.125</v>
      </c>
      <c r="BB196">
        <v>0</v>
      </c>
      <c r="BC196">
        <v>0.16669999999999999</v>
      </c>
      <c r="BD196">
        <v>0.20830000000000001</v>
      </c>
      <c r="BE196">
        <v>0</v>
      </c>
      <c r="BF196">
        <v>0</v>
      </c>
      <c r="BG196">
        <v>0</v>
      </c>
      <c r="BH196">
        <v>0</v>
      </c>
      <c r="BI196">
        <v>0.5</v>
      </c>
      <c r="BJ196">
        <v>0</v>
      </c>
      <c r="BK196">
        <v>0.25</v>
      </c>
      <c r="BL196">
        <v>0.25</v>
      </c>
      <c r="BM196">
        <v>2</v>
      </c>
      <c r="BN196">
        <v>0</v>
      </c>
      <c r="BO196">
        <v>0</v>
      </c>
      <c r="BP196">
        <v>0.66669999999999996</v>
      </c>
      <c r="BQ196">
        <v>8.3332999999999995</v>
      </c>
      <c r="BR196">
        <v>75</v>
      </c>
      <c r="BS196">
        <v>16.666699999999999</v>
      </c>
      <c r="BT196">
        <v>37.5</v>
      </c>
      <c r="BU196">
        <v>0.58330000000000004</v>
      </c>
      <c r="BV196">
        <v>52.027000000000001</v>
      </c>
      <c r="BW196">
        <v>13.4781</v>
      </c>
      <c r="BX196">
        <v>47.972999999999999</v>
      </c>
      <c r="BY196">
        <v>0</v>
      </c>
      <c r="BZ196">
        <v>0</v>
      </c>
      <c r="CA196">
        <v>0</v>
      </c>
      <c r="CB196">
        <v>0</v>
      </c>
      <c r="CC196">
        <v>0</v>
      </c>
    </row>
    <row r="197" spans="2:81" x14ac:dyDescent="0.25">
      <c r="B197">
        <v>15.3</v>
      </c>
      <c r="C197">
        <v>8.32</v>
      </c>
      <c r="D197">
        <v>10.88</v>
      </c>
      <c r="E197">
        <v>400</v>
      </c>
      <c r="F197">
        <v>396</v>
      </c>
      <c r="G197">
        <v>435</v>
      </c>
      <c r="H197">
        <v>1231</v>
      </c>
      <c r="I197">
        <v>0</v>
      </c>
      <c r="J197">
        <v>1.875</v>
      </c>
      <c r="K197">
        <v>1.8125</v>
      </c>
      <c r="L197">
        <v>2.0375000000000001</v>
      </c>
      <c r="M197">
        <v>1.9083000000000001</v>
      </c>
      <c r="N197">
        <v>0.52910000000000001</v>
      </c>
      <c r="O197">
        <v>0.29749999999999999</v>
      </c>
      <c r="P197">
        <v>0.30499999999999999</v>
      </c>
      <c r="Q197">
        <v>0.26750000000000002</v>
      </c>
      <c r="R197">
        <v>0.28999999999999998</v>
      </c>
      <c r="S197">
        <v>0.1138</v>
      </c>
      <c r="T197">
        <v>0.5</v>
      </c>
      <c r="U197">
        <v>0.56000000000000005</v>
      </c>
      <c r="V197">
        <v>0.38</v>
      </c>
      <c r="W197">
        <v>0.56000000000000005</v>
      </c>
      <c r="X197">
        <v>6.5804999999999998</v>
      </c>
      <c r="Y197">
        <v>0</v>
      </c>
      <c r="Z197">
        <v>16.666699999999999</v>
      </c>
      <c r="AA197">
        <v>0</v>
      </c>
      <c r="AB197">
        <v>16.666699999999999</v>
      </c>
      <c r="AC197">
        <v>20.833300000000001</v>
      </c>
      <c r="AD197">
        <v>62.5</v>
      </c>
      <c r="AE197">
        <v>0</v>
      </c>
      <c r="AF197">
        <v>83.333299999999994</v>
      </c>
      <c r="AG197">
        <v>62.5</v>
      </c>
      <c r="AH197">
        <v>0.41249999999999998</v>
      </c>
      <c r="AI197">
        <v>0.4763</v>
      </c>
      <c r="AJ197">
        <v>0.4</v>
      </c>
      <c r="AK197">
        <v>0.42959999999999998</v>
      </c>
      <c r="AL197">
        <v>0.2261</v>
      </c>
      <c r="AM197">
        <v>0.99</v>
      </c>
      <c r="AN197">
        <v>0.95</v>
      </c>
      <c r="AO197">
        <v>0.83</v>
      </c>
      <c r="AP197">
        <v>0.99</v>
      </c>
      <c r="AQ197">
        <v>20.833300000000001</v>
      </c>
      <c r="AR197">
        <v>0.79169999999999996</v>
      </c>
      <c r="AS197">
        <v>0</v>
      </c>
      <c r="AT197">
        <v>0</v>
      </c>
      <c r="AU197">
        <v>0</v>
      </c>
      <c r="AV197">
        <v>0</v>
      </c>
      <c r="AW197">
        <v>79.166700000000006</v>
      </c>
      <c r="AX197">
        <v>1.4167000000000001</v>
      </c>
      <c r="AY197">
        <v>41.666699999999999</v>
      </c>
      <c r="AZ197">
        <v>0.625</v>
      </c>
      <c r="BA197">
        <v>0.125</v>
      </c>
      <c r="BB197">
        <v>0.375</v>
      </c>
      <c r="BC197">
        <v>0.375</v>
      </c>
      <c r="BD197">
        <v>0.29170000000000001</v>
      </c>
      <c r="BE197">
        <v>1.25</v>
      </c>
      <c r="BF197">
        <v>1</v>
      </c>
      <c r="BG197">
        <v>2</v>
      </c>
      <c r="BH197">
        <v>1.4167000000000001</v>
      </c>
      <c r="BI197">
        <v>0.25</v>
      </c>
      <c r="BJ197">
        <v>0</v>
      </c>
      <c r="BK197">
        <v>0</v>
      </c>
      <c r="BL197">
        <v>8.3299999999999999E-2</v>
      </c>
      <c r="BM197">
        <v>0</v>
      </c>
      <c r="BN197">
        <v>0</v>
      </c>
      <c r="BO197">
        <v>0.25</v>
      </c>
      <c r="BP197">
        <v>8.3299999999999999E-2</v>
      </c>
      <c r="BQ197">
        <v>4.1666999999999996</v>
      </c>
      <c r="BR197">
        <v>45.833300000000001</v>
      </c>
      <c r="BS197">
        <v>50</v>
      </c>
      <c r="BT197">
        <v>50.625</v>
      </c>
      <c r="BU197">
        <v>0.29170000000000001</v>
      </c>
      <c r="BV197">
        <v>58.333300000000001</v>
      </c>
      <c r="BW197">
        <v>15.894299999999999</v>
      </c>
      <c r="BX197">
        <v>41.666699999999999</v>
      </c>
      <c r="BY197">
        <v>0</v>
      </c>
      <c r="BZ197">
        <v>0</v>
      </c>
      <c r="CA197">
        <v>0</v>
      </c>
      <c r="CB197">
        <v>0</v>
      </c>
      <c r="CC197">
        <v>0</v>
      </c>
    </row>
    <row r="198" spans="2:81" x14ac:dyDescent="0.25">
      <c r="B198">
        <v>13.9</v>
      </c>
      <c r="C198">
        <v>8.39</v>
      </c>
      <c r="D198">
        <v>12.09</v>
      </c>
      <c r="E198">
        <v>1054</v>
      </c>
      <c r="F198">
        <v>701</v>
      </c>
      <c r="G198">
        <v>1411</v>
      </c>
      <c r="H198">
        <v>3166</v>
      </c>
      <c r="I198">
        <v>0.30320000000000003</v>
      </c>
      <c r="J198">
        <v>2.5125000000000002</v>
      </c>
      <c r="K198">
        <v>2.95</v>
      </c>
      <c r="L198">
        <v>4.3250000000000002</v>
      </c>
      <c r="M198">
        <v>3.2625000000000002</v>
      </c>
      <c r="N198">
        <v>1.4367000000000001</v>
      </c>
      <c r="O198">
        <v>0.27</v>
      </c>
      <c r="P198">
        <v>0.18329999999999999</v>
      </c>
      <c r="Q198">
        <v>0.44829999999999998</v>
      </c>
      <c r="R198">
        <v>0.30059999999999998</v>
      </c>
      <c r="S198">
        <v>0.18229999999999999</v>
      </c>
      <c r="T198">
        <v>0.68</v>
      </c>
      <c r="U198">
        <v>0.36</v>
      </c>
      <c r="V198">
        <v>0.84</v>
      </c>
      <c r="W198">
        <v>0.84</v>
      </c>
      <c r="X198">
        <v>10.854900000000001</v>
      </c>
      <c r="Y198">
        <v>0</v>
      </c>
      <c r="Z198">
        <v>8.5714000000000006</v>
      </c>
      <c r="AA198">
        <v>5.7142999999999997</v>
      </c>
      <c r="AB198">
        <v>14.2857</v>
      </c>
      <c r="AC198">
        <v>2.8571</v>
      </c>
      <c r="AD198">
        <v>77.142899999999997</v>
      </c>
      <c r="AE198">
        <v>5.7142999999999997</v>
      </c>
      <c r="AF198">
        <v>85.714299999999994</v>
      </c>
      <c r="AG198">
        <v>77.142899999999997</v>
      </c>
      <c r="AH198">
        <v>0.12</v>
      </c>
      <c r="AI198">
        <v>0.13819999999999999</v>
      </c>
      <c r="AJ198">
        <v>9.5500000000000002E-2</v>
      </c>
      <c r="AK198">
        <v>0.1167</v>
      </c>
      <c r="AL198">
        <v>0.13289999999999999</v>
      </c>
      <c r="AM198">
        <v>0.53</v>
      </c>
      <c r="AN198">
        <v>0.56999999999999995</v>
      </c>
      <c r="AO198">
        <v>0.28000000000000003</v>
      </c>
      <c r="AP198">
        <v>0.56999999999999995</v>
      </c>
      <c r="AQ198">
        <v>16.666699999999999</v>
      </c>
      <c r="AR198">
        <v>0.33329999999999999</v>
      </c>
      <c r="AS198">
        <v>50</v>
      </c>
      <c r="AT198">
        <v>50</v>
      </c>
      <c r="AU198">
        <v>50</v>
      </c>
      <c r="AV198">
        <v>50</v>
      </c>
      <c r="AW198">
        <v>33.333300000000001</v>
      </c>
      <c r="AX198">
        <v>1.0832999999999999</v>
      </c>
      <c r="AY198">
        <v>25</v>
      </c>
      <c r="AZ198">
        <v>0.25</v>
      </c>
      <c r="BA198">
        <v>0.375</v>
      </c>
      <c r="BB198">
        <v>0.125</v>
      </c>
      <c r="BC198">
        <v>0.25</v>
      </c>
      <c r="BD198">
        <v>0.54169999999999996</v>
      </c>
      <c r="BE198">
        <v>0</v>
      </c>
      <c r="BF198">
        <v>0.25</v>
      </c>
      <c r="BG198">
        <v>1</v>
      </c>
      <c r="BH198">
        <v>0.41670000000000001</v>
      </c>
      <c r="BI198">
        <v>1.25</v>
      </c>
      <c r="BJ198">
        <v>0.75</v>
      </c>
      <c r="BK198">
        <v>0.5</v>
      </c>
      <c r="BL198">
        <v>0.83330000000000004</v>
      </c>
      <c r="BM198">
        <v>0.5</v>
      </c>
      <c r="BN198">
        <v>0.5</v>
      </c>
      <c r="BO198">
        <v>2.25</v>
      </c>
      <c r="BP198">
        <v>1.0832999999999999</v>
      </c>
      <c r="BQ198">
        <v>8.3332999999999995</v>
      </c>
      <c r="BR198">
        <v>62.5</v>
      </c>
      <c r="BS198">
        <v>29.166699999999999</v>
      </c>
      <c r="BT198">
        <v>42.916699999999999</v>
      </c>
      <c r="BU198">
        <v>1.0417000000000001</v>
      </c>
      <c r="BV198">
        <v>28.153199999999998</v>
      </c>
      <c r="BW198">
        <v>13.196</v>
      </c>
      <c r="BX198">
        <v>71.846800000000002</v>
      </c>
      <c r="BY198">
        <v>0</v>
      </c>
      <c r="BZ198">
        <v>0</v>
      </c>
      <c r="CA198">
        <v>0</v>
      </c>
      <c r="CB198">
        <v>0</v>
      </c>
      <c r="CC198">
        <v>0</v>
      </c>
    </row>
    <row r="199" spans="2:81" x14ac:dyDescent="0.25">
      <c r="B199">
        <v>12.2</v>
      </c>
      <c r="C199">
        <v>8.4499999999999993</v>
      </c>
      <c r="D199">
        <v>12.21</v>
      </c>
      <c r="E199">
        <v>2124</v>
      </c>
      <c r="F199">
        <v>1764</v>
      </c>
      <c r="G199">
        <v>1950</v>
      </c>
      <c r="H199">
        <v>5838</v>
      </c>
      <c r="I199">
        <v>1.7472000000000001</v>
      </c>
      <c r="J199">
        <v>8.2874999999999996</v>
      </c>
      <c r="K199">
        <v>3.9125000000000001</v>
      </c>
      <c r="L199">
        <v>5.5750000000000002</v>
      </c>
      <c r="M199">
        <v>5.9249999999999998</v>
      </c>
      <c r="N199">
        <v>2.7017000000000002</v>
      </c>
      <c r="O199">
        <v>0.41560000000000002</v>
      </c>
      <c r="P199">
        <v>0.33329999999999999</v>
      </c>
      <c r="Q199">
        <v>0.2888</v>
      </c>
      <c r="R199">
        <v>0.34699999999999998</v>
      </c>
      <c r="S199">
        <v>0.27189999999999998</v>
      </c>
      <c r="T199">
        <v>1.5</v>
      </c>
      <c r="U199">
        <v>0.78</v>
      </c>
      <c r="V199">
        <v>0.57999999999999996</v>
      </c>
      <c r="W199">
        <v>1.5</v>
      </c>
      <c r="X199">
        <v>17.072700000000001</v>
      </c>
      <c r="Y199">
        <v>0</v>
      </c>
      <c r="Z199">
        <v>13.6364</v>
      </c>
      <c r="AA199">
        <v>0</v>
      </c>
      <c r="AB199">
        <v>13.6364</v>
      </c>
      <c r="AC199">
        <v>6.8182</v>
      </c>
      <c r="AD199">
        <v>75</v>
      </c>
      <c r="AE199">
        <v>4.5454999999999997</v>
      </c>
      <c r="AF199">
        <v>86.363600000000005</v>
      </c>
      <c r="AG199">
        <v>75</v>
      </c>
      <c r="AH199">
        <v>0.11550000000000001</v>
      </c>
      <c r="AI199">
        <v>0.31169999999999998</v>
      </c>
      <c r="AJ199">
        <v>0.19</v>
      </c>
      <c r="AK199">
        <v>0.19570000000000001</v>
      </c>
      <c r="AL199">
        <v>0.18990000000000001</v>
      </c>
      <c r="AM199">
        <v>0.55000000000000004</v>
      </c>
      <c r="AN199">
        <v>0.65</v>
      </c>
      <c r="AO199">
        <v>0.5</v>
      </c>
      <c r="AP199">
        <v>0.65</v>
      </c>
      <c r="AQ199">
        <v>29.166699999999999</v>
      </c>
      <c r="AR199">
        <v>0.375</v>
      </c>
      <c r="AS199">
        <v>37.5</v>
      </c>
      <c r="AT199">
        <v>37.5</v>
      </c>
      <c r="AU199">
        <v>25</v>
      </c>
      <c r="AV199">
        <v>33.333300000000001</v>
      </c>
      <c r="AW199">
        <v>37.5</v>
      </c>
      <c r="AX199">
        <v>1.1667000000000001</v>
      </c>
      <c r="AY199">
        <v>25</v>
      </c>
      <c r="AZ199">
        <v>0</v>
      </c>
      <c r="BA199">
        <v>0.25</v>
      </c>
      <c r="BB199">
        <v>0</v>
      </c>
      <c r="BC199">
        <v>8.3299999999999999E-2</v>
      </c>
      <c r="BD199">
        <v>0.5</v>
      </c>
      <c r="BE199">
        <v>0.75</v>
      </c>
      <c r="BF199">
        <v>0</v>
      </c>
      <c r="BG199">
        <v>0.25</v>
      </c>
      <c r="BH199">
        <v>0.33329999999999999</v>
      </c>
      <c r="BI199">
        <v>0.5</v>
      </c>
      <c r="BJ199">
        <v>0.75</v>
      </c>
      <c r="BK199">
        <v>1.5</v>
      </c>
      <c r="BL199">
        <v>0.91669999999999996</v>
      </c>
      <c r="BM199">
        <v>1</v>
      </c>
      <c r="BN199">
        <v>1</v>
      </c>
      <c r="BO199">
        <v>0.25</v>
      </c>
      <c r="BP199">
        <v>0.75</v>
      </c>
      <c r="BQ199">
        <v>25</v>
      </c>
      <c r="BR199">
        <v>66.666700000000006</v>
      </c>
      <c r="BS199">
        <v>4.1666999999999996</v>
      </c>
      <c r="BT199">
        <v>28.130400000000002</v>
      </c>
      <c r="BU199">
        <v>0.625</v>
      </c>
      <c r="BV199">
        <v>71.939599999999999</v>
      </c>
      <c r="BW199">
        <v>14.0044</v>
      </c>
      <c r="BX199">
        <v>28.060400000000001</v>
      </c>
      <c r="BY199">
        <v>0</v>
      </c>
      <c r="BZ199">
        <v>0</v>
      </c>
      <c r="CA199">
        <v>0</v>
      </c>
      <c r="CB199">
        <v>0</v>
      </c>
      <c r="CC199">
        <v>0</v>
      </c>
    </row>
    <row r="200" spans="2:81" x14ac:dyDescent="0.25">
      <c r="B200">
        <v>19.7</v>
      </c>
      <c r="C200">
        <v>8.7200000000000006</v>
      </c>
      <c r="D200">
        <v>11.66</v>
      </c>
      <c r="E200">
        <v>360</v>
      </c>
      <c r="F200">
        <v>280</v>
      </c>
      <c r="G200">
        <v>190</v>
      </c>
      <c r="H200">
        <v>830</v>
      </c>
      <c r="I200">
        <v>0</v>
      </c>
      <c r="J200">
        <v>2.3374999999999999</v>
      </c>
      <c r="K200">
        <v>2.8875000000000002</v>
      </c>
      <c r="L200">
        <v>1.9</v>
      </c>
      <c r="M200">
        <v>2.375</v>
      </c>
      <c r="N200">
        <v>0.90129999999999999</v>
      </c>
      <c r="O200">
        <v>0.2455</v>
      </c>
      <c r="P200">
        <v>0.27500000000000002</v>
      </c>
      <c r="Q200">
        <v>0.2291</v>
      </c>
      <c r="R200">
        <v>0.25059999999999999</v>
      </c>
      <c r="S200">
        <v>0.1353</v>
      </c>
      <c r="T200">
        <v>0.5</v>
      </c>
      <c r="U200">
        <v>0.62</v>
      </c>
      <c r="V200">
        <v>0.48</v>
      </c>
      <c r="W200">
        <v>0.62</v>
      </c>
      <c r="X200">
        <v>9.4777000000000005</v>
      </c>
      <c r="Y200">
        <v>0</v>
      </c>
      <c r="Z200">
        <v>11.764699999999999</v>
      </c>
      <c r="AA200">
        <v>47.058799999999998</v>
      </c>
      <c r="AB200">
        <v>58.823500000000003</v>
      </c>
      <c r="AC200">
        <v>23.529399999999999</v>
      </c>
      <c r="AD200">
        <v>17.647099999999998</v>
      </c>
      <c r="AE200">
        <v>0</v>
      </c>
      <c r="AF200">
        <v>41.176499999999997</v>
      </c>
      <c r="AG200">
        <v>47.058799999999998</v>
      </c>
      <c r="AH200">
        <v>0.32300000000000001</v>
      </c>
      <c r="AI200">
        <v>0.27089999999999997</v>
      </c>
      <c r="AJ200">
        <v>0.33200000000000002</v>
      </c>
      <c r="AK200">
        <v>0.31180000000000002</v>
      </c>
      <c r="AL200">
        <v>0.19620000000000001</v>
      </c>
      <c r="AM200">
        <v>0.64</v>
      </c>
      <c r="AN200">
        <v>0.83</v>
      </c>
      <c r="AO200">
        <v>0.64</v>
      </c>
      <c r="AP200">
        <v>0.83</v>
      </c>
      <c r="AQ200">
        <v>12.5</v>
      </c>
      <c r="AR200">
        <v>0.79169999999999996</v>
      </c>
      <c r="AS200">
        <v>0</v>
      </c>
      <c r="AT200">
        <v>25</v>
      </c>
      <c r="AU200">
        <v>0</v>
      </c>
      <c r="AV200">
        <v>8.3332999999999995</v>
      </c>
      <c r="AW200">
        <v>79.166700000000006</v>
      </c>
      <c r="AX200">
        <v>0.5</v>
      </c>
      <c r="AY200">
        <v>25</v>
      </c>
      <c r="AZ200">
        <v>0</v>
      </c>
      <c r="BA200">
        <v>0</v>
      </c>
      <c r="BB200">
        <v>0</v>
      </c>
      <c r="BC200">
        <v>0</v>
      </c>
      <c r="BD200">
        <v>0.66669999999999996</v>
      </c>
      <c r="BE200">
        <v>0.25</v>
      </c>
      <c r="BF200">
        <v>0.5</v>
      </c>
      <c r="BG200">
        <v>1</v>
      </c>
      <c r="BH200">
        <v>0.58330000000000004</v>
      </c>
      <c r="BI200">
        <v>0.25</v>
      </c>
      <c r="BJ200">
        <v>0</v>
      </c>
      <c r="BK200">
        <v>0</v>
      </c>
      <c r="BL200">
        <v>8.3299999999999999E-2</v>
      </c>
      <c r="BM200">
        <v>0</v>
      </c>
      <c r="BN200">
        <v>0.5</v>
      </c>
      <c r="BO200">
        <v>0</v>
      </c>
      <c r="BP200">
        <v>0.16669999999999999</v>
      </c>
      <c r="BQ200">
        <v>4.1666999999999996</v>
      </c>
      <c r="BR200">
        <v>58.333300000000001</v>
      </c>
      <c r="BS200">
        <v>37.5</v>
      </c>
      <c r="BT200">
        <v>46.875</v>
      </c>
      <c r="BU200">
        <v>0.91669999999999996</v>
      </c>
      <c r="BV200">
        <v>89.114099999999993</v>
      </c>
      <c r="BW200">
        <v>10.349600000000001</v>
      </c>
      <c r="BX200">
        <v>10.885899999999999</v>
      </c>
      <c r="BY200">
        <v>0</v>
      </c>
      <c r="BZ200">
        <v>0</v>
      </c>
      <c r="CA200">
        <v>0</v>
      </c>
      <c r="CB200">
        <v>0</v>
      </c>
      <c r="CC200">
        <v>0</v>
      </c>
    </row>
    <row r="201" spans="2:81" x14ac:dyDescent="0.25">
      <c r="B201">
        <v>11.8</v>
      </c>
      <c r="C201">
        <v>8.5500000000000007</v>
      </c>
      <c r="D201">
        <v>10.5</v>
      </c>
      <c r="E201">
        <v>891</v>
      </c>
      <c r="F201">
        <v>471</v>
      </c>
      <c r="G201">
        <v>525</v>
      </c>
      <c r="H201">
        <v>1887</v>
      </c>
      <c r="I201">
        <v>1.1447000000000001</v>
      </c>
      <c r="J201">
        <v>2.6625000000000001</v>
      </c>
      <c r="K201">
        <v>2.3250000000000002</v>
      </c>
      <c r="L201">
        <v>2.0249999999999999</v>
      </c>
      <c r="M201">
        <v>2.3374999999999999</v>
      </c>
      <c r="N201">
        <v>0.52649999999999997</v>
      </c>
      <c r="O201">
        <v>0.3533</v>
      </c>
      <c r="P201">
        <v>0.47170000000000001</v>
      </c>
      <c r="Q201">
        <v>0.39079999999999998</v>
      </c>
      <c r="R201">
        <v>0.40489999999999998</v>
      </c>
      <c r="S201">
        <v>0.15409999999999999</v>
      </c>
      <c r="T201">
        <v>0.56000000000000005</v>
      </c>
      <c r="U201">
        <v>0.7</v>
      </c>
      <c r="V201">
        <v>0.57999999999999996</v>
      </c>
      <c r="W201">
        <v>0.7</v>
      </c>
      <c r="X201">
        <v>5.7735000000000003</v>
      </c>
      <c r="Y201">
        <v>0</v>
      </c>
      <c r="Z201">
        <v>43.243200000000002</v>
      </c>
      <c r="AA201">
        <v>0</v>
      </c>
      <c r="AB201">
        <v>43.243200000000002</v>
      </c>
      <c r="AC201">
        <v>18.918900000000001</v>
      </c>
      <c r="AD201">
        <v>37.837800000000001</v>
      </c>
      <c r="AE201">
        <v>0</v>
      </c>
      <c r="AF201">
        <v>56.756799999999998</v>
      </c>
      <c r="AG201">
        <v>43.243200000000002</v>
      </c>
      <c r="AH201">
        <v>0.22450000000000001</v>
      </c>
      <c r="AI201">
        <v>0.17</v>
      </c>
      <c r="AJ201">
        <v>0.29499999999999998</v>
      </c>
      <c r="AK201">
        <v>0.23810000000000001</v>
      </c>
      <c r="AL201">
        <v>0.12570000000000001</v>
      </c>
      <c r="AM201">
        <v>0.35</v>
      </c>
      <c r="AN201">
        <v>0.28999999999999998</v>
      </c>
      <c r="AO201">
        <v>0.55000000000000004</v>
      </c>
      <c r="AP201">
        <v>0.55000000000000004</v>
      </c>
      <c r="AQ201">
        <v>8.3332999999999995</v>
      </c>
      <c r="AR201">
        <v>0.83330000000000004</v>
      </c>
      <c r="AS201">
        <v>0</v>
      </c>
      <c r="AT201">
        <v>25</v>
      </c>
      <c r="AU201">
        <v>0</v>
      </c>
      <c r="AV201">
        <v>8.3332999999999995</v>
      </c>
      <c r="AW201">
        <v>83.333299999999994</v>
      </c>
      <c r="AX201">
        <v>0.33329999999999999</v>
      </c>
      <c r="AY201">
        <v>16.666699999999999</v>
      </c>
      <c r="AZ201">
        <v>0.125</v>
      </c>
      <c r="BA201">
        <v>0.125</v>
      </c>
      <c r="BB201">
        <v>0</v>
      </c>
      <c r="BC201">
        <v>8.3299999999999999E-2</v>
      </c>
      <c r="BD201">
        <v>0.41670000000000001</v>
      </c>
      <c r="BE201">
        <v>2.5</v>
      </c>
      <c r="BF201">
        <v>2.75</v>
      </c>
      <c r="BG201">
        <v>1</v>
      </c>
      <c r="BH201">
        <v>2.0832999999999999</v>
      </c>
      <c r="BI201">
        <v>0</v>
      </c>
      <c r="BJ201">
        <v>0</v>
      </c>
      <c r="BK201">
        <v>0</v>
      </c>
      <c r="BL201">
        <v>0</v>
      </c>
      <c r="BM201">
        <v>0.75</v>
      </c>
      <c r="BN201">
        <v>2</v>
      </c>
      <c r="BO201">
        <v>0.75</v>
      </c>
      <c r="BP201">
        <v>1.1667000000000001</v>
      </c>
      <c r="BQ201">
        <v>0</v>
      </c>
      <c r="BR201">
        <v>75</v>
      </c>
      <c r="BS201">
        <v>25</v>
      </c>
      <c r="BT201">
        <v>46.666699999999999</v>
      </c>
      <c r="BU201">
        <v>0.83330000000000004</v>
      </c>
      <c r="BV201">
        <v>95.030500000000004</v>
      </c>
      <c r="BW201">
        <v>2.8412999999999999</v>
      </c>
      <c r="BX201">
        <v>4.9695</v>
      </c>
      <c r="BY201">
        <v>0</v>
      </c>
      <c r="BZ201">
        <v>0</v>
      </c>
      <c r="CA201">
        <v>0</v>
      </c>
      <c r="CB201">
        <v>0</v>
      </c>
      <c r="CC201">
        <v>0</v>
      </c>
    </row>
    <row r="202" spans="2:81" x14ac:dyDescent="0.25">
      <c r="B202">
        <v>21.7</v>
      </c>
      <c r="C202">
        <v>8.92</v>
      </c>
      <c r="D202">
        <v>15.05</v>
      </c>
      <c r="E202">
        <v>260</v>
      </c>
      <c r="F202">
        <v>208</v>
      </c>
      <c r="G202">
        <v>391</v>
      </c>
      <c r="H202">
        <v>859</v>
      </c>
      <c r="I202">
        <v>0</v>
      </c>
      <c r="J202">
        <v>2.85</v>
      </c>
      <c r="K202">
        <v>2.125</v>
      </c>
      <c r="L202">
        <v>3.1875</v>
      </c>
      <c r="M202">
        <v>2.7208000000000001</v>
      </c>
      <c r="N202">
        <v>0.92779999999999996</v>
      </c>
      <c r="O202">
        <v>0.2717</v>
      </c>
      <c r="P202">
        <v>0.14000000000000001</v>
      </c>
      <c r="Q202">
        <v>0.34</v>
      </c>
      <c r="R202">
        <v>0.25369999999999998</v>
      </c>
      <c r="S202">
        <v>0.14499999999999999</v>
      </c>
      <c r="T202">
        <v>0.4</v>
      </c>
      <c r="U202">
        <v>0.24</v>
      </c>
      <c r="V202">
        <v>0.76</v>
      </c>
      <c r="W202">
        <v>0.76</v>
      </c>
      <c r="X202">
        <v>10.724</v>
      </c>
      <c r="Y202">
        <v>0</v>
      </c>
      <c r="Z202">
        <v>60</v>
      </c>
      <c r="AA202">
        <v>0</v>
      </c>
      <c r="AB202">
        <v>60</v>
      </c>
      <c r="AC202">
        <v>0</v>
      </c>
      <c r="AD202">
        <v>40</v>
      </c>
      <c r="AE202">
        <v>0</v>
      </c>
      <c r="AF202">
        <v>40</v>
      </c>
      <c r="AG202">
        <v>60</v>
      </c>
      <c r="AH202">
        <v>7.2700000000000001E-2</v>
      </c>
      <c r="AI202">
        <v>0.20699999999999999</v>
      </c>
      <c r="AJ202">
        <v>7.8200000000000006E-2</v>
      </c>
      <c r="AK202">
        <v>0.1089</v>
      </c>
      <c r="AL202">
        <v>0.15840000000000001</v>
      </c>
      <c r="AM202">
        <v>0.3</v>
      </c>
      <c r="AN202">
        <v>0.56000000000000005</v>
      </c>
      <c r="AO202">
        <v>0.56999999999999995</v>
      </c>
      <c r="AP202">
        <v>0.56999999999999995</v>
      </c>
      <c r="AQ202">
        <v>16.666699999999999</v>
      </c>
      <c r="AR202">
        <v>0.29170000000000001</v>
      </c>
      <c r="AS202">
        <v>50</v>
      </c>
      <c r="AT202">
        <v>25</v>
      </c>
      <c r="AU202">
        <v>87.5</v>
      </c>
      <c r="AV202">
        <v>54.166699999999999</v>
      </c>
      <c r="AW202">
        <v>37.5</v>
      </c>
      <c r="AX202">
        <v>0.75</v>
      </c>
      <c r="AY202">
        <v>25</v>
      </c>
      <c r="AZ202">
        <v>0</v>
      </c>
      <c r="BA202">
        <v>0</v>
      </c>
      <c r="BB202">
        <v>0</v>
      </c>
      <c r="BC202">
        <v>0</v>
      </c>
      <c r="BD202">
        <v>0.125</v>
      </c>
      <c r="BE202">
        <v>0</v>
      </c>
      <c r="BF202">
        <v>0</v>
      </c>
      <c r="BG202">
        <v>0</v>
      </c>
      <c r="BH202">
        <v>0</v>
      </c>
      <c r="BI202">
        <v>0</v>
      </c>
      <c r="BJ202">
        <v>0</v>
      </c>
      <c r="BK202">
        <v>0</v>
      </c>
      <c r="BL202">
        <v>0</v>
      </c>
      <c r="BM202">
        <v>0.75</v>
      </c>
      <c r="BN202">
        <v>0.5</v>
      </c>
      <c r="BO202">
        <v>2</v>
      </c>
      <c r="BP202">
        <v>1.0832999999999999</v>
      </c>
      <c r="BQ202">
        <v>8.3332999999999995</v>
      </c>
      <c r="BR202">
        <v>75</v>
      </c>
      <c r="BS202">
        <v>16.666699999999999</v>
      </c>
      <c r="BT202">
        <v>38.958300000000001</v>
      </c>
      <c r="BU202">
        <v>1.7082999999999999</v>
      </c>
      <c r="BV202">
        <v>57.5075</v>
      </c>
      <c r="BW202">
        <v>14.632</v>
      </c>
      <c r="BX202">
        <v>42.4925</v>
      </c>
      <c r="BY202">
        <v>0</v>
      </c>
      <c r="BZ202">
        <v>0</v>
      </c>
      <c r="CA202">
        <v>0</v>
      </c>
      <c r="CB202">
        <v>0</v>
      </c>
      <c r="CC202">
        <v>0</v>
      </c>
    </row>
    <row r="203" spans="2:81" x14ac:dyDescent="0.25">
      <c r="B203">
        <v>15</v>
      </c>
      <c r="C203">
        <v>8.58</v>
      </c>
      <c r="D203">
        <v>14.08</v>
      </c>
      <c r="E203">
        <v>698</v>
      </c>
      <c r="F203">
        <v>603</v>
      </c>
      <c r="G203">
        <v>658</v>
      </c>
      <c r="H203">
        <v>1959</v>
      </c>
      <c r="I203">
        <v>0</v>
      </c>
      <c r="J203">
        <v>4.0625</v>
      </c>
      <c r="K203">
        <v>3.5125000000000002</v>
      </c>
      <c r="L203">
        <v>2.8125</v>
      </c>
      <c r="M203">
        <v>3.4624999999999999</v>
      </c>
      <c r="N203">
        <v>1.05</v>
      </c>
      <c r="O203">
        <v>0.18</v>
      </c>
      <c r="P203">
        <v>0.26</v>
      </c>
      <c r="Q203">
        <v>0.21859999999999999</v>
      </c>
      <c r="R203">
        <v>0.22040000000000001</v>
      </c>
      <c r="S203">
        <v>0.13320000000000001</v>
      </c>
      <c r="T203">
        <v>0.44</v>
      </c>
      <c r="U203">
        <v>0.54</v>
      </c>
      <c r="V203">
        <v>0.66</v>
      </c>
      <c r="W203">
        <v>0.66</v>
      </c>
      <c r="X203">
        <v>15.706899999999999</v>
      </c>
      <c r="Y203">
        <v>0</v>
      </c>
      <c r="Z203">
        <v>11.1111</v>
      </c>
      <c r="AA203">
        <v>0</v>
      </c>
      <c r="AB203">
        <v>11.1111</v>
      </c>
      <c r="AC203">
        <v>6.6666999999999996</v>
      </c>
      <c r="AD203">
        <v>82.222200000000001</v>
      </c>
      <c r="AE203">
        <v>0</v>
      </c>
      <c r="AF203">
        <v>88.888900000000007</v>
      </c>
      <c r="AG203">
        <v>82.222200000000001</v>
      </c>
      <c r="AH203">
        <v>0.2767</v>
      </c>
      <c r="AI203">
        <v>0.15379999999999999</v>
      </c>
      <c r="AJ203">
        <v>0.27860000000000001</v>
      </c>
      <c r="AK203">
        <v>0.2336</v>
      </c>
      <c r="AL203">
        <v>0.20469999999999999</v>
      </c>
      <c r="AM203">
        <v>0.61</v>
      </c>
      <c r="AN203">
        <v>0.62</v>
      </c>
      <c r="AO203">
        <v>0.76</v>
      </c>
      <c r="AP203">
        <v>0.76</v>
      </c>
      <c r="AQ203">
        <v>41.666699999999999</v>
      </c>
      <c r="AR203">
        <v>0.45829999999999999</v>
      </c>
      <c r="AS203">
        <v>0</v>
      </c>
      <c r="AT203">
        <v>25</v>
      </c>
      <c r="AU203">
        <v>12.5</v>
      </c>
      <c r="AV203">
        <v>12.5</v>
      </c>
      <c r="AW203">
        <v>45.833300000000001</v>
      </c>
      <c r="AX203">
        <v>1.6667000000000001</v>
      </c>
      <c r="AY203">
        <v>50</v>
      </c>
      <c r="AZ203">
        <v>0.625</v>
      </c>
      <c r="BA203">
        <v>0.75</v>
      </c>
      <c r="BB203">
        <v>0.125</v>
      </c>
      <c r="BC203">
        <v>0.5</v>
      </c>
      <c r="BD203">
        <v>0.16669999999999999</v>
      </c>
      <c r="BE203">
        <v>0</v>
      </c>
      <c r="BF203">
        <v>0.5</v>
      </c>
      <c r="BG203">
        <v>0.25</v>
      </c>
      <c r="BH203">
        <v>0.25</v>
      </c>
      <c r="BI203">
        <v>0</v>
      </c>
      <c r="BJ203">
        <v>0.25</v>
      </c>
      <c r="BK203">
        <v>0</v>
      </c>
      <c r="BL203">
        <v>8.3299999999999999E-2</v>
      </c>
      <c r="BM203">
        <v>1</v>
      </c>
      <c r="BN203">
        <v>1</v>
      </c>
      <c r="BO203">
        <v>0.25</v>
      </c>
      <c r="BP203">
        <v>0.75</v>
      </c>
      <c r="BQ203">
        <v>16.666699999999999</v>
      </c>
      <c r="BR203">
        <v>33.333300000000001</v>
      </c>
      <c r="BS203">
        <v>50</v>
      </c>
      <c r="BT203">
        <v>45.625</v>
      </c>
      <c r="BU203">
        <v>1.0832999999999999</v>
      </c>
      <c r="BV203">
        <v>33.933900000000001</v>
      </c>
      <c r="BW203">
        <v>17.0486</v>
      </c>
      <c r="BX203">
        <v>66.066100000000006</v>
      </c>
      <c r="BY203">
        <v>0</v>
      </c>
      <c r="BZ203">
        <v>0</v>
      </c>
      <c r="CA203">
        <v>0</v>
      </c>
      <c r="CB203">
        <v>0</v>
      </c>
      <c r="CC203">
        <v>0</v>
      </c>
    </row>
    <row r="204" spans="2:81" x14ac:dyDescent="0.25">
      <c r="B204">
        <v>14.3</v>
      </c>
      <c r="C204">
        <v>7.91</v>
      </c>
      <c r="D204">
        <v>8.19</v>
      </c>
      <c r="E204">
        <v>188</v>
      </c>
      <c r="F204">
        <v>119</v>
      </c>
      <c r="G204">
        <v>97</v>
      </c>
      <c r="H204">
        <v>404</v>
      </c>
      <c r="I204">
        <v>0</v>
      </c>
      <c r="J204">
        <v>0.91249999999999998</v>
      </c>
      <c r="K204">
        <v>1.0249999999999999</v>
      </c>
      <c r="L204">
        <v>0.91249999999999998</v>
      </c>
      <c r="M204">
        <v>0.95</v>
      </c>
      <c r="N204">
        <v>0.30070000000000002</v>
      </c>
      <c r="O204">
        <v>0.23250000000000001</v>
      </c>
      <c r="P204">
        <v>0.2213</v>
      </c>
      <c r="Q204">
        <v>0.1925</v>
      </c>
      <c r="R204">
        <v>0.21540000000000001</v>
      </c>
      <c r="S204">
        <v>8.4000000000000005E-2</v>
      </c>
      <c r="T204">
        <v>0.36</v>
      </c>
      <c r="U204">
        <v>0.36</v>
      </c>
      <c r="V204">
        <v>0.3</v>
      </c>
      <c r="W204">
        <v>0.36</v>
      </c>
      <c r="X204">
        <v>4.4100999999999999</v>
      </c>
      <c r="Y204">
        <v>0</v>
      </c>
      <c r="Z204">
        <v>54.166699999999999</v>
      </c>
      <c r="AA204">
        <v>20.833300000000001</v>
      </c>
      <c r="AB204">
        <v>75</v>
      </c>
      <c r="AC204">
        <v>12.5</v>
      </c>
      <c r="AD204">
        <v>12.5</v>
      </c>
      <c r="AE204">
        <v>0</v>
      </c>
      <c r="AF204">
        <v>25</v>
      </c>
      <c r="AG204">
        <v>54.166699999999999</v>
      </c>
      <c r="AH204">
        <v>0.11749999999999999</v>
      </c>
      <c r="AI204">
        <v>0.11</v>
      </c>
      <c r="AJ204">
        <v>0.18379999999999999</v>
      </c>
      <c r="AK204">
        <v>0.1371</v>
      </c>
      <c r="AL204">
        <v>9.5399999999999999E-2</v>
      </c>
      <c r="AM204">
        <v>0.25</v>
      </c>
      <c r="AN204">
        <v>0.25</v>
      </c>
      <c r="AO204">
        <v>0.37</v>
      </c>
      <c r="AP204">
        <v>0.37</v>
      </c>
      <c r="AQ204">
        <v>8.3332999999999995</v>
      </c>
      <c r="AR204">
        <v>0.58330000000000004</v>
      </c>
      <c r="AS204">
        <v>37.5</v>
      </c>
      <c r="AT204">
        <v>25</v>
      </c>
      <c r="AU204">
        <v>37.5</v>
      </c>
      <c r="AV204">
        <v>33.333300000000001</v>
      </c>
      <c r="AW204">
        <v>58.333300000000001</v>
      </c>
      <c r="AX204">
        <v>0.41670000000000001</v>
      </c>
      <c r="AY204">
        <v>8.3332999999999995</v>
      </c>
      <c r="AZ204">
        <v>0</v>
      </c>
      <c r="BA204">
        <v>0</v>
      </c>
      <c r="BB204">
        <v>0.375</v>
      </c>
      <c r="BC204">
        <v>0.125</v>
      </c>
      <c r="BD204">
        <v>0.45829999999999999</v>
      </c>
      <c r="BE204">
        <v>2</v>
      </c>
      <c r="BF204">
        <v>1.75</v>
      </c>
      <c r="BG204">
        <v>1.5</v>
      </c>
      <c r="BH204">
        <v>1.75</v>
      </c>
      <c r="BI204">
        <v>0.25</v>
      </c>
      <c r="BJ204">
        <v>0</v>
      </c>
      <c r="BK204">
        <v>0</v>
      </c>
      <c r="BL204">
        <v>8.3299999999999999E-2</v>
      </c>
      <c r="BM204">
        <v>0</v>
      </c>
      <c r="BN204">
        <v>0.25</v>
      </c>
      <c r="BO204">
        <v>0.5</v>
      </c>
      <c r="BP204">
        <v>0.25</v>
      </c>
      <c r="BQ204">
        <v>4.1666999999999996</v>
      </c>
      <c r="BR204">
        <v>45.833300000000001</v>
      </c>
      <c r="BS204">
        <v>50</v>
      </c>
      <c r="BT204">
        <v>48.916699999999999</v>
      </c>
      <c r="BU204">
        <v>0.25</v>
      </c>
      <c r="BV204">
        <v>85.585599999999999</v>
      </c>
      <c r="BW204">
        <v>10.342599999999999</v>
      </c>
      <c r="BX204">
        <v>14.414400000000001</v>
      </c>
      <c r="BY204">
        <v>0</v>
      </c>
      <c r="BZ204">
        <v>0</v>
      </c>
      <c r="CA204">
        <v>0</v>
      </c>
      <c r="CB204">
        <v>0</v>
      </c>
      <c r="CC204">
        <v>0</v>
      </c>
    </row>
    <row r="205" spans="2:81" x14ac:dyDescent="0.25">
      <c r="B205">
        <v>16.2</v>
      </c>
      <c r="C205">
        <v>8.7799999999999994</v>
      </c>
      <c r="D205">
        <v>11.76</v>
      </c>
      <c r="E205">
        <v>380</v>
      </c>
      <c r="F205">
        <v>166</v>
      </c>
      <c r="G205">
        <v>166</v>
      </c>
      <c r="H205">
        <v>712</v>
      </c>
      <c r="I205">
        <v>0.42130000000000001</v>
      </c>
      <c r="J205">
        <v>2.6625000000000001</v>
      </c>
      <c r="K205">
        <v>2.1375000000000002</v>
      </c>
      <c r="L205">
        <v>1.95</v>
      </c>
      <c r="M205">
        <v>2.25</v>
      </c>
      <c r="N205">
        <v>1.0232000000000001</v>
      </c>
      <c r="O205">
        <v>0.29449999999999998</v>
      </c>
      <c r="P205">
        <v>9.11E-2</v>
      </c>
      <c r="Q205">
        <v>0.1663</v>
      </c>
      <c r="R205">
        <v>0.1925</v>
      </c>
      <c r="S205">
        <v>0.21010000000000001</v>
      </c>
      <c r="T205">
        <v>0.8</v>
      </c>
      <c r="U205">
        <v>0.16</v>
      </c>
      <c r="V205">
        <v>0.6</v>
      </c>
      <c r="W205">
        <v>0.8</v>
      </c>
      <c r="X205">
        <v>11.6883</v>
      </c>
      <c r="Y205">
        <v>0</v>
      </c>
      <c r="Z205">
        <v>16.666699999999999</v>
      </c>
      <c r="AA205">
        <v>0</v>
      </c>
      <c r="AB205">
        <v>16.666699999999999</v>
      </c>
      <c r="AC205">
        <v>8.3332999999999995</v>
      </c>
      <c r="AD205">
        <v>75</v>
      </c>
      <c r="AE205">
        <v>0</v>
      </c>
      <c r="AF205">
        <v>83.333299999999994</v>
      </c>
      <c r="AG205">
        <v>75</v>
      </c>
      <c r="AH205">
        <v>8.1799999999999998E-2</v>
      </c>
      <c r="AI205">
        <v>0.28889999999999999</v>
      </c>
      <c r="AJ205">
        <v>0.1888</v>
      </c>
      <c r="AK205">
        <v>0.1789</v>
      </c>
      <c r="AL205">
        <v>0.15010000000000001</v>
      </c>
      <c r="AM205">
        <v>0.36</v>
      </c>
      <c r="AN205">
        <v>0.53</v>
      </c>
      <c r="AO205">
        <v>0.39</v>
      </c>
      <c r="AP205">
        <v>0.53</v>
      </c>
      <c r="AQ205">
        <v>66.666700000000006</v>
      </c>
      <c r="AR205">
        <v>8.3299999999999999E-2</v>
      </c>
      <c r="AS205">
        <v>50</v>
      </c>
      <c r="AT205">
        <v>0</v>
      </c>
      <c r="AU205">
        <v>25</v>
      </c>
      <c r="AV205">
        <v>25</v>
      </c>
      <c r="AW205">
        <v>66.666700000000006</v>
      </c>
      <c r="AX205">
        <v>0.5</v>
      </c>
      <c r="AY205">
        <v>25</v>
      </c>
      <c r="AZ205">
        <v>0.375</v>
      </c>
      <c r="BA205">
        <v>0.375</v>
      </c>
      <c r="BB205">
        <v>0.125</v>
      </c>
      <c r="BC205">
        <v>0.29170000000000001</v>
      </c>
      <c r="BD205">
        <v>0.41670000000000001</v>
      </c>
      <c r="BE205">
        <v>0</v>
      </c>
      <c r="BF205">
        <v>0</v>
      </c>
      <c r="BG205">
        <v>0</v>
      </c>
      <c r="BH205">
        <v>0</v>
      </c>
      <c r="BI205">
        <v>0.5</v>
      </c>
      <c r="BJ205">
        <v>0.25</v>
      </c>
      <c r="BK205">
        <v>0.75</v>
      </c>
      <c r="BL205">
        <v>0.5</v>
      </c>
      <c r="BM205">
        <v>2</v>
      </c>
      <c r="BN205">
        <v>0</v>
      </c>
      <c r="BO205">
        <v>0.25</v>
      </c>
      <c r="BP205">
        <v>0.75</v>
      </c>
      <c r="BQ205">
        <v>33.333300000000001</v>
      </c>
      <c r="BR205">
        <v>62.5</v>
      </c>
      <c r="BS205">
        <v>4.1666999999999996</v>
      </c>
      <c r="BT205">
        <v>25.625</v>
      </c>
      <c r="BU205">
        <v>0.33329999999999999</v>
      </c>
      <c r="BV205">
        <v>10.180199999999999</v>
      </c>
      <c r="BW205">
        <v>7.2191000000000001</v>
      </c>
      <c r="BX205">
        <v>89.819800000000001</v>
      </c>
      <c r="BY205">
        <v>0</v>
      </c>
      <c r="BZ205">
        <v>0</v>
      </c>
      <c r="CA205">
        <v>0</v>
      </c>
      <c r="CB205">
        <v>0</v>
      </c>
      <c r="CC205">
        <v>0</v>
      </c>
    </row>
    <row r="206" spans="2:81" x14ac:dyDescent="0.25">
      <c r="B206">
        <v>16.100000000000001</v>
      </c>
      <c r="C206">
        <v>8.0299999999999994</v>
      </c>
      <c r="D206">
        <v>11.66</v>
      </c>
      <c r="E206">
        <v>338</v>
      </c>
      <c r="F206">
        <v>237</v>
      </c>
      <c r="G206">
        <v>310</v>
      </c>
      <c r="H206">
        <v>885</v>
      </c>
      <c r="I206">
        <v>0</v>
      </c>
      <c r="J206">
        <v>1.5874999999999999</v>
      </c>
      <c r="K206">
        <v>1.5125</v>
      </c>
      <c r="L206">
        <v>2</v>
      </c>
      <c r="M206">
        <v>1.7</v>
      </c>
      <c r="N206">
        <v>0.49959999999999999</v>
      </c>
      <c r="O206">
        <v>0.27750000000000002</v>
      </c>
      <c r="P206">
        <v>0.2263</v>
      </c>
      <c r="Q206">
        <v>0.37</v>
      </c>
      <c r="R206">
        <v>0.2913</v>
      </c>
      <c r="S206">
        <v>0.12479999999999999</v>
      </c>
      <c r="T206">
        <v>0.5</v>
      </c>
      <c r="U206">
        <v>0.5</v>
      </c>
      <c r="V206">
        <v>0.5</v>
      </c>
      <c r="W206">
        <v>0.5</v>
      </c>
      <c r="X206">
        <v>5.8369</v>
      </c>
      <c r="Y206">
        <v>0</v>
      </c>
      <c r="Z206">
        <v>20.833300000000001</v>
      </c>
      <c r="AA206">
        <v>0</v>
      </c>
      <c r="AB206">
        <v>20.833300000000001</v>
      </c>
      <c r="AC206">
        <v>0</v>
      </c>
      <c r="AD206">
        <v>79.166700000000006</v>
      </c>
      <c r="AE206">
        <v>0</v>
      </c>
      <c r="AF206">
        <v>79.166700000000006</v>
      </c>
      <c r="AG206">
        <v>79.166700000000006</v>
      </c>
      <c r="AH206">
        <v>0.43880000000000002</v>
      </c>
      <c r="AI206">
        <v>0.50749999999999995</v>
      </c>
      <c r="AJ206">
        <v>0.26879999999999998</v>
      </c>
      <c r="AK206">
        <v>0.40500000000000003</v>
      </c>
      <c r="AL206">
        <v>0.25900000000000001</v>
      </c>
      <c r="AM206">
        <v>0.79</v>
      </c>
      <c r="AN206">
        <v>0.96</v>
      </c>
      <c r="AO206">
        <v>0.57999999999999996</v>
      </c>
      <c r="AP206">
        <v>0.96</v>
      </c>
      <c r="AQ206">
        <v>12.5</v>
      </c>
      <c r="AR206">
        <v>0.79169999999999996</v>
      </c>
      <c r="AS206">
        <v>0</v>
      </c>
      <c r="AT206">
        <v>0</v>
      </c>
      <c r="AU206">
        <v>25</v>
      </c>
      <c r="AV206">
        <v>8.3332999999999995</v>
      </c>
      <c r="AW206">
        <v>79.166700000000006</v>
      </c>
      <c r="AX206">
        <v>1.3332999999999999</v>
      </c>
      <c r="AY206">
        <v>33.333300000000001</v>
      </c>
      <c r="AZ206">
        <v>0</v>
      </c>
      <c r="BA206">
        <v>0</v>
      </c>
      <c r="BB206">
        <v>0.75</v>
      </c>
      <c r="BC206">
        <v>0.25</v>
      </c>
      <c r="BD206">
        <v>0.625</v>
      </c>
      <c r="BE206">
        <v>0.5</v>
      </c>
      <c r="BF206">
        <v>0.25</v>
      </c>
      <c r="BG206">
        <v>0.25</v>
      </c>
      <c r="BH206">
        <v>0.33329999999999999</v>
      </c>
      <c r="BI206">
        <v>0</v>
      </c>
      <c r="BJ206">
        <v>0</v>
      </c>
      <c r="BK206">
        <v>0</v>
      </c>
      <c r="BL206">
        <v>0</v>
      </c>
      <c r="BM206">
        <v>0.25</v>
      </c>
      <c r="BN206">
        <v>0.5</v>
      </c>
      <c r="BO206">
        <v>0.25</v>
      </c>
      <c r="BP206">
        <v>0.33329999999999999</v>
      </c>
      <c r="BQ206">
        <v>0</v>
      </c>
      <c r="BR206">
        <v>95.833299999999994</v>
      </c>
      <c r="BS206">
        <v>4.1666999999999996</v>
      </c>
      <c r="BT206">
        <v>41.666699999999999</v>
      </c>
      <c r="BU206">
        <v>0.20830000000000001</v>
      </c>
      <c r="BV206">
        <v>97.972999999999999</v>
      </c>
      <c r="BW206">
        <v>2.5981000000000001</v>
      </c>
      <c r="BX206">
        <v>2.0270000000000001</v>
      </c>
      <c r="BY206">
        <v>0</v>
      </c>
      <c r="BZ206">
        <v>0</v>
      </c>
      <c r="CA206">
        <v>0</v>
      </c>
      <c r="CB206">
        <v>0</v>
      </c>
      <c r="CC206">
        <v>0</v>
      </c>
    </row>
    <row r="207" spans="2:81" x14ac:dyDescent="0.25">
      <c r="B207">
        <v>15.6</v>
      </c>
      <c r="C207">
        <v>7.99</v>
      </c>
      <c r="D207">
        <v>10.52</v>
      </c>
      <c r="E207">
        <v>122</v>
      </c>
      <c r="F207">
        <v>141</v>
      </c>
      <c r="G207">
        <v>167</v>
      </c>
      <c r="H207">
        <v>430</v>
      </c>
      <c r="I207">
        <v>0</v>
      </c>
      <c r="J207">
        <v>1.9</v>
      </c>
      <c r="K207">
        <v>2.2374999999999998</v>
      </c>
      <c r="L207">
        <v>2.2124999999999999</v>
      </c>
      <c r="M207">
        <v>2.1166999999999998</v>
      </c>
      <c r="N207">
        <v>0.35589999999999999</v>
      </c>
      <c r="O207">
        <v>0.2455</v>
      </c>
      <c r="P207">
        <v>0.14580000000000001</v>
      </c>
      <c r="Q207">
        <v>0.1067</v>
      </c>
      <c r="R207">
        <v>0.16370000000000001</v>
      </c>
      <c r="S207">
        <v>9.8100000000000007E-2</v>
      </c>
      <c r="T207">
        <v>0.48</v>
      </c>
      <c r="U207">
        <v>0.26</v>
      </c>
      <c r="V207">
        <v>0.2</v>
      </c>
      <c r="W207">
        <v>0.48</v>
      </c>
      <c r="X207">
        <v>12.929</v>
      </c>
      <c r="Y207">
        <v>0</v>
      </c>
      <c r="Z207">
        <v>65.714299999999994</v>
      </c>
      <c r="AA207">
        <v>17.142900000000001</v>
      </c>
      <c r="AB207">
        <v>82.857100000000003</v>
      </c>
      <c r="AC207">
        <v>0</v>
      </c>
      <c r="AD207">
        <v>17.142900000000001</v>
      </c>
      <c r="AE207">
        <v>0</v>
      </c>
      <c r="AF207">
        <v>17.142900000000001</v>
      </c>
      <c r="AG207">
        <v>65.714299999999994</v>
      </c>
      <c r="AH207">
        <v>0.19639999999999999</v>
      </c>
      <c r="AI207">
        <v>0.16639999999999999</v>
      </c>
      <c r="AJ207">
        <v>0.28179999999999999</v>
      </c>
      <c r="AK207">
        <v>0.2094</v>
      </c>
      <c r="AL207">
        <v>0.12559999999999999</v>
      </c>
      <c r="AM207">
        <v>0.56000000000000005</v>
      </c>
      <c r="AN207">
        <v>0.38</v>
      </c>
      <c r="AO207">
        <v>0.46</v>
      </c>
      <c r="AP207">
        <v>0.56000000000000005</v>
      </c>
      <c r="AQ207">
        <v>8.3332999999999995</v>
      </c>
      <c r="AR207">
        <v>0.75</v>
      </c>
      <c r="AS207">
        <v>25</v>
      </c>
      <c r="AT207">
        <v>25</v>
      </c>
      <c r="AU207">
        <v>0</v>
      </c>
      <c r="AV207">
        <v>16.666699999999999</v>
      </c>
      <c r="AW207">
        <v>75</v>
      </c>
      <c r="AX207">
        <v>0.25</v>
      </c>
      <c r="AY207">
        <v>8.3332999999999995</v>
      </c>
      <c r="AZ207">
        <v>1</v>
      </c>
      <c r="BA207">
        <v>0.5</v>
      </c>
      <c r="BB207">
        <v>0.875</v>
      </c>
      <c r="BC207">
        <v>0.79169999999999996</v>
      </c>
      <c r="BD207">
        <v>1.8332999999999999</v>
      </c>
      <c r="BE207">
        <v>1</v>
      </c>
      <c r="BF207">
        <v>0.5</v>
      </c>
      <c r="BG207">
        <v>0.25</v>
      </c>
      <c r="BH207">
        <v>0.58330000000000004</v>
      </c>
      <c r="BI207">
        <v>0.5</v>
      </c>
      <c r="BJ207">
        <v>0</v>
      </c>
      <c r="BK207">
        <v>0</v>
      </c>
      <c r="BL207">
        <v>0.16669999999999999</v>
      </c>
      <c r="BM207">
        <v>1</v>
      </c>
      <c r="BN207">
        <v>0.25</v>
      </c>
      <c r="BO207">
        <v>0.25</v>
      </c>
      <c r="BP207">
        <v>0.5</v>
      </c>
      <c r="BQ207">
        <v>20.833300000000001</v>
      </c>
      <c r="BR207">
        <v>50</v>
      </c>
      <c r="BS207">
        <v>29.166699999999999</v>
      </c>
      <c r="BT207">
        <v>36.666699999999999</v>
      </c>
      <c r="BU207">
        <v>0.79169999999999996</v>
      </c>
      <c r="BV207">
        <v>35.472999999999999</v>
      </c>
      <c r="BW207">
        <v>13.6669</v>
      </c>
      <c r="BX207">
        <v>64.527000000000001</v>
      </c>
      <c r="BY207">
        <v>0</v>
      </c>
      <c r="BZ207">
        <v>0</v>
      </c>
      <c r="CA207">
        <v>0</v>
      </c>
      <c r="CB207">
        <v>0</v>
      </c>
      <c r="CC207">
        <v>0</v>
      </c>
    </row>
    <row r="208" spans="2:81" x14ac:dyDescent="0.25">
      <c r="B208">
        <v>15.9</v>
      </c>
      <c r="C208">
        <v>8.11</v>
      </c>
      <c r="D208">
        <v>11.78</v>
      </c>
      <c r="E208">
        <v>949</v>
      </c>
      <c r="F208">
        <v>490</v>
      </c>
      <c r="G208">
        <v>427</v>
      </c>
      <c r="H208">
        <v>1866</v>
      </c>
      <c r="I208">
        <v>3.2153999999999998</v>
      </c>
      <c r="J208">
        <v>2.8624999999999998</v>
      </c>
      <c r="K208">
        <v>3.5750000000000002</v>
      </c>
      <c r="L208">
        <v>4.2428999999999997</v>
      </c>
      <c r="M208">
        <v>3.5304000000000002</v>
      </c>
      <c r="N208">
        <v>1.0743</v>
      </c>
      <c r="O208">
        <v>0.35299999999999998</v>
      </c>
      <c r="P208">
        <v>0.2379</v>
      </c>
      <c r="Q208">
        <v>0.16550000000000001</v>
      </c>
      <c r="R208">
        <v>0.248</v>
      </c>
      <c r="S208">
        <v>0.16020000000000001</v>
      </c>
      <c r="T208">
        <v>0.68</v>
      </c>
      <c r="U208">
        <v>0.54</v>
      </c>
      <c r="V208">
        <v>0.3</v>
      </c>
      <c r="W208">
        <v>0.68</v>
      </c>
      <c r="X208">
        <v>14.2356</v>
      </c>
      <c r="Y208">
        <v>0</v>
      </c>
      <c r="Z208">
        <v>0</v>
      </c>
      <c r="AA208">
        <v>0</v>
      </c>
      <c r="AB208">
        <v>0</v>
      </c>
      <c r="AC208">
        <v>5.7142999999999997</v>
      </c>
      <c r="AD208">
        <v>94.285700000000006</v>
      </c>
      <c r="AE208">
        <v>0</v>
      </c>
      <c r="AF208">
        <v>100</v>
      </c>
      <c r="AG208">
        <v>94.285700000000006</v>
      </c>
      <c r="AH208">
        <v>0.2389</v>
      </c>
      <c r="AI208">
        <v>0.16769999999999999</v>
      </c>
      <c r="AJ208">
        <v>0.27300000000000002</v>
      </c>
      <c r="AK208">
        <v>0.20399999999999999</v>
      </c>
      <c r="AL208">
        <v>0.18140000000000001</v>
      </c>
      <c r="AM208">
        <v>0.54</v>
      </c>
      <c r="AN208">
        <v>0.48</v>
      </c>
      <c r="AO208">
        <v>0.67</v>
      </c>
      <c r="AP208">
        <v>0.67</v>
      </c>
      <c r="AQ208">
        <v>54.166699999999999</v>
      </c>
      <c r="AR208">
        <v>0.13039999999999999</v>
      </c>
      <c r="AS208">
        <v>37.5</v>
      </c>
      <c r="AT208">
        <v>50</v>
      </c>
      <c r="AU208">
        <v>0</v>
      </c>
      <c r="AV208">
        <v>29.166699999999999</v>
      </c>
      <c r="AW208">
        <v>54.166699999999999</v>
      </c>
      <c r="AX208">
        <v>1</v>
      </c>
      <c r="AY208">
        <v>33.333300000000001</v>
      </c>
      <c r="AZ208">
        <v>0.25</v>
      </c>
      <c r="BA208">
        <v>0.25</v>
      </c>
      <c r="BB208">
        <v>0.1429</v>
      </c>
      <c r="BC208">
        <v>0.21740000000000001</v>
      </c>
      <c r="BD208">
        <v>0.6522</v>
      </c>
      <c r="BE208">
        <v>1</v>
      </c>
      <c r="BF208">
        <v>0.5</v>
      </c>
      <c r="BG208">
        <v>0.75</v>
      </c>
      <c r="BH208">
        <v>0.75</v>
      </c>
      <c r="BI208">
        <v>1</v>
      </c>
      <c r="BJ208">
        <v>0.25</v>
      </c>
      <c r="BK208">
        <v>1</v>
      </c>
      <c r="BL208">
        <v>0.75</v>
      </c>
      <c r="BM208">
        <v>1.5</v>
      </c>
      <c r="BN208">
        <v>0.5</v>
      </c>
      <c r="BO208">
        <v>0</v>
      </c>
      <c r="BP208">
        <v>0.66669999999999996</v>
      </c>
      <c r="BQ208">
        <v>33.333300000000001</v>
      </c>
      <c r="BR208">
        <v>50</v>
      </c>
      <c r="BS208">
        <v>16.666699999999999</v>
      </c>
      <c r="BT208">
        <v>30.416699999999999</v>
      </c>
      <c r="BU208">
        <v>0.625</v>
      </c>
      <c r="BV208">
        <v>8.9189000000000007</v>
      </c>
      <c r="BW208">
        <v>4.7354000000000003</v>
      </c>
      <c r="BX208">
        <v>91.081100000000006</v>
      </c>
      <c r="BY208">
        <v>0</v>
      </c>
      <c r="BZ208">
        <v>0</v>
      </c>
      <c r="CA208">
        <v>0</v>
      </c>
      <c r="CB208">
        <v>0</v>
      </c>
      <c r="CC208">
        <v>0</v>
      </c>
    </row>
    <row r="209" spans="2:81" x14ac:dyDescent="0.25">
      <c r="B209">
        <v>15.6</v>
      </c>
      <c r="C209">
        <v>8.39</v>
      </c>
      <c r="D209">
        <v>11.56</v>
      </c>
      <c r="E209">
        <v>448</v>
      </c>
      <c r="F209">
        <v>475</v>
      </c>
      <c r="G209">
        <v>545</v>
      </c>
      <c r="H209">
        <v>1468</v>
      </c>
      <c r="I209">
        <v>0.57220000000000004</v>
      </c>
      <c r="J209">
        <v>2.6749999999999998</v>
      </c>
      <c r="K209">
        <v>3.1375000000000002</v>
      </c>
      <c r="L209">
        <v>2.7625000000000002</v>
      </c>
      <c r="M209">
        <v>2.8582999999999998</v>
      </c>
      <c r="N209">
        <v>0.84019999999999995</v>
      </c>
      <c r="O209">
        <v>0.2225</v>
      </c>
      <c r="P209">
        <v>0.25</v>
      </c>
      <c r="Q209">
        <v>0.1983</v>
      </c>
      <c r="R209">
        <v>0.22359999999999999</v>
      </c>
      <c r="S209">
        <v>0.12230000000000001</v>
      </c>
      <c r="T209">
        <v>0.54</v>
      </c>
      <c r="U209">
        <v>0.56000000000000005</v>
      </c>
      <c r="V209">
        <v>0.44</v>
      </c>
      <c r="W209">
        <v>0.56000000000000005</v>
      </c>
      <c r="X209">
        <v>12.7826</v>
      </c>
      <c r="Y209">
        <v>3.3332999999999999</v>
      </c>
      <c r="Z209">
        <v>0</v>
      </c>
      <c r="AA209">
        <v>6.6666999999999996</v>
      </c>
      <c r="AB209">
        <v>10</v>
      </c>
      <c r="AC209">
        <v>0</v>
      </c>
      <c r="AD209">
        <v>90</v>
      </c>
      <c r="AE209">
        <v>0</v>
      </c>
      <c r="AF209">
        <v>90</v>
      </c>
      <c r="AG209">
        <v>90</v>
      </c>
      <c r="AH209">
        <v>0.25580000000000003</v>
      </c>
      <c r="AI209">
        <v>0.23669999999999999</v>
      </c>
      <c r="AJ209">
        <v>0.20330000000000001</v>
      </c>
      <c r="AK209">
        <v>0.2319</v>
      </c>
      <c r="AL209">
        <v>0.22570000000000001</v>
      </c>
      <c r="AM209">
        <v>0.72</v>
      </c>
      <c r="AN209">
        <v>0.92</v>
      </c>
      <c r="AO209">
        <v>0.46</v>
      </c>
      <c r="AP209">
        <v>0.92</v>
      </c>
      <c r="AQ209">
        <v>37.5</v>
      </c>
      <c r="AR209">
        <v>0.33329999999999999</v>
      </c>
      <c r="AS209">
        <v>37.5</v>
      </c>
      <c r="AT209">
        <v>37.5</v>
      </c>
      <c r="AU209">
        <v>12.5</v>
      </c>
      <c r="AV209">
        <v>29.166699999999999</v>
      </c>
      <c r="AW209">
        <v>37.5</v>
      </c>
      <c r="AX209">
        <v>1.75</v>
      </c>
      <c r="AY209">
        <v>58.333300000000001</v>
      </c>
      <c r="AZ209">
        <v>0</v>
      </c>
      <c r="BA209">
        <v>0</v>
      </c>
      <c r="BB209">
        <v>0</v>
      </c>
      <c r="BC209">
        <v>0</v>
      </c>
      <c r="BD209">
        <v>0.375</v>
      </c>
      <c r="BE209">
        <v>0</v>
      </c>
      <c r="BF209">
        <v>0</v>
      </c>
      <c r="BG209">
        <v>0</v>
      </c>
      <c r="BH209">
        <v>0</v>
      </c>
      <c r="BI209">
        <v>0.25</v>
      </c>
      <c r="BJ209">
        <v>0</v>
      </c>
      <c r="BK209">
        <v>1</v>
      </c>
      <c r="BL209">
        <v>0.41670000000000001</v>
      </c>
      <c r="BM209">
        <v>0.75</v>
      </c>
      <c r="BN209">
        <v>0.5</v>
      </c>
      <c r="BO209">
        <v>0.75</v>
      </c>
      <c r="BP209">
        <v>0.66669999999999996</v>
      </c>
      <c r="BQ209">
        <v>33.333300000000001</v>
      </c>
      <c r="BR209">
        <v>54.166699999999999</v>
      </c>
      <c r="BS209">
        <v>12.5</v>
      </c>
      <c r="BT209">
        <v>29.166699999999999</v>
      </c>
      <c r="BU209">
        <v>1.6667000000000001</v>
      </c>
      <c r="BV209">
        <v>64.264300000000006</v>
      </c>
      <c r="BW209">
        <v>16.0305</v>
      </c>
      <c r="BX209">
        <v>35.735700000000001</v>
      </c>
      <c r="BY209">
        <v>0</v>
      </c>
      <c r="BZ209">
        <v>0</v>
      </c>
      <c r="CA209">
        <v>0</v>
      </c>
      <c r="CB209">
        <v>0</v>
      </c>
      <c r="CC209">
        <v>0</v>
      </c>
    </row>
    <row r="210" spans="2:81" x14ac:dyDescent="0.25">
      <c r="B210">
        <v>15.7</v>
      </c>
      <c r="C210">
        <v>8.5399999999999991</v>
      </c>
      <c r="D210">
        <v>11.63</v>
      </c>
      <c r="E210">
        <v>441</v>
      </c>
      <c r="F210">
        <v>310</v>
      </c>
      <c r="G210">
        <v>488</v>
      </c>
      <c r="H210">
        <v>1239</v>
      </c>
      <c r="I210">
        <v>0</v>
      </c>
      <c r="J210">
        <v>1.4</v>
      </c>
      <c r="K210">
        <v>1.5625</v>
      </c>
      <c r="L210">
        <v>1.9375</v>
      </c>
      <c r="M210">
        <v>1.6333</v>
      </c>
      <c r="N210">
        <v>0.74809999999999999</v>
      </c>
      <c r="O210">
        <v>0.1222</v>
      </c>
      <c r="P210">
        <v>0.13</v>
      </c>
      <c r="Q210">
        <v>0.26800000000000002</v>
      </c>
      <c r="R210">
        <v>0.17519999999999999</v>
      </c>
      <c r="S210">
        <v>0.14499999999999999</v>
      </c>
      <c r="T210">
        <v>0.28000000000000003</v>
      </c>
      <c r="U210">
        <v>0.2</v>
      </c>
      <c r="V210">
        <v>0.68</v>
      </c>
      <c r="W210">
        <v>0.68</v>
      </c>
      <c r="X210">
        <v>9.3240999999999996</v>
      </c>
      <c r="Y210">
        <v>0</v>
      </c>
      <c r="Z210">
        <v>14.8148</v>
      </c>
      <c r="AA210">
        <v>7.4074</v>
      </c>
      <c r="AB210">
        <v>22.222200000000001</v>
      </c>
      <c r="AC210">
        <v>11.1111</v>
      </c>
      <c r="AD210">
        <v>66.666700000000006</v>
      </c>
      <c r="AE210">
        <v>0</v>
      </c>
      <c r="AF210">
        <v>77.777799999999999</v>
      </c>
      <c r="AG210">
        <v>66.666700000000006</v>
      </c>
      <c r="AH210">
        <v>0.2311</v>
      </c>
      <c r="AI210">
        <v>0.13900000000000001</v>
      </c>
      <c r="AJ210">
        <v>0.14699999999999999</v>
      </c>
      <c r="AK210">
        <v>0.17030000000000001</v>
      </c>
      <c r="AL210">
        <v>0.1615</v>
      </c>
      <c r="AM210">
        <v>0.5</v>
      </c>
      <c r="AN210">
        <v>0.26</v>
      </c>
      <c r="AO210">
        <v>0.56000000000000005</v>
      </c>
      <c r="AP210">
        <v>0.56000000000000005</v>
      </c>
      <c r="AQ210">
        <v>29.166699999999999</v>
      </c>
      <c r="AR210">
        <v>0.45829999999999999</v>
      </c>
      <c r="AS210">
        <v>0</v>
      </c>
      <c r="AT210">
        <v>25</v>
      </c>
      <c r="AU210">
        <v>50</v>
      </c>
      <c r="AV210">
        <v>25</v>
      </c>
      <c r="AW210">
        <v>45.833300000000001</v>
      </c>
      <c r="AX210">
        <v>1.3332999999999999</v>
      </c>
      <c r="AY210">
        <v>50</v>
      </c>
      <c r="AZ210">
        <v>0</v>
      </c>
      <c r="BA210">
        <v>0.125</v>
      </c>
      <c r="BB210">
        <v>0</v>
      </c>
      <c r="BC210">
        <v>4.1700000000000001E-2</v>
      </c>
      <c r="BD210">
        <v>0.54169999999999996</v>
      </c>
      <c r="BE210">
        <v>0</v>
      </c>
      <c r="BF210">
        <v>0</v>
      </c>
      <c r="BG210">
        <v>0.5</v>
      </c>
      <c r="BH210">
        <v>0.16669999999999999</v>
      </c>
      <c r="BI210">
        <v>0</v>
      </c>
      <c r="BJ210">
        <v>0</v>
      </c>
      <c r="BK210">
        <v>0</v>
      </c>
      <c r="BL210">
        <v>0</v>
      </c>
      <c r="BM210">
        <v>0</v>
      </c>
      <c r="BN210">
        <v>0</v>
      </c>
      <c r="BO210">
        <v>1.5</v>
      </c>
      <c r="BP210">
        <v>0.5</v>
      </c>
      <c r="BQ210">
        <v>37.5</v>
      </c>
      <c r="BR210">
        <v>62.5</v>
      </c>
      <c r="BS210">
        <v>0</v>
      </c>
      <c r="BT210">
        <v>23.125</v>
      </c>
      <c r="BU210">
        <v>4.5499999999999999E-2</v>
      </c>
      <c r="BV210">
        <v>34.459499999999998</v>
      </c>
      <c r="BW210">
        <v>14.0656</v>
      </c>
      <c r="BX210">
        <v>65.540499999999994</v>
      </c>
      <c r="BY210">
        <v>0</v>
      </c>
      <c r="BZ210">
        <v>0</v>
      </c>
      <c r="CA210">
        <v>0</v>
      </c>
      <c r="CB210">
        <v>0</v>
      </c>
      <c r="CC210">
        <v>0</v>
      </c>
    </row>
    <row r="211" spans="2:81" x14ac:dyDescent="0.25">
      <c r="B211">
        <v>17.600000000000001</v>
      </c>
      <c r="C211">
        <v>8.4700000000000006</v>
      </c>
      <c r="D211">
        <v>8.81</v>
      </c>
      <c r="E211">
        <v>2146</v>
      </c>
      <c r="F211">
        <v>1481</v>
      </c>
      <c r="G211">
        <v>969</v>
      </c>
      <c r="H211">
        <v>4596</v>
      </c>
      <c r="I211">
        <v>0</v>
      </c>
      <c r="J211">
        <v>5.0999999999999996</v>
      </c>
      <c r="K211">
        <v>4.7750000000000004</v>
      </c>
      <c r="L211">
        <v>4.6375000000000002</v>
      </c>
      <c r="M211">
        <v>4.8375000000000004</v>
      </c>
      <c r="N211">
        <v>1.2218</v>
      </c>
      <c r="O211">
        <v>0.34499999999999997</v>
      </c>
      <c r="P211">
        <v>0.21940000000000001</v>
      </c>
      <c r="Q211">
        <v>0.27879999999999999</v>
      </c>
      <c r="R211">
        <v>0.28100000000000003</v>
      </c>
      <c r="S211">
        <v>0.1459</v>
      </c>
      <c r="T211">
        <v>0.84</v>
      </c>
      <c r="U211">
        <v>0.39</v>
      </c>
      <c r="V211">
        <v>0.42</v>
      </c>
      <c r="W211">
        <v>0.84</v>
      </c>
      <c r="X211">
        <v>17.212800000000001</v>
      </c>
      <c r="Y211">
        <v>0</v>
      </c>
      <c r="Z211">
        <v>19.148900000000001</v>
      </c>
      <c r="AA211">
        <v>2.1276999999999999</v>
      </c>
      <c r="AB211">
        <v>21.276599999999998</v>
      </c>
      <c r="AC211">
        <v>0</v>
      </c>
      <c r="AD211">
        <v>74.468100000000007</v>
      </c>
      <c r="AE211">
        <v>4.2553000000000001</v>
      </c>
      <c r="AF211">
        <v>78.723399999999998</v>
      </c>
      <c r="AG211">
        <v>74.468100000000007</v>
      </c>
      <c r="AH211">
        <v>0.26</v>
      </c>
      <c r="AI211">
        <v>0.35599999999999998</v>
      </c>
      <c r="AJ211">
        <v>0.27600000000000002</v>
      </c>
      <c r="AK211">
        <v>0.29189999999999999</v>
      </c>
      <c r="AL211">
        <v>0.23430000000000001</v>
      </c>
      <c r="AM211">
        <v>0.89</v>
      </c>
      <c r="AN211">
        <v>0.89</v>
      </c>
      <c r="AO211">
        <v>0.53</v>
      </c>
      <c r="AP211">
        <v>0.89</v>
      </c>
      <c r="AQ211">
        <v>33.333300000000001</v>
      </c>
      <c r="AR211">
        <v>0.45829999999999999</v>
      </c>
      <c r="AS211">
        <v>37.5</v>
      </c>
      <c r="AT211">
        <v>25</v>
      </c>
      <c r="AU211">
        <v>0</v>
      </c>
      <c r="AV211">
        <v>20.833300000000001</v>
      </c>
      <c r="AW211">
        <v>45.833300000000001</v>
      </c>
      <c r="AX211">
        <v>1</v>
      </c>
      <c r="AY211">
        <v>41.666699999999999</v>
      </c>
      <c r="AZ211">
        <v>0</v>
      </c>
      <c r="BA211">
        <v>0</v>
      </c>
      <c r="BB211">
        <v>0.875</v>
      </c>
      <c r="BC211">
        <v>0.29170000000000001</v>
      </c>
      <c r="BD211">
        <v>0.625</v>
      </c>
      <c r="BE211">
        <v>0</v>
      </c>
      <c r="BF211">
        <v>0</v>
      </c>
      <c r="BG211">
        <v>0</v>
      </c>
      <c r="BH211">
        <v>0</v>
      </c>
      <c r="BI211">
        <v>0.25</v>
      </c>
      <c r="BJ211">
        <v>0.5</v>
      </c>
      <c r="BK211">
        <v>0.25</v>
      </c>
      <c r="BL211">
        <v>0.33329999999999999</v>
      </c>
      <c r="BM211">
        <v>0.5</v>
      </c>
      <c r="BN211">
        <v>0</v>
      </c>
      <c r="BO211">
        <v>0.5</v>
      </c>
      <c r="BP211">
        <v>0.33329999999999999</v>
      </c>
      <c r="BQ211">
        <v>8.3332999999999995</v>
      </c>
      <c r="BR211">
        <v>66.666700000000006</v>
      </c>
      <c r="BS211">
        <v>25</v>
      </c>
      <c r="BT211">
        <v>42.5</v>
      </c>
      <c r="BU211">
        <v>1.7917000000000001</v>
      </c>
      <c r="BV211">
        <v>40.015000000000001</v>
      </c>
      <c r="BW211">
        <v>14.583399999999999</v>
      </c>
      <c r="BX211">
        <v>59.984999999999999</v>
      </c>
      <c r="BY211">
        <v>0</v>
      </c>
      <c r="BZ211">
        <v>0</v>
      </c>
      <c r="CA211">
        <v>0</v>
      </c>
      <c r="CB211">
        <v>0</v>
      </c>
      <c r="CC211">
        <v>0</v>
      </c>
    </row>
    <row r="212" spans="2:81" x14ac:dyDescent="0.25">
      <c r="B212">
        <v>17.7</v>
      </c>
      <c r="C212">
        <v>7.97</v>
      </c>
      <c r="D212">
        <v>12.27</v>
      </c>
      <c r="E212">
        <v>1076</v>
      </c>
      <c r="F212">
        <v>737</v>
      </c>
      <c r="G212">
        <v>511</v>
      </c>
      <c r="H212">
        <v>2324</v>
      </c>
      <c r="I212">
        <v>0</v>
      </c>
      <c r="J212">
        <v>3.4249999999999998</v>
      </c>
      <c r="K212">
        <v>2.5874999999999999</v>
      </c>
      <c r="L212">
        <v>2.8875000000000002</v>
      </c>
      <c r="M212">
        <v>2.9666999999999999</v>
      </c>
      <c r="N212">
        <v>1.0639000000000001</v>
      </c>
      <c r="O212">
        <v>0.30149999999999999</v>
      </c>
      <c r="P212">
        <v>0.48830000000000001</v>
      </c>
      <c r="Q212">
        <v>0.29420000000000002</v>
      </c>
      <c r="R212">
        <v>0.35970000000000002</v>
      </c>
      <c r="S212">
        <v>0.28299999999999997</v>
      </c>
      <c r="T212">
        <v>1.3</v>
      </c>
      <c r="U212">
        <v>1.2</v>
      </c>
      <c r="V212">
        <v>0.78</v>
      </c>
      <c r="W212">
        <v>1.3</v>
      </c>
      <c r="X212">
        <v>8.2469000000000001</v>
      </c>
      <c r="Y212">
        <v>0</v>
      </c>
      <c r="Z212">
        <v>8.1081000000000003</v>
      </c>
      <c r="AA212">
        <v>2.7027000000000001</v>
      </c>
      <c r="AB212">
        <v>10.8108</v>
      </c>
      <c r="AC212">
        <v>8.1081000000000003</v>
      </c>
      <c r="AD212">
        <v>81.081100000000006</v>
      </c>
      <c r="AE212">
        <v>0</v>
      </c>
      <c r="AF212">
        <v>89.1892</v>
      </c>
      <c r="AG212">
        <v>81.081100000000006</v>
      </c>
      <c r="AH212">
        <v>0.31919999999999998</v>
      </c>
      <c r="AI212">
        <v>0.20449999999999999</v>
      </c>
      <c r="AJ212">
        <v>0.27089999999999997</v>
      </c>
      <c r="AK212">
        <v>0.25969999999999999</v>
      </c>
      <c r="AL212">
        <v>0.24540000000000001</v>
      </c>
      <c r="AM212">
        <v>0.84</v>
      </c>
      <c r="AN212">
        <v>0.67</v>
      </c>
      <c r="AO212">
        <v>1.01</v>
      </c>
      <c r="AP212">
        <v>1.01</v>
      </c>
      <c r="AQ212">
        <v>25</v>
      </c>
      <c r="AR212">
        <v>0.39129999999999998</v>
      </c>
      <c r="AS212">
        <v>12.5</v>
      </c>
      <c r="AT212">
        <v>50</v>
      </c>
      <c r="AU212">
        <v>37.5</v>
      </c>
      <c r="AV212">
        <v>33.333300000000001</v>
      </c>
      <c r="AW212">
        <v>37.5</v>
      </c>
      <c r="AX212">
        <v>1.4167000000000001</v>
      </c>
      <c r="AY212">
        <v>41.666699999999999</v>
      </c>
      <c r="AZ212">
        <v>0</v>
      </c>
      <c r="BA212">
        <v>0.25</v>
      </c>
      <c r="BB212">
        <v>0</v>
      </c>
      <c r="BC212">
        <v>8.3299999999999999E-2</v>
      </c>
      <c r="BD212">
        <v>4.1700000000000001E-2</v>
      </c>
      <c r="BE212">
        <v>1.25</v>
      </c>
      <c r="BF212">
        <v>1.75</v>
      </c>
      <c r="BG212">
        <v>0.25</v>
      </c>
      <c r="BH212">
        <v>1.0832999999999999</v>
      </c>
      <c r="BI212">
        <v>0.25</v>
      </c>
      <c r="BJ212">
        <v>0</v>
      </c>
      <c r="BK212">
        <v>0</v>
      </c>
      <c r="BL212">
        <v>8.3299999999999999E-2</v>
      </c>
      <c r="BM212">
        <v>0.5</v>
      </c>
      <c r="BN212">
        <v>1.75</v>
      </c>
      <c r="BO212">
        <v>0.5</v>
      </c>
      <c r="BP212">
        <v>0.91669999999999996</v>
      </c>
      <c r="BQ212">
        <v>16.666699999999999</v>
      </c>
      <c r="BR212">
        <v>79.166700000000006</v>
      </c>
      <c r="BS212">
        <v>4.1666999999999996</v>
      </c>
      <c r="BT212">
        <v>33.541699999999999</v>
      </c>
      <c r="BU212">
        <v>0.91669999999999996</v>
      </c>
      <c r="BV212">
        <v>100</v>
      </c>
      <c r="BW212">
        <v>0</v>
      </c>
      <c r="BX212">
        <v>0</v>
      </c>
      <c r="BY212">
        <v>0</v>
      </c>
      <c r="BZ212">
        <v>0</v>
      </c>
      <c r="CA212">
        <v>0</v>
      </c>
      <c r="CB212">
        <v>0</v>
      </c>
      <c r="CC212">
        <v>0</v>
      </c>
    </row>
    <row r="213" spans="2:81" x14ac:dyDescent="0.25">
      <c r="B213">
        <v>13.6</v>
      </c>
      <c r="C213">
        <v>8.9499999999999993</v>
      </c>
      <c r="D213">
        <v>11.36</v>
      </c>
      <c r="E213">
        <v>931</v>
      </c>
      <c r="F213">
        <v>261</v>
      </c>
      <c r="G213">
        <v>262</v>
      </c>
      <c r="H213">
        <v>1454</v>
      </c>
      <c r="I213">
        <v>0.82530000000000003</v>
      </c>
      <c r="J213">
        <v>3.75</v>
      </c>
      <c r="K213">
        <v>4.3375000000000004</v>
      </c>
      <c r="L213">
        <v>3.2250000000000001</v>
      </c>
      <c r="M213">
        <v>3.7707999999999999</v>
      </c>
      <c r="N213">
        <v>1.4048</v>
      </c>
      <c r="O213">
        <v>0.27910000000000001</v>
      </c>
      <c r="P213">
        <v>0.14000000000000001</v>
      </c>
      <c r="Q213">
        <v>0.27250000000000002</v>
      </c>
      <c r="R213">
        <v>0.2293</v>
      </c>
      <c r="S213">
        <v>0.19189999999999999</v>
      </c>
      <c r="T213">
        <v>0.8</v>
      </c>
      <c r="U213">
        <v>0.24</v>
      </c>
      <c r="V213">
        <v>0.66</v>
      </c>
      <c r="W213">
        <v>0.8</v>
      </c>
      <c r="X213">
        <v>16.444199999999999</v>
      </c>
      <c r="Y213">
        <v>0</v>
      </c>
      <c r="Z213">
        <v>0</v>
      </c>
      <c r="AA213">
        <v>0</v>
      </c>
      <c r="AB213">
        <v>0</v>
      </c>
      <c r="AC213">
        <v>3.5714000000000001</v>
      </c>
      <c r="AD213">
        <v>92.857100000000003</v>
      </c>
      <c r="AE213">
        <v>3.5714000000000001</v>
      </c>
      <c r="AF213">
        <v>100</v>
      </c>
      <c r="AG213">
        <v>92.857100000000003</v>
      </c>
      <c r="AH213">
        <v>0.315</v>
      </c>
      <c r="AI213">
        <v>0.19400000000000001</v>
      </c>
      <c r="AJ213">
        <v>0.22</v>
      </c>
      <c r="AK213">
        <v>0.23719999999999999</v>
      </c>
      <c r="AL213">
        <v>0.19320000000000001</v>
      </c>
      <c r="AM213">
        <v>0.71</v>
      </c>
      <c r="AN213">
        <v>0.45</v>
      </c>
      <c r="AO213">
        <v>0.64</v>
      </c>
      <c r="AP213">
        <v>0.71</v>
      </c>
      <c r="AQ213">
        <v>33.333300000000001</v>
      </c>
      <c r="AR213">
        <v>0.5</v>
      </c>
      <c r="AS213">
        <v>12.5</v>
      </c>
      <c r="AT213">
        <v>12.5</v>
      </c>
      <c r="AU213">
        <v>25</v>
      </c>
      <c r="AV213">
        <v>16.666699999999999</v>
      </c>
      <c r="AW213">
        <v>50</v>
      </c>
      <c r="AX213">
        <v>1.0832999999999999</v>
      </c>
      <c r="AY213">
        <v>25</v>
      </c>
      <c r="AZ213">
        <v>0</v>
      </c>
      <c r="BA213">
        <v>0</v>
      </c>
      <c r="BB213">
        <v>0</v>
      </c>
      <c r="BC213">
        <v>0</v>
      </c>
      <c r="BD213">
        <v>0.25</v>
      </c>
      <c r="BE213">
        <v>0.25</v>
      </c>
      <c r="BF213">
        <v>0</v>
      </c>
      <c r="BG213">
        <v>0</v>
      </c>
      <c r="BH213">
        <v>8.3299999999999999E-2</v>
      </c>
      <c r="BI213">
        <v>0.75</v>
      </c>
      <c r="BJ213">
        <v>0.25</v>
      </c>
      <c r="BK213">
        <v>0</v>
      </c>
      <c r="BL213">
        <v>0.33329999999999999</v>
      </c>
      <c r="BM213">
        <v>1</v>
      </c>
      <c r="BN213">
        <v>0</v>
      </c>
      <c r="BO213">
        <v>0.75</v>
      </c>
      <c r="BP213">
        <v>0.58330000000000004</v>
      </c>
      <c r="BQ213">
        <v>37.5</v>
      </c>
      <c r="BR213">
        <v>41.666699999999999</v>
      </c>
      <c r="BS213">
        <v>20.833300000000001</v>
      </c>
      <c r="BT213">
        <v>33.541699999999999</v>
      </c>
      <c r="BU213">
        <v>0.625</v>
      </c>
      <c r="BV213">
        <v>53.378399999999999</v>
      </c>
      <c r="BW213">
        <v>12.8805</v>
      </c>
      <c r="BX213">
        <v>46.621600000000001</v>
      </c>
      <c r="BY213">
        <v>0</v>
      </c>
      <c r="BZ213">
        <v>0</v>
      </c>
      <c r="CA213">
        <v>0</v>
      </c>
      <c r="CB213">
        <v>0</v>
      </c>
      <c r="CC213">
        <v>0</v>
      </c>
    </row>
    <row r="214" spans="2:81" x14ac:dyDescent="0.25">
      <c r="B214">
        <v>12.4</v>
      </c>
      <c r="C214">
        <v>7.84</v>
      </c>
      <c r="D214">
        <v>12.06</v>
      </c>
      <c r="E214">
        <v>1038</v>
      </c>
      <c r="F214">
        <v>593</v>
      </c>
      <c r="G214">
        <v>480</v>
      </c>
      <c r="H214">
        <v>2111</v>
      </c>
      <c r="I214">
        <v>2.6433</v>
      </c>
      <c r="J214">
        <v>3.95</v>
      </c>
      <c r="K214">
        <v>3.45</v>
      </c>
      <c r="L214">
        <v>3.1625000000000001</v>
      </c>
      <c r="M214">
        <v>3.5207999999999999</v>
      </c>
      <c r="N214">
        <v>0.95420000000000005</v>
      </c>
      <c r="O214">
        <v>0.28860000000000002</v>
      </c>
      <c r="P214">
        <v>0.23150000000000001</v>
      </c>
      <c r="Q214">
        <v>0.20399999999999999</v>
      </c>
      <c r="R214">
        <v>0.2407</v>
      </c>
      <c r="S214">
        <v>0.13769999999999999</v>
      </c>
      <c r="T214">
        <v>0.7</v>
      </c>
      <c r="U214">
        <v>0.48</v>
      </c>
      <c r="V214">
        <v>0.46</v>
      </c>
      <c r="W214">
        <v>0.7</v>
      </c>
      <c r="X214">
        <v>14.6266</v>
      </c>
      <c r="Y214">
        <v>0</v>
      </c>
      <c r="Z214">
        <v>12.1951</v>
      </c>
      <c r="AA214">
        <v>9.7561</v>
      </c>
      <c r="AB214">
        <v>21.9512</v>
      </c>
      <c r="AC214">
        <v>0</v>
      </c>
      <c r="AD214">
        <v>73.170699999999997</v>
      </c>
      <c r="AE214">
        <v>4.8780000000000001</v>
      </c>
      <c r="AF214">
        <v>78.0488</v>
      </c>
      <c r="AG214">
        <v>73.170699999999997</v>
      </c>
      <c r="AH214">
        <v>0.1246</v>
      </c>
      <c r="AI214">
        <v>0.26500000000000001</v>
      </c>
      <c r="AJ214">
        <v>0.1643</v>
      </c>
      <c r="AK214">
        <v>0.18759999999999999</v>
      </c>
      <c r="AL214">
        <v>0.1656</v>
      </c>
      <c r="AM214">
        <v>0.6</v>
      </c>
      <c r="AN214">
        <v>0.52</v>
      </c>
      <c r="AO214">
        <v>0.28999999999999998</v>
      </c>
      <c r="AP214">
        <v>0.6</v>
      </c>
      <c r="AQ214">
        <v>29.166699999999999</v>
      </c>
      <c r="AR214">
        <v>0.33329999999999999</v>
      </c>
      <c r="AS214">
        <v>62.5</v>
      </c>
      <c r="AT214">
        <v>25</v>
      </c>
      <c r="AU214">
        <v>25</v>
      </c>
      <c r="AV214">
        <v>37.5</v>
      </c>
      <c r="AW214">
        <v>33.333300000000001</v>
      </c>
      <c r="AX214">
        <v>1.25</v>
      </c>
      <c r="AY214">
        <v>33.333300000000001</v>
      </c>
      <c r="AZ214">
        <v>0</v>
      </c>
      <c r="BA214">
        <v>0.125</v>
      </c>
      <c r="BB214">
        <v>0.125</v>
      </c>
      <c r="BC214">
        <v>8.3299999999999999E-2</v>
      </c>
      <c r="BD214">
        <v>0.58330000000000004</v>
      </c>
      <c r="BE214">
        <v>0.25</v>
      </c>
      <c r="BF214">
        <v>0.25</v>
      </c>
      <c r="BG214">
        <v>0.5</v>
      </c>
      <c r="BH214">
        <v>0.33329999999999999</v>
      </c>
      <c r="BI214">
        <v>0.25</v>
      </c>
      <c r="BJ214">
        <v>0.25</v>
      </c>
      <c r="BK214">
        <v>0.75</v>
      </c>
      <c r="BL214">
        <v>0.41670000000000001</v>
      </c>
      <c r="BM214">
        <v>0.75</v>
      </c>
      <c r="BN214">
        <v>0.75</v>
      </c>
      <c r="BO214">
        <v>0.75</v>
      </c>
      <c r="BP214">
        <v>0.75</v>
      </c>
      <c r="BQ214">
        <v>37.5</v>
      </c>
      <c r="BR214">
        <v>50</v>
      </c>
      <c r="BS214">
        <v>12.5</v>
      </c>
      <c r="BT214">
        <v>27.916699999999999</v>
      </c>
      <c r="BU214">
        <v>0.29170000000000001</v>
      </c>
      <c r="BV214">
        <v>67.329099999999997</v>
      </c>
      <c r="BW214">
        <v>11.0299</v>
      </c>
      <c r="BX214">
        <v>32.670900000000003</v>
      </c>
      <c r="BY214">
        <v>0</v>
      </c>
      <c r="BZ214">
        <v>0</v>
      </c>
      <c r="CA214">
        <v>0</v>
      </c>
      <c r="CB214">
        <v>0</v>
      </c>
      <c r="CC214">
        <v>0</v>
      </c>
    </row>
    <row r="215" spans="2:81" x14ac:dyDescent="0.25">
      <c r="B215">
        <v>20</v>
      </c>
      <c r="C215">
        <v>8.5</v>
      </c>
      <c r="D215">
        <v>12.23</v>
      </c>
      <c r="E215">
        <v>1323</v>
      </c>
      <c r="F215">
        <v>1277</v>
      </c>
      <c r="G215">
        <v>1233</v>
      </c>
      <c r="H215">
        <v>3833</v>
      </c>
      <c r="I215">
        <v>0</v>
      </c>
      <c r="J215">
        <v>5.5875000000000004</v>
      </c>
      <c r="K215">
        <v>5.3624999999999998</v>
      </c>
      <c r="L215">
        <v>5.3624999999999998</v>
      </c>
      <c r="M215">
        <v>5.4375</v>
      </c>
      <c r="N215">
        <v>0.82820000000000005</v>
      </c>
      <c r="O215">
        <v>0.39069999999999999</v>
      </c>
      <c r="P215">
        <v>0.31940000000000002</v>
      </c>
      <c r="Q215">
        <v>0.34329999999999999</v>
      </c>
      <c r="R215">
        <v>0.35039999999999999</v>
      </c>
      <c r="S215">
        <v>0.12379999999999999</v>
      </c>
      <c r="T215">
        <v>0.62</v>
      </c>
      <c r="U215">
        <v>0.56000000000000005</v>
      </c>
      <c r="V215">
        <v>0.59</v>
      </c>
      <c r="W215">
        <v>0.62</v>
      </c>
      <c r="X215">
        <v>15.516400000000001</v>
      </c>
      <c r="Y215">
        <v>2.1739000000000002</v>
      </c>
      <c r="Z215">
        <v>10.8696</v>
      </c>
      <c r="AA215">
        <v>8.6957000000000004</v>
      </c>
      <c r="AB215">
        <v>21.739100000000001</v>
      </c>
      <c r="AC215">
        <v>2.1739000000000002</v>
      </c>
      <c r="AD215">
        <v>76.087000000000003</v>
      </c>
      <c r="AE215">
        <v>0</v>
      </c>
      <c r="AF215">
        <v>78.260900000000007</v>
      </c>
      <c r="AG215">
        <v>76.087000000000003</v>
      </c>
      <c r="AH215">
        <v>0.2767</v>
      </c>
      <c r="AI215">
        <v>0.46310000000000001</v>
      </c>
      <c r="AJ215">
        <v>0.33879999999999999</v>
      </c>
      <c r="AK215">
        <v>0.36130000000000001</v>
      </c>
      <c r="AL215">
        <v>0.24160000000000001</v>
      </c>
      <c r="AM215">
        <v>0.6</v>
      </c>
      <c r="AN215">
        <v>1.04</v>
      </c>
      <c r="AO215">
        <v>0.91</v>
      </c>
      <c r="AP215">
        <v>1.04</v>
      </c>
      <c r="AQ215">
        <v>16.666699999999999</v>
      </c>
      <c r="AR215">
        <v>0.77270000000000005</v>
      </c>
      <c r="AS215">
        <v>0</v>
      </c>
      <c r="AT215">
        <v>0</v>
      </c>
      <c r="AU215">
        <v>12.5</v>
      </c>
      <c r="AV215">
        <v>4.1666999999999996</v>
      </c>
      <c r="AW215">
        <v>70.833299999999994</v>
      </c>
      <c r="AX215">
        <v>1.1000000000000001</v>
      </c>
      <c r="AY215">
        <v>8.3332999999999995</v>
      </c>
      <c r="AZ215">
        <v>0</v>
      </c>
      <c r="BA215">
        <v>0.625</v>
      </c>
      <c r="BB215">
        <v>0.28570000000000001</v>
      </c>
      <c r="BC215">
        <v>0.31819999999999998</v>
      </c>
      <c r="BD215">
        <v>0.43480000000000002</v>
      </c>
      <c r="BE215">
        <v>0</v>
      </c>
      <c r="BF215">
        <v>0</v>
      </c>
      <c r="BG215">
        <v>0</v>
      </c>
      <c r="BH215">
        <v>0</v>
      </c>
      <c r="BI215">
        <v>0</v>
      </c>
      <c r="BJ215">
        <v>0</v>
      </c>
      <c r="BK215">
        <v>0</v>
      </c>
      <c r="BL215">
        <v>0</v>
      </c>
      <c r="BM215">
        <v>1.5</v>
      </c>
      <c r="BN215">
        <v>0.5</v>
      </c>
      <c r="BO215">
        <v>0</v>
      </c>
      <c r="BP215">
        <v>0.66669999999999996</v>
      </c>
      <c r="BQ215">
        <v>0</v>
      </c>
      <c r="BR215">
        <v>45.833300000000001</v>
      </c>
      <c r="BS215">
        <v>50</v>
      </c>
      <c r="BT215">
        <v>50.869599999999998</v>
      </c>
      <c r="BU215">
        <v>1.1667000000000001</v>
      </c>
      <c r="BV215">
        <v>38.438400000000001</v>
      </c>
      <c r="BW215">
        <v>14.658200000000001</v>
      </c>
      <c r="BX215">
        <v>61.561599999999999</v>
      </c>
      <c r="BY215">
        <v>0</v>
      </c>
      <c r="BZ215">
        <v>0</v>
      </c>
      <c r="CA215">
        <v>0</v>
      </c>
      <c r="CB215">
        <v>0</v>
      </c>
      <c r="CC215">
        <v>0</v>
      </c>
    </row>
    <row r="216" spans="2:81" x14ac:dyDescent="0.25">
      <c r="B216">
        <v>14.3</v>
      </c>
      <c r="C216">
        <v>10.210000000000001</v>
      </c>
      <c r="D216">
        <v>9.65</v>
      </c>
      <c r="E216">
        <v>1090</v>
      </c>
      <c r="F216">
        <v>929</v>
      </c>
      <c r="G216">
        <v>1284</v>
      </c>
      <c r="H216">
        <v>3303</v>
      </c>
      <c r="I216">
        <v>0.32700000000000001</v>
      </c>
      <c r="J216">
        <v>4.4625000000000004</v>
      </c>
      <c r="K216">
        <v>4.2374999999999998</v>
      </c>
      <c r="L216">
        <v>4.6624999999999996</v>
      </c>
      <c r="M216">
        <v>4.4542000000000002</v>
      </c>
      <c r="N216">
        <v>1.4632000000000001</v>
      </c>
      <c r="O216">
        <v>0.35</v>
      </c>
      <c r="P216">
        <v>0.18429999999999999</v>
      </c>
      <c r="Q216">
        <v>0.37569999999999998</v>
      </c>
      <c r="R216">
        <v>0.30549999999999999</v>
      </c>
      <c r="S216">
        <v>0.18770000000000001</v>
      </c>
      <c r="T216">
        <v>0.8</v>
      </c>
      <c r="U216">
        <v>0.34</v>
      </c>
      <c r="V216">
        <v>0.76</v>
      </c>
      <c r="W216">
        <v>0.8</v>
      </c>
      <c r="X216">
        <v>14.582100000000001</v>
      </c>
      <c r="Y216">
        <v>0</v>
      </c>
      <c r="Z216">
        <v>2.2726999999999999</v>
      </c>
      <c r="AA216">
        <v>4.5454999999999997</v>
      </c>
      <c r="AB216">
        <v>6.8182</v>
      </c>
      <c r="AC216">
        <v>2.2726999999999999</v>
      </c>
      <c r="AD216">
        <v>90.909099999999995</v>
      </c>
      <c r="AE216">
        <v>0</v>
      </c>
      <c r="AF216">
        <v>93.181799999999996</v>
      </c>
      <c r="AG216">
        <v>90.909099999999995</v>
      </c>
      <c r="AH216">
        <v>0.1807</v>
      </c>
      <c r="AI216">
        <v>0.3523</v>
      </c>
      <c r="AJ216">
        <v>0.18149999999999999</v>
      </c>
      <c r="AK216">
        <v>0.23449999999999999</v>
      </c>
      <c r="AL216">
        <v>0.21709999999999999</v>
      </c>
      <c r="AM216">
        <v>0.51</v>
      </c>
      <c r="AN216">
        <v>1.24</v>
      </c>
      <c r="AO216">
        <v>0.34</v>
      </c>
      <c r="AP216">
        <v>1.24</v>
      </c>
      <c r="AQ216">
        <v>29.166699999999999</v>
      </c>
      <c r="AR216">
        <v>0.52170000000000005</v>
      </c>
      <c r="AS216">
        <v>12.5</v>
      </c>
      <c r="AT216">
        <v>25</v>
      </c>
      <c r="AU216">
        <v>12.5</v>
      </c>
      <c r="AV216">
        <v>16.666699999999999</v>
      </c>
      <c r="AW216">
        <v>50</v>
      </c>
      <c r="AX216">
        <v>1.75</v>
      </c>
      <c r="AY216">
        <v>66.666700000000006</v>
      </c>
      <c r="AZ216">
        <v>0</v>
      </c>
      <c r="BA216">
        <v>0.375</v>
      </c>
      <c r="BB216">
        <v>0.25</v>
      </c>
      <c r="BC216">
        <v>0.20830000000000001</v>
      </c>
      <c r="BD216">
        <v>0.625</v>
      </c>
      <c r="BE216">
        <v>0</v>
      </c>
      <c r="BF216">
        <v>0</v>
      </c>
      <c r="BG216">
        <v>0.75</v>
      </c>
      <c r="BH216">
        <v>0.25</v>
      </c>
      <c r="BI216">
        <v>0.5</v>
      </c>
      <c r="BJ216">
        <v>0</v>
      </c>
      <c r="BK216">
        <v>0</v>
      </c>
      <c r="BL216">
        <v>0.16669999999999999</v>
      </c>
      <c r="BM216">
        <v>0.25</v>
      </c>
      <c r="BN216">
        <v>0</v>
      </c>
      <c r="BO216">
        <v>0.75</v>
      </c>
      <c r="BP216">
        <v>0.33329999999999999</v>
      </c>
      <c r="BQ216">
        <v>29.166699999999999</v>
      </c>
      <c r="BR216">
        <v>50</v>
      </c>
      <c r="BS216">
        <v>20.833300000000001</v>
      </c>
      <c r="BT216">
        <v>34.375</v>
      </c>
      <c r="BU216">
        <v>1.0832999999999999</v>
      </c>
      <c r="BV216">
        <v>11.208299999999999</v>
      </c>
      <c r="BW216">
        <v>7.2201000000000004</v>
      </c>
      <c r="BX216">
        <v>88.791700000000006</v>
      </c>
      <c r="BY216">
        <v>0</v>
      </c>
      <c r="BZ216">
        <v>0</v>
      </c>
      <c r="CA216">
        <v>0</v>
      </c>
      <c r="CB216">
        <v>0</v>
      </c>
      <c r="CC216">
        <v>0</v>
      </c>
    </row>
    <row r="217" spans="2:81" x14ac:dyDescent="0.25">
      <c r="B217">
        <v>15.7</v>
      </c>
      <c r="C217">
        <v>7.68</v>
      </c>
      <c r="D217">
        <v>11.04</v>
      </c>
      <c r="E217">
        <v>641</v>
      </c>
      <c r="F217">
        <v>360</v>
      </c>
      <c r="G217">
        <v>217</v>
      </c>
      <c r="H217">
        <v>1218</v>
      </c>
      <c r="I217">
        <v>0</v>
      </c>
      <c r="J217">
        <v>3.3875000000000002</v>
      </c>
      <c r="K217">
        <v>3.5874999999999999</v>
      </c>
      <c r="L217">
        <v>2.5375000000000001</v>
      </c>
      <c r="M217">
        <v>3.1707999999999998</v>
      </c>
      <c r="N217">
        <v>0.7893</v>
      </c>
      <c r="O217">
        <v>0.38379999999999997</v>
      </c>
      <c r="P217">
        <v>0.215</v>
      </c>
      <c r="Q217">
        <v>0.33</v>
      </c>
      <c r="R217">
        <v>0.29920000000000002</v>
      </c>
      <c r="S217">
        <v>0.13539999999999999</v>
      </c>
      <c r="T217">
        <v>0.64</v>
      </c>
      <c r="U217">
        <v>0.36</v>
      </c>
      <c r="V217">
        <v>0.44</v>
      </c>
      <c r="W217">
        <v>0.64</v>
      </c>
      <c r="X217">
        <v>10.598100000000001</v>
      </c>
      <c r="Y217">
        <v>8.1081000000000003</v>
      </c>
      <c r="Z217">
        <v>62.162199999999999</v>
      </c>
      <c r="AA217">
        <v>13.513500000000001</v>
      </c>
      <c r="AB217">
        <v>83.783799999999999</v>
      </c>
      <c r="AC217">
        <v>10.8108</v>
      </c>
      <c r="AD217">
        <v>5.4054000000000002</v>
      </c>
      <c r="AE217">
        <v>0</v>
      </c>
      <c r="AF217">
        <v>16.216200000000001</v>
      </c>
      <c r="AG217">
        <v>62.162199999999999</v>
      </c>
      <c r="AH217">
        <v>3.1425000000000001</v>
      </c>
      <c r="AI217">
        <v>0.28470000000000001</v>
      </c>
      <c r="AJ217">
        <v>0.34499999999999997</v>
      </c>
      <c r="AK217">
        <v>1.2235</v>
      </c>
      <c r="AL217">
        <v>5.8780000000000001</v>
      </c>
      <c r="AM217">
        <v>36</v>
      </c>
      <c r="AN217">
        <v>0.55000000000000004</v>
      </c>
      <c r="AO217">
        <v>0.79</v>
      </c>
      <c r="AP217">
        <v>36</v>
      </c>
      <c r="AQ217">
        <v>4.1666999999999996</v>
      </c>
      <c r="AR217">
        <v>0.79169999999999996</v>
      </c>
      <c r="AS217">
        <v>50</v>
      </c>
      <c r="AT217">
        <v>0</v>
      </c>
      <c r="AU217">
        <v>0</v>
      </c>
      <c r="AV217">
        <v>16.666699999999999</v>
      </c>
      <c r="AW217">
        <v>79.166700000000006</v>
      </c>
      <c r="AX217">
        <v>0.33329999999999999</v>
      </c>
      <c r="AY217">
        <v>8.3332999999999995</v>
      </c>
      <c r="AZ217">
        <v>0.625</v>
      </c>
      <c r="BA217">
        <v>0</v>
      </c>
      <c r="BB217">
        <v>0</v>
      </c>
      <c r="BC217">
        <v>0.20830000000000001</v>
      </c>
      <c r="BD217">
        <v>0.70830000000000004</v>
      </c>
      <c r="BE217">
        <v>0.25</v>
      </c>
      <c r="BF217">
        <v>0.25</v>
      </c>
      <c r="BG217">
        <v>0</v>
      </c>
      <c r="BH217">
        <v>0.16669999999999999</v>
      </c>
      <c r="BI217">
        <v>0</v>
      </c>
      <c r="BJ217">
        <v>0</v>
      </c>
      <c r="BK217">
        <v>0</v>
      </c>
      <c r="BL217">
        <v>0</v>
      </c>
      <c r="BM217">
        <v>4</v>
      </c>
      <c r="BN217">
        <v>0.25</v>
      </c>
      <c r="BO217">
        <v>0.25</v>
      </c>
      <c r="BP217">
        <v>1.5</v>
      </c>
      <c r="BQ217">
        <v>33.333300000000001</v>
      </c>
      <c r="BR217">
        <v>50</v>
      </c>
      <c r="BS217">
        <v>16.666699999999999</v>
      </c>
      <c r="BT217">
        <v>27.916699999999999</v>
      </c>
      <c r="BU217">
        <v>1.25</v>
      </c>
      <c r="BV217">
        <v>52.648600000000002</v>
      </c>
      <c r="BW217">
        <v>16.696100000000001</v>
      </c>
      <c r="BX217">
        <v>47.351399999999998</v>
      </c>
      <c r="BY217">
        <v>0</v>
      </c>
      <c r="BZ217">
        <v>0</v>
      </c>
      <c r="CA217">
        <v>0</v>
      </c>
      <c r="CB217">
        <v>0</v>
      </c>
      <c r="CC217">
        <v>0</v>
      </c>
    </row>
    <row r="218" spans="2:81" x14ac:dyDescent="0.25">
      <c r="B218">
        <v>11.2</v>
      </c>
      <c r="C218">
        <v>7.7</v>
      </c>
      <c r="D218">
        <v>7.4</v>
      </c>
      <c r="E218">
        <v>406</v>
      </c>
      <c r="F218">
        <v>653</v>
      </c>
      <c r="G218">
        <v>530</v>
      </c>
      <c r="H218">
        <v>1589</v>
      </c>
      <c r="I218">
        <v>0.4909</v>
      </c>
      <c r="J218">
        <v>3.2749999999999999</v>
      </c>
      <c r="K218">
        <v>2.3374999999999999</v>
      </c>
      <c r="L218">
        <v>3.1625000000000001</v>
      </c>
      <c r="M218">
        <v>2.9249999999999998</v>
      </c>
      <c r="N218">
        <v>1.6141000000000001</v>
      </c>
      <c r="O218">
        <v>0.2833</v>
      </c>
      <c r="P218">
        <v>0.17</v>
      </c>
      <c r="Q218">
        <v>0.40379999999999999</v>
      </c>
      <c r="R218">
        <v>0.2858</v>
      </c>
      <c r="S218">
        <v>0.19850000000000001</v>
      </c>
      <c r="T218">
        <v>0.57999999999999996</v>
      </c>
      <c r="U218">
        <v>0.38</v>
      </c>
      <c r="V218">
        <v>0.78</v>
      </c>
      <c r="W218">
        <v>0.78</v>
      </c>
      <c r="X218">
        <v>10.2348</v>
      </c>
      <c r="Y218">
        <v>0</v>
      </c>
      <c r="Z218">
        <v>45.945900000000002</v>
      </c>
      <c r="AA218">
        <v>0</v>
      </c>
      <c r="AB218">
        <v>45.945900000000002</v>
      </c>
      <c r="AC218">
        <v>0</v>
      </c>
      <c r="AD218">
        <v>54.054099999999998</v>
      </c>
      <c r="AE218">
        <v>0</v>
      </c>
      <c r="AF218">
        <v>54.054099999999998</v>
      </c>
      <c r="AG218">
        <v>54.054099999999998</v>
      </c>
      <c r="AH218">
        <v>3.0800000000000001E-2</v>
      </c>
      <c r="AI218">
        <v>0.1062</v>
      </c>
      <c r="AJ218">
        <v>6.7500000000000004E-2</v>
      </c>
      <c r="AK218">
        <v>6.7400000000000002E-2</v>
      </c>
      <c r="AL218">
        <v>0.10979999999999999</v>
      </c>
      <c r="AM218">
        <v>0.15</v>
      </c>
      <c r="AN218">
        <v>0.33</v>
      </c>
      <c r="AO218">
        <v>0.46</v>
      </c>
      <c r="AP218">
        <v>0.46</v>
      </c>
      <c r="AQ218">
        <v>16.666699999999999</v>
      </c>
      <c r="AR218">
        <v>0.20830000000000001</v>
      </c>
      <c r="AS218">
        <v>87.5</v>
      </c>
      <c r="AT218">
        <v>37.5</v>
      </c>
      <c r="AU218">
        <v>62.5</v>
      </c>
      <c r="AV218">
        <v>62.5</v>
      </c>
      <c r="AW218">
        <v>41.666699999999999</v>
      </c>
      <c r="AX218">
        <v>1.3332999999999999</v>
      </c>
      <c r="AY218">
        <v>41.666699999999999</v>
      </c>
      <c r="AZ218">
        <v>0.25</v>
      </c>
      <c r="BA218">
        <v>0.5</v>
      </c>
      <c r="BB218">
        <v>1</v>
      </c>
      <c r="BC218">
        <v>0.58330000000000004</v>
      </c>
      <c r="BD218">
        <v>0.79169999999999996</v>
      </c>
      <c r="BE218">
        <v>0</v>
      </c>
      <c r="BF218">
        <v>0</v>
      </c>
      <c r="BG218">
        <v>0</v>
      </c>
      <c r="BH218">
        <v>0</v>
      </c>
      <c r="BI218">
        <v>3.5</v>
      </c>
      <c r="BJ218">
        <v>0.5</v>
      </c>
      <c r="BK218">
        <v>1.25</v>
      </c>
      <c r="BL218">
        <v>1.75</v>
      </c>
      <c r="BM218">
        <v>0.66669999999999996</v>
      </c>
      <c r="BN218">
        <v>0.5</v>
      </c>
      <c r="BO218">
        <v>2</v>
      </c>
      <c r="BP218">
        <v>1.0909</v>
      </c>
      <c r="BQ218">
        <v>16.666699999999999</v>
      </c>
      <c r="BR218">
        <v>70.833299999999994</v>
      </c>
      <c r="BS218">
        <v>12.5</v>
      </c>
      <c r="BT218">
        <v>32.083300000000001</v>
      </c>
      <c r="BU218">
        <v>0.41670000000000001</v>
      </c>
      <c r="BV218">
        <v>9.0090000000000003</v>
      </c>
      <c r="BW218">
        <v>5.1302000000000003</v>
      </c>
      <c r="BX218">
        <v>90.991</v>
      </c>
      <c r="BY218">
        <v>0</v>
      </c>
      <c r="BZ218">
        <v>0</v>
      </c>
      <c r="CA218">
        <v>0</v>
      </c>
      <c r="CB218">
        <v>0</v>
      </c>
      <c r="CC218">
        <v>0</v>
      </c>
    </row>
    <row r="219" spans="2:81" x14ac:dyDescent="0.25">
      <c r="B219">
        <v>14.5</v>
      </c>
      <c r="C219">
        <v>7.78</v>
      </c>
      <c r="D219">
        <v>10.3</v>
      </c>
      <c r="E219">
        <v>697</v>
      </c>
      <c r="F219">
        <v>627</v>
      </c>
      <c r="G219">
        <v>267</v>
      </c>
      <c r="H219">
        <v>1591</v>
      </c>
      <c r="I219">
        <v>0</v>
      </c>
      <c r="J219">
        <v>1.3625</v>
      </c>
      <c r="K219">
        <v>1.425</v>
      </c>
      <c r="L219">
        <v>1.4375</v>
      </c>
      <c r="M219">
        <v>1.4083000000000001</v>
      </c>
      <c r="N219">
        <v>0.43030000000000002</v>
      </c>
      <c r="O219">
        <v>0.246</v>
      </c>
      <c r="P219">
        <v>0.23799999999999999</v>
      </c>
      <c r="Q219">
        <v>0.17199999999999999</v>
      </c>
      <c r="R219">
        <v>0.21870000000000001</v>
      </c>
      <c r="S219">
        <v>0.11409999999999999</v>
      </c>
      <c r="T219">
        <v>0.56000000000000005</v>
      </c>
      <c r="U219">
        <v>0.38</v>
      </c>
      <c r="V219">
        <v>0.24</v>
      </c>
      <c r="W219">
        <v>0.56000000000000005</v>
      </c>
      <c r="X219">
        <v>6.4405000000000001</v>
      </c>
      <c r="Y219">
        <v>0</v>
      </c>
      <c r="Z219">
        <v>76.666700000000006</v>
      </c>
      <c r="AA219">
        <v>0</v>
      </c>
      <c r="AB219">
        <v>76.666700000000006</v>
      </c>
      <c r="AC219">
        <v>3.3332999999999999</v>
      </c>
      <c r="AD219">
        <v>20</v>
      </c>
      <c r="AE219">
        <v>0</v>
      </c>
      <c r="AF219">
        <v>23.333300000000001</v>
      </c>
      <c r="AG219">
        <v>76.666700000000006</v>
      </c>
      <c r="AH219">
        <v>0.26900000000000002</v>
      </c>
      <c r="AI219">
        <v>0.15440000000000001</v>
      </c>
      <c r="AJ219">
        <v>0.19</v>
      </c>
      <c r="AK219">
        <v>0.1983</v>
      </c>
      <c r="AL219">
        <v>0.1671</v>
      </c>
      <c r="AM219">
        <v>0.9</v>
      </c>
      <c r="AN219">
        <v>0.24</v>
      </c>
      <c r="AO219">
        <v>0.42</v>
      </c>
      <c r="AP219">
        <v>0.9</v>
      </c>
      <c r="AQ219">
        <v>20.833300000000001</v>
      </c>
      <c r="AR219">
        <v>0.41670000000000001</v>
      </c>
      <c r="AS219">
        <v>37.5</v>
      </c>
      <c r="AT219">
        <v>62.5</v>
      </c>
      <c r="AU219">
        <v>12.5</v>
      </c>
      <c r="AV219">
        <v>37.5</v>
      </c>
      <c r="AW219">
        <v>41.666699999999999</v>
      </c>
      <c r="AX219">
        <v>0.58330000000000004</v>
      </c>
      <c r="AY219">
        <v>25</v>
      </c>
      <c r="AZ219">
        <v>0.375</v>
      </c>
      <c r="BA219">
        <v>0</v>
      </c>
      <c r="BB219">
        <v>0.25</v>
      </c>
      <c r="BC219">
        <v>0.20830000000000001</v>
      </c>
      <c r="BD219">
        <v>0.45829999999999999</v>
      </c>
      <c r="BE219">
        <v>1.25</v>
      </c>
      <c r="BF219">
        <v>1.25</v>
      </c>
      <c r="BG219">
        <v>0.75</v>
      </c>
      <c r="BH219">
        <v>1.0832999999999999</v>
      </c>
      <c r="BI219">
        <v>0</v>
      </c>
      <c r="BJ219">
        <v>0</v>
      </c>
      <c r="BK219">
        <v>0</v>
      </c>
      <c r="BL219">
        <v>0</v>
      </c>
      <c r="BM219">
        <v>1.25</v>
      </c>
      <c r="BN219">
        <v>0.5</v>
      </c>
      <c r="BO219">
        <v>0</v>
      </c>
      <c r="BP219">
        <v>0.58330000000000004</v>
      </c>
      <c r="BQ219">
        <v>0</v>
      </c>
      <c r="BR219">
        <v>66.666700000000006</v>
      </c>
      <c r="BS219">
        <v>33.333300000000001</v>
      </c>
      <c r="BT219">
        <v>42.708300000000001</v>
      </c>
      <c r="BU219">
        <v>0.58330000000000004</v>
      </c>
      <c r="BV219">
        <v>94.144099999999995</v>
      </c>
      <c r="BW219">
        <v>5.4116</v>
      </c>
      <c r="BX219">
        <v>5.8559000000000001</v>
      </c>
      <c r="BY219">
        <v>0</v>
      </c>
      <c r="BZ219">
        <v>0</v>
      </c>
      <c r="CA219">
        <v>0</v>
      </c>
      <c r="CB219">
        <v>0</v>
      </c>
      <c r="CC219">
        <v>0</v>
      </c>
    </row>
    <row r="220" spans="2:81" x14ac:dyDescent="0.25">
      <c r="B220">
        <v>13.1</v>
      </c>
      <c r="C220">
        <v>8.1199999999999992</v>
      </c>
      <c r="D220">
        <v>11.52</v>
      </c>
      <c r="E220">
        <v>2178</v>
      </c>
      <c r="F220">
        <v>2164</v>
      </c>
      <c r="G220">
        <v>1094</v>
      </c>
      <c r="H220">
        <v>5436</v>
      </c>
      <c r="I220">
        <v>2.0087999999999999</v>
      </c>
      <c r="J220">
        <v>4.6124999999999998</v>
      </c>
      <c r="K220">
        <v>4.3188000000000004</v>
      </c>
      <c r="L220">
        <v>7.3688000000000002</v>
      </c>
      <c r="M220">
        <v>5.4333</v>
      </c>
      <c r="N220">
        <v>1.9114</v>
      </c>
      <c r="O220">
        <v>0.29530000000000001</v>
      </c>
      <c r="P220">
        <v>0.2331</v>
      </c>
      <c r="Q220">
        <v>0.65190000000000003</v>
      </c>
      <c r="R220">
        <v>0.39550000000000002</v>
      </c>
      <c r="S220">
        <v>0.25919999999999999</v>
      </c>
      <c r="T220">
        <v>0.68</v>
      </c>
      <c r="U220">
        <v>0.66</v>
      </c>
      <c r="V220">
        <v>0.98</v>
      </c>
      <c r="W220">
        <v>0.98</v>
      </c>
      <c r="X220">
        <v>13.736800000000001</v>
      </c>
      <c r="Y220">
        <v>2.1739000000000002</v>
      </c>
      <c r="Z220">
        <v>30.434799999999999</v>
      </c>
      <c r="AA220">
        <v>0</v>
      </c>
      <c r="AB220">
        <v>32.608699999999999</v>
      </c>
      <c r="AC220">
        <v>0</v>
      </c>
      <c r="AD220">
        <v>65.217399999999998</v>
      </c>
      <c r="AE220">
        <v>2.1739000000000002</v>
      </c>
      <c r="AF220">
        <v>67.391300000000001</v>
      </c>
      <c r="AG220">
        <v>65.217399999999998</v>
      </c>
      <c r="AH220">
        <v>0.3513</v>
      </c>
      <c r="AI220">
        <v>0.31130000000000002</v>
      </c>
      <c r="AJ220">
        <v>2.2499999999999999E-2</v>
      </c>
      <c r="AK220">
        <v>0.22570000000000001</v>
      </c>
      <c r="AL220">
        <v>0.2782</v>
      </c>
      <c r="AM220">
        <v>1.02</v>
      </c>
      <c r="AN220">
        <v>0.85</v>
      </c>
      <c r="AO220">
        <v>7.0000000000000007E-2</v>
      </c>
      <c r="AP220">
        <v>1.02</v>
      </c>
      <c r="AQ220">
        <v>33.333300000000001</v>
      </c>
      <c r="AR220">
        <v>0.13039999999999999</v>
      </c>
      <c r="AS220">
        <v>37.5</v>
      </c>
      <c r="AT220">
        <v>12.5</v>
      </c>
      <c r="AU220">
        <v>100</v>
      </c>
      <c r="AV220">
        <v>50</v>
      </c>
      <c r="AW220">
        <v>41.666699999999999</v>
      </c>
      <c r="AX220">
        <v>0.41670000000000001</v>
      </c>
      <c r="AY220">
        <v>8.3332999999999995</v>
      </c>
      <c r="AZ220">
        <v>0.5</v>
      </c>
      <c r="BA220">
        <v>0.25</v>
      </c>
      <c r="BB220">
        <v>0</v>
      </c>
      <c r="BC220">
        <v>0.25</v>
      </c>
      <c r="BD220">
        <v>1.0832999999999999</v>
      </c>
      <c r="BE220">
        <v>0.75</v>
      </c>
      <c r="BF220">
        <v>0</v>
      </c>
      <c r="BG220">
        <v>1.25</v>
      </c>
      <c r="BH220">
        <v>0.66669999999999996</v>
      </c>
      <c r="BI220">
        <v>0.5</v>
      </c>
      <c r="BJ220">
        <v>0</v>
      </c>
      <c r="BK220">
        <v>0.5</v>
      </c>
      <c r="BL220">
        <v>0.33329999999999999</v>
      </c>
      <c r="BM220">
        <v>2</v>
      </c>
      <c r="BN220">
        <v>0</v>
      </c>
      <c r="BO220">
        <v>3.25</v>
      </c>
      <c r="BP220">
        <v>1.75</v>
      </c>
      <c r="BQ220">
        <v>16.666699999999999</v>
      </c>
      <c r="BR220">
        <v>66.666700000000006</v>
      </c>
      <c r="BS220">
        <v>16.666699999999999</v>
      </c>
      <c r="BT220">
        <v>37.708300000000001</v>
      </c>
      <c r="BU220">
        <v>0.45829999999999999</v>
      </c>
      <c r="BV220">
        <v>53.753799999999998</v>
      </c>
      <c r="BW220">
        <v>11.9971</v>
      </c>
      <c r="BX220">
        <v>46.246200000000002</v>
      </c>
      <c r="BY220">
        <v>0</v>
      </c>
      <c r="BZ220">
        <v>0</v>
      </c>
      <c r="CA220">
        <v>0</v>
      </c>
      <c r="CB220">
        <v>0</v>
      </c>
      <c r="CC220">
        <v>0</v>
      </c>
    </row>
    <row r="221" spans="2:81" x14ac:dyDescent="0.25">
      <c r="B221">
        <v>15.4</v>
      </c>
      <c r="C221">
        <v>8.44</v>
      </c>
      <c r="D221">
        <v>14.32</v>
      </c>
      <c r="E221">
        <v>1593</v>
      </c>
      <c r="F221">
        <v>1509</v>
      </c>
      <c r="G221">
        <v>1473</v>
      </c>
      <c r="H221">
        <v>4575</v>
      </c>
      <c r="I221">
        <v>0.93110000000000004</v>
      </c>
      <c r="J221">
        <v>4.1500000000000004</v>
      </c>
      <c r="K221">
        <v>3.375</v>
      </c>
      <c r="L221">
        <v>4.2374999999999998</v>
      </c>
      <c r="M221">
        <v>3.9207999999999998</v>
      </c>
      <c r="N221">
        <v>1.7988</v>
      </c>
      <c r="O221">
        <v>0.34770000000000001</v>
      </c>
      <c r="P221">
        <v>0.23</v>
      </c>
      <c r="Q221">
        <v>0.35170000000000001</v>
      </c>
      <c r="R221">
        <v>0.31080000000000002</v>
      </c>
      <c r="S221">
        <v>0.22270000000000001</v>
      </c>
      <c r="T221">
        <v>0.74</v>
      </c>
      <c r="U221">
        <v>0.57999999999999996</v>
      </c>
      <c r="V221">
        <v>1</v>
      </c>
      <c r="W221">
        <v>1</v>
      </c>
      <c r="X221">
        <v>12.6149</v>
      </c>
      <c r="Y221">
        <v>0</v>
      </c>
      <c r="Z221">
        <v>2.7027000000000001</v>
      </c>
      <c r="AA221">
        <v>0</v>
      </c>
      <c r="AB221">
        <v>2.7027000000000001</v>
      </c>
      <c r="AC221">
        <v>0</v>
      </c>
      <c r="AD221">
        <v>94.5946</v>
      </c>
      <c r="AE221">
        <v>2.7027000000000001</v>
      </c>
      <c r="AF221">
        <v>97.297300000000007</v>
      </c>
      <c r="AG221">
        <v>94.5946</v>
      </c>
      <c r="AH221">
        <v>0.15579999999999999</v>
      </c>
      <c r="AI221">
        <v>0.31180000000000002</v>
      </c>
      <c r="AJ221">
        <v>0.2492</v>
      </c>
      <c r="AK221">
        <v>0.23139999999999999</v>
      </c>
      <c r="AL221">
        <v>0.26200000000000001</v>
      </c>
      <c r="AM221">
        <v>0.97</v>
      </c>
      <c r="AN221">
        <v>0.74</v>
      </c>
      <c r="AO221">
        <v>0.8</v>
      </c>
      <c r="AP221">
        <v>0.97</v>
      </c>
      <c r="AQ221">
        <v>41.666699999999999</v>
      </c>
      <c r="AR221">
        <v>0.20830000000000001</v>
      </c>
      <c r="AS221">
        <v>50</v>
      </c>
      <c r="AT221">
        <v>12.5</v>
      </c>
      <c r="AU221">
        <v>50</v>
      </c>
      <c r="AV221">
        <v>37.5</v>
      </c>
      <c r="AW221">
        <v>41.666699999999999</v>
      </c>
      <c r="AX221">
        <v>0.75</v>
      </c>
      <c r="AY221">
        <v>8.3332999999999995</v>
      </c>
      <c r="AZ221">
        <v>0</v>
      </c>
      <c r="BA221">
        <v>0</v>
      </c>
      <c r="BB221">
        <v>0</v>
      </c>
      <c r="BC221">
        <v>0</v>
      </c>
      <c r="BD221">
        <v>0.20830000000000001</v>
      </c>
      <c r="BE221">
        <v>0</v>
      </c>
      <c r="BF221">
        <v>1.25</v>
      </c>
      <c r="BG221">
        <v>1.75</v>
      </c>
      <c r="BH221">
        <v>1</v>
      </c>
      <c r="BI221">
        <v>0.25</v>
      </c>
      <c r="BJ221">
        <v>0.25</v>
      </c>
      <c r="BK221">
        <v>0.75</v>
      </c>
      <c r="BL221">
        <v>0.41670000000000001</v>
      </c>
      <c r="BM221">
        <v>2.25</v>
      </c>
      <c r="BN221">
        <v>0.75</v>
      </c>
      <c r="BO221">
        <v>1.5</v>
      </c>
      <c r="BP221">
        <v>1.5</v>
      </c>
      <c r="BQ221">
        <v>16.666699999999999</v>
      </c>
      <c r="BR221">
        <v>62.5</v>
      </c>
      <c r="BS221">
        <v>20.833300000000001</v>
      </c>
      <c r="BT221">
        <v>38.75</v>
      </c>
      <c r="BU221">
        <v>0.25</v>
      </c>
      <c r="BV221">
        <v>89.348200000000006</v>
      </c>
      <c r="BW221">
        <v>10.742000000000001</v>
      </c>
      <c r="BX221">
        <v>10.6518</v>
      </c>
      <c r="BY221">
        <v>0</v>
      </c>
      <c r="BZ221">
        <v>0</v>
      </c>
      <c r="CA221">
        <v>0</v>
      </c>
      <c r="CB221">
        <v>0</v>
      </c>
      <c r="CC221">
        <v>0</v>
      </c>
    </row>
    <row r="222" spans="2:81" x14ac:dyDescent="0.25">
      <c r="B222">
        <v>10.5</v>
      </c>
      <c r="C222">
        <v>8.3800000000000008</v>
      </c>
      <c r="D222">
        <v>13.25</v>
      </c>
      <c r="E222">
        <v>443</v>
      </c>
      <c r="F222">
        <v>358</v>
      </c>
      <c r="G222">
        <v>437</v>
      </c>
      <c r="H222">
        <v>1238</v>
      </c>
      <c r="I222">
        <v>0.33929999999999999</v>
      </c>
      <c r="J222">
        <v>4.4000000000000004</v>
      </c>
      <c r="K222">
        <v>3.1124999999999998</v>
      </c>
      <c r="L222">
        <v>2.4874999999999998</v>
      </c>
      <c r="M222">
        <v>3.3332999999999999</v>
      </c>
      <c r="N222">
        <v>1.4686999999999999</v>
      </c>
      <c r="O222">
        <v>0.23250000000000001</v>
      </c>
      <c r="P222">
        <v>0.1933</v>
      </c>
      <c r="Q222">
        <v>0.15329999999999999</v>
      </c>
      <c r="R222">
        <v>0.19700000000000001</v>
      </c>
      <c r="S222">
        <v>0.11990000000000001</v>
      </c>
      <c r="T222">
        <v>0.54</v>
      </c>
      <c r="U222">
        <v>0.52</v>
      </c>
      <c r="V222">
        <v>0.3</v>
      </c>
      <c r="W222">
        <v>0.54</v>
      </c>
      <c r="X222">
        <v>16.920500000000001</v>
      </c>
      <c r="Y222">
        <v>2.5</v>
      </c>
      <c r="Z222">
        <v>5</v>
      </c>
      <c r="AA222">
        <v>7.5</v>
      </c>
      <c r="AB222">
        <v>15</v>
      </c>
      <c r="AC222">
        <v>2.5</v>
      </c>
      <c r="AD222">
        <v>82.5</v>
      </c>
      <c r="AE222">
        <v>0</v>
      </c>
      <c r="AF222">
        <v>85</v>
      </c>
      <c r="AG222">
        <v>82.5</v>
      </c>
      <c r="AH222">
        <v>0.19670000000000001</v>
      </c>
      <c r="AI222">
        <v>0.27360000000000001</v>
      </c>
      <c r="AJ222">
        <v>0.30359999999999998</v>
      </c>
      <c r="AK222">
        <v>0.26650000000000001</v>
      </c>
      <c r="AL222">
        <v>0.19520000000000001</v>
      </c>
      <c r="AM222">
        <v>0.42</v>
      </c>
      <c r="AN222">
        <v>0.56000000000000005</v>
      </c>
      <c r="AO222">
        <v>0.8</v>
      </c>
      <c r="AP222">
        <v>0.8</v>
      </c>
      <c r="AQ222">
        <v>62.5</v>
      </c>
      <c r="AR222">
        <v>0.25</v>
      </c>
      <c r="AS222">
        <v>25</v>
      </c>
      <c r="AT222">
        <v>12.5</v>
      </c>
      <c r="AU222">
        <v>0</v>
      </c>
      <c r="AV222">
        <v>12.5</v>
      </c>
      <c r="AW222">
        <v>62.5</v>
      </c>
      <c r="AX222">
        <v>0.83330000000000004</v>
      </c>
      <c r="AY222">
        <v>16.666699999999999</v>
      </c>
      <c r="AZ222">
        <v>1.25</v>
      </c>
      <c r="BA222">
        <v>0</v>
      </c>
      <c r="BB222">
        <v>0.75</v>
      </c>
      <c r="BC222">
        <v>0.66669999999999996</v>
      </c>
      <c r="BD222">
        <v>1.0832999999999999</v>
      </c>
      <c r="BE222">
        <v>0</v>
      </c>
      <c r="BF222">
        <v>0.25</v>
      </c>
      <c r="BG222">
        <v>0</v>
      </c>
      <c r="BH222">
        <v>8.3299999999999999E-2</v>
      </c>
      <c r="BI222">
        <v>0.25</v>
      </c>
      <c r="BJ222">
        <v>1</v>
      </c>
      <c r="BK222">
        <v>1</v>
      </c>
      <c r="BL222">
        <v>0.75</v>
      </c>
      <c r="BM222">
        <v>0.75</v>
      </c>
      <c r="BN222">
        <v>0.25</v>
      </c>
      <c r="BO222">
        <v>1</v>
      </c>
      <c r="BP222">
        <v>0.66669999999999996</v>
      </c>
      <c r="BQ222">
        <v>29.166699999999999</v>
      </c>
      <c r="BR222">
        <v>50</v>
      </c>
      <c r="BS222">
        <v>20.833300000000001</v>
      </c>
      <c r="BT222">
        <v>30</v>
      </c>
      <c r="BU222">
        <v>0.58330000000000004</v>
      </c>
      <c r="BV222">
        <v>2.7778</v>
      </c>
      <c r="BW222">
        <v>2.1711</v>
      </c>
      <c r="BX222">
        <v>97.222200000000001</v>
      </c>
      <c r="BY222">
        <v>0</v>
      </c>
      <c r="BZ222">
        <v>0</v>
      </c>
      <c r="CA222">
        <v>0</v>
      </c>
      <c r="CB222">
        <v>0</v>
      </c>
      <c r="CC222">
        <v>0</v>
      </c>
    </row>
    <row r="223" spans="2:81" x14ac:dyDescent="0.25">
      <c r="B223">
        <v>14.8</v>
      </c>
      <c r="C223">
        <v>8.1999999999999993</v>
      </c>
      <c r="D223">
        <v>10.8</v>
      </c>
      <c r="E223">
        <v>1260</v>
      </c>
      <c r="F223">
        <v>1262</v>
      </c>
      <c r="G223">
        <v>804</v>
      </c>
      <c r="H223">
        <v>3326</v>
      </c>
      <c r="I223">
        <v>2.8683000000000001</v>
      </c>
      <c r="J223">
        <v>7.65</v>
      </c>
      <c r="K223">
        <v>5.7</v>
      </c>
      <c r="L223">
        <v>3.8875000000000002</v>
      </c>
      <c r="M223">
        <v>5.7458</v>
      </c>
      <c r="N223">
        <v>2.3361000000000001</v>
      </c>
      <c r="O223">
        <v>0.36130000000000001</v>
      </c>
      <c r="P223">
        <v>0.35060000000000002</v>
      </c>
      <c r="Q223">
        <v>0.58440000000000003</v>
      </c>
      <c r="R223">
        <v>0.43209999999999998</v>
      </c>
      <c r="S223">
        <v>0.184</v>
      </c>
      <c r="T223">
        <v>0.6</v>
      </c>
      <c r="U223">
        <v>0.65</v>
      </c>
      <c r="V223">
        <v>0.8</v>
      </c>
      <c r="W223">
        <v>0.8</v>
      </c>
      <c r="X223">
        <v>13.298</v>
      </c>
      <c r="Y223">
        <v>0</v>
      </c>
      <c r="Z223">
        <v>45.833300000000001</v>
      </c>
      <c r="AA223">
        <v>0</v>
      </c>
      <c r="AB223">
        <v>45.833300000000001</v>
      </c>
      <c r="AC223">
        <v>0</v>
      </c>
      <c r="AD223">
        <v>50</v>
      </c>
      <c r="AE223">
        <v>4.1666999999999996</v>
      </c>
      <c r="AF223">
        <v>54.166699999999999</v>
      </c>
      <c r="AG223">
        <v>50</v>
      </c>
      <c r="AH223">
        <v>0.2419</v>
      </c>
      <c r="AI223">
        <v>0.19500000000000001</v>
      </c>
      <c r="AJ223">
        <v>9.7500000000000003E-2</v>
      </c>
      <c r="AK223">
        <v>0.17810000000000001</v>
      </c>
      <c r="AL223">
        <v>0.2009</v>
      </c>
      <c r="AM223">
        <v>1.1000000000000001</v>
      </c>
      <c r="AN223">
        <v>0.38</v>
      </c>
      <c r="AO223">
        <v>0.17</v>
      </c>
      <c r="AP223">
        <v>1.1000000000000001</v>
      </c>
      <c r="AQ223">
        <v>8.3332999999999995</v>
      </c>
      <c r="AR223">
        <v>0.52170000000000005</v>
      </c>
      <c r="AS223">
        <v>12.5</v>
      </c>
      <c r="AT223">
        <v>12.5</v>
      </c>
      <c r="AU223">
        <v>87.5</v>
      </c>
      <c r="AV223">
        <v>37.5</v>
      </c>
      <c r="AW223">
        <v>50</v>
      </c>
      <c r="AX223">
        <v>0.66669999999999996</v>
      </c>
      <c r="AY223">
        <v>25</v>
      </c>
      <c r="AZ223">
        <v>0</v>
      </c>
      <c r="BA223">
        <v>0.25</v>
      </c>
      <c r="BB223">
        <v>0</v>
      </c>
      <c r="BC223">
        <v>8.3299999999999999E-2</v>
      </c>
      <c r="BD223">
        <v>0.29170000000000001</v>
      </c>
      <c r="BE223">
        <v>0.25</v>
      </c>
      <c r="BF223">
        <v>0.5</v>
      </c>
      <c r="BG223">
        <v>1</v>
      </c>
      <c r="BH223">
        <v>0.58330000000000004</v>
      </c>
      <c r="BI223">
        <v>1</v>
      </c>
      <c r="BJ223">
        <v>1.25</v>
      </c>
      <c r="BK223">
        <v>0</v>
      </c>
      <c r="BL223">
        <v>0.75</v>
      </c>
      <c r="BM223">
        <v>1.25</v>
      </c>
      <c r="BN223">
        <v>1</v>
      </c>
      <c r="BO223">
        <v>1.75</v>
      </c>
      <c r="BP223">
        <v>1.3332999999999999</v>
      </c>
      <c r="BQ223">
        <v>20.833300000000001</v>
      </c>
      <c r="BR223">
        <v>58.333300000000001</v>
      </c>
      <c r="BS223">
        <v>20.833300000000001</v>
      </c>
      <c r="BT223">
        <v>37.5</v>
      </c>
      <c r="BU223">
        <v>0.41670000000000001</v>
      </c>
      <c r="BV223">
        <v>64.864900000000006</v>
      </c>
      <c r="BW223">
        <v>15.831799999999999</v>
      </c>
      <c r="BX223">
        <v>35.135100000000001</v>
      </c>
      <c r="BY223">
        <v>0</v>
      </c>
      <c r="BZ223">
        <v>0</v>
      </c>
      <c r="CA223">
        <v>0</v>
      </c>
      <c r="CB223">
        <v>0</v>
      </c>
      <c r="CC223">
        <v>0</v>
      </c>
    </row>
    <row r="224" spans="2:81" x14ac:dyDescent="0.25">
      <c r="B224">
        <v>16</v>
      </c>
      <c r="C224">
        <v>8.5</v>
      </c>
      <c r="D224">
        <v>10.29</v>
      </c>
      <c r="E224">
        <v>615</v>
      </c>
      <c r="F224">
        <v>552</v>
      </c>
      <c r="G224">
        <v>402</v>
      </c>
      <c r="H224">
        <v>1569</v>
      </c>
      <c r="I224">
        <v>2.4091999999999998</v>
      </c>
      <c r="J224">
        <v>4.0875000000000004</v>
      </c>
      <c r="K224">
        <v>4.5374999999999996</v>
      </c>
      <c r="L224">
        <v>4.4124999999999996</v>
      </c>
      <c r="M224">
        <v>4.3457999999999997</v>
      </c>
      <c r="N224">
        <v>1.4673</v>
      </c>
      <c r="O224">
        <v>0.29859999999999998</v>
      </c>
      <c r="P224">
        <v>0.1225</v>
      </c>
      <c r="Q224">
        <v>0.33329999999999999</v>
      </c>
      <c r="R224">
        <v>0.24759999999999999</v>
      </c>
      <c r="S224">
        <v>0.20449999999999999</v>
      </c>
      <c r="T224">
        <v>0.88</v>
      </c>
      <c r="U224">
        <v>0.26</v>
      </c>
      <c r="V224">
        <v>0.82</v>
      </c>
      <c r="W224">
        <v>0.88</v>
      </c>
      <c r="X224">
        <v>17.555</v>
      </c>
      <c r="Y224">
        <v>0</v>
      </c>
      <c r="Z224">
        <v>8.8888999999999996</v>
      </c>
      <c r="AA224">
        <v>0</v>
      </c>
      <c r="AB224">
        <v>8.8888999999999996</v>
      </c>
      <c r="AC224">
        <v>2.2222</v>
      </c>
      <c r="AD224">
        <v>88.888900000000007</v>
      </c>
      <c r="AE224">
        <v>0</v>
      </c>
      <c r="AF224">
        <v>91.111099999999993</v>
      </c>
      <c r="AG224">
        <v>88.888900000000007</v>
      </c>
      <c r="AH224">
        <v>9.1499999999999998E-2</v>
      </c>
      <c r="AI224">
        <v>0.20130000000000001</v>
      </c>
      <c r="AJ224">
        <v>0.1171</v>
      </c>
      <c r="AK224">
        <v>0.1353</v>
      </c>
      <c r="AL224">
        <v>0.13350000000000001</v>
      </c>
      <c r="AM224">
        <v>0.47</v>
      </c>
      <c r="AN224">
        <v>0.43</v>
      </c>
      <c r="AO224">
        <v>0.42</v>
      </c>
      <c r="AP224">
        <v>0.47</v>
      </c>
      <c r="AQ224">
        <v>25</v>
      </c>
      <c r="AR224">
        <v>0.375</v>
      </c>
      <c r="AS224">
        <v>62.5</v>
      </c>
      <c r="AT224">
        <v>0</v>
      </c>
      <c r="AU224">
        <v>50</v>
      </c>
      <c r="AV224">
        <v>37.5</v>
      </c>
      <c r="AW224">
        <v>37.5</v>
      </c>
      <c r="AX224">
        <v>1.9167000000000001</v>
      </c>
      <c r="AY224">
        <v>58.333300000000001</v>
      </c>
      <c r="AZ224">
        <v>0</v>
      </c>
      <c r="BA224">
        <v>0.375</v>
      </c>
      <c r="BB224">
        <v>0</v>
      </c>
      <c r="BC224">
        <v>0.125</v>
      </c>
      <c r="BD224">
        <v>0.5</v>
      </c>
      <c r="BE224">
        <v>0</v>
      </c>
      <c r="BF224">
        <v>0</v>
      </c>
      <c r="BG224">
        <v>0</v>
      </c>
      <c r="BH224">
        <v>0</v>
      </c>
      <c r="BI224">
        <v>0.75</v>
      </c>
      <c r="BJ224">
        <v>1</v>
      </c>
      <c r="BK224">
        <v>0.25</v>
      </c>
      <c r="BL224">
        <v>0.66669999999999996</v>
      </c>
      <c r="BM224">
        <v>1.5</v>
      </c>
      <c r="BN224">
        <v>0.5</v>
      </c>
      <c r="BO224">
        <v>2.75</v>
      </c>
      <c r="BP224">
        <v>1.5832999999999999</v>
      </c>
      <c r="BQ224">
        <v>25</v>
      </c>
      <c r="BR224">
        <v>54.166699999999999</v>
      </c>
      <c r="BS224">
        <v>20.833300000000001</v>
      </c>
      <c r="BT224">
        <v>32.708300000000001</v>
      </c>
      <c r="BU224">
        <v>0.5</v>
      </c>
      <c r="BV224">
        <v>27.1815</v>
      </c>
      <c r="BW224">
        <v>13.370200000000001</v>
      </c>
      <c r="BX224">
        <v>72.8185</v>
      </c>
      <c r="BY224">
        <v>0</v>
      </c>
      <c r="BZ224">
        <v>0</v>
      </c>
      <c r="CA224">
        <v>0</v>
      </c>
      <c r="CB224">
        <v>0</v>
      </c>
      <c r="CC224">
        <v>0</v>
      </c>
    </row>
    <row r="225" spans="2:81" x14ac:dyDescent="0.25">
      <c r="B225">
        <v>14.6</v>
      </c>
      <c r="C225">
        <v>8.81</v>
      </c>
      <c r="D225">
        <v>8.91</v>
      </c>
      <c r="E225">
        <v>217</v>
      </c>
      <c r="F225">
        <v>128</v>
      </c>
      <c r="G225">
        <v>220</v>
      </c>
      <c r="H225">
        <v>565</v>
      </c>
      <c r="I225">
        <v>0</v>
      </c>
      <c r="J225">
        <v>1.85</v>
      </c>
      <c r="K225">
        <v>1.7</v>
      </c>
      <c r="L225">
        <v>1.9875</v>
      </c>
      <c r="M225">
        <v>1.8458000000000001</v>
      </c>
      <c r="N225">
        <v>0.7984</v>
      </c>
      <c r="O225">
        <v>0.14000000000000001</v>
      </c>
      <c r="P225">
        <v>0.11749999999999999</v>
      </c>
      <c r="Q225">
        <v>9.2499999999999999E-2</v>
      </c>
      <c r="R225">
        <v>0.1167</v>
      </c>
      <c r="S225">
        <v>7.1900000000000006E-2</v>
      </c>
      <c r="T225">
        <v>0.3</v>
      </c>
      <c r="U225">
        <v>0.24</v>
      </c>
      <c r="V225">
        <v>0.16</v>
      </c>
      <c r="W225">
        <v>0.3</v>
      </c>
      <c r="X225">
        <v>15.821400000000001</v>
      </c>
      <c r="Y225">
        <v>0</v>
      </c>
      <c r="Z225">
        <v>33.333300000000001</v>
      </c>
      <c r="AA225">
        <v>0</v>
      </c>
      <c r="AB225">
        <v>33.333300000000001</v>
      </c>
      <c r="AC225">
        <v>0</v>
      </c>
      <c r="AD225">
        <v>66.666700000000006</v>
      </c>
      <c r="AE225">
        <v>0</v>
      </c>
      <c r="AF225">
        <v>66.666700000000006</v>
      </c>
      <c r="AG225">
        <v>66.666700000000006</v>
      </c>
      <c r="AH225">
        <v>9.1300000000000006E-2</v>
      </c>
      <c r="AI225">
        <v>7.4999999999999997E-2</v>
      </c>
      <c r="AJ225">
        <v>9.6299999999999997E-2</v>
      </c>
      <c r="AK225">
        <v>8.7499999999999994E-2</v>
      </c>
      <c r="AL225">
        <v>8.7999999999999995E-2</v>
      </c>
      <c r="AM225">
        <v>0.28999999999999998</v>
      </c>
      <c r="AN225">
        <v>0.23</v>
      </c>
      <c r="AO225">
        <v>0.25</v>
      </c>
      <c r="AP225">
        <v>0.28999999999999998</v>
      </c>
      <c r="AQ225">
        <v>0</v>
      </c>
      <c r="AR225">
        <v>0.45829999999999999</v>
      </c>
      <c r="AS225">
        <v>75</v>
      </c>
      <c r="AT225">
        <v>50</v>
      </c>
      <c r="AU225">
        <v>37.5</v>
      </c>
      <c r="AV225">
        <v>54.166699999999999</v>
      </c>
      <c r="AW225">
        <v>54.166699999999999</v>
      </c>
      <c r="AX225">
        <v>0.83330000000000004</v>
      </c>
      <c r="AY225">
        <v>33.333300000000001</v>
      </c>
      <c r="AZ225">
        <v>0.5</v>
      </c>
      <c r="BA225">
        <v>0.625</v>
      </c>
      <c r="BB225">
        <v>0.5</v>
      </c>
      <c r="BC225">
        <v>0.54169999999999996</v>
      </c>
      <c r="BD225">
        <v>0.5</v>
      </c>
      <c r="BE225">
        <v>0.25</v>
      </c>
      <c r="BF225">
        <v>0</v>
      </c>
      <c r="BG225">
        <v>0</v>
      </c>
      <c r="BH225">
        <v>8.3299999999999999E-2</v>
      </c>
      <c r="BI225">
        <v>0.5</v>
      </c>
      <c r="BJ225">
        <v>1.25</v>
      </c>
      <c r="BK225">
        <v>0.75</v>
      </c>
      <c r="BL225">
        <v>0.83330000000000004</v>
      </c>
      <c r="BM225">
        <v>0.75</v>
      </c>
      <c r="BN225">
        <v>0.5</v>
      </c>
      <c r="BO225">
        <v>0.5</v>
      </c>
      <c r="BP225">
        <v>0.58330000000000004</v>
      </c>
      <c r="BQ225">
        <v>33.333300000000001</v>
      </c>
      <c r="BR225">
        <v>62.5</v>
      </c>
      <c r="BS225">
        <v>4.1666999999999996</v>
      </c>
      <c r="BT225">
        <v>26.25</v>
      </c>
      <c r="BU225">
        <v>0.625</v>
      </c>
      <c r="BV225">
        <v>4.5045000000000002</v>
      </c>
      <c r="BW225">
        <v>3.4466000000000001</v>
      </c>
      <c r="BX225">
        <v>95.495500000000007</v>
      </c>
      <c r="BY225">
        <v>0</v>
      </c>
      <c r="BZ225">
        <v>0</v>
      </c>
      <c r="CA225">
        <v>0</v>
      </c>
      <c r="CB225">
        <v>0</v>
      </c>
      <c r="CC225">
        <v>0</v>
      </c>
    </row>
    <row r="226" spans="2:81" x14ac:dyDescent="0.25">
      <c r="B226">
        <v>12.2</v>
      </c>
      <c r="C226">
        <v>8.27</v>
      </c>
      <c r="D226">
        <v>11.8</v>
      </c>
      <c r="E226">
        <v>527</v>
      </c>
      <c r="F226">
        <v>413</v>
      </c>
      <c r="G226">
        <v>586</v>
      </c>
      <c r="H226">
        <v>1526</v>
      </c>
      <c r="I226">
        <v>0.78639999999999999</v>
      </c>
      <c r="J226">
        <v>1.85</v>
      </c>
      <c r="K226">
        <v>1.85</v>
      </c>
      <c r="L226">
        <v>4.0125000000000002</v>
      </c>
      <c r="M226">
        <v>2.5708000000000002</v>
      </c>
      <c r="N226">
        <v>1.3363</v>
      </c>
      <c r="O226">
        <v>0.27</v>
      </c>
      <c r="P226">
        <v>0.16550000000000001</v>
      </c>
      <c r="Q226">
        <v>0.57640000000000002</v>
      </c>
      <c r="R226">
        <v>0.33939999999999998</v>
      </c>
      <c r="S226">
        <v>0.2087</v>
      </c>
      <c r="T226">
        <v>0.5</v>
      </c>
      <c r="U226">
        <v>0.26</v>
      </c>
      <c r="V226">
        <v>0.78</v>
      </c>
      <c r="W226">
        <v>0.78</v>
      </c>
      <c r="X226">
        <v>7.5751999999999997</v>
      </c>
      <c r="Y226">
        <v>0</v>
      </c>
      <c r="Z226">
        <v>43.75</v>
      </c>
      <c r="AA226">
        <v>18.75</v>
      </c>
      <c r="AB226">
        <v>62.5</v>
      </c>
      <c r="AC226">
        <v>9.375</v>
      </c>
      <c r="AD226">
        <v>28.125</v>
      </c>
      <c r="AE226">
        <v>0</v>
      </c>
      <c r="AF226">
        <v>37.5</v>
      </c>
      <c r="AG226">
        <v>43.75</v>
      </c>
      <c r="AH226">
        <v>0.32</v>
      </c>
      <c r="AI226">
        <v>0.55640000000000001</v>
      </c>
      <c r="AJ226">
        <v>0.05</v>
      </c>
      <c r="AK226">
        <v>0.30840000000000001</v>
      </c>
      <c r="AL226">
        <v>0.29630000000000001</v>
      </c>
      <c r="AM226">
        <v>1.1000000000000001</v>
      </c>
      <c r="AN226">
        <v>0.89</v>
      </c>
      <c r="AO226">
        <v>0.09</v>
      </c>
      <c r="AP226">
        <v>1.1000000000000001</v>
      </c>
      <c r="AQ226">
        <v>25</v>
      </c>
      <c r="AR226">
        <v>0.41670000000000001</v>
      </c>
      <c r="AS226">
        <v>0</v>
      </c>
      <c r="AT226">
        <v>0</v>
      </c>
      <c r="AU226">
        <v>100</v>
      </c>
      <c r="AV226">
        <v>33.333300000000001</v>
      </c>
      <c r="AW226">
        <v>41.666699999999999</v>
      </c>
      <c r="AX226">
        <v>0.41670000000000001</v>
      </c>
      <c r="AY226">
        <v>8.3332999999999995</v>
      </c>
      <c r="AZ226">
        <v>0</v>
      </c>
      <c r="BA226">
        <v>0</v>
      </c>
      <c r="BB226">
        <v>0.25</v>
      </c>
      <c r="BC226">
        <v>8.3299999999999999E-2</v>
      </c>
      <c r="BD226">
        <v>0.125</v>
      </c>
      <c r="BE226">
        <v>0.25</v>
      </c>
      <c r="BF226">
        <v>1.25</v>
      </c>
      <c r="BG226">
        <v>0.25</v>
      </c>
      <c r="BH226">
        <v>0.58330000000000004</v>
      </c>
      <c r="BI226">
        <v>0</v>
      </c>
      <c r="BJ226">
        <v>0</v>
      </c>
      <c r="BK226">
        <v>0</v>
      </c>
      <c r="BL226">
        <v>0</v>
      </c>
      <c r="BM226">
        <v>0.75</v>
      </c>
      <c r="BN226">
        <v>0.25</v>
      </c>
      <c r="BO226">
        <v>3.75</v>
      </c>
      <c r="BP226">
        <v>1.5832999999999999</v>
      </c>
      <c r="BQ226">
        <v>8.3332999999999995</v>
      </c>
      <c r="BR226">
        <v>66.666700000000006</v>
      </c>
      <c r="BS226">
        <v>20.833300000000001</v>
      </c>
      <c r="BT226">
        <v>37.826099999999997</v>
      </c>
      <c r="BU226">
        <v>0</v>
      </c>
      <c r="BV226">
        <v>100</v>
      </c>
      <c r="BW226">
        <v>0</v>
      </c>
      <c r="BX226">
        <v>0</v>
      </c>
      <c r="BY226">
        <v>0</v>
      </c>
      <c r="BZ226">
        <v>0</v>
      </c>
      <c r="CA226">
        <v>0</v>
      </c>
      <c r="CB226">
        <v>0</v>
      </c>
      <c r="CC226">
        <v>0</v>
      </c>
    </row>
    <row r="227" spans="2:81" x14ac:dyDescent="0.25">
      <c r="B227">
        <v>18.100000000000001</v>
      </c>
      <c r="C227">
        <v>8.6300000000000008</v>
      </c>
      <c r="D227">
        <v>12.16</v>
      </c>
      <c r="E227">
        <v>442</v>
      </c>
      <c r="F227">
        <v>503</v>
      </c>
      <c r="G227">
        <v>424</v>
      </c>
      <c r="H227">
        <v>1369</v>
      </c>
      <c r="I227">
        <v>0</v>
      </c>
      <c r="J227">
        <v>2.0125000000000002</v>
      </c>
      <c r="K227">
        <v>2.0874999999999999</v>
      </c>
      <c r="L227">
        <v>1.85</v>
      </c>
      <c r="M227">
        <v>1.9833000000000001</v>
      </c>
      <c r="N227">
        <v>0.28539999999999999</v>
      </c>
      <c r="O227">
        <v>0.22140000000000001</v>
      </c>
      <c r="P227">
        <v>0.32190000000000002</v>
      </c>
      <c r="Q227">
        <v>0.41</v>
      </c>
      <c r="R227">
        <v>0.3034</v>
      </c>
      <c r="S227">
        <v>0.12089999999999999</v>
      </c>
      <c r="T227">
        <v>0.38</v>
      </c>
      <c r="U227">
        <v>0.48</v>
      </c>
      <c r="V227">
        <v>0.52</v>
      </c>
      <c r="W227">
        <v>0.52</v>
      </c>
      <c r="X227">
        <v>6.5366</v>
      </c>
      <c r="Y227">
        <v>0</v>
      </c>
      <c r="Z227">
        <v>15.7895</v>
      </c>
      <c r="AA227">
        <v>2.6316000000000002</v>
      </c>
      <c r="AB227">
        <v>18.421099999999999</v>
      </c>
      <c r="AC227">
        <v>15.7895</v>
      </c>
      <c r="AD227">
        <v>65.789500000000004</v>
      </c>
      <c r="AE227">
        <v>0</v>
      </c>
      <c r="AF227">
        <v>81.578900000000004</v>
      </c>
      <c r="AG227">
        <v>65.789500000000004</v>
      </c>
      <c r="AH227">
        <v>0.37919999999999998</v>
      </c>
      <c r="AI227">
        <v>0.25530000000000003</v>
      </c>
      <c r="AJ227">
        <v>0.32379999999999998</v>
      </c>
      <c r="AK227">
        <v>0.31030000000000002</v>
      </c>
      <c r="AL227">
        <v>0.1973</v>
      </c>
      <c r="AM227">
        <v>0.77</v>
      </c>
      <c r="AN227">
        <v>0.57999999999999996</v>
      </c>
      <c r="AO227">
        <v>0.83</v>
      </c>
      <c r="AP227">
        <v>0.83</v>
      </c>
      <c r="AQ227">
        <v>8.3332999999999995</v>
      </c>
      <c r="AR227">
        <v>0.91300000000000003</v>
      </c>
      <c r="AS227">
        <v>0</v>
      </c>
      <c r="AT227">
        <v>0</v>
      </c>
      <c r="AU227">
        <v>0</v>
      </c>
      <c r="AV227">
        <v>0</v>
      </c>
      <c r="AW227">
        <v>87.5</v>
      </c>
      <c r="AX227">
        <v>1.1667000000000001</v>
      </c>
      <c r="AY227">
        <v>25</v>
      </c>
      <c r="AZ227">
        <v>0</v>
      </c>
      <c r="BA227">
        <v>0</v>
      </c>
      <c r="BB227">
        <v>0</v>
      </c>
      <c r="BC227">
        <v>0</v>
      </c>
      <c r="BD227">
        <v>0.16669999999999999</v>
      </c>
      <c r="BE227">
        <v>1</v>
      </c>
      <c r="BF227">
        <v>1</v>
      </c>
      <c r="BG227">
        <v>1</v>
      </c>
      <c r="BH227">
        <v>1</v>
      </c>
      <c r="BI227">
        <v>0.25</v>
      </c>
      <c r="BJ227">
        <v>0</v>
      </c>
      <c r="BK227">
        <v>0.5</v>
      </c>
      <c r="BL227">
        <v>0.25</v>
      </c>
      <c r="BM227">
        <v>0.5</v>
      </c>
      <c r="BN227">
        <v>0.5</v>
      </c>
      <c r="BO227">
        <v>0.25</v>
      </c>
      <c r="BP227">
        <v>0.41670000000000001</v>
      </c>
      <c r="BQ227">
        <v>0</v>
      </c>
      <c r="BR227">
        <v>91.666700000000006</v>
      </c>
      <c r="BS227">
        <v>8.3332999999999995</v>
      </c>
      <c r="BT227">
        <v>39.791699999999999</v>
      </c>
      <c r="BU227">
        <v>0.41670000000000001</v>
      </c>
      <c r="BV227">
        <v>92.942899999999995</v>
      </c>
      <c r="BW227">
        <v>6.0888999999999998</v>
      </c>
      <c r="BX227">
        <v>7.0571000000000002</v>
      </c>
      <c r="BY227">
        <v>0</v>
      </c>
      <c r="BZ227">
        <v>0</v>
      </c>
      <c r="CA227">
        <v>0</v>
      </c>
      <c r="CB227">
        <v>0</v>
      </c>
      <c r="CC227">
        <v>0</v>
      </c>
    </row>
    <row r="228" spans="2:81" x14ac:dyDescent="0.25">
      <c r="B228">
        <v>17.5</v>
      </c>
      <c r="C228">
        <v>7.99</v>
      </c>
      <c r="D228">
        <v>11.08</v>
      </c>
      <c r="E228">
        <v>420</v>
      </c>
      <c r="F228">
        <v>573</v>
      </c>
      <c r="G228">
        <v>1025</v>
      </c>
      <c r="H228">
        <v>2018</v>
      </c>
      <c r="I228">
        <v>0</v>
      </c>
      <c r="J228">
        <v>2.3875000000000002</v>
      </c>
      <c r="K228">
        <v>3.1124999999999998</v>
      </c>
      <c r="L228">
        <v>3.5249999999999999</v>
      </c>
      <c r="M228">
        <v>3.0083000000000002</v>
      </c>
      <c r="N228">
        <v>0.76549999999999996</v>
      </c>
      <c r="O228">
        <v>0.19089999999999999</v>
      </c>
      <c r="P228">
        <v>0.32550000000000001</v>
      </c>
      <c r="Q228">
        <v>0.55920000000000003</v>
      </c>
      <c r="R228">
        <v>0.3644</v>
      </c>
      <c r="S228">
        <v>0.21870000000000001</v>
      </c>
      <c r="T228">
        <v>0.46</v>
      </c>
      <c r="U228">
        <v>0.62</v>
      </c>
      <c r="V228">
        <v>0.82</v>
      </c>
      <c r="W228">
        <v>0.82</v>
      </c>
      <c r="X228">
        <v>8.2553000000000001</v>
      </c>
      <c r="Y228">
        <v>0</v>
      </c>
      <c r="Z228">
        <v>78.125</v>
      </c>
      <c r="AA228">
        <v>3.125</v>
      </c>
      <c r="AB228">
        <v>81.25</v>
      </c>
      <c r="AC228">
        <v>0</v>
      </c>
      <c r="AD228">
        <v>18.75</v>
      </c>
      <c r="AE228">
        <v>0</v>
      </c>
      <c r="AF228">
        <v>18.75</v>
      </c>
      <c r="AG228">
        <v>78.125</v>
      </c>
      <c r="AH228">
        <v>0.13730000000000001</v>
      </c>
      <c r="AI228">
        <v>0.1545</v>
      </c>
      <c r="AJ228">
        <v>2.8299999999999999E-2</v>
      </c>
      <c r="AK228">
        <v>0.10440000000000001</v>
      </c>
      <c r="AL228">
        <v>0.16259999999999999</v>
      </c>
      <c r="AM228">
        <v>0.32</v>
      </c>
      <c r="AN228">
        <v>0.78</v>
      </c>
      <c r="AO228">
        <v>0.09</v>
      </c>
      <c r="AP228">
        <v>0.78</v>
      </c>
      <c r="AQ228">
        <v>12.5</v>
      </c>
      <c r="AR228">
        <v>0.29170000000000001</v>
      </c>
      <c r="AS228">
        <v>12.5</v>
      </c>
      <c r="AT228">
        <v>62.5</v>
      </c>
      <c r="AU228">
        <v>100</v>
      </c>
      <c r="AV228">
        <v>58.333300000000001</v>
      </c>
      <c r="AW228">
        <v>45.833300000000001</v>
      </c>
      <c r="AX228">
        <v>0.16669999999999999</v>
      </c>
      <c r="AY228">
        <v>8.3332999999999995</v>
      </c>
      <c r="AZ228">
        <v>0.375</v>
      </c>
      <c r="BA228">
        <v>0.625</v>
      </c>
      <c r="BB228">
        <v>0.25</v>
      </c>
      <c r="BC228">
        <v>0.41670000000000001</v>
      </c>
      <c r="BD228">
        <v>0.95830000000000004</v>
      </c>
      <c r="BE228">
        <v>0</v>
      </c>
      <c r="BF228">
        <v>0.25</v>
      </c>
      <c r="BG228">
        <v>0</v>
      </c>
      <c r="BH228">
        <v>8.3299999999999999E-2</v>
      </c>
      <c r="BI228">
        <v>0</v>
      </c>
      <c r="BJ228">
        <v>0</v>
      </c>
      <c r="BK228">
        <v>0</v>
      </c>
      <c r="BL228">
        <v>0</v>
      </c>
      <c r="BM228">
        <v>1.5</v>
      </c>
      <c r="BN228">
        <v>2.25</v>
      </c>
      <c r="BO228">
        <v>4</v>
      </c>
      <c r="BP228">
        <v>2.5832999999999999</v>
      </c>
      <c r="BQ228">
        <v>8.3332999999999995</v>
      </c>
      <c r="BR228">
        <v>87.5</v>
      </c>
      <c r="BS228">
        <v>4.1666999999999996</v>
      </c>
      <c r="BT228">
        <v>38.333300000000001</v>
      </c>
      <c r="BU228">
        <v>3.1667000000000001</v>
      </c>
      <c r="BV228">
        <v>60.585599999999999</v>
      </c>
      <c r="BW228">
        <v>15.921900000000001</v>
      </c>
      <c r="BX228">
        <v>39.414400000000001</v>
      </c>
      <c r="BY228">
        <v>0</v>
      </c>
      <c r="BZ228">
        <v>0</v>
      </c>
      <c r="CA228">
        <v>0</v>
      </c>
      <c r="CB228">
        <v>0</v>
      </c>
      <c r="CC228">
        <v>0</v>
      </c>
    </row>
    <row r="229" spans="2:81" x14ac:dyDescent="0.25">
      <c r="B229">
        <v>13.5</v>
      </c>
      <c r="C229">
        <v>8.49</v>
      </c>
      <c r="D229">
        <v>12.65</v>
      </c>
      <c r="E229">
        <v>512</v>
      </c>
      <c r="F229">
        <v>432</v>
      </c>
      <c r="G229">
        <v>401</v>
      </c>
      <c r="H229">
        <v>1345</v>
      </c>
      <c r="I229">
        <v>2.2305000000000001</v>
      </c>
      <c r="J229">
        <v>4.7374999999999998</v>
      </c>
      <c r="K229">
        <v>4.1500000000000004</v>
      </c>
      <c r="L229">
        <v>4.9874999999999998</v>
      </c>
      <c r="M229">
        <v>4.625</v>
      </c>
      <c r="N229">
        <v>1.4555</v>
      </c>
      <c r="O229">
        <v>0.21329999999999999</v>
      </c>
      <c r="P229">
        <v>0.1358</v>
      </c>
      <c r="Q229">
        <v>0.16420000000000001</v>
      </c>
      <c r="R229">
        <v>0.1711</v>
      </c>
      <c r="S229">
        <v>0.12470000000000001</v>
      </c>
      <c r="T229">
        <v>0.5</v>
      </c>
      <c r="U229">
        <v>0.32</v>
      </c>
      <c r="V229">
        <v>0.63</v>
      </c>
      <c r="W229">
        <v>0.63</v>
      </c>
      <c r="X229">
        <v>27.029199999999999</v>
      </c>
      <c r="Y229">
        <v>3.7037</v>
      </c>
      <c r="Z229">
        <v>0</v>
      </c>
      <c r="AA229">
        <v>0</v>
      </c>
      <c r="AB229">
        <v>3.7037</v>
      </c>
      <c r="AC229">
        <v>0</v>
      </c>
      <c r="AD229">
        <v>85.185199999999995</v>
      </c>
      <c r="AE229">
        <v>11.1111</v>
      </c>
      <c r="AF229">
        <v>96.296300000000002</v>
      </c>
      <c r="AG229">
        <v>85.185199999999995</v>
      </c>
      <c r="AH229">
        <v>0.1875</v>
      </c>
      <c r="AI229">
        <v>0.25419999999999998</v>
      </c>
      <c r="AJ229">
        <v>0.32450000000000001</v>
      </c>
      <c r="AK229">
        <v>0.25340000000000001</v>
      </c>
      <c r="AL229">
        <v>0.25459999999999999</v>
      </c>
      <c r="AM229">
        <v>0.4</v>
      </c>
      <c r="AN229">
        <v>0.76</v>
      </c>
      <c r="AO229">
        <v>1.04</v>
      </c>
      <c r="AP229">
        <v>1.04</v>
      </c>
      <c r="AQ229">
        <v>45.833300000000001</v>
      </c>
      <c r="AR229">
        <v>0.29170000000000001</v>
      </c>
      <c r="AS229">
        <v>25</v>
      </c>
      <c r="AT229">
        <v>25</v>
      </c>
      <c r="AU229">
        <v>25</v>
      </c>
      <c r="AV229">
        <v>25</v>
      </c>
      <c r="AW229">
        <v>45.833300000000001</v>
      </c>
      <c r="AX229">
        <v>0.83330000000000004</v>
      </c>
      <c r="AY229">
        <v>0</v>
      </c>
      <c r="AZ229">
        <v>0</v>
      </c>
      <c r="BA229">
        <v>0</v>
      </c>
      <c r="BB229">
        <v>0</v>
      </c>
      <c r="BC229">
        <v>0</v>
      </c>
      <c r="BD229">
        <v>0.29170000000000001</v>
      </c>
      <c r="BE229">
        <v>0</v>
      </c>
      <c r="BF229">
        <v>0</v>
      </c>
      <c r="BG229">
        <v>0</v>
      </c>
      <c r="BH229">
        <v>0</v>
      </c>
      <c r="BI229">
        <v>1.25</v>
      </c>
      <c r="BJ229">
        <v>2.6667000000000001</v>
      </c>
      <c r="BK229">
        <v>2.5</v>
      </c>
      <c r="BL229">
        <v>2.0909</v>
      </c>
      <c r="BM229">
        <v>1</v>
      </c>
      <c r="BN229">
        <v>0.5</v>
      </c>
      <c r="BO229">
        <v>0</v>
      </c>
      <c r="BP229">
        <v>0.54549999999999998</v>
      </c>
      <c r="BQ229">
        <v>45.833300000000001</v>
      </c>
      <c r="BR229">
        <v>45.833300000000001</v>
      </c>
      <c r="BS229">
        <v>8.3332999999999995</v>
      </c>
      <c r="BT229">
        <v>25.625</v>
      </c>
      <c r="BU229">
        <v>0</v>
      </c>
      <c r="BV229">
        <v>31.006</v>
      </c>
      <c r="BW229">
        <v>12.9162</v>
      </c>
      <c r="BX229">
        <v>68.994</v>
      </c>
      <c r="BY229">
        <v>0</v>
      </c>
      <c r="BZ229">
        <v>0</v>
      </c>
      <c r="CA229">
        <v>0</v>
      </c>
      <c r="CB229">
        <v>0</v>
      </c>
      <c r="CC229">
        <v>0</v>
      </c>
    </row>
    <row r="230" spans="2:81" x14ac:dyDescent="0.25">
      <c r="B230">
        <v>14.7</v>
      </c>
      <c r="C230">
        <v>8.5299999999999994</v>
      </c>
      <c r="D230">
        <v>11.05</v>
      </c>
      <c r="E230">
        <v>670</v>
      </c>
      <c r="F230">
        <v>380</v>
      </c>
      <c r="G230">
        <v>380</v>
      </c>
      <c r="H230">
        <v>1430</v>
      </c>
      <c r="I230">
        <v>1.9300999999999999</v>
      </c>
      <c r="J230">
        <v>3.5125000000000002</v>
      </c>
      <c r="K230">
        <v>2.8125</v>
      </c>
      <c r="L230">
        <v>2.2250000000000001</v>
      </c>
      <c r="M230">
        <v>2.85</v>
      </c>
      <c r="N230">
        <v>0.93059999999999998</v>
      </c>
      <c r="O230">
        <v>0.27829999999999999</v>
      </c>
      <c r="P230">
        <v>0.15640000000000001</v>
      </c>
      <c r="Q230">
        <v>0.16200000000000001</v>
      </c>
      <c r="R230">
        <v>0.2024</v>
      </c>
      <c r="S230">
        <v>0.1108</v>
      </c>
      <c r="T230">
        <v>0.48</v>
      </c>
      <c r="U230">
        <v>0.28000000000000003</v>
      </c>
      <c r="V230">
        <v>0.22</v>
      </c>
      <c r="W230">
        <v>0.48</v>
      </c>
      <c r="X230">
        <v>14.0793</v>
      </c>
      <c r="Y230">
        <v>0</v>
      </c>
      <c r="Z230">
        <v>9.0908999999999995</v>
      </c>
      <c r="AA230">
        <v>3.0303</v>
      </c>
      <c r="AB230">
        <v>12.1212</v>
      </c>
      <c r="AC230">
        <v>0</v>
      </c>
      <c r="AD230">
        <v>87.878799999999998</v>
      </c>
      <c r="AE230">
        <v>0</v>
      </c>
      <c r="AF230">
        <v>87.878799999999998</v>
      </c>
      <c r="AG230">
        <v>87.878799999999998</v>
      </c>
      <c r="AH230">
        <v>0.30580000000000002</v>
      </c>
      <c r="AI230">
        <v>0.54269999999999996</v>
      </c>
      <c r="AJ230">
        <v>0.72799999999999998</v>
      </c>
      <c r="AK230">
        <v>0.51270000000000004</v>
      </c>
      <c r="AL230">
        <v>0.317</v>
      </c>
      <c r="AM230">
        <v>0.78</v>
      </c>
      <c r="AN230">
        <v>0.92</v>
      </c>
      <c r="AO230">
        <v>1.23</v>
      </c>
      <c r="AP230">
        <v>1.23</v>
      </c>
      <c r="AQ230">
        <v>66.666700000000006</v>
      </c>
      <c r="AR230">
        <v>0.30430000000000001</v>
      </c>
      <c r="AS230">
        <v>0</v>
      </c>
      <c r="AT230">
        <v>0</v>
      </c>
      <c r="AU230">
        <v>0</v>
      </c>
      <c r="AV230">
        <v>0</v>
      </c>
      <c r="AW230">
        <v>66.666700000000006</v>
      </c>
      <c r="AX230">
        <v>1.75</v>
      </c>
      <c r="AY230">
        <v>50</v>
      </c>
      <c r="AZ230">
        <v>0</v>
      </c>
      <c r="BA230">
        <v>0.25</v>
      </c>
      <c r="BB230">
        <v>0.5</v>
      </c>
      <c r="BC230">
        <v>0.25</v>
      </c>
      <c r="BD230">
        <v>0.29170000000000001</v>
      </c>
      <c r="BE230">
        <v>0.25</v>
      </c>
      <c r="BF230">
        <v>0</v>
      </c>
      <c r="BG230">
        <v>0</v>
      </c>
      <c r="BH230">
        <v>8.3299999999999999E-2</v>
      </c>
      <c r="BI230">
        <v>0</v>
      </c>
      <c r="BJ230">
        <v>0</v>
      </c>
      <c r="BK230">
        <v>0.25</v>
      </c>
      <c r="BL230">
        <v>8.3299999999999999E-2</v>
      </c>
      <c r="BM230">
        <v>1.25</v>
      </c>
      <c r="BN230">
        <v>0</v>
      </c>
      <c r="BO230">
        <v>0</v>
      </c>
      <c r="BP230">
        <v>0.41670000000000001</v>
      </c>
      <c r="BQ230">
        <v>50</v>
      </c>
      <c r="BR230">
        <v>45.833300000000001</v>
      </c>
      <c r="BS230">
        <v>4.1666999999999996</v>
      </c>
      <c r="BT230">
        <v>24.583300000000001</v>
      </c>
      <c r="BU230">
        <v>0.35</v>
      </c>
      <c r="BV230">
        <v>32.6188</v>
      </c>
      <c r="BW230">
        <v>13.864000000000001</v>
      </c>
      <c r="BX230">
        <v>67.381200000000007</v>
      </c>
      <c r="BY230">
        <v>0</v>
      </c>
      <c r="BZ230">
        <v>0</v>
      </c>
      <c r="CA230">
        <v>0</v>
      </c>
      <c r="CB230">
        <v>0</v>
      </c>
      <c r="CC230">
        <v>0</v>
      </c>
    </row>
    <row r="231" spans="2:81" x14ac:dyDescent="0.25">
      <c r="B231">
        <v>13.5</v>
      </c>
      <c r="C231">
        <v>8.56</v>
      </c>
      <c r="D231">
        <v>10.11</v>
      </c>
      <c r="E231">
        <v>2200</v>
      </c>
      <c r="F231">
        <v>1072</v>
      </c>
      <c r="G231">
        <v>1133</v>
      </c>
      <c r="H231">
        <v>4405</v>
      </c>
      <c r="I231">
        <v>0.32690000000000002</v>
      </c>
      <c r="J231">
        <v>5.6875</v>
      </c>
      <c r="K231">
        <v>5.9249999999999998</v>
      </c>
      <c r="L231">
        <v>6.375</v>
      </c>
      <c r="M231">
        <v>5.9958</v>
      </c>
      <c r="N231">
        <v>1.1947000000000001</v>
      </c>
      <c r="O231">
        <v>0.32629999999999998</v>
      </c>
      <c r="P231">
        <v>0.42249999999999999</v>
      </c>
      <c r="Q231">
        <v>0.22439999999999999</v>
      </c>
      <c r="R231">
        <v>0.32440000000000002</v>
      </c>
      <c r="S231">
        <v>0.15670000000000001</v>
      </c>
      <c r="T231">
        <v>0.59</v>
      </c>
      <c r="U231">
        <v>0.88</v>
      </c>
      <c r="V231">
        <v>0.48</v>
      </c>
      <c r="W231">
        <v>0.88</v>
      </c>
      <c r="X231">
        <v>18.484300000000001</v>
      </c>
      <c r="Y231">
        <v>0</v>
      </c>
      <c r="Z231">
        <v>20.833300000000001</v>
      </c>
      <c r="AA231">
        <v>4.1666999999999996</v>
      </c>
      <c r="AB231">
        <v>25</v>
      </c>
      <c r="AC231">
        <v>8.3332999999999995</v>
      </c>
      <c r="AD231">
        <v>64.583299999999994</v>
      </c>
      <c r="AE231">
        <v>2.0832999999999999</v>
      </c>
      <c r="AF231">
        <v>75</v>
      </c>
      <c r="AG231">
        <v>64.583299999999994</v>
      </c>
      <c r="AH231">
        <v>0.314</v>
      </c>
      <c r="AI231">
        <v>0.1973</v>
      </c>
      <c r="AJ231">
        <v>0.29470000000000002</v>
      </c>
      <c r="AK231">
        <v>0.26500000000000001</v>
      </c>
      <c r="AL231">
        <v>0.1714</v>
      </c>
      <c r="AM231">
        <v>0.56000000000000005</v>
      </c>
      <c r="AN231">
        <v>0.53</v>
      </c>
      <c r="AO231">
        <v>0.85</v>
      </c>
      <c r="AP231">
        <v>0.85</v>
      </c>
      <c r="AQ231">
        <v>29.166699999999999</v>
      </c>
      <c r="AR231">
        <v>0.58330000000000004</v>
      </c>
      <c r="AS231">
        <v>0</v>
      </c>
      <c r="AT231">
        <v>37.5</v>
      </c>
      <c r="AU231">
        <v>0</v>
      </c>
      <c r="AV231">
        <v>12.5</v>
      </c>
      <c r="AW231">
        <v>58.333300000000001</v>
      </c>
      <c r="AX231">
        <v>0.5</v>
      </c>
      <c r="AY231">
        <v>8.3332999999999995</v>
      </c>
      <c r="AZ231">
        <v>0.625</v>
      </c>
      <c r="BA231">
        <v>0.25</v>
      </c>
      <c r="BB231">
        <v>1</v>
      </c>
      <c r="BC231">
        <v>0.625</v>
      </c>
      <c r="BD231">
        <v>0.875</v>
      </c>
      <c r="BE231">
        <v>0</v>
      </c>
      <c r="BF231">
        <v>0</v>
      </c>
      <c r="BG231">
        <v>0.5</v>
      </c>
      <c r="BH231">
        <v>0.16669999999999999</v>
      </c>
      <c r="BI231">
        <v>1.5</v>
      </c>
      <c r="BJ231">
        <v>0</v>
      </c>
      <c r="BK231">
        <v>0.25</v>
      </c>
      <c r="BL231">
        <v>0.58330000000000004</v>
      </c>
      <c r="BM231">
        <v>0.75</v>
      </c>
      <c r="BN231">
        <v>1.5</v>
      </c>
      <c r="BO231">
        <v>0.5</v>
      </c>
      <c r="BP231">
        <v>0.91669999999999996</v>
      </c>
      <c r="BQ231">
        <v>8.3332999999999995</v>
      </c>
      <c r="BR231">
        <v>70.833299999999994</v>
      </c>
      <c r="BS231">
        <v>20.833300000000001</v>
      </c>
      <c r="BT231">
        <v>41.041699999999999</v>
      </c>
      <c r="BU231">
        <v>0.91669999999999996</v>
      </c>
      <c r="BV231">
        <v>19.519500000000001</v>
      </c>
      <c r="BW231">
        <v>11.8782</v>
      </c>
      <c r="BX231">
        <v>80.480500000000006</v>
      </c>
      <c r="BY231">
        <v>0</v>
      </c>
      <c r="BZ231">
        <v>0</v>
      </c>
      <c r="CA231">
        <v>0</v>
      </c>
      <c r="CB231">
        <v>0</v>
      </c>
      <c r="CC231">
        <v>0</v>
      </c>
    </row>
    <row r="232" spans="2:81" x14ac:dyDescent="0.25">
      <c r="B232">
        <v>13.4</v>
      </c>
      <c r="C232">
        <v>8.41</v>
      </c>
      <c r="D232">
        <v>10.77</v>
      </c>
      <c r="E232">
        <v>884</v>
      </c>
      <c r="F232">
        <v>631</v>
      </c>
      <c r="G232">
        <v>410</v>
      </c>
      <c r="H232">
        <v>1925</v>
      </c>
      <c r="I232">
        <v>2.3376999999999999</v>
      </c>
      <c r="J232">
        <v>3.2374999999999998</v>
      </c>
      <c r="K232">
        <v>2.1875</v>
      </c>
      <c r="L232">
        <v>1.7749999999999999</v>
      </c>
      <c r="M232">
        <v>2.4</v>
      </c>
      <c r="N232">
        <v>1.0061</v>
      </c>
      <c r="O232">
        <v>0.13830000000000001</v>
      </c>
      <c r="P232">
        <v>0.2233</v>
      </c>
      <c r="Q232">
        <v>0.13450000000000001</v>
      </c>
      <c r="R232">
        <v>0.1663</v>
      </c>
      <c r="S232">
        <v>9.3200000000000005E-2</v>
      </c>
      <c r="T232">
        <v>0.26</v>
      </c>
      <c r="U232">
        <v>0.5</v>
      </c>
      <c r="V232">
        <v>0.26</v>
      </c>
      <c r="W232">
        <v>0.5</v>
      </c>
      <c r="X232">
        <v>14.433</v>
      </c>
      <c r="Y232">
        <v>0</v>
      </c>
      <c r="Z232">
        <v>11.428599999999999</v>
      </c>
      <c r="AA232">
        <v>0</v>
      </c>
      <c r="AB232">
        <v>11.428599999999999</v>
      </c>
      <c r="AC232">
        <v>0</v>
      </c>
      <c r="AD232">
        <v>88.571399999999997</v>
      </c>
      <c r="AE232">
        <v>0</v>
      </c>
      <c r="AF232">
        <v>88.571399999999997</v>
      </c>
      <c r="AG232">
        <v>88.571399999999997</v>
      </c>
      <c r="AH232">
        <v>0.39579999999999999</v>
      </c>
      <c r="AI232">
        <v>0.34499999999999997</v>
      </c>
      <c r="AJ232">
        <v>0.26090000000000002</v>
      </c>
      <c r="AK232">
        <v>0.33600000000000002</v>
      </c>
      <c r="AL232">
        <v>0.26939999999999997</v>
      </c>
      <c r="AM232">
        <v>0.93</v>
      </c>
      <c r="AN232">
        <v>0.72</v>
      </c>
      <c r="AO232">
        <v>0.75</v>
      </c>
      <c r="AP232">
        <v>0.93</v>
      </c>
      <c r="AQ232">
        <v>50</v>
      </c>
      <c r="AR232">
        <v>0.5</v>
      </c>
      <c r="AS232">
        <v>0</v>
      </c>
      <c r="AT232">
        <v>0</v>
      </c>
      <c r="AU232">
        <v>0</v>
      </c>
      <c r="AV232">
        <v>0</v>
      </c>
      <c r="AW232">
        <v>50</v>
      </c>
      <c r="AX232">
        <v>1.8332999999999999</v>
      </c>
      <c r="AY232">
        <v>58.333300000000001</v>
      </c>
      <c r="AZ232">
        <v>0.375</v>
      </c>
      <c r="BA232">
        <v>0.125</v>
      </c>
      <c r="BB232">
        <v>0</v>
      </c>
      <c r="BC232">
        <v>0.16669999999999999</v>
      </c>
      <c r="BD232">
        <v>0.25</v>
      </c>
      <c r="BE232">
        <v>0</v>
      </c>
      <c r="BF232">
        <v>0.75</v>
      </c>
      <c r="BG232">
        <v>0.5</v>
      </c>
      <c r="BH232">
        <v>0.41670000000000001</v>
      </c>
      <c r="BI232">
        <v>1</v>
      </c>
      <c r="BJ232">
        <v>0.25</v>
      </c>
      <c r="BK232">
        <v>0.25</v>
      </c>
      <c r="BL232">
        <v>0.5</v>
      </c>
      <c r="BM232">
        <v>0.25</v>
      </c>
      <c r="BN232">
        <v>1</v>
      </c>
      <c r="BO232">
        <v>0</v>
      </c>
      <c r="BP232">
        <v>0.41670000000000001</v>
      </c>
      <c r="BQ232">
        <v>12.5</v>
      </c>
      <c r="BR232">
        <v>70.833299999999994</v>
      </c>
      <c r="BS232">
        <v>16.666699999999999</v>
      </c>
      <c r="BT232">
        <v>40</v>
      </c>
      <c r="BU232">
        <v>0.16669999999999999</v>
      </c>
      <c r="BV232">
        <v>45.675699999999999</v>
      </c>
      <c r="BW232">
        <v>16.078399999999998</v>
      </c>
      <c r="BX232">
        <v>54.324300000000001</v>
      </c>
      <c r="BY232">
        <v>0</v>
      </c>
      <c r="BZ232">
        <v>0</v>
      </c>
      <c r="CA232">
        <v>0</v>
      </c>
      <c r="CB232">
        <v>0</v>
      </c>
      <c r="CC232">
        <v>0</v>
      </c>
    </row>
    <row r="233" spans="2:81" x14ac:dyDescent="0.25">
      <c r="B233">
        <v>17.100000000000001</v>
      </c>
      <c r="C233">
        <v>8.85</v>
      </c>
      <c r="D233">
        <v>10.36</v>
      </c>
      <c r="E233">
        <v>203</v>
      </c>
      <c r="F233">
        <v>260</v>
      </c>
      <c r="G233">
        <v>450</v>
      </c>
      <c r="H233">
        <v>913</v>
      </c>
      <c r="I233">
        <v>6.5699999999999995E-2</v>
      </c>
      <c r="J233">
        <v>2.0625</v>
      </c>
      <c r="K233">
        <v>1.95</v>
      </c>
      <c r="L233">
        <v>2.5188000000000001</v>
      </c>
      <c r="M233">
        <v>2.1770999999999998</v>
      </c>
      <c r="N233">
        <v>0.5353</v>
      </c>
      <c r="O233">
        <v>0.25890000000000002</v>
      </c>
      <c r="P233">
        <v>0.3125</v>
      </c>
      <c r="Q233">
        <v>0.38750000000000001</v>
      </c>
      <c r="R233">
        <v>0.31719999999999998</v>
      </c>
      <c r="S233">
        <v>0.12609999999999999</v>
      </c>
      <c r="T233">
        <v>0.36</v>
      </c>
      <c r="U233">
        <v>0.44</v>
      </c>
      <c r="V233">
        <v>0.74</v>
      </c>
      <c r="W233">
        <v>0.74</v>
      </c>
      <c r="X233">
        <v>6.8634000000000004</v>
      </c>
      <c r="Y233">
        <v>0</v>
      </c>
      <c r="Z233">
        <v>28</v>
      </c>
      <c r="AA233">
        <v>0</v>
      </c>
      <c r="AB233">
        <v>28</v>
      </c>
      <c r="AC233">
        <v>0</v>
      </c>
      <c r="AD233">
        <v>72</v>
      </c>
      <c r="AE233">
        <v>0</v>
      </c>
      <c r="AF233">
        <v>72</v>
      </c>
      <c r="AG233">
        <v>72</v>
      </c>
      <c r="AH233">
        <v>0.4975</v>
      </c>
      <c r="AI233">
        <v>0.58130000000000004</v>
      </c>
      <c r="AJ233">
        <v>0.39129999999999998</v>
      </c>
      <c r="AK233">
        <v>0.4924</v>
      </c>
      <c r="AL233">
        <v>0.21490000000000001</v>
      </c>
      <c r="AM233">
        <v>0.79</v>
      </c>
      <c r="AN233">
        <v>1.05</v>
      </c>
      <c r="AO233">
        <v>0.78</v>
      </c>
      <c r="AP233">
        <v>1.05</v>
      </c>
      <c r="AQ233">
        <v>4.1666999999999996</v>
      </c>
      <c r="AR233">
        <v>0.91300000000000003</v>
      </c>
      <c r="AS233">
        <v>0</v>
      </c>
      <c r="AT233">
        <v>0</v>
      </c>
      <c r="AU233">
        <v>12.5</v>
      </c>
      <c r="AV233">
        <v>4.1666999999999996</v>
      </c>
      <c r="AW233">
        <v>87.5</v>
      </c>
      <c r="AX233">
        <v>0.91669999999999996</v>
      </c>
      <c r="AY233">
        <v>16.666699999999999</v>
      </c>
      <c r="AZ233">
        <v>0.125</v>
      </c>
      <c r="BA233">
        <v>0</v>
      </c>
      <c r="BB233">
        <v>0</v>
      </c>
      <c r="BC233">
        <v>4.1700000000000001E-2</v>
      </c>
      <c r="BD233">
        <v>0.625</v>
      </c>
      <c r="BE233">
        <v>1.5</v>
      </c>
      <c r="BF233">
        <v>1.25</v>
      </c>
      <c r="BG233">
        <v>1.25</v>
      </c>
      <c r="BH233">
        <v>1.3332999999999999</v>
      </c>
      <c r="BI233">
        <v>0</v>
      </c>
      <c r="BJ233">
        <v>0</v>
      </c>
      <c r="BK233">
        <v>0</v>
      </c>
      <c r="BL233">
        <v>0</v>
      </c>
      <c r="BM233">
        <v>0</v>
      </c>
      <c r="BN233">
        <v>0</v>
      </c>
      <c r="BO233">
        <v>0.25</v>
      </c>
      <c r="BP233">
        <v>8.3299999999999999E-2</v>
      </c>
      <c r="BQ233">
        <v>0</v>
      </c>
      <c r="BR233">
        <v>54.166699999999999</v>
      </c>
      <c r="BS233">
        <v>45.833300000000001</v>
      </c>
      <c r="BT233">
        <v>51.666699999999999</v>
      </c>
      <c r="BU233">
        <v>0.16669999999999999</v>
      </c>
      <c r="BV233">
        <v>81.531499999999994</v>
      </c>
      <c r="BW233">
        <v>12.074299999999999</v>
      </c>
      <c r="BX233">
        <v>18.468499999999999</v>
      </c>
      <c r="BY233">
        <v>0</v>
      </c>
      <c r="BZ233">
        <v>0</v>
      </c>
      <c r="CA233">
        <v>0</v>
      </c>
      <c r="CB233">
        <v>0</v>
      </c>
      <c r="CC233">
        <v>0</v>
      </c>
    </row>
    <row r="234" spans="2:81" x14ac:dyDescent="0.25">
      <c r="B234">
        <v>13.4</v>
      </c>
      <c r="C234">
        <v>8.8000000000000007</v>
      </c>
      <c r="D234">
        <v>13.01</v>
      </c>
      <c r="E234">
        <v>1987</v>
      </c>
      <c r="F234">
        <v>1464</v>
      </c>
      <c r="G234">
        <v>1064</v>
      </c>
      <c r="H234">
        <v>4515</v>
      </c>
      <c r="I234">
        <v>0.95679999999999998</v>
      </c>
      <c r="J234">
        <v>4.3875000000000002</v>
      </c>
      <c r="K234">
        <v>4.8375000000000004</v>
      </c>
      <c r="L234">
        <v>3.9375</v>
      </c>
      <c r="M234">
        <v>4.3875000000000002</v>
      </c>
      <c r="N234">
        <v>1.1880999999999999</v>
      </c>
      <c r="O234">
        <v>0.25629999999999997</v>
      </c>
      <c r="P234">
        <v>0.20599999999999999</v>
      </c>
      <c r="Q234">
        <v>0.2107</v>
      </c>
      <c r="R234">
        <v>0.22500000000000001</v>
      </c>
      <c r="S234">
        <v>0.1138</v>
      </c>
      <c r="T234">
        <v>0.56000000000000005</v>
      </c>
      <c r="U234">
        <v>0.4</v>
      </c>
      <c r="V234">
        <v>0.32</v>
      </c>
      <c r="W234">
        <v>0.56000000000000005</v>
      </c>
      <c r="X234">
        <v>19.5</v>
      </c>
      <c r="Y234">
        <v>0</v>
      </c>
      <c r="Z234">
        <v>13.0435</v>
      </c>
      <c r="AA234">
        <v>0</v>
      </c>
      <c r="AB234">
        <v>13.0435</v>
      </c>
      <c r="AC234">
        <v>8.6957000000000004</v>
      </c>
      <c r="AD234">
        <v>73.912999999999997</v>
      </c>
      <c r="AE234">
        <v>4.3478000000000003</v>
      </c>
      <c r="AF234">
        <v>86.956500000000005</v>
      </c>
      <c r="AG234">
        <v>73.912999999999997</v>
      </c>
      <c r="AH234">
        <v>0.21249999999999999</v>
      </c>
      <c r="AI234">
        <v>0.16669999999999999</v>
      </c>
      <c r="AJ234">
        <v>0.19470000000000001</v>
      </c>
      <c r="AK234">
        <v>0.19170000000000001</v>
      </c>
      <c r="AL234">
        <v>0.16350000000000001</v>
      </c>
      <c r="AM234">
        <v>0.61</v>
      </c>
      <c r="AN234">
        <v>0.49</v>
      </c>
      <c r="AO234">
        <v>0.46</v>
      </c>
      <c r="AP234">
        <v>0.61</v>
      </c>
      <c r="AQ234">
        <v>54.166699999999999</v>
      </c>
      <c r="AR234">
        <v>0.16669999999999999</v>
      </c>
      <c r="AS234">
        <v>25</v>
      </c>
      <c r="AT234">
        <v>37.5</v>
      </c>
      <c r="AU234">
        <v>25</v>
      </c>
      <c r="AV234">
        <v>29.166699999999999</v>
      </c>
      <c r="AW234">
        <v>54.166699999999999</v>
      </c>
      <c r="AX234">
        <v>0.83330000000000004</v>
      </c>
      <c r="AY234">
        <v>25</v>
      </c>
      <c r="AZ234">
        <v>0.125</v>
      </c>
      <c r="BA234">
        <v>0.25</v>
      </c>
      <c r="BB234">
        <v>0.25</v>
      </c>
      <c r="BC234">
        <v>0.20830000000000001</v>
      </c>
      <c r="BD234">
        <v>0.75</v>
      </c>
      <c r="BE234">
        <v>0</v>
      </c>
      <c r="BF234">
        <v>0</v>
      </c>
      <c r="BG234">
        <v>0</v>
      </c>
      <c r="BH234">
        <v>0</v>
      </c>
      <c r="BI234">
        <v>1</v>
      </c>
      <c r="BJ234">
        <v>1.75</v>
      </c>
      <c r="BK234">
        <v>0.5</v>
      </c>
      <c r="BL234">
        <v>1.0832999999999999</v>
      </c>
      <c r="BM234">
        <v>0.75</v>
      </c>
      <c r="BN234">
        <v>0.75</v>
      </c>
      <c r="BO234">
        <v>0.75</v>
      </c>
      <c r="BP234">
        <v>0.75</v>
      </c>
      <c r="BQ234">
        <v>12.5</v>
      </c>
      <c r="BR234">
        <v>79.166700000000006</v>
      </c>
      <c r="BS234">
        <v>8.3332999999999995</v>
      </c>
      <c r="BT234">
        <v>33.541699999999999</v>
      </c>
      <c r="BU234">
        <v>0.70830000000000004</v>
      </c>
      <c r="BV234">
        <v>6.5636999999999999</v>
      </c>
      <c r="BW234">
        <v>4.7545000000000002</v>
      </c>
      <c r="BX234">
        <v>93.436300000000003</v>
      </c>
      <c r="BY234">
        <v>0</v>
      </c>
      <c r="BZ234">
        <v>0</v>
      </c>
      <c r="CA234">
        <v>0</v>
      </c>
      <c r="CB234">
        <v>0</v>
      </c>
      <c r="CC234">
        <v>0</v>
      </c>
    </row>
    <row r="235" spans="2:81" x14ac:dyDescent="0.25">
      <c r="B235">
        <v>15.7</v>
      </c>
      <c r="C235">
        <v>8.1199999999999992</v>
      </c>
      <c r="D235">
        <v>11.67</v>
      </c>
      <c r="E235">
        <v>432</v>
      </c>
      <c r="F235">
        <v>293</v>
      </c>
      <c r="G235">
        <v>220</v>
      </c>
      <c r="H235">
        <v>945</v>
      </c>
      <c r="I235">
        <v>0</v>
      </c>
      <c r="J235">
        <v>1.0375000000000001</v>
      </c>
      <c r="K235">
        <v>0.92500000000000004</v>
      </c>
      <c r="L235">
        <v>0.95</v>
      </c>
      <c r="M235">
        <v>0.9708</v>
      </c>
      <c r="N235">
        <v>0.27260000000000001</v>
      </c>
      <c r="O235">
        <v>0.23250000000000001</v>
      </c>
      <c r="P235">
        <v>0.17749999999999999</v>
      </c>
      <c r="Q235">
        <v>0.22</v>
      </c>
      <c r="R235">
        <v>0.21</v>
      </c>
      <c r="S235">
        <v>0.1021</v>
      </c>
      <c r="T235">
        <v>0.53</v>
      </c>
      <c r="U235">
        <v>0.32</v>
      </c>
      <c r="V235">
        <v>0.36</v>
      </c>
      <c r="W235">
        <v>0.53</v>
      </c>
      <c r="X235">
        <v>4.6230000000000002</v>
      </c>
      <c r="Y235">
        <v>0</v>
      </c>
      <c r="Z235">
        <v>12.5</v>
      </c>
      <c r="AA235">
        <v>0</v>
      </c>
      <c r="AB235">
        <v>12.5</v>
      </c>
      <c r="AC235">
        <v>8.3332999999999995</v>
      </c>
      <c r="AD235">
        <v>79.166700000000006</v>
      </c>
      <c r="AE235">
        <v>0</v>
      </c>
      <c r="AF235">
        <v>87.5</v>
      </c>
      <c r="AG235">
        <v>79.166700000000006</v>
      </c>
      <c r="AH235">
        <v>0.30249999999999999</v>
      </c>
      <c r="AI235">
        <v>0.4138</v>
      </c>
      <c r="AJ235">
        <v>0.26500000000000001</v>
      </c>
      <c r="AK235">
        <v>0.3271</v>
      </c>
      <c r="AL235">
        <v>0.19070000000000001</v>
      </c>
      <c r="AM235">
        <v>0.67</v>
      </c>
      <c r="AN235">
        <v>0.93</v>
      </c>
      <c r="AO235">
        <v>0.36</v>
      </c>
      <c r="AP235">
        <v>0.93</v>
      </c>
      <c r="AQ235">
        <v>20.833300000000001</v>
      </c>
      <c r="AR235">
        <v>0.70830000000000004</v>
      </c>
      <c r="AS235">
        <v>25</v>
      </c>
      <c r="AT235">
        <v>0</v>
      </c>
      <c r="AU235">
        <v>0</v>
      </c>
      <c r="AV235">
        <v>8.3332999999999995</v>
      </c>
      <c r="AW235">
        <v>70.833299999999994</v>
      </c>
      <c r="AX235">
        <v>0.58330000000000004</v>
      </c>
      <c r="AY235">
        <v>16.666699999999999</v>
      </c>
      <c r="AZ235">
        <v>0</v>
      </c>
      <c r="BA235">
        <v>0</v>
      </c>
      <c r="BB235">
        <v>0</v>
      </c>
      <c r="BC235">
        <v>0</v>
      </c>
      <c r="BD235">
        <v>0.20830000000000001</v>
      </c>
      <c r="BE235">
        <v>1</v>
      </c>
      <c r="BF235">
        <v>1.5</v>
      </c>
      <c r="BG235">
        <v>1.25</v>
      </c>
      <c r="BH235">
        <v>1.25</v>
      </c>
      <c r="BI235">
        <v>0</v>
      </c>
      <c r="BJ235">
        <v>0</v>
      </c>
      <c r="BK235">
        <v>0</v>
      </c>
      <c r="BL235">
        <v>0</v>
      </c>
      <c r="BM235">
        <v>0</v>
      </c>
      <c r="BN235">
        <v>0.25</v>
      </c>
      <c r="BO235">
        <v>0</v>
      </c>
      <c r="BP235">
        <v>8.3299999999999999E-2</v>
      </c>
      <c r="BQ235">
        <v>0</v>
      </c>
      <c r="BR235">
        <v>70.833299999999994</v>
      </c>
      <c r="BS235">
        <v>29.166699999999999</v>
      </c>
      <c r="BT235">
        <v>47.5</v>
      </c>
      <c r="BU235">
        <v>0</v>
      </c>
      <c r="BV235">
        <v>98.1982</v>
      </c>
      <c r="BW235">
        <v>1.7753000000000001</v>
      </c>
      <c r="BX235">
        <v>1.8018000000000001</v>
      </c>
      <c r="BY235">
        <v>0</v>
      </c>
      <c r="BZ235">
        <v>0</v>
      </c>
      <c r="CA235">
        <v>0</v>
      </c>
      <c r="CB235">
        <v>0</v>
      </c>
      <c r="CC235">
        <v>0</v>
      </c>
    </row>
    <row r="236" spans="2:81" x14ac:dyDescent="0.25">
      <c r="B236">
        <v>23.2</v>
      </c>
      <c r="C236">
        <v>7.96</v>
      </c>
      <c r="D236">
        <v>10.3</v>
      </c>
      <c r="E236">
        <v>476</v>
      </c>
      <c r="F236">
        <v>504</v>
      </c>
      <c r="G236">
        <v>313</v>
      </c>
      <c r="H236">
        <v>1293</v>
      </c>
      <c r="I236">
        <v>9.2799999999999994E-2</v>
      </c>
      <c r="J236">
        <v>1.575</v>
      </c>
      <c r="K236">
        <v>3.6749999999999998</v>
      </c>
      <c r="L236">
        <v>2.7</v>
      </c>
      <c r="M236">
        <v>2.65</v>
      </c>
      <c r="N236">
        <v>1.2215</v>
      </c>
      <c r="O236">
        <v>0.22</v>
      </c>
      <c r="P236">
        <v>0.29830000000000001</v>
      </c>
      <c r="Q236">
        <v>0.16819999999999999</v>
      </c>
      <c r="R236">
        <v>0.2319</v>
      </c>
      <c r="S236">
        <v>8.6099999999999996E-2</v>
      </c>
      <c r="T236">
        <v>0.3</v>
      </c>
      <c r="U236">
        <v>0.42</v>
      </c>
      <c r="V236">
        <v>0.3</v>
      </c>
      <c r="W236">
        <v>0.42</v>
      </c>
      <c r="X236">
        <v>11.425599999999999</v>
      </c>
      <c r="Y236">
        <v>0</v>
      </c>
      <c r="Z236">
        <v>20.689699999999998</v>
      </c>
      <c r="AA236">
        <v>0</v>
      </c>
      <c r="AB236">
        <v>20.689699999999998</v>
      </c>
      <c r="AC236">
        <v>0</v>
      </c>
      <c r="AD236">
        <v>79.310299999999998</v>
      </c>
      <c r="AE236">
        <v>0</v>
      </c>
      <c r="AF236">
        <v>79.310299999999998</v>
      </c>
      <c r="AG236">
        <v>79.310299999999998</v>
      </c>
      <c r="AH236">
        <v>0.28000000000000003</v>
      </c>
      <c r="AI236">
        <v>8.2699999999999996E-2</v>
      </c>
      <c r="AJ236">
        <v>0.25</v>
      </c>
      <c r="AK236">
        <v>0.19159999999999999</v>
      </c>
      <c r="AL236">
        <v>0.1862</v>
      </c>
      <c r="AM236">
        <v>0.68</v>
      </c>
      <c r="AN236">
        <v>0.18</v>
      </c>
      <c r="AO236">
        <v>0.67</v>
      </c>
      <c r="AP236">
        <v>0.68</v>
      </c>
      <c r="AQ236">
        <v>25</v>
      </c>
      <c r="AR236">
        <v>0.375</v>
      </c>
      <c r="AS236">
        <v>25</v>
      </c>
      <c r="AT236">
        <v>75</v>
      </c>
      <c r="AU236">
        <v>12.5</v>
      </c>
      <c r="AV236">
        <v>37.5</v>
      </c>
      <c r="AW236">
        <v>37.5</v>
      </c>
      <c r="AX236">
        <v>1.25</v>
      </c>
      <c r="AY236">
        <v>41.666699999999999</v>
      </c>
      <c r="AZ236">
        <v>0</v>
      </c>
      <c r="BA236">
        <v>0</v>
      </c>
      <c r="BB236">
        <v>0.125</v>
      </c>
      <c r="BC236">
        <v>4.1700000000000001E-2</v>
      </c>
      <c r="BD236">
        <v>0.625</v>
      </c>
      <c r="BE236">
        <v>1</v>
      </c>
      <c r="BF236">
        <v>0.5</v>
      </c>
      <c r="BG236">
        <v>1</v>
      </c>
      <c r="BH236">
        <v>0.83330000000000004</v>
      </c>
      <c r="BI236">
        <v>0</v>
      </c>
      <c r="BJ236">
        <v>0</v>
      </c>
      <c r="BK236">
        <v>0.5</v>
      </c>
      <c r="BL236">
        <v>0.16669999999999999</v>
      </c>
      <c r="BM236">
        <v>0.5</v>
      </c>
      <c r="BN236">
        <v>1.25</v>
      </c>
      <c r="BO236">
        <v>0.5</v>
      </c>
      <c r="BP236">
        <v>0.75</v>
      </c>
      <c r="BQ236">
        <v>16.666699999999999</v>
      </c>
      <c r="BR236">
        <v>54.166699999999999</v>
      </c>
      <c r="BS236">
        <v>29.166699999999999</v>
      </c>
      <c r="BT236">
        <v>36.25</v>
      </c>
      <c r="BU236">
        <v>0.16669999999999999</v>
      </c>
      <c r="BV236">
        <v>42.117100000000001</v>
      </c>
      <c r="BW236">
        <v>12.079000000000001</v>
      </c>
      <c r="BX236">
        <v>57.882899999999999</v>
      </c>
      <c r="BY236">
        <v>0</v>
      </c>
      <c r="BZ236">
        <v>0</v>
      </c>
      <c r="CA236">
        <v>0</v>
      </c>
      <c r="CB236">
        <v>0</v>
      </c>
      <c r="CC236">
        <v>0</v>
      </c>
    </row>
    <row r="237" spans="2:81" x14ac:dyDescent="0.25">
      <c r="B237">
        <v>13.1</v>
      </c>
      <c r="C237">
        <v>7.91</v>
      </c>
      <c r="D237">
        <v>12.12</v>
      </c>
      <c r="E237">
        <v>251</v>
      </c>
      <c r="F237">
        <v>307</v>
      </c>
      <c r="G237">
        <v>178</v>
      </c>
      <c r="H237">
        <v>736</v>
      </c>
      <c r="I237">
        <v>0</v>
      </c>
      <c r="J237">
        <v>1.9624999999999999</v>
      </c>
      <c r="K237">
        <v>2.0625</v>
      </c>
      <c r="L237">
        <v>1.8875</v>
      </c>
      <c r="M237">
        <v>1.9708000000000001</v>
      </c>
      <c r="N237">
        <v>0.74219999999999997</v>
      </c>
      <c r="O237">
        <v>0.26</v>
      </c>
      <c r="P237">
        <v>0.21249999999999999</v>
      </c>
      <c r="Q237">
        <v>0.20250000000000001</v>
      </c>
      <c r="R237">
        <v>0.22500000000000001</v>
      </c>
      <c r="S237">
        <v>0.20300000000000001</v>
      </c>
      <c r="T237">
        <v>0.7</v>
      </c>
      <c r="U237">
        <v>0.84</v>
      </c>
      <c r="V237">
        <v>0.4</v>
      </c>
      <c r="W237">
        <v>0.84</v>
      </c>
      <c r="X237">
        <v>8.7592999999999996</v>
      </c>
      <c r="Y237">
        <v>0</v>
      </c>
      <c r="Z237">
        <v>4.3478000000000003</v>
      </c>
      <c r="AA237">
        <v>0</v>
      </c>
      <c r="AB237">
        <v>4.3478000000000003</v>
      </c>
      <c r="AC237">
        <v>0</v>
      </c>
      <c r="AD237">
        <v>95.652199999999993</v>
      </c>
      <c r="AE237">
        <v>0</v>
      </c>
      <c r="AF237">
        <v>95.652199999999993</v>
      </c>
      <c r="AG237">
        <v>95.652199999999993</v>
      </c>
      <c r="AH237">
        <v>0.1613</v>
      </c>
      <c r="AI237">
        <v>0.125</v>
      </c>
      <c r="AJ237">
        <v>0.1363</v>
      </c>
      <c r="AK237">
        <v>0.14080000000000001</v>
      </c>
      <c r="AL237">
        <v>8.7099999999999997E-2</v>
      </c>
      <c r="AM237">
        <v>0.28999999999999998</v>
      </c>
      <c r="AN237">
        <v>0.25</v>
      </c>
      <c r="AO237">
        <v>0.28000000000000003</v>
      </c>
      <c r="AP237">
        <v>0.28999999999999998</v>
      </c>
      <c r="AQ237">
        <v>41.666699999999999</v>
      </c>
      <c r="AR237">
        <v>0.29170000000000001</v>
      </c>
      <c r="AS237">
        <v>37.5</v>
      </c>
      <c r="AT237">
        <v>12.5</v>
      </c>
      <c r="AU237">
        <v>37.5</v>
      </c>
      <c r="AV237">
        <v>29.166699999999999</v>
      </c>
      <c r="AW237">
        <v>41.666699999999999</v>
      </c>
      <c r="AX237">
        <v>1.75</v>
      </c>
      <c r="AY237">
        <v>58.333300000000001</v>
      </c>
      <c r="AZ237">
        <v>0.375</v>
      </c>
      <c r="BA237">
        <v>0.625</v>
      </c>
      <c r="BB237">
        <v>0.5</v>
      </c>
      <c r="BC237">
        <v>0.5</v>
      </c>
      <c r="BD237">
        <v>1.1667000000000001</v>
      </c>
      <c r="BE237">
        <v>0.5</v>
      </c>
      <c r="BF237">
        <v>0</v>
      </c>
      <c r="BG237">
        <v>0.75</v>
      </c>
      <c r="BH237">
        <v>0.41670000000000001</v>
      </c>
      <c r="BI237">
        <v>0.75</v>
      </c>
      <c r="BJ237">
        <v>0.25</v>
      </c>
      <c r="BK237">
        <v>1.25</v>
      </c>
      <c r="BL237">
        <v>0.75</v>
      </c>
      <c r="BM237">
        <v>0.75</v>
      </c>
      <c r="BN237">
        <v>0.25</v>
      </c>
      <c r="BO237">
        <v>0.75</v>
      </c>
      <c r="BP237">
        <v>0.58330000000000004</v>
      </c>
      <c r="BQ237">
        <v>37.5</v>
      </c>
      <c r="BR237">
        <v>54.166699999999999</v>
      </c>
      <c r="BS237">
        <v>8.3332999999999995</v>
      </c>
      <c r="BT237">
        <v>25.416699999999999</v>
      </c>
      <c r="BU237">
        <v>1.2082999999999999</v>
      </c>
      <c r="BV237">
        <v>7.8078000000000003</v>
      </c>
      <c r="BW237">
        <v>6.1864999999999997</v>
      </c>
      <c r="BX237">
        <v>92.1922</v>
      </c>
      <c r="BY237">
        <v>0</v>
      </c>
      <c r="BZ237">
        <v>0</v>
      </c>
      <c r="CA237">
        <v>0</v>
      </c>
      <c r="CB237">
        <v>0</v>
      </c>
      <c r="CC237">
        <v>0</v>
      </c>
    </row>
    <row r="238" spans="2:81" x14ac:dyDescent="0.25">
      <c r="B238">
        <v>25.7</v>
      </c>
      <c r="C238">
        <v>8.67</v>
      </c>
      <c r="D238">
        <v>12.74</v>
      </c>
      <c r="E238">
        <v>249</v>
      </c>
      <c r="F238">
        <v>225</v>
      </c>
      <c r="G238">
        <v>159</v>
      </c>
      <c r="H238">
        <v>633</v>
      </c>
      <c r="I238">
        <v>0</v>
      </c>
      <c r="J238">
        <v>2.0375000000000001</v>
      </c>
      <c r="K238">
        <v>1.6125</v>
      </c>
      <c r="L238">
        <v>1.9375</v>
      </c>
      <c r="M238">
        <v>1.8625</v>
      </c>
      <c r="N238">
        <v>0.59699999999999998</v>
      </c>
      <c r="O238">
        <v>0.1313</v>
      </c>
      <c r="P238">
        <v>0.2273</v>
      </c>
      <c r="Q238">
        <v>0.14829999999999999</v>
      </c>
      <c r="R238">
        <v>0.1719</v>
      </c>
      <c r="S238">
        <v>0.17699999999999999</v>
      </c>
      <c r="T238">
        <v>0.24</v>
      </c>
      <c r="U238">
        <v>0.86</v>
      </c>
      <c r="V238">
        <v>0.42</v>
      </c>
      <c r="W238">
        <v>0.86</v>
      </c>
      <c r="X238">
        <v>10.832599999999999</v>
      </c>
      <c r="Y238">
        <v>7.1429</v>
      </c>
      <c r="Z238">
        <v>3.5714000000000001</v>
      </c>
      <c r="AA238">
        <v>0</v>
      </c>
      <c r="AB238">
        <v>10.7143</v>
      </c>
      <c r="AC238">
        <v>3.5714000000000001</v>
      </c>
      <c r="AD238">
        <v>82.142899999999997</v>
      </c>
      <c r="AE238">
        <v>3.5714000000000001</v>
      </c>
      <c r="AF238">
        <v>89.285700000000006</v>
      </c>
      <c r="AG238">
        <v>82.142899999999997</v>
      </c>
      <c r="AH238">
        <v>0.16250000000000001</v>
      </c>
      <c r="AI238">
        <v>0.15</v>
      </c>
      <c r="AJ238">
        <v>0.1273</v>
      </c>
      <c r="AK238">
        <v>0.16769999999999999</v>
      </c>
      <c r="AL238">
        <v>0.188</v>
      </c>
      <c r="AM238">
        <v>0.36</v>
      </c>
      <c r="AN238">
        <v>0.39</v>
      </c>
      <c r="AO238">
        <v>0.25</v>
      </c>
      <c r="AP238">
        <v>0.39</v>
      </c>
      <c r="AQ238">
        <v>29.166699999999999</v>
      </c>
      <c r="AR238">
        <v>0.58330000000000004</v>
      </c>
      <c r="AS238">
        <v>0</v>
      </c>
      <c r="AT238">
        <v>25</v>
      </c>
      <c r="AU238">
        <v>12.5</v>
      </c>
      <c r="AV238">
        <v>12.5</v>
      </c>
      <c r="AW238">
        <v>58.333300000000001</v>
      </c>
      <c r="AX238">
        <v>1.8332999999999999</v>
      </c>
      <c r="AY238">
        <v>75</v>
      </c>
      <c r="AZ238">
        <v>0.125</v>
      </c>
      <c r="BA238">
        <v>0.25</v>
      </c>
      <c r="BB238">
        <v>0</v>
      </c>
      <c r="BC238">
        <v>0.125</v>
      </c>
      <c r="BD238">
        <v>0.29170000000000001</v>
      </c>
      <c r="BE238">
        <v>0.25</v>
      </c>
      <c r="BF238">
        <v>0.25</v>
      </c>
      <c r="BG238">
        <v>0</v>
      </c>
      <c r="BH238">
        <v>0.16669999999999999</v>
      </c>
      <c r="BI238">
        <v>0.5</v>
      </c>
      <c r="BJ238">
        <v>1</v>
      </c>
      <c r="BK238">
        <v>0.25</v>
      </c>
      <c r="BL238">
        <v>0.58330000000000004</v>
      </c>
      <c r="BM238">
        <v>0.25</v>
      </c>
      <c r="BN238">
        <v>1</v>
      </c>
      <c r="BO238">
        <v>0.5</v>
      </c>
      <c r="BP238">
        <v>0.58330000000000004</v>
      </c>
      <c r="BQ238">
        <v>37.5</v>
      </c>
      <c r="BR238">
        <v>41.666699999999999</v>
      </c>
      <c r="BS238">
        <v>20.833300000000001</v>
      </c>
      <c r="BT238">
        <v>30.833300000000001</v>
      </c>
      <c r="BU238">
        <v>0.75</v>
      </c>
      <c r="BV238">
        <v>55.067599999999999</v>
      </c>
      <c r="BW238">
        <v>15.7598</v>
      </c>
      <c r="BX238">
        <v>44.932400000000001</v>
      </c>
      <c r="BY238">
        <v>0</v>
      </c>
      <c r="BZ238">
        <v>0</v>
      </c>
      <c r="CA238">
        <v>0</v>
      </c>
      <c r="CB238">
        <v>0</v>
      </c>
      <c r="CC238">
        <v>0</v>
      </c>
    </row>
    <row r="239" spans="2:81" x14ac:dyDescent="0.25">
      <c r="B239">
        <v>12.5</v>
      </c>
      <c r="C239">
        <v>8.5</v>
      </c>
      <c r="D239">
        <v>10.3</v>
      </c>
      <c r="E239">
        <v>477</v>
      </c>
      <c r="F239">
        <v>537</v>
      </c>
      <c r="G239">
        <v>484</v>
      </c>
      <c r="H239">
        <v>1498</v>
      </c>
      <c r="I239">
        <v>0</v>
      </c>
      <c r="J239">
        <v>0.95</v>
      </c>
      <c r="K239">
        <v>0.6875</v>
      </c>
      <c r="L239">
        <v>1.1000000000000001</v>
      </c>
      <c r="M239">
        <v>0.91249999999999998</v>
      </c>
      <c r="N239">
        <v>0.24010000000000001</v>
      </c>
      <c r="O239">
        <v>0.28249999999999997</v>
      </c>
      <c r="P239">
        <v>0.30499999999999999</v>
      </c>
      <c r="Q239">
        <v>0.46</v>
      </c>
      <c r="R239">
        <v>0.34920000000000001</v>
      </c>
      <c r="S239">
        <v>0.35909999999999997</v>
      </c>
      <c r="T239">
        <v>0.42</v>
      </c>
      <c r="U239">
        <v>0.4</v>
      </c>
      <c r="V239">
        <v>2</v>
      </c>
      <c r="W239">
        <v>2</v>
      </c>
      <c r="X239">
        <v>2.6133999999999999</v>
      </c>
      <c r="Y239">
        <v>0</v>
      </c>
      <c r="Z239">
        <v>100</v>
      </c>
      <c r="AA239">
        <v>0</v>
      </c>
      <c r="AB239">
        <v>100</v>
      </c>
      <c r="AC239">
        <v>0</v>
      </c>
      <c r="AD239">
        <v>0</v>
      </c>
      <c r="AE239">
        <v>0</v>
      </c>
      <c r="AF239">
        <v>0</v>
      </c>
      <c r="AG239">
        <v>100</v>
      </c>
      <c r="AH239">
        <v>7.0000000000000007E-2</v>
      </c>
      <c r="AI239">
        <v>0.13250000000000001</v>
      </c>
      <c r="AJ239">
        <v>0.13</v>
      </c>
      <c r="AK239">
        <v>0.1108</v>
      </c>
      <c r="AL239">
        <v>6.2700000000000006E-2</v>
      </c>
      <c r="AM239">
        <v>0.14000000000000001</v>
      </c>
      <c r="AN239">
        <v>0.28999999999999998</v>
      </c>
      <c r="AO239">
        <v>0.19</v>
      </c>
      <c r="AP239">
        <v>0.28999999999999998</v>
      </c>
      <c r="AQ239">
        <v>0</v>
      </c>
      <c r="AR239">
        <v>0.20830000000000001</v>
      </c>
      <c r="AS239">
        <v>50</v>
      </c>
      <c r="AT239">
        <v>100</v>
      </c>
      <c r="AU239">
        <v>87.5</v>
      </c>
      <c r="AV239">
        <v>79.166700000000006</v>
      </c>
      <c r="AW239">
        <v>75</v>
      </c>
      <c r="AX239">
        <v>0</v>
      </c>
      <c r="AY239">
        <v>0</v>
      </c>
      <c r="AZ239">
        <v>0</v>
      </c>
      <c r="BA239">
        <v>0</v>
      </c>
      <c r="BB239">
        <v>0</v>
      </c>
      <c r="BC239">
        <v>0</v>
      </c>
      <c r="BD239">
        <v>0.125</v>
      </c>
      <c r="BE239">
        <v>0</v>
      </c>
      <c r="BF239">
        <v>0</v>
      </c>
      <c r="BG239">
        <v>0</v>
      </c>
      <c r="BH239">
        <v>0</v>
      </c>
      <c r="BI239">
        <v>0</v>
      </c>
      <c r="BJ239">
        <v>0</v>
      </c>
      <c r="BK239">
        <v>0</v>
      </c>
      <c r="BL239">
        <v>0</v>
      </c>
      <c r="BM239">
        <v>0.75</v>
      </c>
      <c r="BN239">
        <v>0</v>
      </c>
      <c r="BO239">
        <v>1</v>
      </c>
      <c r="BP239">
        <v>0.58330000000000004</v>
      </c>
      <c r="BQ239">
        <v>8.3332999999999995</v>
      </c>
      <c r="BR239">
        <v>91.666700000000006</v>
      </c>
      <c r="BS239">
        <v>0</v>
      </c>
      <c r="BT239">
        <v>32.708300000000001</v>
      </c>
      <c r="BU239">
        <v>0.54169999999999996</v>
      </c>
      <c r="BV239">
        <v>80.180199999999999</v>
      </c>
      <c r="BW239">
        <v>11.26</v>
      </c>
      <c r="BX239">
        <v>19.819800000000001</v>
      </c>
      <c r="BY239">
        <v>0</v>
      </c>
      <c r="BZ239">
        <v>0</v>
      </c>
      <c r="CA239">
        <v>0</v>
      </c>
      <c r="CB239">
        <v>0</v>
      </c>
      <c r="CC239">
        <v>0</v>
      </c>
    </row>
    <row r="240" spans="2:81" x14ac:dyDescent="0.25">
      <c r="B240">
        <v>15.4</v>
      </c>
      <c r="C240">
        <v>8.1300000000000008</v>
      </c>
      <c r="D240">
        <v>10.86</v>
      </c>
      <c r="E240">
        <v>1173</v>
      </c>
      <c r="F240">
        <v>674</v>
      </c>
      <c r="G240">
        <v>1484</v>
      </c>
      <c r="H240">
        <v>3331</v>
      </c>
      <c r="I240">
        <v>1.5490999999999999</v>
      </c>
      <c r="J240">
        <v>7.5625</v>
      </c>
      <c r="K240">
        <v>5.15</v>
      </c>
      <c r="L240">
        <v>5.7249999999999996</v>
      </c>
      <c r="M240">
        <v>6.1458000000000004</v>
      </c>
      <c r="N240">
        <v>1.7788999999999999</v>
      </c>
      <c r="O240">
        <v>0.30380000000000001</v>
      </c>
      <c r="P240">
        <v>0.26750000000000002</v>
      </c>
      <c r="Q240">
        <v>0.17130000000000001</v>
      </c>
      <c r="R240">
        <v>0.2475</v>
      </c>
      <c r="S240">
        <v>0.12909999999999999</v>
      </c>
      <c r="T240">
        <v>0.5</v>
      </c>
      <c r="U240">
        <v>0.48</v>
      </c>
      <c r="V240">
        <v>0.62</v>
      </c>
      <c r="W240">
        <v>0.62</v>
      </c>
      <c r="X240">
        <v>24.831600000000002</v>
      </c>
      <c r="Y240">
        <v>0</v>
      </c>
      <c r="Z240">
        <v>4.5454999999999997</v>
      </c>
      <c r="AA240">
        <v>0</v>
      </c>
      <c r="AB240">
        <v>4.5454999999999997</v>
      </c>
      <c r="AC240">
        <v>2.2726999999999999</v>
      </c>
      <c r="AD240">
        <v>93.181799999999996</v>
      </c>
      <c r="AE240">
        <v>0</v>
      </c>
      <c r="AF240">
        <v>95.454499999999996</v>
      </c>
      <c r="AG240">
        <v>93.181799999999996</v>
      </c>
      <c r="AH240">
        <v>0.31</v>
      </c>
      <c r="AI240">
        <v>0.39269999999999999</v>
      </c>
      <c r="AJ240">
        <v>0.4027</v>
      </c>
      <c r="AK240">
        <v>0.36649999999999999</v>
      </c>
      <c r="AL240">
        <v>0.2462</v>
      </c>
      <c r="AM240">
        <v>1.04</v>
      </c>
      <c r="AN240">
        <v>0.88</v>
      </c>
      <c r="AO240">
        <v>0.86</v>
      </c>
      <c r="AP240">
        <v>1.04</v>
      </c>
      <c r="AQ240">
        <v>50</v>
      </c>
      <c r="AR240">
        <v>0.39129999999999998</v>
      </c>
      <c r="AS240">
        <v>0</v>
      </c>
      <c r="AT240">
        <v>12.5</v>
      </c>
      <c r="AU240">
        <v>12.5</v>
      </c>
      <c r="AV240">
        <v>8.3332999999999995</v>
      </c>
      <c r="AW240">
        <v>50</v>
      </c>
      <c r="AX240">
        <v>1.1667000000000001</v>
      </c>
      <c r="AY240">
        <v>41.666699999999999</v>
      </c>
      <c r="AZ240">
        <v>0</v>
      </c>
      <c r="BA240">
        <v>0</v>
      </c>
      <c r="BB240">
        <v>0.25</v>
      </c>
      <c r="BC240">
        <v>8.3299999999999999E-2</v>
      </c>
      <c r="BD240">
        <v>0.33329999999999999</v>
      </c>
      <c r="BE240">
        <v>0.5</v>
      </c>
      <c r="BF240">
        <v>1</v>
      </c>
      <c r="BG240">
        <v>0</v>
      </c>
      <c r="BH240">
        <v>0.5</v>
      </c>
      <c r="BI240">
        <v>0.75</v>
      </c>
      <c r="BJ240">
        <v>1.75</v>
      </c>
      <c r="BK240">
        <v>0.25</v>
      </c>
      <c r="BL240">
        <v>0.91669999999999996</v>
      </c>
      <c r="BM240">
        <v>0.75</v>
      </c>
      <c r="BN240">
        <v>0.25</v>
      </c>
      <c r="BO240">
        <v>0</v>
      </c>
      <c r="BP240">
        <v>0.33329999999999999</v>
      </c>
      <c r="BQ240">
        <v>12.5</v>
      </c>
      <c r="BR240">
        <v>87.5</v>
      </c>
      <c r="BS240">
        <v>0</v>
      </c>
      <c r="BT240">
        <v>33.333300000000001</v>
      </c>
      <c r="BU240">
        <v>0.20830000000000001</v>
      </c>
      <c r="BV240">
        <v>61.636600000000001</v>
      </c>
      <c r="BW240">
        <v>15.105</v>
      </c>
      <c r="BX240">
        <v>38.363399999999999</v>
      </c>
      <c r="BY240">
        <v>0</v>
      </c>
      <c r="BZ240">
        <v>0</v>
      </c>
      <c r="CA240">
        <v>0</v>
      </c>
      <c r="CB240">
        <v>0</v>
      </c>
      <c r="CC240">
        <v>0</v>
      </c>
    </row>
    <row r="241" spans="2:81" x14ac:dyDescent="0.25">
      <c r="B241">
        <v>19.2</v>
      </c>
      <c r="C241">
        <v>8.32</v>
      </c>
      <c r="D241">
        <v>14.31</v>
      </c>
      <c r="E241">
        <v>739</v>
      </c>
      <c r="F241">
        <v>554</v>
      </c>
      <c r="G241">
        <v>555</v>
      </c>
      <c r="H241">
        <v>1848</v>
      </c>
      <c r="I241">
        <v>0</v>
      </c>
      <c r="J241">
        <v>3.0750000000000002</v>
      </c>
      <c r="K241">
        <v>2.7</v>
      </c>
      <c r="L241">
        <v>3.1857000000000002</v>
      </c>
      <c r="M241">
        <v>2.9782999999999999</v>
      </c>
      <c r="N241">
        <v>0.83830000000000005</v>
      </c>
      <c r="O241">
        <v>0.27500000000000002</v>
      </c>
      <c r="P241">
        <v>0.23330000000000001</v>
      </c>
      <c r="Q241">
        <v>0.19089999999999999</v>
      </c>
      <c r="R241">
        <v>0.23430000000000001</v>
      </c>
      <c r="S241">
        <v>0.13639999999999999</v>
      </c>
      <c r="T241">
        <v>0.62</v>
      </c>
      <c r="U241">
        <v>0.52</v>
      </c>
      <c r="V241">
        <v>0.5</v>
      </c>
      <c r="W241">
        <v>0.62</v>
      </c>
      <c r="X241">
        <v>12.7121</v>
      </c>
      <c r="Y241">
        <v>2.9411999999999998</v>
      </c>
      <c r="Z241">
        <v>5.8823999999999996</v>
      </c>
      <c r="AA241">
        <v>0</v>
      </c>
      <c r="AB241">
        <v>8.8234999999999992</v>
      </c>
      <c r="AC241">
        <v>14.7059</v>
      </c>
      <c r="AD241">
        <v>76.470600000000005</v>
      </c>
      <c r="AE241">
        <v>0</v>
      </c>
      <c r="AF241">
        <v>91.176500000000004</v>
      </c>
      <c r="AG241">
        <v>76.470600000000005</v>
      </c>
      <c r="AH241">
        <v>0.1464</v>
      </c>
      <c r="AI241">
        <v>0.31</v>
      </c>
      <c r="AJ241">
        <v>0.27</v>
      </c>
      <c r="AK241">
        <v>0.24199999999999999</v>
      </c>
      <c r="AL241">
        <v>0.17180000000000001</v>
      </c>
      <c r="AM241">
        <v>0.26</v>
      </c>
      <c r="AN241">
        <v>0.86</v>
      </c>
      <c r="AO241">
        <v>0.5</v>
      </c>
      <c r="AP241">
        <v>0.86</v>
      </c>
      <c r="AQ241">
        <v>37.5</v>
      </c>
      <c r="AR241">
        <v>0.41670000000000001</v>
      </c>
      <c r="AS241">
        <v>12.5</v>
      </c>
      <c r="AT241">
        <v>37.5</v>
      </c>
      <c r="AU241">
        <v>12.5</v>
      </c>
      <c r="AV241">
        <v>20.833300000000001</v>
      </c>
      <c r="AW241">
        <v>41.666699999999999</v>
      </c>
      <c r="AX241">
        <v>2</v>
      </c>
      <c r="AY241">
        <v>75</v>
      </c>
      <c r="AZ241">
        <v>0.125</v>
      </c>
      <c r="BA241">
        <v>0</v>
      </c>
      <c r="BB241">
        <v>0</v>
      </c>
      <c r="BC241">
        <v>4.1700000000000001E-2</v>
      </c>
      <c r="BD241">
        <v>0</v>
      </c>
      <c r="BE241">
        <v>1</v>
      </c>
      <c r="BF241">
        <v>1</v>
      </c>
      <c r="BG241">
        <v>0</v>
      </c>
      <c r="BH241">
        <v>0.66669999999999996</v>
      </c>
      <c r="BI241">
        <v>0</v>
      </c>
      <c r="BJ241">
        <v>0</v>
      </c>
      <c r="BK241">
        <v>0</v>
      </c>
      <c r="BL241">
        <v>0</v>
      </c>
      <c r="BM241">
        <v>0.75</v>
      </c>
      <c r="BN241">
        <v>1</v>
      </c>
      <c r="BO241">
        <v>1</v>
      </c>
      <c r="BP241">
        <v>0.91669999999999996</v>
      </c>
      <c r="BQ241">
        <v>20.833300000000001</v>
      </c>
      <c r="BR241">
        <v>58.333300000000001</v>
      </c>
      <c r="BS241">
        <v>20.833300000000001</v>
      </c>
      <c r="BT241">
        <v>34.791699999999999</v>
      </c>
      <c r="BU241">
        <v>1.7082999999999999</v>
      </c>
      <c r="BV241">
        <v>100</v>
      </c>
      <c r="BW241">
        <v>0</v>
      </c>
      <c r="BX241">
        <v>0</v>
      </c>
      <c r="BY241">
        <v>0</v>
      </c>
      <c r="BZ241">
        <v>0</v>
      </c>
      <c r="CA241">
        <v>0</v>
      </c>
      <c r="CB241">
        <v>0</v>
      </c>
      <c r="CC241">
        <v>0</v>
      </c>
    </row>
    <row r="242" spans="2:81" x14ac:dyDescent="0.25">
      <c r="B242">
        <v>14.3</v>
      </c>
      <c r="C242">
        <v>8.66</v>
      </c>
      <c r="D242">
        <v>9.94</v>
      </c>
      <c r="E242">
        <v>214</v>
      </c>
      <c r="F242">
        <v>276</v>
      </c>
      <c r="G242">
        <v>882</v>
      </c>
      <c r="H242">
        <v>1372</v>
      </c>
      <c r="I242">
        <v>4.3700000000000003E-2</v>
      </c>
      <c r="J242">
        <v>1.4125000000000001</v>
      </c>
      <c r="K242">
        <v>1.9624999999999999</v>
      </c>
      <c r="L242">
        <v>2.2999999999999998</v>
      </c>
      <c r="M242">
        <v>1.8916999999999999</v>
      </c>
      <c r="N242">
        <v>0.55079999999999996</v>
      </c>
      <c r="O242">
        <v>0.2</v>
      </c>
      <c r="P242">
        <v>0.218</v>
      </c>
      <c r="Q242">
        <v>0.26500000000000001</v>
      </c>
      <c r="R242">
        <v>0.22689999999999999</v>
      </c>
      <c r="S242">
        <v>7.8799999999999995E-2</v>
      </c>
      <c r="T242">
        <v>0.28000000000000003</v>
      </c>
      <c r="U242">
        <v>0.4</v>
      </c>
      <c r="V242">
        <v>0.38</v>
      </c>
      <c r="W242">
        <v>0.4</v>
      </c>
      <c r="X242">
        <v>8.3361999999999998</v>
      </c>
      <c r="Y242">
        <v>0</v>
      </c>
      <c r="Z242">
        <v>11.538500000000001</v>
      </c>
      <c r="AA242">
        <v>0</v>
      </c>
      <c r="AB242">
        <v>11.538500000000001</v>
      </c>
      <c r="AC242">
        <v>19.230799999999999</v>
      </c>
      <c r="AD242">
        <v>69.230800000000002</v>
      </c>
      <c r="AE242">
        <v>0</v>
      </c>
      <c r="AF242">
        <v>88.461500000000001</v>
      </c>
      <c r="AG242">
        <v>69.230800000000002</v>
      </c>
      <c r="AH242">
        <v>0.58630000000000004</v>
      </c>
      <c r="AI242">
        <v>0.52100000000000002</v>
      </c>
      <c r="AJ242">
        <v>0.30380000000000001</v>
      </c>
      <c r="AK242">
        <v>0.47420000000000001</v>
      </c>
      <c r="AL242">
        <v>0.20860000000000001</v>
      </c>
      <c r="AM242">
        <v>0.99</v>
      </c>
      <c r="AN242">
        <v>0.95</v>
      </c>
      <c r="AO242">
        <v>0.42</v>
      </c>
      <c r="AP242">
        <v>0.99</v>
      </c>
      <c r="AQ242">
        <v>29.166699999999999</v>
      </c>
      <c r="AR242">
        <v>0.70830000000000004</v>
      </c>
      <c r="AS242">
        <v>0</v>
      </c>
      <c r="AT242">
        <v>0</v>
      </c>
      <c r="AU242">
        <v>0</v>
      </c>
      <c r="AV242">
        <v>0</v>
      </c>
      <c r="AW242">
        <v>70.833299999999994</v>
      </c>
      <c r="AX242">
        <v>2.5455000000000001</v>
      </c>
      <c r="AY242">
        <v>75</v>
      </c>
      <c r="AZ242">
        <v>0.5</v>
      </c>
      <c r="BA242">
        <v>0.75</v>
      </c>
      <c r="BB242">
        <v>0.875</v>
      </c>
      <c r="BC242">
        <v>0.70830000000000004</v>
      </c>
      <c r="BD242">
        <v>0.41670000000000001</v>
      </c>
      <c r="BE242">
        <v>0.5</v>
      </c>
      <c r="BF242">
        <v>0</v>
      </c>
      <c r="BG242">
        <v>0</v>
      </c>
      <c r="BH242">
        <v>0.16669999999999999</v>
      </c>
      <c r="BI242">
        <v>0.25</v>
      </c>
      <c r="BJ242">
        <v>1.25</v>
      </c>
      <c r="BK242">
        <v>0.25</v>
      </c>
      <c r="BL242">
        <v>0.58330000000000004</v>
      </c>
      <c r="BM242">
        <v>0</v>
      </c>
      <c r="BN242">
        <v>0</v>
      </c>
      <c r="BO242">
        <v>0.25</v>
      </c>
      <c r="BP242">
        <v>8.3299999999999999E-2</v>
      </c>
      <c r="BQ242">
        <v>4.1666999999999996</v>
      </c>
      <c r="BR242">
        <v>75</v>
      </c>
      <c r="BS242">
        <v>20.833300000000001</v>
      </c>
      <c r="BT242">
        <v>39.125</v>
      </c>
      <c r="BU242">
        <v>0.83330000000000004</v>
      </c>
      <c r="BV242">
        <v>7.4324000000000003</v>
      </c>
      <c r="BW242">
        <v>5.1189999999999998</v>
      </c>
      <c r="BX242">
        <v>92.567599999999999</v>
      </c>
      <c r="BY242">
        <v>0</v>
      </c>
      <c r="BZ242">
        <v>0</v>
      </c>
      <c r="CA242">
        <v>0</v>
      </c>
      <c r="CB242">
        <v>0</v>
      </c>
      <c r="CC242">
        <v>0</v>
      </c>
    </row>
    <row r="243" spans="2:81" x14ac:dyDescent="0.25">
      <c r="B243">
        <v>18</v>
      </c>
      <c r="C243">
        <v>8.33</v>
      </c>
      <c r="D243">
        <v>12.17</v>
      </c>
      <c r="E243">
        <v>531</v>
      </c>
      <c r="F243">
        <v>357</v>
      </c>
      <c r="G243">
        <v>664</v>
      </c>
      <c r="H243">
        <v>1552</v>
      </c>
      <c r="I243">
        <v>0.65720000000000001</v>
      </c>
      <c r="J243">
        <v>3.8125</v>
      </c>
      <c r="K243">
        <v>2.6875</v>
      </c>
      <c r="L243">
        <v>2.7374999999999998</v>
      </c>
      <c r="M243">
        <v>3.0792000000000002</v>
      </c>
      <c r="N243">
        <v>0.93340000000000001</v>
      </c>
      <c r="O243">
        <v>0.31</v>
      </c>
      <c r="P243">
        <v>0.16819999999999999</v>
      </c>
      <c r="Q243">
        <v>0.26669999999999999</v>
      </c>
      <c r="R243">
        <v>0.25059999999999999</v>
      </c>
      <c r="S243">
        <v>0.17810000000000001</v>
      </c>
      <c r="T243">
        <v>0.74</v>
      </c>
      <c r="U243">
        <v>0.26</v>
      </c>
      <c r="V243">
        <v>0.72</v>
      </c>
      <c r="W243">
        <v>0.74</v>
      </c>
      <c r="X243">
        <v>12.288600000000001</v>
      </c>
      <c r="Y243">
        <v>0</v>
      </c>
      <c r="Z243">
        <v>0</v>
      </c>
      <c r="AA243">
        <v>0</v>
      </c>
      <c r="AB243">
        <v>0</v>
      </c>
      <c r="AC243">
        <v>3.3332999999999999</v>
      </c>
      <c r="AD243">
        <v>96.666700000000006</v>
      </c>
      <c r="AE243">
        <v>0</v>
      </c>
      <c r="AF243">
        <v>100</v>
      </c>
      <c r="AG243">
        <v>96.666700000000006</v>
      </c>
      <c r="AH243">
        <v>0.11550000000000001</v>
      </c>
      <c r="AI243">
        <v>0.28999999999999998</v>
      </c>
      <c r="AJ243">
        <v>0.2409</v>
      </c>
      <c r="AK243">
        <v>0.19769999999999999</v>
      </c>
      <c r="AL243">
        <v>0.20319999999999999</v>
      </c>
      <c r="AM243">
        <v>0.45</v>
      </c>
      <c r="AN243">
        <v>0.94</v>
      </c>
      <c r="AO243">
        <v>0.56999999999999995</v>
      </c>
      <c r="AP243">
        <v>0.94</v>
      </c>
      <c r="AQ243">
        <v>33.333300000000001</v>
      </c>
      <c r="AR243">
        <v>0.45829999999999999</v>
      </c>
      <c r="AS243">
        <v>50</v>
      </c>
      <c r="AT243">
        <v>0</v>
      </c>
      <c r="AU243">
        <v>12.5</v>
      </c>
      <c r="AV243">
        <v>20.833300000000001</v>
      </c>
      <c r="AW243">
        <v>45.833300000000001</v>
      </c>
      <c r="AX243">
        <v>1.5</v>
      </c>
      <c r="AY243">
        <v>50</v>
      </c>
      <c r="AZ243">
        <v>0.125</v>
      </c>
      <c r="BA243">
        <v>0.25</v>
      </c>
      <c r="BB243">
        <v>0.375</v>
      </c>
      <c r="BC243">
        <v>0.25</v>
      </c>
      <c r="BD243">
        <v>0.58330000000000004</v>
      </c>
      <c r="BE243">
        <v>0.25</v>
      </c>
      <c r="BF243">
        <v>1</v>
      </c>
      <c r="BG243">
        <v>0.5</v>
      </c>
      <c r="BH243">
        <v>0.58330000000000004</v>
      </c>
      <c r="BI243">
        <v>0.25</v>
      </c>
      <c r="BJ243">
        <v>0</v>
      </c>
      <c r="BK243">
        <v>0.25</v>
      </c>
      <c r="BL243">
        <v>0.16669999999999999</v>
      </c>
      <c r="BM243">
        <v>1.5</v>
      </c>
      <c r="BN243">
        <v>0</v>
      </c>
      <c r="BO243">
        <v>0.75</v>
      </c>
      <c r="BP243">
        <v>0.75</v>
      </c>
      <c r="BQ243">
        <v>29.166699999999999</v>
      </c>
      <c r="BR243">
        <v>45.833300000000001</v>
      </c>
      <c r="BS243">
        <v>25</v>
      </c>
      <c r="BT243">
        <v>31.875</v>
      </c>
      <c r="BU243">
        <v>0.83330000000000004</v>
      </c>
      <c r="BV243">
        <v>53.753799999999998</v>
      </c>
      <c r="BW243">
        <v>15.9208</v>
      </c>
      <c r="BX243">
        <v>46.246200000000002</v>
      </c>
      <c r="BY243">
        <v>0</v>
      </c>
      <c r="BZ243">
        <v>0</v>
      </c>
      <c r="CA243">
        <v>0</v>
      </c>
      <c r="CB243">
        <v>0</v>
      </c>
      <c r="CC243">
        <v>0</v>
      </c>
    </row>
    <row r="244" spans="2:81" x14ac:dyDescent="0.25">
      <c r="B244">
        <v>20</v>
      </c>
      <c r="C244">
        <v>8.6199999999999992</v>
      </c>
      <c r="D244">
        <v>9.92</v>
      </c>
      <c r="E244">
        <v>234</v>
      </c>
      <c r="F244">
        <v>234</v>
      </c>
      <c r="G244">
        <v>234</v>
      </c>
      <c r="H244">
        <v>702</v>
      </c>
      <c r="I244">
        <v>0</v>
      </c>
      <c r="J244">
        <v>1.5375000000000001</v>
      </c>
      <c r="K244">
        <v>1.5249999999999999</v>
      </c>
      <c r="L244">
        <v>1.125</v>
      </c>
      <c r="M244">
        <v>1.3957999999999999</v>
      </c>
      <c r="N244">
        <v>0.32900000000000001</v>
      </c>
      <c r="O244">
        <v>0.25380000000000003</v>
      </c>
      <c r="P244">
        <v>0.26</v>
      </c>
      <c r="Q244">
        <v>0.33629999999999999</v>
      </c>
      <c r="R244">
        <v>0.2833</v>
      </c>
      <c r="S244">
        <v>8.4400000000000003E-2</v>
      </c>
      <c r="T244">
        <v>0.36</v>
      </c>
      <c r="U244">
        <v>0.4</v>
      </c>
      <c r="V244">
        <v>0.46</v>
      </c>
      <c r="W244">
        <v>0.46</v>
      </c>
      <c r="X244">
        <v>4.9264999999999999</v>
      </c>
      <c r="Y244">
        <v>0</v>
      </c>
      <c r="Z244">
        <v>29.166699999999999</v>
      </c>
      <c r="AA244">
        <v>8.3332999999999995</v>
      </c>
      <c r="AB244">
        <v>37.5</v>
      </c>
      <c r="AC244">
        <v>12.5</v>
      </c>
      <c r="AD244">
        <v>50</v>
      </c>
      <c r="AE244">
        <v>0</v>
      </c>
      <c r="AF244">
        <v>62.5</v>
      </c>
      <c r="AG244">
        <v>50</v>
      </c>
      <c r="AH244">
        <v>0.42130000000000001</v>
      </c>
      <c r="AI244">
        <v>0.43380000000000002</v>
      </c>
      <c r="AJ244">
        <v>0.23380000000000001</v>
      </c>
      <c r="AK244">
        <v>0.3629</v>
      </c>
      <c r="AL244">
        <v>0.15890000000000001</v>
      </c>
      <c r="AM244">
        <v>0.67</v>
      </c>
      <c r="AN244">
        <v>0.72</v>
      </c>
      <c r="AO244">
        <v>0.44</v>
      </c>
      <c r="AP244">
        <v>0.72</v>
      </c>
      <c r="AQ244">
        <v>16.666699999999999</v>
      </c>
      <c r="AR244">
        <v>0.75</v>
      </c>
      <c r="AS244">
        <v>0</v>
      </c>
      <c r="AT244">
        <v>0</v>
      </c>
      <c r="AU244">
        <v>25</v>
      </c>
      <c r="AV244">
        <v>8.3332999999999995</v>
      </c>
      <c r="AW244">
        <v>75</v>
      </c>
      <c r="AX244">
        <v>1</v>
      </c>
      <c r="AY244">
        <v>33.333300000000001</v>
      </c>
      <c r="AZ244">
        <v>0</v>
      </c>
      <c r="BA244">
        <v>0</v>
      </c>
      <c r="BB244">
        <v>0</v>
      </c>
      <c r="BC244">
        <v>0</v>
      </c>
      <c r="BD244">
        <v>8.3299999999999999E-2</v>
      </c>
      <c r="BE244">
        <v>1</v>
      </c>
      <c r="BF244">
        <v>2</v>
      </c>
      <c r="BG244">
        <v>1</v>
      </c>
      <c r="BH244">
        <v>1.3332999999999999</v>
      </c>
      <c r="BI244">
        <v>0</v>
      </c>
      <c r="BJ244">
        <v>0</v>
      </c>
      <c r="BK244">
        <v>0</v>
      </c>
      <c r="BL244">
        <v>0</v>
      </c>
      <c r="BM244">
        <v>0.25</v>
      </c>
      <c r="BN244">
        <v>0.25</v>
      </c>
      <c r="BO244">
        <v>0.5</v>
      </c>
      <c r="BP244">
        <v>0.33329999999999999</v>
      </c>
      <c r="BQ244">
        <v>16.666699999999999</v>
      </c>
      <c r="BR244">
        <v>83.333299999999994</v>
      </c>
      <c r="BS244">
        <v>0</v>
      </c>
      <c r="BT244">
        <v>25.416699999999999</v>
      </c>
      <c r="BU244">
        <v>0.33329999999999999</v>
      </c>
      <c r="BV244">
        <v>74.324299999999994</v>
      </c>
      <c r="BW244">
        <v>12.958</v>
      </c>
      <c r="BX244">
        <v>25.675699999999999</v>
      </c>
      <c r="BY244">
        <v>0</v>
      </c>
      <c r="BZ244">
        <v>0</v>
      </c>
      <c r="CA244">
        <v>0</v>
      </c>
      <c r="CB244">
        <v>0</v>
      </c>
      <c r="CC244">
        <v>0</v>
      </c>
    </row>
    <row r="245" spans="2:81" x14ac:dyDescent="0.25">
      <c r="B245">
        <v>13.9</v>
      </c>
      <c r="C245">
        <v>8.73</v>
      </c>
      <c r="D245">
        <v>12.13</v>
      </c>
      <c r="E245">
        <v>692</v>
      </c>
      <c r="F245">
        <v>484</v>
      </c>
      <c r="G245">
        <v>418</v>
      </c>
      <c r="H245">
        <v>1594</v>
      </c>
      <c r="I245">
        <v>0.60229999999999995</v>
      </c>
      <c r="J245">
        <v>2</v>
      </c>
      <c r="K245">
        <v>1.7</v>
      </c>
      <c r="L245">
        <v>1.6875</v>
      </c>
      <c r="M245">
        <v>1.7958000000000001</v>
      </c>
      <c r="N245">
        <v>0.38840000000000002</v>
      </c>
      <c r="O245">
        <v>0.16830000000000001</v>
      </c>
      <c r="P245">
        <v>0.20330000000000001</v>
      </c>
      <c r="Q245">
        <v>0.2117</v>
      </c>
      <c r="R245">
        <v>0.19439999999999999</v>
      </c>
      <c r="S245">
        <v>7.1300000000000002E-2</v>
      </c>
      <c r="T245">
        <v>0.3</v>
      </c>
      <c r="U245">
        <v>0.3</v>
      </c>
      <c r="V245">
        <v>0.32</v>
      </c>
      <c r="W245">
        <v>0.32</v>
      </c>
      <c r="X245">
        <v>9.2356999999999996</v>
      </c>
      <c r="Y245">
        <v>0</v>
      </c>
      <c r="Z245">
        <v>2.7778</v>
      </c>
      <c r="AA245">
        <v>0</v>
      </c>
      <c r="AB245">
        <v>2.7778</v>
      </c>
      <c r="AC245">
        <v>2.7778</v>
      </c>
      <c r="AD245">
        <v>94.444400000000002</v>
      </c>
      <c r="AE245">
        <v>0</v>
      </c>
      <c r="AF245">
        <v>97.222200000000001</v>
      </c>
      <c r="AG245">
        <v>94.444400000000002</v>
      </c>
      <c r="AH245">
        <v>0.37419999999999998</v>
      </c>
      <c r="AI245">
        <v>0.34</v>
      </c>
      <c r="AJ245">
        <v>0.29170000000000001</v>
      </c>
      <c r="AK245">
        <v>0.33529999999999999</v>
      </c>
      <c r="AL245">
        <v>0.22270000000000001</v>
      </c>
      <c r="AM245">
        <v>0.75</v>
      </c>
      <c r="AN245">
        <v>0.8</v>
      </c>
      <c r="AO245">
        <v>0.88</v>
      </c>
      <c r="AP245">
        <v>0.88</v>
      </c>
      <c r="AQ245">
        <v>37.5</v>
      </c>
      <c r="AR245">
        <v>0.58330000000000004</v>
      </c>
      <c r="AS245">
        <v>12.5</v>
      </c>
      <c r="AT245">
        <v>0</v>
      </c>
      <c r="AU245">
        <v>0</v>
      </c>
      <c r="AV245">
        <v>4.1666999999999996</v>
      </c>
      <c r="AW245">
        <v>58.333300000000001</v>
      </c>
      <c r="AX245">
        <v>1.6</v>
      </c>
      <c r="AY245">
        <v>33.333300000000001</v>
      </c>
      <c r="AZ245">
        <v>0</v>
      </c>
      <c r="BA245">
        <v>0</v>
      </c>
      <c r="BB245">
        <v>0</v>
      </c>
      <c r="BC245">
        <v>0</v>
      </c>
      <c r="BD245">
        <v>4.3499999999999997E-2</v>
      </c>
      <c r="BE245">
        <v>0.25</v>
      </c>
      <c r="BF245">
        <v>0.25</v>
      </c>
      <c r="BG245">
        <v>0</v>
      </c>
      <c r="BH245">
        <v>0.18179999999999999</v>
      </c>
      <c r="BI245">
        <v>0</v>
      </c>
      <c r="BJ245">
        <v>0</v>
      </c>
      <c r="BK245">
        <v>0.33329999999999999</v>
      </c>
      <c r="BL245">
        <v>9.0899999999999995E-2</v>
      </c>
      <c r="BM245">
        <v>1.25</v>
      </c>
      <c r="BN245">
        <v>1.25</v>
      </c>
      <c r="BO245">
        <v>0</v>
      </c>
      <c r="BP245">
        <v>0.90910000000000002</v>
      </c>
      <c r="BQ245">
        <v>0</v>
      </c>
      <c r="BR245">
        <v>83.333299999999994</v>
      </c>
      <c r="BS245">
        <v>16.666699999999999</v>
      </c>
      <c r="BT245">
        <v>41.458300000000001</v>
      </c>
      <c r="BU245">
        <v>1</v>
      </c>
      <c r="BV245">
        <v>100</v>
      </c>
      <c r="BW245">
        <v>0</v>
      </c>
      <c r="BX245">
        <v>0</v>
      </c>
      <c r="BY245">
        <v>0</v>
      </c>
      <c r="BZ245">
        <v>0</v>
      </c>
      <c r="CA245">
        <v>0</v>
      </c>
      <c r="CB245">
        <v>0</v>
      </c>
      <c r="CC245">
        <v>0</v>
      </c>
    </row>
    <row r="246" spans="2:81" x14ac:dyDescent="0.25">
      <c r="B246">
        <v>14.9</v>
      </c>
      <c r="C246">
        <v>8.61</v>
      </c>
      <c r="D246">
        <v>12.52</v>
      </c>
      <c r="E246">
        <v>717</v>
      </c>
      <c r="F246">
        <v>717</v>
      </c>
      <c r="G246">
        <v>717</v>
      </c>
      <c r="H246">
        <v>2151</v>
      </c>
      <c r="I246">
        <v>5.5800000000000002E-2</v>
      </c>
      <c r="J246">
        <v>3.2250000000000001</v>
      </c>
      <c r="K246">
        <v>2.5750000000000002</v>
      </c>
      <c r="L246">
        <v>2.95</v>
      </c>
      <c r="M246">
        <v>2.9167000000000001</v>
      </c>
      <c r="N246">
        <v>0.58579999999999999</v>
      </c>
      <c r="O246">
        <v>0.47560000000000002</v>
      </c>
      <c r="P246">
        <v>0.38500000000000001</v>
      </c>
      <c r="Q246">
        <v>0.45600000000000002</v>
      </c>
      <c r="R246">
        <v>0.4415</v>
      </c>
      <c r="S246">
        <v>0.12959999999999999</v>
      </c>
      <c r="T246">
        <v>0.68</v>
      </c>
      <c r="U246">
        <v>0.64</v>
      </c>
      <c r="V246">
        <v>0.66</v>
      </c>
      <c r="W246">
        <v>0.68</v>
      </c>
      <c r="X246">
        <v>6.6064999999999996</v>
      </c>
      <c r="Y246">
        <v>0</v>
      </c>
      <c r="Z246">
        <v>29.6296</v>
      </c>
      <c r="AA246">
        <v>0</v>
      </c>
      <c r="AB246">
        <v>29.6296</v>
      </c>
      <c r="AC246">
        <v>11.1111</v>
      </c>
      <c r="AD246">
        <v>59.259300000000003</v>
      </c>
      <c r="AE246">
        <v>0</v>
      </c>
      <c r="AF246">
        <v>70.370400000000004</v>
      </c>
      <c r="AG246">
        <v>59.259300000000003</v>
      </c>
      <c r="AH246">
        <v>0.30780000000000002</v>
      </c>
      <c r="AI246">
        <v>0.65500000000000003</v>
      </c>
      <c r="AJ246">
        <v>0.25700000000000001</v>
      </c>
      <c r="AK246">
        <v>0.39190000000000003</v>
      </c>
      <c r="AL246">
        <v>0.29930000000000001</v>
      </c>
      <c r="AM246">
        <v>0.71</v>
      </c>
      <c r="AN246">
        <v>1.23</v>
      </c>
      <c r="AO246">
        <v>0.6</v>
      </c>
      <c r="AP246">
        <v>1.23</v>
      </c>
      <c r="AQ246">
        <v>8.3332999999999995</v>
      </c>
      <c r="AR246">
        <v>0.90910000000000002</v>
      </c>
      <c r="AS246">
        <v>0</v>
      </c>
      <c r="AT246">
        <v>0</v>
      </c>
      <c r="AU246">
        <v>0</v>
      </c>
      <c r="AV246">
        <v>0</v>
      </c>
      <c r="AW246">
        <v>83.333299999999994</v>
      </c>
      <c r="AX246">
        <v>1.3332999999999999</v>
      </c>
      <c r="AY246">
        <v>41.666699999999999</v>
      </c>
      <c r="AZ246">
        <v>0</v>
      </c>
      <c r="BA246">
        <v>0.125</v>
      </c>
      <c r="BB246">
        <v>0</v>
      </c>
      <c r="BC246">
        <v>4.1700000000000001E-2</v>
      </c>
      <c r="BD246">
        <v>0.45829999999999999</v>
      </c>
      <c r="BE246">
        <v>0.5</v>
      </c>
      <c r="BF246">
        <v>0.25</v>
      </c>
      <c r="BG246">
        <v>1</v>
      </c>
      <c r="BH246">
        <v>0.58330000000000004</v>
      </c>
      <c r="BI246">
        <v>0.25</v>
      </c>
      <c r="BJ246">
        <v>0.75</v>
      </c>
      <c r="BK246">
        <v>0</v>
      </c>
      <c r="BL246">
        <v>0.33329999999999999</v>
      </c>
      <c r="BM246">
        <v>1</v>
      </c>
      <c r="BN246">
        <v>0.75</v>
      </c>
      <c r="BO246">
        <v>1.75</v>
      </c>
      <c r="BP246">
        <v>1.1667000000000001</v>
      </c>
      <c r="BQ246">
        <v>12.5</v>
      </c>
      <c r="BR246">
        <v>75</v>
      </c>
      <c r="BS246">
        <v>12.5</v>
      </c>
      <c r="BT246">
        <v>36.875</v>
      </c>
      <c r="BU246">
        <v>0.41670000000000001</v>
      </c>
      <c r="BV246">
        <v>92.342299999999994</v>
      </c>
      <c r="BW246">
        <v>8.3211999999999993</v>
      </c>
      <c r="BX246">
        <v>7.6577000000000002</v>
      </c>
      <c r="BY246">
        <v>0</v>
      </c>
      <c r="BZ246">
        <v>0</v>
      </c>
      <c r="CA246">
        <v>0</v>
      </c>
      <c r="CB246">
        <v>0</v>
      </c>
      <c r="CC246">
        <v>0</v>
      </c>
    </row>
    <row r="247" spans="2:81" x14ac:dyDescent="0.25">
      <c r="B247">
        <v>21.2</v>
      </c>
      <c r="C247">
        <v>8.31</v>
      </c>
      <c r="D247">
        <v>11.61</v>
      </c>
      <c r="E247">
        <v>663</v>
      </c>
      <c r="F247">
        <v>412</v>
      </c>
      <c r="G247">
        <v>529</v>
      </c>
      <c r="H247">
        <v>1604</v>
      </c>
      <c r="I247">
        <v>0.14960000000000001</v>
      </c>
      <c r="J247">
        <v>2.5125000000000002</v>
      </c>
      <c r="K247">
        <v>3.35</v>
      </c>
      <c r="L247">
        <v>2.65</v>
      </c>
      <c r="M247">
        <v>2.8374999999999999</v>
      </c>
      <c r="N247">
        <v>0.93889999999999996</v>
      </c>
      <c r="O247">
        <v>0.31380000000000002</v>
      </c>
      <c r="P247">
        <v>0.39090000000000003</v>
      </c>
      <c r="Q247">
        <v>0.21560000000000001</v>
      </c>
      <c r="R247">
        <v>0.31269999999999998</v>
      </c>
      <c r="S247">
        <v>0.1313</v>
      </c>
      <c r="T247">
        <v>0.4</v>
      </c>
      <c r="U247">
        <v>0.62</v>
      </c>
      <c r="V247">
        <v>0.38</v>
      </c>
      <c r="W247">
        <v>0.62</v>
      </c>
      <c r="X247">
        <v>9.0733999999999995</v>
      </c>
      <c r="Y247">
        <v>3.2258</v>
      </c>
      <c r="Z247">
        <v>3.2258</v>
      </c>
      <c r="AA247">
        <v>0</v>
      </c>
      <c r="AB247">
        <v>6.4516</v>
      </c>
      <c r="AC247">
        <v>0</v>
      </c>
      <c r="AD247">
        <v>87.096800000000002</v>
      </c>
      <c r="AE247">
        <v>6.4516</v>
      </c>
      <c r="AF247">
        <v>93.548400000000001</v>
      </c>
      <c r="AG247">
        <v>87.096800000000002</v>
      </c>
      <c r="AH247">
        <v>0.37919999999999998</v>
      </c>
      <c r="AI247">
        <v>0.28270000000000001</v>
      </c>
      <c r="AJ247">
        <v>0.46110000000000001</v>
      </c>
      <c r="AK247">
        <v>0.36149999999999999</v>
      </c>
      <c r="AL247">
        <v>0.2787</v>
      </c>
      <c r="AM247">
        <v>0.86</v>
      </c>
      <c r="AN247">
        <v>1.1200000000000001</v>
      </c>
      <c r="AO247">
        <v>0.94</v>
      </c>
      <c r="AP247">
        <v>1.1200000000000001</v>
      </c>
      <c r="AQ247">
        <v>45.833300000000001</v>
      </c>
      <c r="AR247">
        <v>0.3478</v>
      </c>
      <c r="AS247">
        <v>12.5</v>
      </c>
      <c r="AT247">
        <v>37.5</v>
      </c>
      <c r="AU247">
        <v>0</v>
      </c>
      <c r="AV247">
        <v>16.666699999999999</v>
      </c>
      <c r="AW247">
        <v>45.833300000000001</v>
      </c>
      <c r="AX247">
        <v>0.91669999999999996</v>
      </c>
      <c r="AY247">
        <v>25</v>
      </c>
      <c r="AZ247">
        <v>0.125</v>
      </c>
      <c r="BA247">
        <v>0</v>
      </c>
      <c r="BB247">
        <v>0</v>
      </c>
      <c r="BC247">
        <v>4.1700000000000001E-2</v>
      </c>
      <c r="BD247">
        <v>0.20830000000000001</v>
      </c>
      <c r="BE247">
        <v>0</v>
      </c>
      <c r="BF247">
        <v>0</v>
      </c>
      <c r="BG247">
        <v>0</v>
      </c>
      <c r="BH247">
        <v>0</v>
      </c>
      <c r="BI247">
        <v>0</v>
      </c>
      <c r="BJ247">
        <v>0</v>
      </c>
      <c r="BK247">
        <v>0.75</v>
      </c>
      <c r="BL247">
        <v>0.25</v>
      </c>
      <c r="BM247">
        <v>0.75</v>
      </c>
      <c r="BN247">
        <v>1.75</v>
      </c>
      <c r="BO247">
        <v>0</v>
      </c>
      <c r="BP247">
        <v>0.83330000000000004</v>
      </c>
      <c r="BQ247">
        <v>8.3332999999999995</v>
      </c>
      <c r="BR247">
        <v>62.5</v>
      </c>
      <c r="BS247">
        <v>29.166699999999999</v>
      </c>
      <c r="BT247">
        <v>48.75</v>
      </c>
      <c r="BU247">
        <v>0.5</v>
      </c>
      <c r="BV247">
        <v>94.069100000000006</v>
      </c>
      <c r="BW247">
        <v>7.9383999999999997</v>
      </c>
      <c r="BX247">
        <v>5.9309000000000003</v>
      </c>
      <c r="BY247">
        <v>0</v>
      </c>
      <c r="BZ247">
        <v>0</v>
      </c>
      <c r="CA247">
        <v>0</v>
      </c>
      <c r="CB247">
        <v>0</v>
      </c>
      <c r="CC247">
        <v>0</v>
      </c>
    </row>
    <row r="248" spans="2:81" x14ac:dyDescent="0.25">
      <c r="B248">
        <v>18.3</v>
      </c>
      <c r="C248">
        <v>9.0299999999999994</v>
      </c>
      <c r="D248">
        <v>11.55</v>
      </c>
      <c r="E248">
        <v>570</v>
      </c>
      <c r="F248">
        <v>720</v>
      </c>
      <c r="G248">
        <v>392</v>
      </c>
      <c r="H248">
        <v>1682</v>
      </c>
      <c r="I248">
        <v>0</v>
      </c>
      <c r="J248">
        <v>4.0374999999999996</v>
      </c>
      <c r="K248">
        <v>3.2124999999999999</v>
      </c>
      <c r="L248">
        <v>2.8250000000000002</v>
      </c>
      <c r="M248">
        <v>3.3582999999999998</v>
      </c>
      <c r="N248">
        <v>1.2864</v>
      </c>
      <c r="O248">
        <v>0.22359999999999999</v>
      </c>
      <c r="P248">
        <v>0.22270000000000001</v>
      </c>
      <c r="Q248">
        <v>0.1867</v>
      </c>
      <c r="R248">
        <v>0.21029999999999999</v>
      </c>
      <c r="S248">
        <v>0.1404</v>
      </c>
      <c r="T248">
        <v>0.54</v>
      </c>
      <c r="U248">
        <v>0.5</v>
      </c>
      <c r="V248">
        <v>0.4</v>
      </c>
      <c r="W248">
        <v>0.54</v>
      </c>
      <c r="X248">
        <v>15.9697</v>
      </c>
      <c r="Y248">
        <v>0</v>
      </c>
      <c r="Z248">
        <v>32.352899999999998</v>
      </c>
      <c r="AA248">
        <v>0</v>
      </c>
      <c r="AB248">
        <v>32.352899999999998</v>
      </c>
      <c r="AC248">
        <v>2.9411999999999998</v>
      </c>
      <c r="AD248">
        <v>64.7059</v>
      </c>
      <c r="AE248">
        <v>0</v>
      </c>
      <c r="AF248">
        <v>67.647099999999995</v>
      </c>
      <c r="AG248">
        <v>64.7059</v>
      </c>
      <c r="AH248">
        <v>0.14899999999999999</v>
      </c>
      <c r="AI248">
        <v>8.6999999999999994E-2</v>
      </c>
      <c r="AJ248">
        <v>0.13639999999999999</v>
      </c>
      <c r="AK248">
        <v>0.12</v>
      </c>
      <c r="AL248">
        <v>0.1163</v>
      </c>
      <c r="AM248">
        <v>0.47</v>
      </c>
      <c r="AN248">
        <v>0.27</v>
      </c>
      <c r="AO248">
        <v>0.26</v>
      </c>
      <c r="AP248">
        <v>0.47</v>
      </c>
      <c r="AQ248">
        <v>16.666699999999999</v>
      </c>
      <c r="AR248">
        <v>0.29170000000000001</v>
      </c>
      <c r="AS248">
        <v>62.5</v>
      </c>
      <c r="AT248">
        <v>62.5</v>
      </c>
      <c r="AU248">
        <v>37.5</v>
      </c>
      <c r="AV248">
        <v>54.166699999999999</v>
      </c>
      <c r="AW248">
        <v>45.833300000000001</v>
      </c>
      <c r="AX248">
        <v>0.58330000000000004</v>
      </c>
      <c r="AY248">
        <v>16.666699999999999</v>
      </c>
      <c r="AZ248">
        <v>0.625</v>
      </c>
      <c r="BA248">
        <v>0.75</v>
      </c>
      <c r="BB248">
        <v>0.125</v>
      </c>
      <c r="BC248">
        <v>0.5</v>
      </c>
      <c r="BD248">
        <v>0.95830000000000004</v>
      </c>
      <c r="BE248">
        <v>0.5</v>
      </c>
      <c r="BF248">
        <v>0.25</v>
      </c>
      <c r="BG248">
        <v>0.25</v>
      </c>
      <c r="BH248">
        <v>0.33329999999999999</v>
      </c>
      <c r="BI248">
        <v>1.5</v>
      </c>
      <c r="BJ248">
        <v>1</v>
      </c>
      <c r="BK248">
        <v>1</v>
      </c>
      <c r="BL248">
        <v>1.1667000000000001</v>
      </c>
      <c r="BM248">
        <v>1.5</v>
      </c>
      <c r="BN248">
        <v>2</v>
      </c>
      <c r="BO248">
        <v>0.5</v>
      </c>
      <c r="BP248">
        <v>1.3332999999999999</v>
      </c>
      <c r="BQ248">
        <v>37.5</v>
      </c>
      <c r="BR248">
        <v>41.666699999999999</v>
      </c>
      <c r="BS248">
        <v>20.833300000000001</v>
      </c>
      <c r="BT248">
        <v>32.291699999999999</v>
      </c>
      <c r="BU248">
        <v>0.66669999999999996</v>
      </c>
      <c r="BV248">
        <v>9.7774000000000001</v>
      </c>
      <c r="BW248">
        <v>8.202</v>
      </c>
      <c r="BX248">
        <v>90.2226</v>
      </c>
      <c r="BY248">
        <v>0</v>
      </c>
      <c r="BZ248">
        <v>0</v>
      </c>
      <c r="CA248">
        <v>0</v>
      </c>
      <c r="CB248">
        <v>0</v>
      </c>
      <c r="CC248">
        <v>0</v>
      </c>
    </row>
    <row r="249" spans="2:81" x14ac:dyDescent="0.25">
      <c r="B249">
        <v>17.899999999999999</v>
      </c>
      <c r="C249">
        <v>8.2100000000000009</v>
      </c>
      <c r="D249">
        <v>12.86</v>
      </c>
      <c r="E249">
        <v>630</v>
      </c>
      <c r="F249">
        <v>515</v>
      </c>
      <c r="G249">
        <v>818</v>
      </c>
      <c r="H249">
        <v>1963</v>
      </c>
      <c r="I249">
        <v>1.7117</v>
      </c>
      <c r="J249">
        <v>3.6124999999999998</v>
      </c>
      <c r="K249">
        <v>3.9624999999999999</v>
      </c>
      <c r="L249">
        <v>3.9249999999999998</v>
      </c>
      <c r="M249">
        <v>3.8332999999999999</v>
      </c>
      <c r="N249">
        <v>1.0511999999999999</v>
      </c>
      <c r="O249">
        <v>0.44690000000000002</v>
      </c>
      <c r="P249">
        <v>0.22070000000000001</v>
      </c>
      <c r="Q249">
        <v>0.22789999999999999</v>
      </c>
      <c r="R249">
        <v>0.30520000000000003</v>
      </c>
      <c r="S249">
        <v>0.22439999999999999</v>
      </c>
      <c r="T249">
        <v>1.08</v>
      </c>
      <c r="U249">
        <v>0.62</v>
      </c>
      <c r="V249">
        <v>0.44</v>
      </c>
      <c r="W249">
        <v>1.08</v>
      </c>
      <c r="X249">
        <v>12.5589</v>
      </c>
      <c r="Y249">
        <v>0</v>
      </c>
      <c r="Z249">
        <v>4.5454999999999997</v>
      </c>
      <c r="AA249">
        <v>2.2726999999999999</v>
      </c>
      <c r="AB249">
        <v>6.8182</v>
      </c>
      <c r="AC249">
        <v>0</v>
      </c>
      <c r="AD249">
        <v>93.181799999999996</v>
      </c>
      <c r="AE249">
        <v>0</v>
      </c>
      <c r="AF249">
        <v>93.181799999999996</v>
      </c>
      <c r="AG249">
        <v>93.181799999999996</v>
      </c>
      <c r="AH249">
        <v>0.17799999999999999</v>
      </c>
      <c r="AI249">
        <v>0.30620000000000003</v>
      </c>
      <c r="AJ249">
        <v>0.2354</v>
      </c>
      <c r="AK249">
        <v>0.23230000000000001</v>
      </c>
      <c r="AL249">
        <v>0.22570000000000001</v>
      </c>
      <c r="AM249">
        <v>0.89</v>
      </c>
      <c r="AN249">
        <v>0.78</v>
      </c>
      <c r="AO249">
        <v>0.63</v>
      </c>
      <c r="AP249">
        <v>0.89</v>
      </c>
      <c r="AQ249">
        <v>41.666699999999999</v>
      </c>
      <c r="AR249">
        <v>0.29170000000000001</v>
      </c>
      <c r="AS249">
        <v>62.5</v>
      </c>
      <c r="AT249">
        <v>12.5</v>
      </c>
      <c r="AU249">
        <v>12.5</v>
      </c>
      <c r="AV249">
        <v>29.166699999999999</v>
      </c>
      <c r="AW249">
        <v>41.666699999999999</v>
      </c>
      <c r="AX249">
        <v>1</v>
      </c>
      <c r="AY249">
        <v>25</v>
      </c>
      <c r="AZ249">
        <v>0.25</v>
      </c>
      <c r="BA249">
        <v>0</v>
      </c>
      <c r="BB249">
        <v>0</v>
      </c>
      <c r="BC249">
        <v>8.3299999999999999E-2</v>
      </c>
      <c r="BD249">
        <v>0.54169999999999996</v>
      </c>
      <c r="BE249">
        <v>0.75</v>
      </c>
      <c r="BF249">
        <v>0.25</v>
      </c>
      <c r="BG249">
        <v>0</v>
      </c>
      <c r="BH249">
        <v>0.33329999999999999</v>
      </c>
      <c r="BI249">
        <v>0</v>
      </c>
      <c r="BJ249">
        <v>0.25</v>
      </c>
      <c r="BK249">
        <v>1</v>
      </c>
      <c r="BL249">
        <v>0.41670000000000001</v>
      </c>
      <c r="BM249">
        <v>2</v>
      </c>
      <c r="BN249">
        <v>1</v>
      </c>
      <c r="BO249">
        <v>0.75</v>
      </c>
      <c r="BP249">
        <v>1.25</v>
      </c>
      <c r="BQ249">
        <v>54.166699999999999</v>
      </c>
      <c r="BR249">
        <v>29.166699999999999</v>
      </c>
      <c r="BS249">
        <v>16.666699999999999</v>
      </c>
      <c r="BT249">
        <v>24.875</v>
      </c>
      <c r="BU249">
        <v>0.20830000000000001</v>
      </c>
      <c r="BV249">
        <v>33.386299999999999</v>
      </c>
      <c r="BW249">
        <v>12.389799999999999</v>
      </c>
      <c r="BX249">
        <v>66.613699999999994</v>
      </c>
      <c r="BY249">
        <v>0</v>
      </c>
      <c r="BZ249">
        <v>0</v>
      </c>
      <c r="CA249">
        <v>0</v>
      </c>
      <c r="CB249">
        <v>0</v>
      </c>
      <c r="CC249">
        <v>0</v>
      </c>
    </row>
    <row r="250" spans="2:81" x14ac:dyDescent="0.25">
      <c r="B250">
        <v>17.7</v>
      </c>
      <c r="C250">
        <v>7.86</v>
      </c>
      <c r="D250">
        <v>12.59</v>
      </c>
      <c r="E250">
        <v>232</v>
      </c>
      <c r="F250">
        <v>278</v>
      </c>
      <c r="G250">
        <v>393</v>
      </c>
      <c r="H250">
        <v>903</v>
      </c>
      <c r="I250">
        <v>0</v>
      </c>
      <c r="J250">
        <v>2</v>
      </c>
      <c r="K250">
        <v>2.1625000000000001</v>
      </c>
      <c r="L250">
        <v>2.125</v>
      </c>
      <c r="M250">
        <v>2.0958000000000001</v>
      </c>
      <c r="N250">
        <v>0.57369999999999999</v>
      </c>
      <c r="O250">
        <v>0.1244</v>
      </c>
      <c r="P250">
        <v>0.2218</v>
      </c>
      <c r="Q250">
        <v>0.20669999999999999</v>
      </c>
      <c r="R250">
        <v>0.18690000000000001</v>
      </c>
      <c r="S250">
        <v>0.1104</v>
      </c>
      <c r="T250">
        <v>0.24</v>
      </c>
      <c r="U250">
        <v>0.38</v>
      </c>
      <c r="V250">
        <v>0.42</v>
      </c>
      <c r="W250">
        <v>0.42</v>
      </c>
      <c r="X250">
        <v>11.213900000000001</v>
      </c>
      <c r="Y250">
        <v>6.8966000000000003</v>
      </c>
      <c r="Z250">
        <v>3.4483000000000001</v>
      </c>
      <c r="AA250">
        <v>10.344799999999999</v>
      </c>
      <c r="AB250">
        <v>20.689699999999998</v>
      </c>
      <c r="AC250">
        <v>13.793100000000001</v>
      </c>
      <c r="AD250">
        <v>65.517200000000003</v>
      </c>
      <c r="AE250">
        <v>0</v>
      </c>
      <c r="AF250">
        <v>79.310299999999998</v>
      </c>
      <c r="AG250">
        <v>65.517200000000003</v>
      </c>
      <c r="AH250">
        <v>0.22750000000000001</v>
      </c>
      <c r="AI250">
        <v>0.1091</v>
      </c>
      <c r="AJ250">
        <v>0.14779999999999999</v>
      </c>
      <c r="AK250">
        <v>0.15590000000000001</v>
      </c>
      <c r="AL250">
        <v>0.14360000000000001</v>
      </c>
      <c r="AM250">
        <v>0.44</v>
      </c>
      <c r="AN250">
        <v>0.52</v>
      </c>
      <c r="AO250">
        <v>0.41</v>
      </c>
      <c r="AP250">
        <v>0.52</v>
      </c>
      <c r="AQ250">
        <v>33.333300000000001</v>
      </c>
      <c r="AR250">
        <v>0.33329999999999999</v>
      </c>
      <c r="AS250">
        <v>0</v>
      </c>
      <c r="AT250">
        <v>50</v>
      </c>
      <c r="AU250">
        <v>50</v>
      </c>
      <c r="AV250">
        <v>33.333300000000001</v>
      </c>
      <c r="AW250">
        <v>33.333300000000001</v>
      </c>
      <c r="AX250">
        <v>1.5832999999999999</v>
      </c>
      <c r="AY250">
        <v>58.333300000000001</v>
      </c>
      <c r="AZ250">
        <v>0</v>
      </c>
      <c r="BA250">
        <v>0</v>
      </c>
      <c r="BB250">
        <v>0</v>
      </c>
      <c r="BC250">
        <v>0</v>
      </c>
      <c r="BD250">
        <v>0.16669999999999999</v>
      </c>
      <c r="BE250">
        <v>0</v>
      </c>
      <c r="BF250">
        <v>0</v>
      </c>
      <c r="BG250">
        <v>0.25</v>
      </c>
      <c r="BH250">
        <v>8.3299999999999999E-2</v>
      </c>
      <c r="BI250">
        <v>0</v>
      </c>
      <c r="BJ250">
        <v>0</v>
      </c>
      <c r="BK250">
        <v>0.25</v>
      </c>
      <c r="BL250">
        <v>8.3299999999999999E-2</v>
      </c>
      <c r="BM250">
        <v>0</v>
      </c>
      <c r="BN250">
        <v>1</v>
      </c>
      <c r="BO250">
        <v>1.25</v>
      </c>
      <c r="BP250">
        <v>0.75</v>
      </c>
      <c r="BQ250">
        <v>12.5</v>
      </c>
      <c r="BR250">
        <v>62.5</v>
      </c>
      <c r="BS250">
        <v>25</v>
      </c>
      <c r="BT250">
        <v>36.875</v>
      </c>
      <c r="BU250">
        <v>1.3913</v>
      </c>
      <c r="BV250">
        <v>98.1982</v>
      </c>
      <c r="BW250">
        <v>1.6143000000000001</v>
      </c>
      <c r="BX250">
        <v>1.8018000000000001</v>
      </c>
      <c r="BY250">
        <v>0</v>
      </c>
      <c r="BZ250">
        <v>0</v>
      </c>
      <c r="CA250">
        <v>0</v>
      </c>
      <c r="CB250">
        <v>0</v>
      </c>
      <c r="CC250">
        <v>0</v>
      </c>
    </row>
    <row r="251" spans="2:81" x14ac:dyDescent="0.25">
      <c r="B251">
        <v>15.6</v>
      </c>
      <c r="C251">
        <v>8.1199999999999992</v>
      </c>
      <c r="D251">
        <v>10.89</v>
      </c>
      <c r="E251">
        <v>838</v>
      </c>
      <c r="F251">
        <v>621</v>
      </c>
      <c r="G251">
        <v>377</v>
      </c>
      <c r="H251">
        <v>1836</v>
      </c>
      <c r="I251">
        <v>0.16339999999999999</v>
      </c>
      <c r="J251">
        <v>2.4750000000000001</v>
      </c>
      <c r="K251">
        <v>2.625</v>
      </c>
      <c r="L251">
        <v>2.7250000000000001</v>
      </c>
      <c r="M251">
        <v>2.6082999999999998</v>
      </c>
      <c r="N251">
        <v>0.82620000000000005</v>
      </c>
      <c r="O251">
        <v>0.14000000000000001</v>
      </c>
      <c r="P251">
        <v>0.21</v>
      </c>
      <c r="Q251">
        <v>0.12330000000000001</v>
      </c>
      <c r="R251">
        <v>0.1578</v>
      </c>
      <c r="S251">
        <v>0.11550000000000001</v>
      </c>
      <c r="T251">
        <v>0.28000000000000003</v>
      </c>
      <c r="U251">
        <v>0.52</v>
      </c>
      <c r="V251">
        <v>0.26</v>
      </c>
      <c r="W251">
        <v>0.52</v>
      </c>
      <c r="X251">
        <v>16.531700000000001</v>
      </c>
      <c r="Y251">
        <v>0</v>
      </c>
      <c r="Z251">
        <v>5.5556000000000001</v>
      </c>
      <c r="AA251">
        <v>8.3332999999999995</v>
      </c>
      <c r="AB251">
        <v>13.8889</v>
      </c>
      <c r="AC251">
        <v>5.5556000000000001</v>
      </c>
      <c r="AD251">
        <v>80.555599999999998</v>
      </c>
      <c r="AE251">
        <v>0</v>
      </c>
      <c r="AF251">
        <v>86.111099999999993</v>
      </c>
      <c r="AG251">
        <v>80.555599999999998</v>
      </c>
      <c r="AH251">
        <v>0.28749999999999998</v>
      </c>
      <c r="AI251">
        <v>0.23330000000000001</v>
      </c>
      <c r="AJ251">
        <v>0.1658</v>
      </c>
      <c r="AK251">
        <v>0.22889999999999999</v>
      </c>
      <c r="AL251">
        <v>0.23089999999999999</v>
      </c>
      <c r="AM251">
        <v>1.04</v>
      </c>
      <c r="AN251">
        <v>0.52</v>
      </c>
      <c r="AO251">
        <v>0.53</v>
      </c>
      <c r="AP251">
        <v>1.04</v>
      </c>
      <c r="AQ251">
        <v>33.333300000000001</v>
      </c>
      <c r="AR251">
        <v>0.43480000000000002</v>
      </c>
      <c r="AS251">
        <v>25</v>
      </c>
      <c r="AT251">
        <v>37.5</v>
      </c>
      <c r="AU251">
        <v>0</v>
      </c>
      <c r="AV251">
        <v>20.833300000000001</v>
      </c>
      <c r="AW251">
        <v>41.666699999999999</v>
      </c>
      <c r="AX251">
        <v>1</v>
      </c>
      <c r="AY251">
        <v>25</v>
      </c>
      <c r="AZ251">
        <v>0.375</v>
      </c>
      <c r="BA251">
        <v>0.75</v>
      </c>
      <c r="BB251">
        <v>0</v>
      </c>
      <c r="BC251">
        <v>0.375</v>
      </c>
      <c r="BD251">
        <v>1</v>
      </c>
      <c r="BE251">
        <v>0.25</v>
      </c>
      <c r="BF251">
        <v>0.75</v>
      </c>
      <c r="BG251">
        <v>0</v>
      </c>
      <c r="BH251">
        <v>0.33329999999999999</v>
      </c>
      <c r="BI251">
        <v>0.5</v>
      </c>
      <c r="BJ251">
        <v>0.75</v>
      </c>
      <c r="BK251">
        <v>0.25</v>
      </c>
      <c r="BL251">
        <v>0.5</v>
      </c>
      <c r="BM251">
        <v>0.5</v>
      </c>
      <c r="BN251">
        <v>1.25</v>
      </c>
      <c r="BO251">
        <v>0.25</v>
      </c>
      <c r="BP251">
        <v>0.66669999999999996</v>
      </c>
      <c r="BQ251">
        <v>41.666699999999999</v>
      </c>
      <c r="BR251">
        <v>45.833300000000001</v>
      </c>
      <c r="BS251">
        <v>12.5</v>
      </c>
      <c r="BT251">
        <v>25.833300000000001</v>
      </c>
      <c r="BU251">
        <v>0.5</v>
      </c>
      <c r="BV251">
        <v>24.662199999999999</v>
      </c>
      <c r="BW251">
        <v>13.7272</v>
      </c>
      <c r="BX251">
        <v>75.337800000000001</v>
      </c>
      <c r="BY251">
        <v>0</v>
      </c>
      <c r="BZ251">
        <v>0</v>
      </c>
      <c r="CA251">
        <v>0</v>
      </c>
      <c r="CB251">
        <v>0</v>
      </c>
      <c r="CC251">
        <v>0</v>
      </c>
    </row>
    <row r="252" spans="2:81" x14ac:dyDescent="0.25">
      <c r="B252">
        <v>12.7</v>
      </c>
      <c r="C252">
        <v>8.24</v>
      </c>
      <c r="D252">
        <v>12.28</v>
      </c>
      <c r="E252">
        <v>641</v>
      </c>
      <c r="F252">
        <v>422</v>
      </c>
      <c r="G252">
        <v>212</v>
      </c>
      <c r="H252">
        <v>1275</v>
      </c>
      <c r="I252">
        <v>0</v>
      </c>
      <c r="J252">
        <v>2.6625000000000001</v>
      </c>
      <c r="K252">
        <v>2.3624999999999998</v>
      </c>
      <c r="L252">
        <v>2.6</v>
      </c>
      <c r="M252">
        <v>2.5417000000000001</v>
      </c>
      <c r="N252">
        <v>0.67820000000000003</v>
      </c>
      <c r="O252">
        <v>0.1183</v>
      </c>
      <c r="P252">
        <v>0.14000000000000001</v>
      </c>
      <c r="Q252">
        <v>0.10249999999999999</v>
      </c>
      <c r="R252">
        <v>0.1197</v>
      </c>
      <c r="S252">
        <v>5.8500000000000003E-2</v>
      </c>
      <c r="T252">
        <v>0.26</v>
      </c>
      <c r="U252">
        <v>0.3</v>
      </c>
      <c r="V252">
        <v>0.22</v>
      </c>
      <c r="W252">
        <v>0.3</v>
      </c>
      <c r="X252">
        <v>21.231100000000001</v>
      </c>
      <c r="Y252">
        <v>0</v>
      </c>
      <c r="Z252">
        <v>0</v>
      </c>
      <c r="AA252">
        <v>0</v>
      </c>
      <c r="AB252">
        <v>0</v>
      </c>
      <c r="AC252">
        <v>0</v>
      </c>
      <c r="AD252">
        <v>100</v>
      </c>
      <c r="AE252">
        <v>0</v>
      </c>
      <c r="AF252">
        <v>100</v>
      </c>
      <c r="AG252">
        <v>100</v>
      </c>
      <c r="AH252">
        <v>0.36170000000000002</v>
      </c>
      <c r="AI252">
        <v>0.27179999999999999</v>
      </c>
      <c r="AJ252">
        <v>0.2742</v>
      </c>
      <c r="AK252">
        <v>0.3034</v>
      </c>
      <c r="AL252">
        <v>0.1938</v>
      </c>
      <c r="AM252">
        <v>0.7</v>
      </c>
      <c r="AN252">
        <v>0.75</v>
      </c>
      <c r="AO252">
        <v>0.52</v>
      </c>
      <c r="AP252">
        <v>0.75</v>
      </c>
      <c r="AQ252">
        <v>66.666700000000006</v>
      </c>
      <c r="AR252">
        <v>0.33329999999999999</v>
      </c>
      <c r="AS252">
        <v>0</v>
      </c>
      <c r="AT252">
        <v>0</v>
      </c>
      <c r="AU252">
        <v>0</v>
      </c>
      <c r="AV252">
        <v>0</v>
      </c>
      <c r="AW252">
        <v>66.666700000000006</v>
      </c>
      <c r="AX252">
        <v>1.1667000000000001</v>
      </c>
      <c r="AY252">
        <v>16.666699999999999</v>
      </c>
      <c r="AZ252">
        <v>0.125</v>
      </c>
      <c r="BA252">
        <v>0</v>
      </c>
      <c r="BB252">
        <v>0</v>
      </c>
      <c r="BC252">
        <v>4.1700000000000001E-2</v>
      </c>
      <c r="BD252">
        <v>4.1700000000000001E-2</v>
      </c>
      <c r="BE252">
        <v>0</v>
      </c>
      <c r="BF252">
        <v>0.25</v>
      </c>
      <c r="BG252">
        <v>0</v>
      </c>
      <c r="BH252">
        <v>8.3299999999999999E-2</v>
      </c>
      <c r="BI252">
        <v>0</v>
      </c>
      <c r="BJ252">
        <v>0</v>
      </c>
      <c r="BK252">
        <v>1</v>
      </c>
      <c r="BL252">
        <v>0.33329999999999999</v>
      </c>
      <c r="BM252">
        <v>0</v>
      </c>
      <c r="BN252">
        <v>1</v>
      </c>
      <c r="BO252">
        <v>0</v>
      </c>
      <c r="BP252">
        <v>0.33329999999999999</v>
      </c>
      <c r="BQ252">
        <v>33.333300000000001</v>
      </c>
      <c r="BR252">
        <v>58.333300000000001</v>
      </c>
      <c r="BS252">
        <v>8.3332999999999995</v>
      </c>
      <c r="BT252">
        <v>24.791699999999999</v>
      </c>
      <c r="BU252">
        <v>0</v>
      </c>
      <c r="BV252">
        <v>23.501799999999999</v>
      </c>
      <c r="BW252">
        <v>9.31</v>
      </c>
      <c r="BX252">
        <v>76.498199999999997</v>
      </c>
      <c r="BY252">
        <v>0</v>
      </c>
      <c r="BZ252">
        <v>0</v>
      </c>
      <c r="CA252">
        <v>0</v>
      </c>
      <c r="CB252">
        <v>0</v>
      </c>
      <c r="CC252">
        <v>0</v>
      </c>
    </row>
    <row r="253" spans="2:81" x14ac:dyDescent="0.25">
      <c r="B253">
        <v>19.600000000000001</v>
      </c>
      <c r="C253">
        <v>8.76</v>
      </c>
      <c r="D253">
        <v>10.48</v>
      </c>
      <c r="E253">
        <v>164</v>
      </c>
      <c r="F253">
        <v>101</v>
      </c>
      <c r="G253">
        <v>148</v>
      </c>
      <c r="H253">
        <v>413</v>
      </c>
      <c r="I253">
        <v>0</v>
      </c>
      <c r="J253">
        <v>1.1875</v>
      </c>
      <c r="K253">
        <v>1.3875</v>
      </c>
      <c r="L253">
        <v>1.4125000000000001</v>
      </c>
      <c r="M253">
        <v>1.3291999999999999</v>
      </c>
      <c r="N253">
        <v>0.21560000000000001</v>
      </c>
      <c r="O253">
        <v>0.13500000000000001</v>
      </c>
      <c r="P253">
        <v>0.11559999999999999</v>
      </c>
      <c r="Q253">
        <v>0.23130000000000001</v>
      </c>
      <c r="R253">
        <v>0.1588</v>
      </c>
      <c r="S253">
        <v>0.1321</v>
      </c>
      <c r="T253">
        <v>0.18</v>
      </c>
      <c r="U253">
        <v>0.18</v>
      </c>
      <c r="V253">
        <v>0.77</v>
      </c>
      <c r="W253">
        <v>0.77</v>
      </c>
      <c r="X253">
        <v>8.3701000000000008</v>
      </c>
      <c r="Y253">
        <v>0</v>
      </c>
      <c r="Z253">
        <v>24</v>
      </c>
      <c r="AA253">
        <v>0</v>
      </c>
      <c r="AB253">
        <v>24</v>
      </c>
      <c r="AC253">
        <v>20</v>
      </c>
      <c r="AD253">
        <v>56</v>
      </c>
      <c r="AE253">
        <v>0</v>
      </c>
      <c r="AF253">
        <v>76</v>
      </c>
      <c r="AG253">
        <v>56</v>
      </c>
      <c r="AH253">
        <v>0.3488</v>
      </c>
      <c r="AI253">
        <v>0.29780000000000001</v>
      </c>
      <c r="AJ253">
        <v>0.31</v>
      </c>
      <c r="AK253">
        <v>0.318</v>
      </c>
      <c r="AL253">
        <v>0.12759999999999999</v>
      </c>
      <c r="AM253">
        <v>0.42</v>
      </c>
      <c r="AN253">
        <v>0.75</v>
      </c>
      <c r="AO253">
        <v>0.42</v>
      </c>
      <c r="AP253">
        <v>0.75</v>
      </c>
      <c r="AQ253">
        <v>25</v>
      </c>
      <c r="AR253">
        <v>0.75</v>
      </c>
      <c r="AS253">
        <v>0</v>
      </c>
      <c r="AT253">
        <v>0</v>
      </c>
      <c r="AU253">
        <v>0</v>
      </c>
      <c r="AV253">
        <v>0</v>
      </c>
      <c r="AW253">
        <v>75</v>
      </c>
      <c r="AX253">
        <v>0.83330000000000004</v>
      </c>
      <c r="AY253">
        <v>16.666699999999999</v>
      </c>
      <c r="AZ253">
        <v>0.125</v>
      </c>
      <c r="BA253">
        <v>1.125</v>
      </c>
      <c r="BB253">
        <v>0.75</v>
      </c>
      <c r="BC253">
        <v>0.66669999999999996</v>
      </c>
      <c r="BD253">
        <v>1.3332999999999999</v>
      </c>
      <c r="BE253">
        <v>0</v>
      </c>
      <c r="BF253">
        <v>0</v>
      </c>
      <c r="BG253">
        <v>0</v>
      </c>
      <c r="BH253">
        <v>0</v>
      </c>
      <c r="BI253">
        <v>0</v>
      </c>
      <c r="BJ253">
        <v>0</v>
      </c>
      <c r="BK253">
        <v>0</v>
      </c>
      <c r="BL253">
        <v>0</v>
      </c>
      <c r="BM253">
        <v>0</v>
      </c>
      <c r="BN253">
        <v>0</v>
      </c>
      <c r="BO253">
        <v>0.25</v>
      </c>
      <c r="BP253">
        <v>8.3299999999999999E-2</v>
      </c>
      <c r="BQ253">
        <v>4.1666999999999996</v>
      </c>
      <c r="BR253">
        <v>58.333300000000001</v>
      </c>
      <c r="BS253">
        <v>37.5</v>
      </c>
      <c r="BT253">
        <v>45.208300000000001</v>
      </c>
      <c r="BU253">
        <v>1.6667000000000001</v>
      </c>
      <c r="BV253">
        <v>1.8018000000000001</v>
      </c>
      <c r="BW253">
        <v>2.3094000000000001</v>
      </c>
      <c r="BX253">
        <v>98.1982</v>
      </c>
      <c r="BY253">
        <v>0</v>
      </c>
      <c r="BZ253">
        <v>0</v>
      </c>
      <c r="CA253">
        <v>0</v>
      </c>
      <c r="CB253">
        <v>0</v>
      </c>
      <c r="CC253">
        <v>0</v>
      </c>
    </row>
    <row r="254" spans="2:81" x14ac:dyDescent="0.25">
      <c r="B254">
        <v>19</v>
      </c>
      <c r="C254">
        <v>8.23</v>
      </c>
      <c r="D254">
        <v>13.17</v>
      </c>
      <c r="E254">
        <v>799</v>
      </c>
      <c r="F254">
        <v>548</v>
      </c>
      <c r="G254">
        <v>490</v>
      </c>
      <c r="H254">
        <v>1837</v>
      </c>
      <c r="I254">
        <v>0</v>
      </c>
      <c r="J254">
        <v>2.6375000000000002</v>
      </c>
      <c r="K254">
        <v>3.3624999999999998</v>
      </c>
      <c r="L254">
        <v>2.8875000000000002</v>
      </c>
      <c r="M254">
        <v>2.9624999999999999</v>
      </c>
      <c r="N254">
        <v>1.3887</v>
      </c>
      <c r="O254">
        <v>0.42399999999999999</v>
      </c>
      <c r="P254">
        <v>0.32440000000000002</v>
      </c>
      <c r="Q254">
        <v>0.32190000000000002</v>
      </c>
      <c r="R254">
        <v>0.3553</v>
      </c>
      <c r="S254">
        <v>0.11509999999999999</v>
      </c>
      <c r="T254">
        <v>0.56000000000000005</v>
      </c>
      <c r="U254">
        <v>0.5</v>
      </c>
      <c r="V254">
        <v>0.54</v>
      </c>
      <c r="W254">
        <v>0.56000000000000005</v>
      </c>
      <c r="X254">
        <v>8.3376000000000001</v>
      </c>
      <c r="Y254">
        <v>0</v>
      </c>
      <c r="Z254">
        <v>65.957400000000007</v>
      </c>
      <c r="AA254">
        <v>25.5319</v>
      </c>
      <c r="AB254">
        <v>91.489400000000003</v>
      </c>
      <c r="AC254">
        <v>2.1276999999999999</v>
      </c>
      <c r="AD254">
        <v>6.383</v>
      </c>
      <c r="AE254">
        <v>0</v>
      </c>
      <c r="AF254">
        <v>8.5106000000000002</v>
      </c>
      <c r="AG254">
        <v>65.957400000000007</v>
      </c>
      <c r="AH254">
        <v>0.1686</v>
      </c>
      <c r="AI254">
        <v>0.21729999999999999</v>
      </c>
      <c r="AJ254">
        <v>0.17469999999999999</v>
      </c>
      <c r="AK254">
        <v>0.18720000000000001</v>
      </c>
      <c r="AL254">
        <v>0.1101</v>
      </c>
      <c r="AM254">
        <v>0.39</v>
      </c>
      <c r="AN254">
        <v>0.4</v>
      </c>
      <c r="AO254">
        <v>0.43</v>
      </c>
      <c r="AP254">
        <v>0.43</v>
      </c>
      <c r="AQ254">
        <v>8.3332999999999995</v>
      </c>
      <c r="AR254">
        <v>0.70830000000000004</v>
      </c>
      <c r="AS254">
        <v>0</v>
      </c>
      <c r="AT254">
        <v>37.5</v>
      </c>
      <c r="AU254">
        <v>25</v>
      </c>
      <c r="AV254">
        <v>20.833300000000001</v>
      </c>
      <c r="AW254">
        <v>70.833299999999994</v>
      </c>
      <c r="AX254">
        <v>0.33329999999999999</v>
      </c>
      <c r="AY254">
        <v>8.3332999999999995</v>
      </c>
      <c r="AZ254">
        <v>0</v>
      </c>
      <c r="BA254">
        <v>0</v>
      </c>
      <c r="BB254">
        <v>0.25</v>
      </c>
      <c r="BC254">
        <v>8.3299999999999999E-2</v>
      </c>
      <c r="BD254">
        <v>8.3299999999999999E-2</v>
      </c>
      <c r="BE254">
        <v>1.75</v>
      </c>
      <c r="BF254">
        <v>1.75</v>
      </c>
      <c r="BG254">
        <v>1.5</v>
      </c>
      <c r="BH254">
        <v>1.6667000000000001</v>
      </c>
      <c r="BI254">
        <v>0.25</v>
      </c>
      <c r="BJ254">
        <v>0</v>
      </c>
      <c r="BK254">
        <v>0</v>
      </c>
      <c r="BL254">
        <v>8.3299999999999999E-2</v>
      </c>
      <c r="BM254">
        <v>0.75</v>
      </c>
      <c r="BN254">
        <v>1.75</v>
      </c>
      <c r="BO254">
        <v>1.5</v>
      </c>
      <c r="BP254">
        <v>1.3332999999999999</v>
      </c>
      <c r="BQ254">
        <v>0</v>
      </c>
      <c r="BR254">
        <v>100</v>
      </c>
      <c r="BS254">
        <v>0</v>
      </c>
      <c r="BT254">
        <v>35.208300000000001</v>
      </c>
      <c r="BU254">
        <v>0.83330000000000004</v>
      </c>
      <c r="BV254">
        <v>99.699700000000007</v>
      </c>
      <c r="BW254">
        <v>0.46460000000000001</v>
      </c>
      <c r="BX254">
        <v>0.30030000000000001</v>
      </c>
      <c r="BY254">
        <v>0</v>
      </c>
      <c r="BZ254">
        <v>0</v>
      </c>
      <c r="CA254">
        <v>0</v>
      </c>
      <c r="CB254">
        <v>0</v>
      </c>
      <c r="CC254">
        <v>0</v>
      </c>
    </row>
    <row r="255" spans="2:81" x14ac:dyDescent="0.25">
      <c r="B255">
        <v>14.2</v>
      </c>
      <c r="C255">
        <v>7.92</v>
      </c>
      <c r="D255">
        <v>11.5</v>
      </c>
      <c r="E255">
        <v>1290</v>
      </c>
      <c r="F255">
        <v>984</v>
      </c>
      <c r="G255">
        <v>855</v>
      </c>
      <c r="H255">
        <v>3129</v>
      </c>
      <c r="I255">
        <v>0.84370000000000001</v>
      </c>
      <c r="J255">
        <v>5.4</v>
      </c>
      <c r="K255">
        <v>4.1375000000000002</v>
      </c>
      <c r="L255">
        <v>4</v>
      </c>
      <c r="M255">
        <v>4.5125000000000002</v>
      </c>
      <c r="N255">
        <v>1.3482000000000001</v>
      </c>
      <c r="O255">
        <v>0.2636</v>
      </c>
      <c r="P255">
        <v>0.24929999999999999</v>
      </c>
      <c r="Q255">
        <v>0.1913</v>
      </c>
      <c r="R255">
        <v>0.2341</v>
      </c>
      <c r="S255">
        <v>0.1341</v>
      </c>
      <c r="T255">
        <v>0.57999999999999996</v>
      </c>
      <c r="U255">
        <v>0.44</v>
      </c>
      <c r="V255">
        <v>0.54</v>
      </c>
      <c r="W255">
        <v>0.57999999999999996</v>
      </c>
      <c r="X255">
        <v>19.276700000000002</v>
      </c>
      <c r="Y255">
        <v>2.2726999999999999</v>
      </c>
      <c r="Z255">
        <v>18.181799999999999</v>
      </c>
      <c r="AA255">
        <v>29.545500000000001</v>
      </c>
      <c r="AB255">
        <v>50</v>
      </c>
      <c r="AC255">
        <v>2.2726999999999999</v>
      </c>
      <c r="AD255">
        <v>47.7273</v>
      </c>
      <c r="AE255">
        <v>0</v>
      </c>
      <c r="AF255">
        <v>50</v>
      </c>
      <c r="AG255">
        <v>47.7273</v>
      </c>
      <c r="AH255">
        <v>0.1177</v>
      </c>
      <c r="AI255">
        <v>0.23499999999999999</v>
      </c>
      <c r="AJ255">
        <v>0.2407</v>
      </c>
      <c r="AK255">
        <v>0.20269999999999999</v>
      </c>
      <c r="AL255">
        <v>0.1915</v>
      </c>
      <c r="AM255">
        <v>0.28000000000000003</v>
      </c>
      <c r="AN255">
        <v>0.69</v>
      </c>
      <c r="AO255">
        <v>0.66</v>
      </c>
      <c r="AP255">
        <v>0.69</v>
      </c>
      <c r="AQ255">
        <v>25</v>
      </c>
      <c r="AR255">
        <v>0.5</v>
      </c>
      <c r="AS255">
        <v>25</v>
      </c>
      <c r="AT255">
        <v>25</v>
      </c>
      <c r="AU255">
        <v>25</v>
      </c>
      <c r="AV255">
        <v>25</v>
      </c>
      <c r="AW255">
        <v>50</v>
      </c>
      <c r="AX255">
        <v>1.25</v>
      </c>
      <c r="AY255">
        <v>41.666699999999999</v>
      </c>
      <c r="AZ255">
        <v>1.25</v>
      </c>
      <c r="BA255">
        <v>0.75</v>
      </c>
      <c r="BB255">
        <v>0.25</v>
      </c>
      <c r="BC255">
        <v>0.75</v>
      </c>
      <c r="BD255">
        <v>1.25</v>
      </c>
      <c r="BE255">
        <v>0.5</v>
      </c>
      <c r="BF255">
        <v>1.25</v>
      </c>
      <c r="BG255">
        <v>0.25</v>
      </c>
      <c r="BH255">
        <v>0.66669999999999996</v>
      </c>
      <c r="BI255">
        <v>0</v>
      </c>
      <c r="BJ255">
        <v>0.25</v>
      </c>
      <c r="BK255">
        <v>0.25</v>
      </c>
      <c r="BL255">
        <v>0.16669999999999999</v>
      </c>
      <c r="BM255">
        <v>1.75</v>
      </c>
      <c r="BN255">
        <v>1.25</v>
      </c>
      <c r="BO255">
        <v>1</v>
      </c>
      <c r="BP255">
        <v>1.3332999999999999</v>
      </c>
      <c r="BQ255">
        <v>25</v>
      </c>
      <c r="BR255">
        <v>75</v>
      </c>
      <c r="BS255">
        <v>0</v>
      </c>
      <c r="BT255">
        <v>30.833300000000001</v>
      </c>
      <c r="BU255">
        <v>1.2082999999999999</v>
      </c>
      <c r="BV255">
        <v>36.561599999999999</v>
      </c>
      <c r="BW255">
        <v>15.738</v>
      </c>
      <c r="BX255">
        <v>63.438400000000001</v>
      </c>
      <c r="BY255">
        <v>0</v>
      </c>
      <c r="BZ255">
        <v>0</v>
      </c>
      <c r="CA255">
        <v>0</v>
      </c>
      <c r="CB255">
        <v>0</v>
      </c>
      <c r="CC255">
        <v>0</v>
      </c>
    </row>
    <row r="256" spans="2:81" x14ac:dyDescent="0.25">
      <c r="B256">
        <v>16.899999999999999</v>
      </c>
      <c r="C256">
        <v>7.59</v>
      </c>
      <c r="D256">
        <v>10.25</v>
      </c>
      <c r="E256">
        <v>436</v>
      </c>
      <c r="F256">
        <v>407</v>
      </c>
      <c r="G256">
        <v>348</v>
      </c>
      <c r="H256">
        <v>1191</v>
      </c>
      <c r="I256">
        <v>0</v>
      </c>
      <c r="J256">
        <v>1.35</v>
      </c>
      <c r="K256">
        <v>1.35</v>
      </c>
      <c r="L256">
        <v>0.97499999999999998</v>
      </c>
      <c r="M256">
        <v>1.2250000000000001</v>
      </c>
      <c r="N256">
        <v>0.41620000000000001</v>
      </c>
      <c r="O256">
        <v>0.37</v>
      </c>
      <c r="P256">
        <v>0.38219999999999998</v>
      </c>
      <c r="Q256">
        <v>0.40500000000000003</v>
      </c>
      <c r="R256">
        <v>0.3856</v>
      </c>
      <c r="S256">
        <v>0.11409999999999999</v>
      </c>
      <c r="T256">
        <v>0.6</v>
      </c>
      <c r="U256">
        <v>0.52</v>
      </c>
      <c r="V256">
        <v>0.52</v>
      </c>
      <c r="W256">
        <v>0.6</v>
      </c>
      <c r="X256">
        <v>3.1768999999999998</v>
      </c>
      <c r="Y256">
        <v>0</v>
      </c>
      <c r="Z256">
        <v>4</v>
      </c>
      <c r="AA256">
        <v>4</v>
      </c>
      <c r="AB256">
        <v>8</v>
      </c>
      <c r="AC256">
        <v>4</v>
      </c>
      <c r="AD256">
        <v>88</v>
      </c>
      <c r="AE256">
        <v>0</v>
      </c>
      <c r="AF256">
        <v>92</v>
      </c>
      <c r="AG256">
        <v>88</v>
      </c>
      <c r="AH256">
        <v>0.33129999999999998</v>
      </c>
      <c r="AI256">
        <v>0.40250000000000002</v>
      </c>
      <c r="AJ256">
        <v>0.40629999999999999</v>
      </c>
      <c r="AK256">
        <v>0.38159999999999999</v>
      </c>
      <c r="AL256">
        <v>0.2132</v>
      </c>
      <c r="AM256">
        <v>0.86</v>
      </c>
      <c r="AN256">
        <v>0.96</v>
      </c>
      <c r="AO256">
        <v>0.72</v>
      </c>
      <c r="AP256">
        <v>0.96</v>
      </c>
      <c r="AQ256">
        <v>8.3332999999999995</v>
      </c>
      <c r="AR256">
        <v>0.83330000000000004</v>
      </c>
      <c r="AS256">
        <v>12.5</v>
      </c>
      <c r="AT256">
        <v>12.5</v>
      </c>
      <c r="AU256">
        <v>0</v>
      </c>
      <c r="AV256">
        <v>8.3332999999999995</v>
      </c>
      <c r="AW256">
        <v>83.333299999999994</v>
      </c>
      <c r="AX256">
        <v>0.75</v>
      </c>
      <c r="AY256">
        <v>16.666699999999999</v>
      </c>
      <c r="AZ256">
        <v>0</v>
      </c>
      <c r="BA256">
        <v>0</v>
      </c>
      <c r="BB256">
        <v>0.125</v>
      </c>
      <c r="BC256">
        <v>4.1700000000000001E-2</v>
      </c>
      <c r="BD256">
        <v>0.20830000000000001</v>
      </c>
      <c r="BE256">
        <v>1.75</v>
      </c>
      <c r="BF256">
        <v>1.75</v>
      </c>
      <c r="BG256">
        <v>1.75</v>
      </c>
      <c r="BH256">
        <v>1.75</v>
      </c>
      <c r="BI256">
        <v>0</v>
      </c>
      <c r="BJ256">
        <v>0</v>
      </c>
      <c r="BK256">
        <v>0</v>
      </c>
      <c r="BL256">
        <v>0</v>
      </c>
      <c r="BM256">
        <v>1</v>
      </c>
      <c r="BN256">
        <v>0</v>
      </c>
      <c r="BO256">
        <v>0.25</v>
      </c>
      <c r="BP256">
        <v>0.41670000000000001</v>
      </c>
      <c r="BQ256">
        <v>0</v>
      </c>
      <c r="BR256">
        <v>37.5</v>
      </c>
      <c r="BS256">
        <v>62.5</v>
      </c>
      <c r="BT256">
        <v>55.625</v>
      </c>
      <c r="BU256">
        <v>4.1700000000000001E-2</v>
      </c>
      <c r="BV256">
        <v>84.009</v>
      </c>
      <c r="BW256">
        <v>11.540100000000001</v>
      </c>
      <c r="BX256">
        <v>15.991</v>
      </c>
      <c r="BY256">
        <v>0</v>
      </c>
      <c r="BZ256">
        <v>0</v>
      </c>
      <c r="CA256">
        <v>0</v>
      </c>
      <c r="CB256">
        <v>0</v>
      </c>
      <c r="CC256">
        <v>0</v>
      </c>
    </row>
    <row r="257" spans="2:81" x14ac:dyDescent="0.25">
      <c r="B257">
        <v>17.100000000000001</v>
      </c>
      <c r="C257">
        <v>7.47</v>
      </c>
      <c r="D257">
        <v>10.4</v>
      </c>
      <c r="E257">
        <v>290</v>
      </c>
      <c r="F257">
        <v>218</v>
      </c>
      <c r="G257">
        <v>160</v>
      </c>
      <c r="H257">
        <v>668</v>
      </c>
      <c r="I257">
        <v>0</v>
      </c>
      <c r="J257">
        <v>1.7250000000000001</v>
      </c>
      <c r="K257">
        <v>2.3250000000000002</v>
      </c>
      <c r="L257">
        <v>1.4125000000000001</v>
      </c>
      <c r="M257">
        <v>1.8208</v>
      </c>
      <c r="N257">
        <v>1.079</v>
      </c>
      <c r="O257">
        <v>0.17219999999999999</v>
      </c>
      <c r="P257">
        <v>0.1125</v>
      </c>
      <c r="Q257">
        <v>0.17749999999999999</v>
      </c>
      <c r="R257">
        <v>0.15479999999999999</v>
      </c>
      <c r="S257">
        <v>8.8400000000000006E-2</v>
      </c>
      <c r="T257">
        <v>0.44</v>
      </c>
      <c r="U257">
        <v>0.18</v>
      </c>
      <c r="V257">
        <v>0.28000000000000003</v>
      </c>
      <c r="W257">
        <v>0.44</v>
      </c>
      <c r="X257">
        <v>11.762499999999999</v>
      </c>
      <c r="Y257">
        <v>0</v>
      </c>
      <c r="Z257">
        <v>12</v>
      </c>
      <c r="AA257">
        <v>8</v>
      </c>
      <c r="AB257">
        <v>20</v>
      </c>
      <c r="AC257">
        <v>16</v>
      </c>
      <c r="AD257">
        <v>64</v>
      </c>
      <c r="AE257">
        <v>0</v>
      </c>
      <c r="AF257">
        <v>80</v>
      </c>
      <c r="AG257">
        <v>64</v>
      </c>
      <c r="AH257">
        <v>0.18559999999999999</v>
      </c>
      <c r="AI257">
        <v>0.20880000000000001</v>
      </c>
      <c r="AJ257">
        <v>0.1575</v>
      </c>
      <c r="AK257">
        <v>0.184</v>
      </c>
      <c r="AL257">
        <v>0.13500000000000001</v>
      </c>
      <c r="AM257">
        <v>0.34</v>
      </c>
      <c r="AN257">
        <v>0.45</v>
      </c>
      <c r="AO257">
        <v>0.44</v>
      </c>
      <c r="AP257">
        <v>0.45</v>
      </c>
      <c r="AQ257">
        <v>41.666699999999999</v>
      </c>
      <c r="AR257">
        <v>0.41670000000000001</v>
      </c>
      <c r="AS257">
        <v>0</v>
      </c>
      <c r="AT257">
        <v>25</v>
      </c>
      <c r="AU257">
        <v>25</v>
      </c>
      <c r="AV257">
        <v>16.666699999999999</v>
      </c>
      <c r="AW257">
        <v>41.666699999999999</v>
      </c>
      <c r="AX257">
        <v>1.5832999999999999</v>
      </c>
      <c r="AY257">
        <v>58.333300000000001</v>
      </c>
      <c r="AZ257">
        <v>0</v>
      </c>
      <c r="BA257">
        <v>0</v>
      </c>
      <c r="BB257">
        <v>0</v>
      </c>
      <c r="BC257">
        <v>0</v>
      </c>
      <c r="BD257">
        <v>4.1700000000000001E-2</v>
      </c>
      <c r="BE257">
        <v>0</v>
      </c>
      <c r="BF257">
        <v>0</v>
      </c>
      <c r="BG257">
        <v>0.25</v>
      </c>
      <c r="BH257">
        <v>8.3299999999999999E-2</v>
      </c>
      <c r="BI257">
        <v>1</v>
      </c>
      <c r="BJ257">
        <v>1.5</v>
      </c>
      <c r="BK257">
        <v>0.75</v>
      </c>
      <c r="BL257">
        <v>1.0832999999999999</v>
      </c>
      <c r="BM257">
        <v>0.25</v>
      </c>
      <c r="BN257">
        <v>0</v>
      </c>
      <c r="BO257">
        <v>1.25</v>
      </c>
      <c r="BP257">
        <v>0.5</v>
      </c>
      <c r="BQ257">
        <v>58.333300000000001</v>
      </c>
      <c r="BR257">
        <v>33.333300000000001</v>
      </c>
      <c r="BS257">
        <v>8.3332999999999995</v>
      </c>
      <c r="BT257">
        <v>21.666699999999999</v>
      </c>
      <c r="BU257">
        <v>0.58330000000000004</v>
      </c>
      <c r="BV257">
        <v>62.934399999999997</v>
      </c>
      <c r="BW257">
        <v>16.968</v>
      </c>
      <c r="BX257">
        <v>37.065600000000003</v>
      </c>
      <c r="BY257">
        <v>0</v>
      </c>
      <c r="BZ257">
        <v>0</v>
      </c>
      <c r="CA257">
        <v>0</v>
      </c>
      <c r="CB257">
        <v>0</v>
      </c>
      <c r="CC257">
        <v>0</v>
      </c>
    </row>
    <row r="258" spans="2:81" x14ac:dyDescent="0.25">
      <c r="B258">
        <v>16</v>
      </c>
      <c r="C258">
        <v>8.2200000000000006</v>
      </c>
      <c r="D258">
        <v>11.12</v>
      </c>
      <c r="E258">
        <v>837</v>
      </c>
      <c r="F258">
        <v>1358</v>
      </c>
      <c r="G258">
        <v>657</v>
      </c>
      <c r="H258">
        <v>2852</v>
      </c>
      <c r="I258">
        <v>0.16830000000000001</v>
      </c>
      <c r="J258">
        <v>2.65</v>
      </c>
      <c r="K258">
        <v>3.9</v>
      </c>
      <c r="L258">
        <v>3.2</v>
      </c>
      <c r="M258">
        <v>3.25</v>
      </c>
      <c r="N258">
        <v>1.1617</v>
      </c>
      <c r="O258">
        <v>0.23250000000000001</v>
      </c>
      <c r="P258">
        <v>0.28310000000000002</v>
      </c>
      <c r="Q258">
        <v>0.23830000000000001</v>
      </c>
      <c r="R258">
        <v>0.25219999999999998</v>
      </c>
      <c r="S258">
        <v>0.1426</v>
      </c>
      <c r="T258">
        <v>0.55000000000000004</v>
      </c>
      <c r="U258">
        <v>0.69</v>
      </c>
      <c r="V258">
        <v>0.52</v>
      </c>
      <c r="W258">
        <v>0.69</v>
      </c>
      <c r="X258">
        <v>12.888500000000001</v>
      </c>
      <c r="Y258">
        <v>0</v>
      </c>
      <c r="Z258">
        <v>10.8108</v>
      </c>
      <c r="AA258">
        <v>0</v>
      </c>
      <c r="AB258">
        <v>10.8108</v>
      </c>
      <c r="AC258">
        <v>16.216200000000001</v>
      </c>
      <c r="AD258">
        <v>72.972999999999999</v>
      </c>
      <c r="AE258">
        <v>0</v>
      </c>
      <c r="AF258">
        <v>89.1892</v>
      </c>
      <c r="AG258">
        <v>72.972999999999999</v>
      </c>
      <c r="AH258">
        <v>0.27179999999999999</v>
      </c>
      <c r="AI258">
        <v>0.20499999999999999</v>
      </c>
      <c r="AJ258">
        <v>0.2109</v>
      </c>
      <c r="AK258">
        <v>0.22950000000000001</v>
      </c>
      <c r="AL258">
        <v>0.16980000000000001</v>
      </c>
      <c r="AM258">
        <v>0.54</v>
      </c>
      <c r="AN258">
        <v>0.45</v>
      </c>
      <c r="AO258">
        <v>0.6</v>
      </c>
      <c r="AP258">
        <v>0.6</v>
      </c>
      <c r="AQ258">
        <v>25</v>
      </c>
      <c r="AR258">
        <v>0.45829999999999999</v>
      </c>
      <c r="AS258">
        <v>12.5</v>
      </c>
      <c r="AT258">
        <v>25</v>
      </c>
      <c r="AU258">
        <v>50</v>
      </c>
      <c r="AV258">
        <v>29.166699999999999</v>
      </c>
      <c r="AW258">
        <v>45.833300000000001</v>
      </c>
      <c r="AX258">
        <v>0.75</v>
      </c>
      <c r="AY258">
        <v>16.666699999999999</v>
      </c>
      <c r="AZ258">
        <v>0</v>
      </c>
      <c r="BA258">
        <v>0</v>
      </c>
      <c r="BB258">
        <v>0</v>
      </c>
      <c r="BC258">
        <v>0</v>
      </c>
      <c r="BD258">
        <v>0.45829999999999999</v>
      </c>
      <c r="BE258">
        <v>0.5</v>
      </c>
      <c r="BF258">
        <v>0.25</v>
      </c>
      <c r="BG258">
        <v>0.25</v>
      </c>
      <c r="BH258">
        <v>0.33329999999999999</v>
      </c>
      <c r="BI258">
        <v>0.25</v>
      </c>
      <c r="BJ258">
        <v>0.75</v>
      </c>
      <c r="BK258">
        <v>0</v>
      </c>
      <c r="BL258">
        <v>0.33329999999999999</v>
      </c>
      <c r="BM258">
        <v>0</v>
      </c>
      <c r="BN258">
        <v>1.25</v>
      </c>
      <c r="BO258">
        <v>0.5</v>
      </c>
      <c r="BP258">
        <v>0.58330000000000004</v>
      </c>
      <c r="BQ258">
        <v>16.666699999999999</v>
      </c>
      <c r="BR258">
        <v>79.166700000000006</v>
      </c>
      <c r="BS258">
        <v>4.1666999999999996</v>
      </c>
      <c r="BT258">
        <v>27.916699999999999</v>
      </c>
      <c r="BU258">
        <v>0.91669999999999996</v>
      </c>
      <c r="BV258">
        <v>93.018000000000001</v>
      </c>
      <c r="BW258">
        <v>8.9837000000000007</v>
      </c>
      <c r="BX258">
        <v>6.9820000000000002</v>
      </c>
      <c r="BY258">
        <v>0</v>
      </c>
      <c r="BZ258">
        <v>0</v>
      </c>
      <c r="CA258">
        <v>0</v>
      </c>
      <c r="CB258">
        <v>0</v>
      </c>
      <c r="CC258">
        <v>0</v>
      </c>
    </row>
    <row r="259" spans="2:81" x14ac:dyDescent="0.25">
      <c r="B259">
        <v>19.600000000000001</v>
      </c>
      <c r="C259">
        <v>8.4700000000000006</v>
      </c>
      <c r="D259">
        <v>13.28</v>
      </c>
      <c r="E259">
        <v>1893</v>
      </c>
      <c r="F259">
        <v>1834</v>
      </c>
      <c r="G259">
        <v>1528</v>
      </c>
      <c r="H259">
        <v>5255</v>
      </c>
      <c r="I259">
        <v>1.8953</v>
      </c>
      <c r="J259">
        <v>4.2374999999999998</v>
      </c>
      <c r="K259">
        <v>4.6500000000000004</v>
      </c>
      <c r="L259">
        <v>5</v>
      </c>
      <c r="M259">
        <v>4.6292</v>
      </c>
      <c r="N259">
        <v>1.5887</v>
      </c>
      <c r="O259">
        <v>0.31169999999999998</v>
      </c>
      <c r="P259">
        <v>0.31330000000000002</v>
      </c>
      <c r="Q259">
        <v>0.28670000000000001</v>
      </c>
      <c r="R259">
        <v>0.3039</v>
      </c>
      <c r="S259">
        <v>0.14030000000000001</v>
      </c>
      <c r="T259">
        <v>0.5</v>
      </c>
      <c r="U259">
        <v>0.74</v>
      </c>
      <c r="V259">
        <v>0.52</v>
      </c>
      <c r="W259">
        <v>0.74</v>
      </c>
      <c r="X259">
        <v>15.2331</v>
      </c>
      <c r="Y259">
        <v>0</v>
      </c>
      <c r="Z259">
        <v>2.7778</v>
      </c>
      <c r="AA259">
        <v>22.222200000000001</v>
      </c>
      <c r="AB259">
        <v>25</v>
      </c>
      <c r="AC259">
        <v>8.3332999999999995</v>
      </c>
      <c r="AD259">
        <v>66.666700000000006</v>
      </c>
      <c r="AE259">
        <v>0</v>
      </c>
      <c r="AF259">
        <v>75</v>
      </c>
      <c r="AG259">
        <v>66.666700000000006</v>
      </c>
      <c r="AH259">
        <v>0.21329999999999999</v>
      </c>
      <c r="AI259">
        <v>0.255</v>
      </c>
      <c r="AJ259">
        <v>0.26669999999999999</v>
      </c>
      <c r="AK259">
        <v>0.245</v>
      </c>
      <c r="AL259">
        <v>0.16739999999999999</v>
      </c>
      <c r="AM259">
        <v>0.48</v>
      </c>
      <c r="AN259">
        <v>0.53</v>
      </c>
      <c r="AO259">
        <v>0.56000000000000005</v>
      </c>
      <c r="AP259">
        <v>0.56000000000000005</v>
      </c>
      <c r="AQ259">
        <v>20.833300000000001</v>
      </c>
      <c r="AR259">
        <v>0.5</v>
      </c>
      <c r="AS259">
        <v>25</v>
      </c>
      <c r="AT259">
        <v>37.5</v>
      </c>
      <c r="AU259">
        <v>25</v>
      </c>
      <c r="AV259">
        <v>29.166699999999999</v>
      </c>
      <c r="AW259">
        <v>50</v>
      </c>
      <c r="AX259">
        <v>1</v>
      </c>
      <c r="AY259">
        <v>41.666699999999999</v>
      </c>
      <c r="AZ259">
        <v>0.125</v>
      </c>
      <c r="BA259">
        <v>0.75</v>
      </c>
      <c r="BB259">
        <v>0.5</v>
      </c>
      <c r="BC259">
        <v>0.45829999999999999</v>
      </c>
      <c r="BD259">
        <v>0.95830000000000004</v>
      </c>
      <c r="BE259">
        <v>1</v>
      </c>
      <c r="BF259">
        <v>0.66669999999999996</v>
      </c>
      <c r="BG259">
        <v>0</v>
      </c>
      <c r="BH259">
        <v>0.54549999999999998</v>
      </c>
      <c r="BI259">
        <v>0</v>
      </c>
      <c r="BJ259">
        <v>0</v>
      </c>
      <c r="BK259">
        <v>0.25</v>
      </c>
      <c r="BL259">
        <v>8.3299999999999999E-2</v>
      </c>
      <c r="BM259">
        <v>2</v>
      </c>
      <c r="BN259">
        <v>1.75</v>
      </c>
      <c r="BO259">
        <v>0.5</v>
      </c>
      <c r="BP259">
        <v>1.4167000000000001</v>
      </c>
      <c r="BQ259">
        <v>29.166699999999999</v>
      </c>
      <c r="BR259">
        <v>54.166699999999999</v>
      </c>
      <c r="BS259">
        <v>16.666699999999999</v>
      </c>
      <c r="BT259">
        <v>31.875</v>
      </c>
      <c r="BU259">
        <v>0.5</v>
      </c>
      <c r="BV259">
        <v>55.200699999999998</v>
      </c>
      <c r="BW259">
        <v>12.6739</v>
      </c>
      <c r="BX259">
        <v>44.799300000000002</v>
      </c>
      <c r="BY259">
        <v>0</v>
      </c>
      <c r="BZ259">
        <v>0</v>
      </c>
      <c r="CA259">
        <v>0</v>
      </c>
      <c r="CB259">
        <v>0</v>
      </c>
      <c r="CC259">
        <v>0</v>
      </c>
    </row>
    <row r="260" spans="2:81" x14ac:dyDescent="0.25">
      <c r="B260">
        <v>16.7</v>
      </c>
      <c r="C260">
        <v>8.31</v>
      </c>
      <c r="D260">
        <v>12.28</v>
      </c>
      <c r="E260">
        <v>1110</v>
      </c>
      <c r="F260">
        <v>1140</v>
      </c>
      <c r="G260">
        <v>1886</v>
      </c>
      <c r="H260">
        <v>4136</v>
      </c>
      <c r="I260">
        <v>2.7128000000000001</v>
      </c>
      <c r="J260">
        <v>7.4166999999999996</v>
      </c>
      <c r="K260">
        <v>7.2625000000000002</v>
      </c>
      <c r="L260">
        <v>7.8</v>
      </c>
      <c r="M260">
        <v>7.5</v>
      </c>
      <c r="N260">
        <v>2.9575999999999998</v>
      </c>
      <c r="O260">
        <v>0.46929999999999999</v>
      </c>
      <c r="P260">
        <v>0.45329999999999998</v>
      </c>
      <c r="Q260">
        <v>0.21940000000000001</v>
      </c>
      <c r="R260">
        <v>0.37509999999999999</v>
      </c>
      <c r="S260">
        <v>0.28210000000000002</v>
      </c>
      <c r="T260">
        <v>1.1000000000000001</v>
      </c>
      <c r="U260">
        <v>0.86</v>
      </c>
      <c r="V260">
        <v>0.6</v>
      </c>
      <c r="W260">
        <v>1.1000000000000001</v>
      </c>
      <c r="X260">
        <v>19.9941</v>
      </c>
      <c r="Y260">
        <v>2.2222</v>
      </c>
      <c r="Z260">
        <v>6.6666999999999996</v>
      </c>
      <c r="AA260">
        <v>8.8888999999999996</v>
      </c>
      <c r="AB260">
        <v>17.777799999999999</v>
      </c>
      <c r="AC260">
        <v>0</v>
      </c>
      <c r="AD260">
        <v>82.222200000000001</v>
      </c>
      <c r="AE260">
        <v>0</v>
      </c>
      <c r="AF260">
        <v>82.222200000000001</v>
      </c>
      <c r="AG260">
        <v>82.222200000000001</v>
      </c>
      <c r="AH260">
        <v>0.2364</v>
      </c>
      <c r="AI260">
        <v>0.2336</v>
      </c>
      <c r="AJ260">
        <v>0.4007</v>
      </c>
      <c r="AK260">
        <v>0.31559999999999999</v>
      </c>
      <c r="AL260">
        <v>0.26550000000000001</v>
      </c>
      <c r="AM260">
        <v>0.54</v>
      </c>
      <c r="AN260">
        <v>0.81</v>
      </c>
      <c r="AO260">
        <v>1.1599999999999999</v>
      </c>
      <c r="AP260">
        <v>1.1599999999999999</v>
      </c>
      <c r="AQ260">
        <v>41.666699999999999</v>
      </c>
      <c r="AR260">
        <v>0.29170000000000001</v>
      </c>
      <c r="AS260">
        <v>50</v>
      </c>
      <c r="AT260">
        <v>25</v>
      </c>
      <c r="AU260">
        <v>12.5</v>
      </c>
      <c r="AV260">
        <v>29.166699999999999</v>
      </c>
      <c r="AW260">
        <v>41.666699999999999</v>
      </c>
      <c r="AX260">
        <v>0.5</v>
      </c>
      <c r="AY260">
        <v>16.666699999999999</v>
      </c>
      <c r="AZ260">
        <v>0</v>
      </c>
      <c r="BA260">
        <v>0.25</v>
      </c>
      <c r="BB260">
        <v>0</v>
      </c>
      <c r="BC260">
        <v>8.3299999999999999E-2</v>
      </c>
      <c r="BD260">
        <v>0.33329999999999999</v>
      </c>
      <c r="BE260">
        <v>0.5</v>
      </c>
      <c r="BF260">
        <v>0</v>
      </c>
      <c r="BG260">
        <v>0</v>
      </c>
      <c r="BH260">
        <v>0.16669999999999999</v>
      </c>
      <c r="BI260">
        <v>0.25</v>
      </c>
      <c r="BJ260">
        <v>0.25</v>
      </c>
      <c r="BK260">
        <v>0.25</v>
      </c>
      <c r="BL260">
        <v>0.25</v>
      </c>
      <c r="BM260">
        <v>1.75</v>
      </c>
      <c r="BN260">
        <v>1.5</v>
      </c>
      <c r="BO260">
        <v>0.75</v>
      </c>
      <c r="BP260">
        <v>1.3332999999999999</v>
      </c>
      <c r="BQ260">
        <v>45.833300000000001</v>
      </c>
      <c r="BR260">
        <v>16.666699999999999</v>
      </c>
      <c r="BS260">
        <v>33.333300000000001</v>
      </c>
      <c r="BT260">
        <v>33.043500000000002</v>
      </c>
      <c r="BU260">
        <v>0.79169999999999996</v>
      </c>
      <c r="BV260">
        <v>59.534500000000001</v>
      </c>
      <c r="BW260">
        <v>16.185500000000001</v>
      </c>
      <c r="BX260">
        <v>40.465499999999999</v>
      </c>
      <c r="BY260">
        <v>0</v>
      </c>
      <c r="BZ260">
        <v>0</v>
      </c>
      <c r="CA260">
        <v>0</v>
      </c>
      <c r="CB260">
        <v>0</v>
      </c>
      <c r="CC260">
        <v>0</v>
      </c>
    </row>
    <row r="261" spans="2:81" x14ac:dyDescent="0.25">
      <c r="B261">
        <v>16</v>
      </c>
      <c r="C261">
        <v>8.6</v>
      </c>
      <c r="D261">
        <v>12.35</v>
      </c>
      <c r="E261">
        <v>1123</v>
      </c>
      <c r="F261">
        <v>995</v>
      </c>
      <c r="G261">
        <v>766</v>
      </c>
      <c r="H261">
        <v>2884</v>
      </c>
      <c r="I261">
        <v>2.1012</v>
      </c>
      <c r="J261">
        <v>3.25</v>
      </c>
      <c r="K261">
        <v>3.0625</v>
      </c>
      <c r="L261">
        <v>2.4249999999999998</v>
      </c>
      <c r="M261">
        <v>2.9125000000000001</v>
      </c>
      <c r="N261">
        <v>1.2564</v>
      </c>
      <c r="O261">
        <v>0.34289999999999998</v>
      </c>
      <c r="P261">
        <v>0.31</v>
      </c>
      <c r="Q261">
        <v>0.33500000000000002</v>
      </c>
      <c r="R261">
        <v>0.32950000000000002</v>
      </c>
      <c r="S261">
        <v>0.2351</v>
      </c>
      <c r="T261">
        <v>0.6</v>
      </c>
      <c r="U261">
        <v>0.52</v>
      </c>
      <c r="V261">
        <v>1.4</v>
      </c>
      <c r="W261">
        <v>1.4</v>
      </c>
      <c r="X261">
        <v>8.8394999999999992</v>
      </c>
      <c r="Y261">
        <v>0</v>
      </c>
      <c r="Z261">
        <v>31.578900000000001</v>
      </c>
      <c r="AA261">
        <v>2.6316000000000002</v>
      </c>
      <c r="AB261">
        <v>34.210500000000003</v>
      </c>
      <c r="AC261">
        <v>5.2632000000000003</v>
      </c>
      <c r="AD261">
        <v>60.526299999999999</v>
      </c>
      <c r="AE261">
        <v>0</v>
      </c>
      <c r="AF261">
        <v>65.789500000000004</v>
      </c>
      <c r="AG261">
        <v>60.526299999999999</v>
      </c>
      <c r="AH261">
        <v>0.14360000000000001</v>
      </c>
      <c r="AI261">
        <v>0.23849999999999999</v>
      </c>
      <c r="AJ261">
        <v>0.29830000000000001</v>
      </c>
      <c r="AK261">
        <v>0.2228</v>
      </c>
      <c r="AL261">
        <v>0.25480000000000003</v>
      </c>
      <c r="AM261">
        <v>1.03</v>
      </c>
      <c r="AN261">
        <v>0.97</v>
      </c>
      <c r="AO261">
        <v>0.72</v>
      </c>
      <c r="AP261">
        <v>1.03</v>
      </c>
      <c r="AQ261">
        <v>20.833300000000001</v>
      </c>
      <c r="AR261">
        <v>0.41670000000000001</v>
      </c>
      <c r="AS261">
        <v>62.5</v>
      </c>
      <c r="AT261">
        <v>25</v>
      </c>
      <c r="AU261">
        <v>25</v>
      </c>
      <c r="AV261">
        <v>37.5</v>
      </c>
      <c r="AW261">
        <v>41.666699999999999</v>
      </c>
      <c r="AX261">
        <v>0.91669999999999996</v>
      </c>
      <c r="AY261">
        <v>33.333300000000001</v>
      </c>
      <c r="AZ261">
        <v>0.125</v>
      </c>
      <c r="BA261">
        <v>0</v>
      </c>
      <c r="BB261">
        <v>0.25</v>
      </c>
      <c r="BC261">
        <v>0.125</v>
      </c>
      <c r="BD261">
        <v>0.33329999999999999</v>
      </c>
      <c r="BE261">
        <v>0</v>
      </c>
      <c r="BF261">
        <v>0.75</v>
      </c>
      <c r="BG261">
        <v>1</v>
      </c>
      <c r="BH261">
        <v>0.58330000000000004</v>
      </c>
      <c r="BI261">
        <v>0</v>
      </c>
      <c r="BJ261">
        <v>1</v>
      </c>
      <c r="BK261">
        <v>0.25</v>
      </c>
      <c r="BL261">
        <v>0.41670000000000001</v>
      </c>
      <c r="BM261">
        <v>2.5</v>
      </c>
      <c r="BN261">
        <v>0.5</v>
      </c>
      <c r="BO261">
        <v>0.75</v>
      </c>
      <c r="BP261">
        <v>1.25</v>
      </c>
      <c r="BQ261">
        <v>0</v>
      </c>
      <c r="BR261">
        <v>70.833299999999994</v>
      </c>
      <c r="BS261">
        <v>29.166699999999999</v>
      </c>
      <c r="BT261">
        <v>44.583300000000001</v>
      </c>
      <c r="BU261">
        <v>0.625</v>
      </c>
      <c r="BV261">
        <v>89.268699999999995</v>
      </c>
      <c r="BW261">
        <v>9.5869</v>
      </c>
      <c r="BX261">
        <v>10.731299999999999</v>
      </c>
      <c r="BY261">
        <v>0</v>
      </c>
      <c r="BZ261">
        <v>0</v>
      </c>
      <c r="CA261">
        <v>0</v>
      </c>
      <c r="CB261">
        <v>0</v>
      </c>
      <c r="CC261">
        <v>0</v>
      </c>
    </row>
    <row r="262" spans="2:81" x14ac:dyDescent="0.25">
      <c r="B262">
        <v>15.3</v>
      </c>
      <c r="C262">
        <v>8.0500000000000007</v>
      </c>
      <c r="D262">
        <v>11.21</v>
      </c>
      <c r="E262">
        <v>638</v>
      </c>
      <c r="F262">
        <v>368</v>
      </c>
      <c r="G262">
        <v>370</v>
      </c>
      <c r="H262">
        <v>1376</v>
      </c>
      <c r="I262">
        <v>0</v>
      </c>
      <c r="J262">
        <v>1.325</v>
      </c>
      <c r="K262">
        <v>1.2749999999999999</v>
      </c>
      <c r="L262">
        <v>1.65</v>
      </c>
      <c r="M262">
        <v>1.4167000000000001</v>
      </c>
      <c r="N262">
        <v>0.61339999999999995</v>
      </c>
      <c r="O262">
        <v>0.29380000000000001</v>
      </c>
      <c r="P262">
        <v>0.3175</v>
      </c>
      <c r="Q262">
        <v>0.23</v>
      </c>
      <c r="R262">
        <v>0.28039999999999998</v>
      </c>
      <c r="S262">
        <v>0.1399</v>
      </c>
      <c r="T262">
        <v>0.5</v>
      </c>
      <c r="U262">
        <v>0.5</v>
      </c>
      <c r="V262">
        <v>0.42</v>
      </c>
      <c r="W262">
        <v>0.5</v>
      </c>
      <c r="X262">
        <v>5.0519999999999996</v>
      </c>
      <c r="Y262">
        <v>0</v>
      </c>
      <c r="Z262">
        <v>45.833300000000001</v>
      </c>
      <c r="AA262">
        <v>0</v>
      </c>
      <c r="AB262">
        <v>45.833300000000001</v>
      </c>
      <c r="AC262">
        <v>20.833300000000001</v>
      </c>
      <c r="AD262">
        <v>33.333300000000001</v>
      </c>
      <c r="AE262">
        <v>0</v>
      </c>
      <c r="AF262">
        <v>54.166699999999999</v>
      </c>
      <c r="AG262">
        <v>45.833300000000001</v>
      </c>
      <c r="AH262">
        <v>4.2500000000000003E-2</v>
      </c>
      <c r="AI262">
        <v>5.2499999999999998E-2</v>
      </c>
      <c r="AJ262">
        <v>7.4999999999999997E-2</v>
      </c>
      <c r="AK262">
        <v>5.67E-2</v>
      </c>
      <c r="AL262">
        <v>5.4899999999999997E-2</v>
      </c>
      <c r="AM262">
        <v>0.13</v>
      </c>
      <c r="AN262">
        <v>0.12</v>
      </c>
      <c r="AO262">
        <v>0.2</v>
      </c>
      <c r="AP262">
        <v>0.2</v>
      </c>
      <c r="AQ262">
        <v>12.5</v>
      </c>
      <c r="AR262">
        <v>0.16669999999999999</v>
      </c>
      <c r="AS262">
        <v>62.5</v>
      </c>
      <c r="AT262">
        <v>87.5</v>
      </c>
      <c r="AU262">
        <v>62.5</v>
      </c>
      <c r="AV262">
        <v>70.833299999999994</v>
      </c>
      <c r="AW262">
        <v>66.666700000000006</v>
      </c>
      <c r="AX262">
        <v>0.41670000000000001</v>
      </c>
      <c r="AY262">
        <v>16.666699999999999</v>
      </c>
      <c r="AZ262">
        <v>0</v>
      </c>
      <c r="BA262">
        <v>0</v>
      </c>
      <c r="BB262">
        <v>0</v>
      </c>
      <c r="BC262">
        <v>0</v>
      </c>
      <c r="BD262">
        <v>4.1700000000000001E-2</v>
      </c>
      <c r="BE262">
        <v>1.25</v>
      </c>
      <c r="BF262">
        <v>1.5</v>
      </c>
      <c r="BG262">
        <v>0.75</v>
      </c>
      <c r="BH262">
        <v>1.1667000000000001</v>
      </c>
      <c r="BI262">
        <v>0</v>
      </c>
      <c r="BJ262">
        <v>0</v>
      </c>
      <c r="BK262">
        <v>0</v>
      </c>
      <c r="BL262">
        <v>0</v>
      </c>
      <c r="BM262">
        <v>2.25</v>
      </c>
      <c r="BN262">
        <v>3.25</v>
      </c>
      <c r="BO262">
        <v>2.5</v>
      </c>
      <c r="BP262">
        <v>2.6667000000000001</v>
      </c>
      <c r="BQ262">
        <v>0</v>
      </c>
      <c r="BR262">
        <v>54.166699999999999</v>
      </c>
      <c r="BS262">
        <v>45.833300000000001</v>
      </c>
      <c r="BT262">
        <v>47.291699999999999</v>
      </c>
      <c r="BU262">
        <v>0.58330000000000004</v>
      </c>
      <c r="BV262">
        <v>88.513499999999993</v>
      </c>
      <c r="BW262">
        <v>10.872199999999999</v>
      </c>
      <c r="BX262">
        <v>11.486499999999999</v>
      </c>
      <c r="BY262">
        <v>0</v>
      </c>
      <c r="BZ262">
        <v>0</v>
      </c>
      <c r="CA262">
        <v>0</v>
      </c>
      <c r="CB262">
        <v>0</v>
      </c>
      <c r="CC262">
        <v>0</v>
      </c>
    </row>
    <row r="263" spans="2:81" x14ac:dyDescent="0.25">
      <c r="B263">
        <v>11.5</v>
      </c>
      <c r="C263">
        <v>7.53</v>
      </c>
      <c r="D263">
        <v>10.94</v>
      </c>
      <c r="E263">
        <v>1509</v>
      </c>
      <c r="F263">
        <v>789</v>
      </c>
      <c r="G263">
        <v>1427</v>
      </c>
      <c r="H263">
        <v>3725</v>
      </c>
      <c r="I263">
        <v>0.59599999999999997</v>
      </c>
      <c r="J263">
        <v>6.8250000000000002</v>
      </c>
      <c r="K263">
        <v>6.2</v>
      </c>
      <c r="L263">
        <v>6.2750000000000004</v>
      </c>
      <c r="M263">
        <v>6.4333</v>
      </c>
      <c r="N263">
        <v>1.6833</v>
      </c>
      <c r="O263">
        <v>0.42</v>
      </c>
      <c r="P263">
        <v>0.38379999999999997</v>
      </c>
      <c r="Q263">
        <v>0.43690000000000001</v>
      </c>
      <c r="R263">
        <v>0.41349999999999998</v>
      </c>
      <c r="S263">
        <v>0.20330000000000001</v>
      </c>
      <c r="T263">
        <v>0.74</v>
      </c>
      <c r="U263">
        <v>0.68</v>
      </c>
      <c r="V263">
        <v>1</v>
      </c>
      <c r="W263">
        <v>1</v>
      </c>
      <c r="X263">
        <v>15.556699999999999</v>
      </c>
      <c r="Y263">
        <v>8.5106000000000002</v>
      </c>
      <c r="Z263">
        <v>0</v>
      </c>
      <c r="AA263">
        <v>4.2553000000000001</v>
      </c>
      <c r="AB263">
        <v>12.766</v>
      </c>
      <c r="AC263">
        <v>10.638299999999999</v>
      </c>
      <c r="AD263">
        <v>76.595699999999994</v>
      </c>
      <c r="AE263">
        <v>0</v>
      </c>
      <c r="AF263">
        <v>87.233999999999995</v>
      </c>
      <c r="AG263">
        <v>76.595699999999994</v>
      </c>
      <c r="AH263">
        <v>0.2833</v>
      </c>
      <c r="AI263">
        <v>0.34329999999999999</v>
      </c>
      <c r="AJ263">
        <v>0.39800000000000002</v>
      </c>
      <c r="AK263">
        <v>0.34939999999999999</v>
      </c>
      <c r="AL263">
        <v>0.21240000000000001</v>
      </c>
      <c r="AM263">
        <v>0.62</v>
      </c>
      <c r="AN263">
        <v>0.71</v>
      </c>
      <c r="AO263">
        <v>0.87</v>
      </c>
      <c r="AP263">
        <v>0.87</v>
      </c>
      <c r="AQ263">
        <v>45.833300000000001</v>
      </c>
      <c r="AR263">
        <v>0.5</v>
      </c>
      <c r="AS263">
        <v>0</v>
      </c>
      <c r="AT263">
        <v>12.5</v>
      </c>
      <c r="AU263">
        <v>0</v>
      </c>
      <c r="AV263">
        <v>4.1666999999999996</v>
      </c>
      <c r="AW263">
        <v>50</v>
      </c>
      <c r="AX263">
        <v>1.5</v>
      </c>
      <c r="AY263">
        <v>50</v>
      </c>
      <c r="AZ263">
        <v>1.25</v>
      </c>
      <c r="BA263">
        <v>0.375</v>
      </c>
      <c r="BB263">
        <v>0.25</v>
      </c>
      <c r="BC263">
        <v>0.625</v>
      </c>
      <c r="BD263">
        <v>1</v>
      </c>
      <c r="BE263">
        <v>0.5</v>
      </c>
      <c r="BF263">
        <v>1.5</v>
      </c>
      <c r="BG263">
        <v>0.75</v>
      </c>
      <c r="BH263">
        <v>0.91669999999999996</v>
      </c>
      <c r="BI263">
        <v>0</v>
      </c>
      <c r="BJ263">
        <v>0.5</v>
      </c>
      <c r="BK263">
        <v>0.25</v>
      </c>
      <c r="BL263">
        <v>0.25</v>
      </c>
      <c r="BM263">
        <v>0.75</v>
      </c>
      <c r="BN263">
        <v>0</v>
      </c>
      <c r="BO263">
        <v>1.25</v>
      </c>
      <c r="BP263">
        <v>0.66669999999999996</v>
      </c>
      <c r="BQ263">
        <v>8.3332999999999995</v>
      </c>
      <c r="BR263">
        <v>75</v>
      </c>
      <c r="BS263">
        <v>16.666699999999999</v>
      </c>
      <c r="BT263">
        <v>40.625</v>
      </c>
      <c r="BU263">
        <v>1.4582999999999999</v>
      </c>
      <c r="BV263">
        <v>60.8108</v>
      </c>
      <c r="BW263">
        <v>14.531700000000001</v>
      </c>
      <c r="BX263">
        <v>39.1892</v>
      </c>
      <c r="BY263">
        <v>0</v>
      </c>
      <c r="BZ263">
        <v>0</v>
      </c>
      <c r="CA263">
        <v>0</v>
      </c>
      <c r="CB263">
        <v>0</v>
      </c>
      <c r="CC263">
        <v>0</v>
      </c>
    </row>
    <row r="264" spans="2:81" x14ac:dyDescent="0.25">
      <c r="B264">
        <v>12.5</v>
      </c>
      <c r="C264">
        <v>8.09</v>
      </c>
      <c r="D264">
        <v>9.7899999999999991</v>
      </c>
      <c r="E264">
        <v>1775</v>
      </c>
      <c r="F264">
        <v>1830</v>
      </c>
      <c r="G264">
        <v>1720</v>
      </c>
      <c r="H264">
        <v>5325</v>
      </c>
      <c r="I264">
        <v>1.7577</v>
      </c>
      <c r="J264">
        <v>5</v>
      </c>
      <c r="K264">
        <v>4.3624999999999998</v>
      </c>
      <c r="L264">
        <v>4.2750000000000004</v>
      </c>
      <c r="M264">
        <v>4.5457999999999998</v>
      </c>
      <c r="N264">
        <v>1.5511999999999999</v>
      </c>
      <c r="O264">
        <v>0.30249999999999999</v>
      </c>
      <c r="P264">
        <v>0.3725</v>
      </c>
      <c r="Q264">
        <v>0.58250000000000002</v>
      </c>
      <c r="R264">
        <v>0.41920000000000002</v>
      </c>
      <c r="S264">
        <v>0.26950000000000002</v>
      </c>
      <c r="T264">
        <v>0.86</v>
      </c>
      <c r="U264">
        <v>0.6</v>
      </c>
      <c r="V264">
        <v>0.92</v>
      </c>
      <c r="W264">
        <v>0.92</v>
      </c>
      <c r="X264">
        <v>10.844900000000001</v>
      </c>
      <c r="Y264">
        <v>0</v>
      </c>
      <c r="Z264">
        <v>25</v>
      </c>
      <c r="AA264">
        <v>0</v>
      </c>
      <c r="AB264">
        <v>25</v>
      </c>
      <c r="AC264">
        <v>0</v>
      </c>
      <c r="AD264">
        <v>75</v>
      </c>
      <c r="AE264">
        <v>0</v>
      </c>
      <c r="AF264">
        <v>75</v>
      </c>
      <c r="AG264">
        <v>75</v>
      </c>
      <c r="AH264">
        <v>0.21</v>
      </c>
      <c r="AI264">
        <v>0.20250000000000001</v>
      </c>
      <c r="AJ264">
        <v>0.20380000000000001</v>
      </c>
      <c r="AK264">
        <v>0.2054</v>
      </c>
      <c r="AL264">
        <v>0.22459999999999999</v>
      </c>
      <c r="AM264">
        <v>0.41</v>
      </c>
      <c r="AN264">
        <v>0.61</v>
      </c>
      <c r="AO264">
        <v>0.89</v>
      </c>
      <c r="AP264">
        <v>0.89</v>
      </c>
      <c r="AQ264">
        <v>20.833300000000001</v>
      </c>
      <c r="AR264">
        <v>0.25</v>
      </c>
      <c r="AS264">
        <v>37.5</v>
      </c>
      <c r="AT264">
        <v>62.5</v>
      </c>
      <c r="AU264">
        <v>62.5</v>
      </c>
      <c r="AV264">
        <v>54.166699999999999</v>
      </c>
      <c r="AW264">
        <v>50</v>
      </c>
      <c r="AX264">
        <v>0.58330000000000004</v>
      </c>
      <c r="AY264">
        <v>25</v>
      </c>
      <c r="AZ264">
        <v>0.125</v>
      </c>
      <c r="BA264">
        <v>0.125</v>
      </c>
      <c r="BB264">
        <v>0.125</v>
      </c>
      <c r="BC264">
        <v>0.125</v>
      </c>
      <c r="BD264">
        <v>1</v>
      </c>
      <c r="BE264">
        <v>0.75</v>
      </c>
      <c r="BF264">
        <v>1</v>
      </c>
      <c r="BG264">
        <v>1.25</v>
      </c>
      <c r="BH264">
        <v>1</v>
      </c>
      <c r="BI264">
        <v>0.25</v>
      </c>
      <c r="BJ264">
        <v>0</v>
      </c>
      <c r="BK264">
        <v>0</v>
      </c>
      <c r="BL264">
        <v>8.3299999999999999E-2</v>
      </c>
      <c r="BM264">
        <v>3</v>
      </c>
      <c r="BN264">
        <v>2.25</v>
      </c>
      <c r="BO264">
        <v>3.25</v>
      </c>
      <c r="BP264">
        <v>2.8332999999999999</v>
      </c>
      <c r="BQ264">
        <v>4.1666999999999996</v>
      </c>
      <c r="BR264">
        <v>54.166699999999999</v>
      </c>
      <c r="BS264">
        <v>41.666699999999999</v>
      </c>
      <c r="BT264">
        <v>48.75</v>
      </c>
      <c r="BU264">
        <v>0.91669999999999996</v>
      </c>
      <c r="BV264">
        <v>34.384399999999999</v>
      </c>
      <c r="BW264">
        <v>14.290100000000001</v>
      </c>
      <c r="BX264">
        <v>65.615600000000001</v>
      </c>
      <c r="BY264">
        <v>0</v>
      </c>
      <c r="BZ264">
        <v>0</v>
      </c>
      <c r="CA264">
        <v>0</v>
      </c>
      <c r="CB264">
        <v>0</v>
      </c>
      <c r="CC264">
        <v>0</v>
      </c>
    </row>
    <row r="265" spans="2:81" x14ac:dyDescent="0.25">
      <c r="B265">
        <v>16.899999999999999</v>
      </c>
      <c r="C265">
        <v>8.4600000000000009</v>
      </c>
      <c r="D265">
        <v>12.22</v>
      </c>
      <c r="E265">
        <v>593</v>
      </c>
      <c r="F265">
        <v>713</v>
      </c>
      <c r="G265">
        <v>653</v>
      </c>
      <c r="H265">
        <v>1959</v>
      </c>
      <c r="I265">
        <v>6.13E-2</v>
      </c>
      <c r="J265">
        <v>2.4500000000000002</v>
      </c>
      <c r="K265">
        <v>2.7</v>
      </c>
      <c r="L265">
        <v>3.5</v>
      </c>
      <c r="M265">
        <v>2.8833000000000002</v>
      </c>
      <c r="N265">
        <v>0.96079999999999999</v>
      </c>
      <c r="O265">
        <v>0.1183</v>
      </c>
      <c r="P265">
        <v>0.13500000000000001</v>
      </c>
      <c r="Q265">
        <v>0.185</v>
      </c>
      <c r="R265">
        <v>0.14610000000000001</v>
      </c>
      <c r="S265">
        <v>7.9100000000000004E-2</v>
      </c>
      <c r="T265">
        <v>0.3</v>
      </c>
      <c r="U265">
        <v>0.34</v>
      </c>
      <c r="V265">
        <v>0.36</v>
      </c>
      <c r="W265">
        <v>0.36</v>
      </c>
      <c r="X265">
        <v>19.733799999999999</v>
      </c>
      <c r="Y265">
        <v>5.5556000000000001</v>
      </c>
      <c r="Z265">
        <v>13.8889</v>
      </c>
      <c r="AA265">
        <v>0</v>
      </c>
      <c r="AB265">
        <v>19.444400000000002</v>
      </c>
      <c r="AC265">
        <v>2.7778</v>
      </c>
      <c r="AD265">
        <v>77.777799999999999</v>
      </c>
      <c r="AE265">
        <v>0</v>
      </c>
      <c r="AF265">
        <v>80.555599999999998</v>
      </c>
      <c r="AG265">
        <v>77.777799999999999</v>
      </c>
      <c r="AH265">
        <v>0.22090000000000001</v>
      </c>
      <c r="AI265">
        <v>0.12640000000000001</v>
      </c>
      <c r="AJ265">
        <v>0.1091</v>
      </c>
      <c r="AK265">
        <v>0.15</v>
      </c>
      <c r="AL265">
        <v>0.17649999999999999</v>
      </c>
      <c r="AM265">
        <v>0.69</v>
      </c>
      <c r="AN265">
        <v>0.51</v>
      </c>
      <c r="AO265">
        <v>0.41</v>
      </c>
      <c r="AP265">
        <v>0.69</v>
      </c>
      <c r="AQ265">
        <v>20.833300000000001</v>
      </c>
      <c r="AR265">
        <v>0.20830000000000001</v>
      </c>
      <c r="AS265">
        <v>37.5</v>
      </c>
      <c r="AT265">
        <v>75</v>
      </c>
      <c r="AU265">
        <v>62.5</v>
      </c>
      <c r="AV265">
        <v>58.333300000000001</v>
      </c>
      <c r="AW265">
        <v>33.333300000000001</v>
      </c>
      <c r="AX265">
        <v>1</v>
      </c>
      <c r="AY265">
        <v>16.666699999999999</v>
      </c>
      <c r="AZ265">
        <v>0.5</v>
      </c>
      <c r="BA265">
        <v>0.625</v>
      </c>
      <c r="BB265">
        <v>0.75</v>
      </c>
      <c r="BC265">
        <v>0.625</v>
      </c>
      <c r="BD265">
        <v>1.0832999999999999</v>
      </c>
      <c r="BE265">
        <v>0.25</v>
      </c>
      <c r="BF265">
        <v>0</v>
      </c>
      <c r="BG265">
        <v>0</v>
      </c>
      <c r="BH265">
        <v>8.3299999999999999E-2</v>
      </c>
      <c r="BI265">
        <v>1.25</v>
      </c>
      <c r="BJ265">
        <v>0.75</v>
      </c>
      <c r="BK265">
        <v>1.5</v>
      </c>
      <c r="BL265">
        <v>1.1667000000000001</v>
      </c>
      <c r="BM265">
        <v>0.25</v>
      </c>
      <c r="BN265">
        <v>0.5</v>
      </c>
      <c r="BO265">
        <v>1</v>
      </c>
      <c r="BP265">
        <v>0.58330000000000004</v>
      </c>
      <c r="BQ265">
        <v>4.1666999999999996</v>
      </c>
      <c r="BR265">
        <v>91.666700000000006</v>
      </c>
      <c r="BS265">
        <v>4.1666999999999996</v>
      </c>
      <c r="BT265">
        <v>32.5</v>
      </c>
      <c r="BU265">
        <v>1.25</v>
      </c>
      <c r="BV265">
        <v>9.9849999999999994</v>
      </c>
      <c r="BW265">
        <v>6.9645000000000001</v>
      </c>
      <c r="BX265">
        <v>90.015000000000001</v>
      </c>
      <c r="BY265">
        <v>0</v>
      </c>
      <c r="BZ265">
        <v>0</v>
      </c>
      <c r="CA265">
        <v>0</v>
      </c>
      <c r="CB265">
        <v>0</v>
      </c>
      <c r="CC265">
        <v>0</v>
      </c>
    </row>
    <row r="266" spans="2:81" x14ac:dyDescent="0.25">
      <c r="B266">
        <v>16.3</v>
      </c>
      <c r="C266">
        <v>8.32</v>
      </c>
      <c r="D266">
        <v>13.7</v>
      </c>
      <c r="E266">
        <v>364</v>
      </c>
      <c r="F266">
        <v>455</v>
      </c>
      <c r="G266">
        <v>437</v>
      </c>
      <c r="H266">
        <v>1256</v>
      </c>
      <c r="I266">
        <v>0</v>
      </c>
      <c r="J266">
        <v>2.75</v>
      </c>
      <c r="K266">
        <v>2.5</v>
      </c>
      <c r="L266">
        <v>3.4249999999999998</v>
      </c>
      <c r="M266">
        <v>2.8917000000000002</v>
      </c>
      <c r="N266">
        <v>0.77229999999999999</v>
      </c>
      <c r="O266">
        <v>0.15920000000000001</v>
      </c>
      <c r="P266">
        <v>0.17</v>
      </c>
      <c r="Q266">
        <v>0.1225</v>
      </c>
      <c r="R266">
        <v>0.15060000000000001</v>
      </c>
      <c r="S266">
        <v>9.4600000000000004E-2</v>
      </c>
      <c r="T266">
        <v>0.38</v>
      </c>
      <c r="U266">
        <v>0.4</v>
      </c>
      <c r="V266">
        <v>0.3</v>
      </c>
      <c r="W266">
        <v>0.4</v>
      </c>
      <c r="X266">
        <v>19.206600000000002</v>
      </c>
      <c r="Y266">
        <v>0</v>
      </c>
      <c r="Z266">
        <v>9.375</v>
      </c>
      <c r="AA266">
        <v>3.125</v>
      </c>
      <c r="AB266">
        <v>12.5</v>
      </c>
      <c r="AC266">
        <v>28.125</v>
      </c>
      <c r="AD266">
        <v>59.375</v>
      </c>
      <c r="AE266">
        <v>0</v>
      </c>
      <c r="AF266">
        <v>87.5</v>
      </c>
      <c r="AG266">
        <v>59.375</v>
      </c>
      <c r="AH266">
        <v>0.15670000000000001</v>
      </c>
      <c r="AI266">
        <v>0.185</v>
      </c>
      <c r="AJ266">
        <v>0.1767</v>
      </c>
      <c r="AK266">
        <v>0.17280000000000001</v>
      </c>
      <c r="AL266">
        <v>0.1386</v>
      </c>
      <c r="AM266">
        <v>0.3</v>
      </c>
      <c r="AN266">
        <v>0.62</v>
      </c>
      <c r="AO266">
        <v>0.3</v>
      </c>
      <c r="AP266">
        <v>0.62</v>
      </c>
      <c r="AQ266">
        <v>66.666700000000006</v>
      </c>
      <c r="AR266">
        <v>0.16669999999999999</v>
      </c>
      <c r="AS266">
        <v>25</v>
      </c>
      <c r="AT266">
        <v>12.5</v>
      </c>
      <c r="AU266">
        <v>12.5</v>
      </c>
      <c r="AV266">
        <v>16.666699999999999</v>
      </c>
      <c r="AW266">
        <v>66.666700000000006</v>
      </c>
      <c r="AX266">
        <v>0.83330000000000004</v>
      </c>
      <c r="AY266">
        <v>16.666699999999999</v>
      </c>
      <c r="AZ266">
        <v>0.25</v>
      </c>
      <c r="BA266">
        <v>0.25</v>
      </c>
      <c r="BB266">
        <v>0.25</v>
      </c>
      <c r="BC266">
        <v>0.25</v>
      </c>
      <c r="BD266">
        <v>0.625</v>
      </c>
      <c r="BE266">
        <v>0.25</v>
      </c>
      <c r="BF266">
        <v>0.5</v>
      </c>
      <c r="BG266">
        <v>0</v>
      </c>
      <c r="BH266">
        <v>0.25</v>
      </c>
      <c r="BI266">
        <v>0.75</v>
      </c>
      <c r="BJ266">
        <v>0.75</v>
      </c>
      <c r="BK266">
        <v>2.5</v>
      </c>
      <c r="BL266">
        <v>1.3332999999999999</v>
      </c>
      <c r="BM266">
        <v>0.5</v>
      </c>
      <c r="BN266">
        <v>0.75</v>
      </c>
      <c r="BO266">
        <v>0.5</v>
      </c>
      <c r="BP266">
        <v>0.58330000000000004</v>
      </c>
      <c r="BQ266">
        <v>16.666699999999999</v>
      </c>
      <c r="BR266">
        <v>66.666700000000006</v>
      </c>
      <c r="BS266">
        <v>16.666699999999999</v>
      </c>
      <c r="BT266">
        <v>33.958300000000001</v>
      </c>
      <c r="BU266">
        <v>1.125</v>
      </c>
      <c r="BV266">
        <v>16.816800000000001</v>
      </c>
      <c r="BW266">
        <v>6.3834999999999997</v>
      </c>
      <c r="BX266">
        <v>83.183199999999999</v>
      </c>
      <c r="BY266">
        <v>0</v>
      </c>
      <c r="BZ266">
        <v>0</v>
      </c>
      <c r="CA266">
        <v>0</v>
      </c>
      <c r="CB266">
        <v>0</v>
      </c>
      <c r="CC266">
        <v>0</v>
      </c>
    </row>
    <row r="267" spans="2:81" x14ac:dyDescent="0.25">
      <c r="B267">
        <v>12.2</v>
      </c>
      <c r="C267">
        <v>7.73</v>
      </c>
      <c r="D267">
        <v>12.74</v>
      </c>
      <c r="E267">
        <v>272</v>
      </c>
      <c r="F267">
        <v>306</v>
      </c>
      <c r="G267">
        <v>333</v>
      </c>
      <c r="H267">
        <v>911</v>
      </c>
      <c r="I267">
        <v>0</v>
      </c>
      <c r="J267">
        <v>3.1124999999999998</v>
      </c>
      <c r="K267">
        <v>2.7124999999999999</v>
      </c>
      <c r="L267">
        <v>2.875</v>
      </c>
      <c r="M267">
        <v>2.9</v>
      </c>
      <c r="N267">
        <v>1.0986</v>
      </c>
      <c r="O267">
        <v>0.16</v>
      </c>
      <c r="P267">
        <v>0.11600000000000001</v>
      </c>
      <c r="Q267">
        <v>0.1255</v>
      </c>
      <c r="R267">
        <v>0.13170000000000001</v>
      </c>
      <c r="S267">
        <v>5.4600000000000003E-2</v>
      </c>
      <c r="T267">
        <v>0.24</v>
      </c>
      <c r="U267">
        <v>0.19</v>
      </c>
      <c r="V267">
        <v>0.22</v>
      </c>
      <c r="W267">
        <v>0.24</v>
      </c>
      <c r="X267">
        <v>22.015699999999999</v>
      </c>
      <c r="Y267">
        <v>0</v>
      </c>
      <c r="Z267">
        <v>11.1111</v>
      </c>
      <c r="AA267">
        <v>11.1111</v>
      </c>
      <c r="AB267">
        <v>22.222200000000001</v>
      </c>
      <c r="AC267">
        <v>7.4074</v>
      </c>
      <c r="AD267">
        <v>70.370400000000004</v>
      </c>
      <c r="AE267">
        <v>0</v>
      </c>
      <c r="AF267">
        <v>77.777799999999999</v>
      </c>
      <c r="AG267">
        <v>70.370400000000004</v>
      </c>
      <c r="AH267">
        <v>0.17630000000000001</v>
      </c>
      <c r="AI267">
        <v>0.17</v>
      </c>
      <c r="AJ267">
        <v>0.111</v>
      </c>
      <c r="AK267">
        <v>0.19</v>
      </c>
      <c r="AL267">
        <v>0.21510000000000001</v>
      </c>
      <c r="AM267">
        <v>0.39</v>
      </c>
      <c r="AN267">
        <v>0.39</v>
      </c>
      <c r="AO267">
        <v>0.38</v>
      </c>
      <c r="AP267">
        <v>0.39</v>
      </c>
      <c r="AQ267">
        <v>50</v>
      </c>
      <c r="AR267">
        <v>0.29170000000000001</v>
      </c>
      <c r="AS267">
        <v>37.5</v>
      </c>
      <c r="AT267">
        <v>0</v>
      </c>
      <c r="AU267">
        <v>25</v>
      </c>
      <c r="AV267">
        <v>20.833300000000001</v>
      </c>
      <c r="AW267">
        <v>50</v>
      </c>
      <c r="AX267">
        <v>1</v>
      </c>
      <c r="AY267">
        <v>8.3332999999999995</v>
      </c>
      <c r="AZ267">
        <v>0.125</v>
      </c>
      <c r="BA267">
        <v>0</v>
      </c>
      <c r="BB267">
        <v>0.25</v>
      </c>
      <c r="BC267">
        <v>0.125</v>
      </c>
      <c r="BD267">
        <v>0.91669999999999996</v>
      </c>
      <c r="BE267">
        <v>0.25</v>
      </c>
      <c r="BF267">
        <v>0.25</v>
      </c>
      <c r="BG267">
        <v>0.75</v>
      </c>
      <c r="BH267">
        <v>0.41670000000000001</v>
      </c>
      <c r="BI267">
        <v>1</v>
      </c>
      <c r="BJ267">
        <v>2.5</v>
      </c>
      <c r="BK267">
        <v>2.25</v>
      </c>
      <c r="BL267">
        <v>1.9167000000000001</v>
      </c>
      <c r="BM267">
        <v>0</v>
      </c>
      <c r="BN267">
        <v>0.5</v>
      </c>
      <c r="BO267">
        <v>0.75</v>
      </c>
      <c r="BP267">
        <v>0.41670000000000001</v>
      </c>
      <c r="BQ267">
        <v>54.166699999999999</v>
      </c>
      <c r="BR267">
        <v>41.666699999999999</v>
      </c>
      <c r="BS267">
        <v>4.1666999999999996</v>
      </c>
      <c r="BT267">
        <v>20.583300000000001</v>
      </c>
      <c r="BU267">
        <v>1.3332999999999999</v>
      </c>
      <c r="BV267">
        <v>3.1532</v>
      </c>
      <c r="BW267">
        <v>2.1509</v>
      </c>
      <c r="BX267">
        <v>96.846800000000002</v>
      </c>
      <c r="BY267">
        <v>0</v>
      </c>
      <c r="BZ267">
        <v>0</v>
      </c>
      <c r="CA267">
        <v>0</v>
      </c>
      <c r="CB267">
        <v>0</v>
      </c>
      <c r="CC267">
        <v>0</v>
      </c>
    </row>
    <row r="268" spans="2:81" x14ac:dyDescent="0.25">
      <c r="B268">
        <v>13.9</v>
      </c>
      <c r="C268">
        <v>8.32</v>
      </c>
      <c r="D268">
        <v>11.65</v>
      </c>
      <c r="E268">
        <v>888</v>
      </c>
      <c r="F268">
        <v>786</v>
      </c>
      <c r="G268">
        <v>813</v>
      </c>
      <c r="H268">
        <v>2487</v>
      </c>
      <c r="I268">
        <v>7.2400000000000006E-2</v>
      </c>
      <c r="J268">
        <v>5.2874999999999996</v>
      </c>
      <c r="K268">
        <v>4.9124999999999996</v>
      </c>
      <c r="L268">
        <v>4.2</v>
      </c>
      <c r="M268">
        <v>4.8</v>
      </c>
      <c r="N268">
        <v>1.8309</v>
      </c>
      <c r="O268">
        <v>0.21310000000000001</v>
      </c>
      <c r="P268">
        <v>0.24</v>
      </c>
      <c r="Q268">
        <v>0.25879999999999997</v>
      </c>
      <c r="R268">
        <v>0.23719999999999999</v>
      </c>
      <c r="S268">
        <v>0.15359999999999999</v>
      </c>
      <c r="T268">
        <v>0.59</v>
      </c>
      <c r="U268">
        <v>0.72</v>
      </c>
      <c r="V268">
        <v>0.57999999999999996</v>
      </c>
      <c r="W268">
        <v>0.72</v>
      </c>
      <c r="X268">
        <v>20.2332</v>
      </c>
      <c r="Y268">
        <v>0</v>
      </c>
      <c r="Z268">
        <v>9.5237999999999996</v>
      </c>
      <c r="AA268">
        <v>7.1429</v>
      </c>
      <c r="AB268">
        <v>16.666699999999999</v>
      </c>
      <c r="AC268">
        <v>0</v>
      </c>
      <c r="AD268">
        <v>80.952399999999997</v>
      </c>
      <c r="AE268">
        <v>2.3809999999999998</v>
      </c>
      <c r="AF268">
        <v>83.333299999999994</v>
      </c>
      <c r="AG268">
        <v>80.952399999999997</v>
      </c>
      <c r="AH268">
        <v>0.19</v>
      </c>
      <c r="AI268">
        <v>0.13800000000000001</v>
      </c>
      <c r="AJ268">
        <v>0.1988</v>
      </c>
      <c r="AK268">
        <v>0.1764</v>
      </c>
      <c r="AL268">
        <v>0.1522</v>
      </c>
      <c r="AM268">
        <v>0.56999999999999995</v>
      </c>
      <c r="AN268">
        <v>0.4</v>
      </c>
      <c r="AO268">
        <v>0.53</v>
      </c>
      <c r="AP268">
        <v>0.56999999999999995</v>
      </c>
      <c r="AQ268">
        <v>41.666699999999999</v>
      </c>
      <c r="AR268">
        <v>0.20830000000000001</v>
      </c>
      <c r="AS268">
        <v>37.5</v>
      </c>
      <c r="AT268">
        <v>37.5</v>
      </c>
      <c r="AU268">
        <v>37.5</v>
      </c>
      <c r="AV268">
        <v>37.5</v>
      </c>
      <c r="AW268">
        <v>41.666699999999999</v>
      </c>
      <c r="AX268">
        <v>1</v>
      </c>
      <c r="AY268">
        <v>25</v>
      </c>
      <c r="AZ268">
        <v>0.625</v>
      </c>
      <c r="BA268">
        <v>0.625</v>
      </c>
      <c r="BB268">
        <v>0.75</v>
      </c>
      <c r="BC268">
        <v>0.66669999999999996</v>
      </c>
      <c r="BD268">
        <v>1.0417000000000001</v>
      </c>
      <c r="BE268">
        <v>0.5</v>
      </c>
      <c r="BF268">
        <v>0.25</v>
      </c>
      <c r="BG268">
        <v>0.75</v>
      </c>
      <c r="BH268">
        <v>0.5</v>
      </c>
      <c r="BI268">
        <v>0.75</v>
      </c>
      <c r="BJ268">
        <v>2</v>
      </c>
      <c r="BK268">
        <v>1</v>
      </c>
      <c r="BL268">
        <v>1.25</v>
      </c>
      <c r="BM268">
        <v>1</v>
      </c>
      <c r="BN268">
        <v>1.25</v>
      </c>
      <c r="BO268">
        <v>2</v>
      </c>
      <c r="BP268">
        <v>1.4167000000000001</v>
      </c>
      <c r="BQ268">
        <v>25</v>
      </c>
      <c r="BR268">
        <v>58.333300000000001</v>
      </c>
      <c r="BS268">
        <v>16.666699999999999</v>
      </c>
      <c r="BT268">
        <v>32.083300000000001</v>
      </c>
      <c r="BU268">
        <v>0.41670000000000001</v>
      </c>
      <c r="BV268">
        <v>18.918900000000001</v>
      </c>
      <c r="BW268">
        <v>6.2335000000000003</v>
      </c>
      <c r="BX268">
        <v>81.081100000000006</v>
      </c>
      <c r="BY268">
        <v>0</v>
      </c>
      <c r="BZ268">
        <v>0</v>
      </c>
      <c r="CA268">
        <v>0</v>
      </c>
      <c r="CB268">
        <v>0</v>
      </c>
      <c r="CC268">
        <v>0</v>
      </c>
    </row>
    <row r="269" spans="2:81" x14ac:dyDescent="0.25">
      <c r="B269">
        <v>16</v>
      </c>
      <c r="C269">
        <v>8.07</v>
      </c>
      <c r="D269">
        <v>11.17</v>
      </c>
      <c r="E269">
        <v>283</v>
      </c>
      <c r="F269">
        <v>353</v>
      </c>
      <c r="G269">
        <v>384</v>
      </c>
      <c r="H269">
        <v>1020</v>
      </c>
      <c r="I269">
        <v>0</v>
      </c>
      <c r="J269">
        <v>1.675</v>
      </c>
      <c r="K269">
        <v>1.675</v>
      </c>
      <c r="L269">
        <v>2.375</v>
      </c>
      <c r="M269">
        <v>1.9083000000000001</v>
      </c>
      <c r="N269">
        <v>0.52739999999999998</v>
      </c>
      <c r="O269">
        <v>0.23</v>
      </c>
      <c r="P269">
        <v>0.216</v>
      </c>
      <c r="Q269">
        <v>0.26290000000000002</v>
      </c>
      <c r="R269">
        <v>0.2394</v>
      </c>
      <c r="S269">
        <v>7.8600000000000003E-2</v>
      </c>
      <c r="T269">
        <v>0.3</v>
      </c>
      <c r="U269">
        <v>0.3</v>
      </c>
      <c r="V269">
        <v>0.38</v>
      </c>
      <c r="W269">
        <v>0.38</v>
      </c>
      <c r="X269">
        <v>7.9709000000000003</v>
      </c>
      <c r="Y269">
        <v>2.9411999999999998</v>
      </c>
      <c r="Z269">
        <v>50</v>
      </c>
      <c r="AA269">
        <v>8.8234999999999992</v>
      </c>
      <c r="AB269">
        <v>61.764699999999998</v>
      </c>
      <c r="AC269">
        <v>14.7059</v>
      </c>
      <c r="AD269">
        <v>23.529399999999999</v>
      </c>
      <c r="AE269">
        <v>0</v>
      </c>
      <c r="AF269">
        <v>38.235300000000002</v>
      </c>
      <c r="AG269">
        <v>50</v>
      </c>
      <c r="AH269">
        <v>6.7799999999999999E-2</v>
      </c>
      <c r="AI269">
        <v>0.15329999999999999</v>
      </c>
      <c r="AJ269">
        <v>4.4600000000000001E-2</v>
      </c>
      <c r="AK269">
        <v>8.5900000000000004E-2</v>
      </c>
      <c r="AL269">
        <v>0.113</v>
      </c>
      <c r="AM269">
        <v>0.18</v>
      </c>
      <c r="AN269">
        <v>0.57999999999999996</v>
      </c>
      <c r="AO269">
        <v>0.17</v>
      </c>
      <c r="AP269">
        <v>0.57999999999999996</v>
      </c>
      <c r="AQ269">
        <v>8.3332999999999995</v>
      </c>
      <c r="AR269">
        <v>0.41670000000000001</v>
      </c>
      <c r="AS269">
        <v>37.5</v>
      </c>
      <c r="AT269">
        <v>37.5</v>
      </c>
      <c r="AU269">
        <v>75</v>
      </c>
      <c r="AV269">
        <v>50</v>
      </c>
      <c r="AW269">
        <v>41.666699999999999</v>
      </c>
      <c r="AX269">
        <v>0.16669999999999999</v>
      </c>
      <c r="AY269">
        <v>8.3332999999999995</v>
      </c>
      <c r="AZ269">
        <v>0.125</v>
      </c>
      <c r="BA269">
        <v>0.125</v>
      </c>
      <c r="BB269">
        <v>0</v>
      </c>
      <c r="BC269">
        <v>8.3299999999999999E-2</v>
      </c>
      <c r="BD269">
        <v>8.3299999999999999E-2</v>
      </c>
      <c r="BE269">
        <v>1.25</v>
      </c>
      <c r="BF269">
        <v>2.5</v>
      </c>
      <c r="BG269">
        <v>1.75</v>
      </c>
      <c r="BH269">
        <v>1.8332999999999999</v>
      </c>
      <c r="BI269">
        <v>0</v>
      </c>
      <c r="BJ269">
        <v>0</v>
      </c>
      <c r="BK269">
        <v>0</v>
      </c>
      <c r="BL269">
        <v>0</v>
      </c>
      <c r="BM269">
        <v>1.75</v>
      </c>
      <c r="BN269">
        <v>2.25</v>
      </c>
      <c r="BO269">
        <v>2.5</v>
      </c>
      <c r="BP269">
        <v>2.1667000000000001</v>
      </c>
      <c r="BQ269">
        <v>0</v>
      </c>
      <c r="BR269">
        <v>66.666700000000006</v>
      </c>
      <c r="BS269">
        <v>33.333300000000001</v>
      </c>
      <c r="BT269">
        <v>47.083300000000001</v>
      </c>
      <c r="BU269">
        <v>0.41670000000000001</v>
      </c>
      <c r="BV269">
        <v>43.6937</v>
      </c>
      <c r="BW269">
        <v>10.2942</v>
      </c>
      <c r="BX269">
        <v>56.3063</v>
      </c>
      <c r="BY269">
        <v>0</v>
      </c>
      <c r="BZ269">
        <v>0</v>
      </c>
      <c r="CA269">
        <v>0</v>
      </c>
      <c r="CB269">
        <v>0</v>
      </c>
      <c r="CC269">
        <v>0</v>
      </c>
    </row>
    <row r="270" spans="2:81" x14ac:dyDescent="0.25">
      <c r="B270">
        <v>14.9</v>
      </c>
      <c r="C270">
        <v>7.69</v>
      </c>
      <c r="D270">
        <v>10.23</v>
      </c>
      <c r="E270">
        <v>868</v>
      </c>
      <c r="F270">
        <v>520</v>
      </c>
      <c r="G270">
        <v>488</v>
      </c>
      <c r="H270">
        <v>1876</v>
      </c>
      <c r="I270">
        <v>0.89549999999999996</v>
      </c>
      <c r="J270">
        <v>3.2875000000000001</v>
      </c>
      <c r="K270">
        <v>3.7</v>
      </c>
      <c r="L270">
        <v>3.45</v>
      </c>
      <c r="M270">
        <v>3.4792000000000001</v>
      </c>
      <c r="N270">
        <v>0.89300000000000002</v>
      </c>
      <c r="O270">
        <v>0.28000000000000003</v>
      </c>
      <c r="P270">
        <v>0.15079999999999999</v>
      </c>
      <c r="Q270">
        <v>0.29430000000000001</v>
      </c>
      <c r="R270">
        <v>0.24479999999999999</v>
      </c>
      <c r="S270">
        <v>0.14910000000000001</v>
      </c>
      <c r="T270">
        <v>0.6</v>
      </c>
      <c r="U270">
        <v>0.4</v>
      </c>
      <c r="V270">
        <v>0.54</v>
      </c>
      <c r="W270">
        <v>0.6</v>
      </c>
      <c r="X270">
        <v>14.214499999999999</v>
      </c>
      <c r="Y270">
        <v>2.5</v>
      </c>
      <c r="Z270">
        <v>5</v>
      </c>
      <c r="AA270">
        <v>0</v>
      </c>
      <c r="AB270">
        <v>7.5</v>
      </c>
      <c r="AC270">
        <v>5</v>
      </c>
      <c r="AD270">
        <v>85</v>
      </c>
      <c r="AE270">
        <v>2.5</v>
      </c>
      <c r="AF270">
        <v>92.5</v>
      </c>
      <c r="AG270">
        <v>85</v>
      </c>
      <c r="AH270">
        <v>0.11600000000000001</v>
      </c>
      <c r="AI270">
        <v>0.19919999999999999</v>
      </c>
      <c r="AJ270">
        <v>0.1215</v>
      </c>
      <c r="AK270">
        <v>0.1462</v>
      </c>
      <c r="AL270">
        <v>0.1457</v>
      </c>
      <c r="AM270">
        <v>0.31</v>
      </c>
      <c r="AN270">
        <v>0.44</v>
      </c>
      <c r="AO270">
        <v>0.69</v>
      </c>
      <c r="AP270">
        <v>0.69</v>
      </c>
      <c r="AQ270">
        <v>29.166699999999999</v>
      </c>
      <c r="AR270">
        <v>0.33329999999999999</v>
      </c>
      <c r="AS270">
        <v>50</v>
      </c>
      <c r="AT270">
        <v>0</v>
      </c>
      <c r="AU270">
        <v>62.5</v>
      </c>
      <c r="AV270">
        <v>37.5</v>
      </c>
      <c r="AW270">
        <v>33.333300000000001</v>
      </c>
      <c r="AX270">
        <v>1.25</v>
      </c>
      <c r="AY270">
        <v>41.666699999999999</v>
      </c>
      <c r="AZ270">
        <v>0.125</v>
      </c>
      <c r="BA270">
        <v>0</v>
      </c>
      <c r="BB270">
        <v>0.375</v>
      </c>
      <c r="BC270">
        <v>0.16669999999999999</v>
      </c>
      <c r="BD270">
        <v>0.95830000000000004</v>
      </c>
      <c r="BE270">
        <v>1.25</v>
      </c>
      <c r="BF270">
        <v>0.5</v>
      </c>
      <c r="BG270">
        <v>1.5</v>
      </c>
      <c r="BH270">
        <v>1.0832999999999999</v>
      </c>
      <c r="BI270">
        <v>0.5</v>
      </c>
      <c r="BJ270">
        <v>1</v>
      </c>
      <c r="BK270">
        <v>0</v>
      </c>
      <c r="BL270">
        <v>0.5</v>
      </c>
      <c r="BM270">
        <v>1.75</v>
      </c>
      <c r="BN270">
        <v>0.25</v>
      </c>
      <c r="BO270">
        <v>2.75</v>
      </c>
      <c r="BP270">
        <v>1.5832999999999999</v>
      </c>
      <c r="BQ270">
        <v>8.3332999999999995</v>
      </c>
      <c r="BR270">
        <v>62.5</v>
      </c>
      <c r="BS270">
        <v>29.166699999999999</v>
      </c>
      <c r="BT270">
        <v>37.708300000000001</v>
      </c>
      <c r="BU270">
        <v>0.83330000000000004</v>
      </c>
      <c r="BV270">
        <v>7.8829000000000002</v>
      </c>
      <c r="BW270">
        <v>8.0191999999999997</v>
      </c>
      <c r="BX270">
        <v>92.117099999999994</v>
      </c>
      <c r="BY270">
        <v>0</v>
      </c>
      <c r="BZ270">
        <v>0</v>
      </c>
      <c r="CA270">
        <v>0</v>
      </c>
      <c r="CB270">
        <v>0</v>
      </c>
      <c r="CC270">
        <v>0</v>
      </c>
    </row>
    <row r="271" spans="2:81" x14ac:dyDescent="0.25">
      <c r="B271">
        <v>22.2</v>
      </c>
      <c r="C271">
        <v>8.6</v>
      </c>
      <c r="D271">
        <v>12.61</v>
      </c>
      <c r="E271">
        <v>1875</v>
      </c>
      <c r="F271">
        <v>1456</v>
      </c>
      <c r="G271">
        <v>1552</v>
      </c>
      <c r="H271">
        <v>4883</v>
      </c>
      <c r="I271">
        <v>1.23E-2</v>
      </c>
      <c r="J271">
        <v>3.2124999999999999</v>
      </c>
      <c r="K271">
        <v>4.9749999999999996</v>
      </c>
      <c r="L271">
        <v>8.7249999999999996</v>
      </c>
      <c r="M271">
        <v>5.6375000000000002</v>
      </c>
      <c r="N271">
        <v>3.0394000000000001</v>
      </c>
      <c r="O271">
        <v>0.33800000000000002</v>
      </c>
      <c r="P271">
        <v>0.23380000000000001</v>
      </c>
      <c r="Q271">
        <v>0.32129999999999997</v>
      </c>
      <c r="R271">
        <v>0.29630000000000001</v>
      </c>
      <c r="S271">
        <v>0.18659999999999999</v>
      </c>
      <c r="T271">
        <v>0.64</v>
      </c>
      <c r="U271">
        <v>0.52</v>
      </c>
      <c r="V271">
        <v>1.08</v>
      </c>
      <c r="W271">
        <v>1.08</v>
      </c>
      <c r="X271">
        <v>19.026</v>
      </c>
      <c r="Y271">
        <v>2.1739000000000002</v>
      </c>
      <c r="Z271">
        <v>8.6957000000000004</v>
      </c>
      <c r="AA271">
        <v>8.6957000000000004</v>
      </c>
      <c r="AB271">
        <v>19.565200000000001</v>
      </c>
      <c r="AC271">
        <v>0</v>
      </c>
      <c r="AD271">
        <v>73.912999999999997</v>
      </c>
      <c r="AE271">
        <v>6.5217000000000001</v>
      </c>
      <c r="AF271">
        <v>80.434799999999996</v>
      </c>
      <c r="AG271">
        <v>73.912999999999997</v>
      </c>
      <c r="AH271">
        <v>0.15640000000000001</v>
      </c>
      <c r="AI271">
        <v>0.28599999999999998</v>
      </c>
      <c r="AJ271">
        <v>0.12429999999999999</v>
      </c>
      <c r="AK271">
        <v>0.18110000000000001</v>
      </c>
      <c r="AL271">
        <v>0.1888</v>
      </c>
      <c r="AM271">
        <v>0.69</v>
      </c>
      <c r="AN271">
        <v>0.78</v>
      </c>
      <c r="AO271">
        <v>0.41</v>
      </c>
      <c r="AP271">
        <v>0.78</v>
      </c>
      <c r="AQ271">
        <v>25</v>
      </c>
      <c r="AR271">
        <v>0.41670000000000001</v>
      </c>
      <c r="AS271">
        <v>25</v>
      </c>
      <c r="AT271">
        <v>12.5</v>
      </c>
      <c r="AU271">
        <v>62.5</v>
      </c>
      <c r="AV271">
        <v>33.333300000000001</v>
      </c>
      <c r="AW271">
        <v>41.666699999999999</v>
      </c>
      <c r="AX271">
        <v>2.3332999999999999</v>
      </c>
      <c r="AY271">
        <v>66.666700000000006</v>
      </c>
      <c r="AZ271">
        <v>0.125</v>
      </c>
      <c r="BA271">
        <v>0.25</v>
      </c>
      <c r="BB271">
        <v>0</v>
      </c>
      <c r="BC271">
        <v>0.125</v>
      </c>
      <c r="BD271">
        <v>0.625</v>
      </c>
      <c r="BE271">
        <v>0.75</v>
      </c>
      <c r="BF271">
        <v>0.25</v>
      </c>
      <c r="BG271">
        <v>0</v>
      </c>
      <c r="BH271">
        <v>0.33329999999999999</v>
      </c>
      <c r="BI271">
        <v>1</v>
      </c>
      <c r="BJ271">
        <v>3</v>
      </c>
      <c r="BK271">
        <v>1.5</v>
      </c>
      <c r="BL271">
        <v>1.8332999999999999</v>
      </c>
      <c r="BM271">
        <v>1.25</v>
      </c>
      <c r="BN271">
        <v>0.5</v>
      </c>
      <c r="BO271">
        <v>0.75</v>
      </c>
      <c r="BP271">
        <v>0.83330000000000004</v>
      </c>
      <c r="BQ271">
        <v>33.333300000000001</v>
      </c>
      <c r="BR271">
        <v>58.333300000000001</v>
      </c>
      <c r="BS271">
        <v>8.3332999999999995</v>
      </c>
      <c r="BT271">
        <v>29.166699999999999</v>
      </c>
      <c r="BU271">
        <v>0.625</v>
      </c>
      <c r="BV271">
        <v>33.1081</v>
      </c>
      <c r="BW271">
        <v>15.2247</v>
      </c>
      <c r="BX271">
        <v>66.891900000000007</v>
      </c>
      <c r="BY271">
        <v>0</v>
      </c>
      <c r="BZ271">
        <v>0</v>
      </c>
      <c r="CA271">
        <v>0</v>
      </c>
      <c r="CB271">
        <v>0</v>
      </c>
      <c r="CC271">
        <v>0</v>
      </c>
    </row>
  </sheetData>
  <pageMargins left="0.7" right="0.7" top="0.75" bottom="0.75" header="0.3" footer="0.3"/>
  <pageSetup orientation="landscape" horizontalDpi="4294967295" verticalDpi="4294967295"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H94"/>
  <sheetViews>
    <sheetView tabSelected="1" topLeftCell="BR1" zoomScale="80" zoomScaleNormal="80" workbookViewId="0">
      <selection activeCell="CG10" sqref="CG10"/>
    </sheetView>
  </sheetViews>
  <sheetFormatPr defaultRowHeight="15" x14ac:dyDescent="0.25"/>
  <cols>
    <col min="80" max="80" width="15.28515625" customWidth="1"/>
    <col min="81" max="81" width="12.5703125" customWidth="1"/>
    <col min="82" max="82" width="14.28515625" customWidth="1"/>
    <col min="83" max="83" width="13.140625" customWidth="1"/>
    <col min="84" max="84" width="10.28515625" customWidth="1"/>
  </cols>
  <sheetData>
    <row r="1" spans="1:86" x14ac:dyDescent="0.25">
      <c r="A1" s="2" t="s">
        <v>2</v>
      </c>
      <c r="B1" s="2" t="s">
        <v>13</v>
      </c>
      <c r="C1" s="2" t="s">
        <v>14</v>
      </c>
      <c r="D1" s="2" t="s">
        <v>15</v>
      </c>
      <c r="E1" s="2" t="s">
        <v>60</v>
      </c>
      <c r="F1" s="2" t="s">
        <v>17</v>
      </c>
      <c r="G1" s="2" t="s">
        <v>59</v>
      </c>
      <c r="H1" s="2" t="s">
        <v>58</v>
      </c>
      <c r="I1" s="2" t="s">
        <v>57</v>
      </c>
      <c r="J1" s="2" t="s">
        <v>56</v>
      </c>
      <c r="K1" s="2" t="s">
        <v>55</v>
      </c>
      <c r="L1" s="2" t="s">
        <v>529</v>
      </c>
      <c r="M1" s="2" t="s">
        <v>54</v>
      </c>
      <c r="N1" s="2" t="s">
        <v>53</v>
      </c>
      <c r="O1" s="2" t="s">
        <v>52</v>
      </c>
      <c r="P1" s="2" t="s">
        <v>51</v>
      </c>
      <c r="Q1" s="2" t="s">
        <v>50</v>
      </c>
      <c r="R1" s="2" t="s">
        <v>61</v>
      </c>
      <c r="S1" s="2" t="s">
        <v>62</v>
      </c>
      <c r="T1" s="2" t="s">
        <v>63</v>
      </c>
      <c r="U1" s="2" t="s">
        <v>64</v>
      </c>
      <c r="V1" s="2" t="s">
        <v>503</v>
      </c>
      <c r="W1" s="2" t="s">
        <v>65</v>
      </c>
      <c r="X1" s="2" t="s">
        <v>66</v>
      </c>
      <c r="Y1" s="2" t="s">
        <v>67</v>
      </c>
      <c r="Z1" s="2" t="s">
        <v>32</v>
      </c>
      <c r="AA1" s="2" t="s">
        <v>530</v>
      </c>
      <c r="AB1" s="2" t="s">
        <v>68</v>
      </c>
      <c r="AC1" s="2" t="s">
        <v>69</v>
      </c>
      <c r="AD1" s="2" t="s">
        <v>252</v>
      </c>
      <c r="AE1" s="2" t="s">
        <v>70</v>
      </c>
      <c r="AF1" s="2" t="s">
        <v>253</v>
      </c>
      <c r="AG1" s="2" t="s">
        <v>254</v>
      </c>
      <c r="AH1" s="2" t="s">
        <v>255</v>
      </c>
      <c r="AI1" s="2" t="s">
        <v>71</v>
      </c>
      <c r="AJ1" s="2" t="s">
        <v>72</v>
      </c>
      <c r="AK1" s="2" t="s">
        <v>73</v>
      </c>
      <c r="AL1" s="2" t="s">
        <v>74</v>
      </c>
      <c r="AM1" s="2" t="s">
        <v>75</v>
      </c>
      <c r="AN1" s="2" t="s">
        <v>257</v>
      </c>
      <c r="AO1" s="2" t="s">
        <v>256</v>
      </c>
      <c r="AP1" s="2" t="s">
        <v>76</v>
      </c>
      <c r="AQ1" s="2" t="s">
        <v>77</v>
      </c>
      <c r="AR1" s="2" t="s">
        <v>78</v>
      </c>
      <c r="AS1" s="2" t="s">
        <v>258</v>
      </c>
      <c r="AT1" s="2" t="s">
        <v>507</v>
      </c>
      <c r="AU1" s="2" t="s">
        <v>79</v>
      </c>
      <c r="AV1" s="2" t="s">
        <v>80</v>
      </c>
      <c r="AW1" s="2" t="s">
        <v>81</v>
      </c>
      <c r="AX1" s="2" t="s">
        <v>82</v>
      </c>
      <c r="AY1" s="2" t="s">
        <v>83</v>
      </c>
      <c r="AZ1" s="2" t="s">
        <v>84</v>
      </c>
      <c r="BA1" s="2" t="s">
        <v>517</v>
      </c>
      <c r="BB1" s="2" t="s">
        <v>518</v>
      </c>
      <c r="BC1" s="2" t="s">
        <v>493</v>
      </c>
      <c r="BD1" s="2" t="s">
        <v>494</v>
      </c>
      <c r="BE1" s="2" t="s">
        <v>495</v>
      </c>
      <c r="BF1" s="2" t="s">
        <v>496</v>
      </c>
      <c r="BG1" s="2" t="s">
        <v>497</v>
      </c>
      <c r="BH1" s="2" t="s">
        <v>85</v>
      </c>
      <c r="BI1" s="2" t="s">
        <v>86</v>
      </c>
      <c r="BJ1" s="2" t="s">
        <v>87</v>
      </c>
      <c r="BK1" s="2" t="s">
        <v>88</v>
      </c>
      <c r="BL1" s="2" t="s">
        <v>89</v>
      </c>
      <c r="BM1" s="2" t="s">
        <v>90</v>
      </c>
      <c r="BN1" s="2" t="s">
        <v>91</v>
      </c>
      <c r="BO1" s="2" t="s">
        <v>92</v>
      </c>
      <c r="BP1" s="2" t="s">
        <v>93</v>
      </c>
      <c r="BQ1" s="2" t="s">
        <v>94</v>
      </c>
      <c r="BR1" s="2" t="s">
        <v>95</v>
      </c>
      <c r="BS1" s="2" t="s">
        <v>96</v>
      </c>
      <c r="BT1" s="2" t="s">
        <v>531</v>
      </c>
      <c r="BU1" s="2" t="s">
        <v>532</v>
      </c>
      <c r="BV1" s="2" t="s">
        <v>533</v>
      </c>
      <c r="BW1" s="2" t="s">
        <v>498</v>
      </c>
      <c r="BX1" s="2" t="s">
        <v>534</v>
      </c>
      <c r="BY1" s="2" t="s">
        <v>535</v>
      </c>
      <c r="BZ1" s="2" t="s">
        <v>536</v>
      </c>
      <c r="CA1" s="2" t="s">
        <v>537</v>
      </c>
      <c r="CB1" s="2" t="s">
        <v>631</v>
      </c>
      <c r="CC1" s="2" t="s">
        <v>632</v>
      </c>
      <c r="CD1" s="2" t="s">
        <v>633</v>
      </c>
      <c r="CE1" s="2" t="s">
        <v>634</v>
      </c>
      <c r="CF1" s="2" t="s">
        <v>635</v>
      </c>
    </row>
    <row r="2" spans="1:86" x14ac:dyDescent="0.25">
      <c r="A2" s="2">
        <v>1</v>
      </c>
      <c r="B2" s="2">
        <v>0</v>
      </c>
      <c r="C2" s="2">
        <v>0</v>
      </c>
      <c r="D2" s="2">
        <v>0</v>
      </c>
      <c r="E2" s="36">
        <v>2.8848007128467099</v>
      </c>
      <c r="F2" s="36">
        <v>2.1758874399480899</v>
      </c>
      <c r="G2" s="36">
        <v>2.5486636155907498</v>
      </c>
      <c r="H2" s="36">
        <v>6.28785856016178</v>
      </c>
      <c r="I2" s="36">
        <v>6.3561076606958897</v>
      </c>
      <c r="J2" s="36">
        <v>5.8636311755981003</v>
      </c>
      <c r="K2" s="36">
        <v>7.2889276945212602</v>
      </c>
      <c r="L2" s="36">
        <v>0.453620149995211</v>
      </c>
      <c r="M2" s="36">
        <v>1.33183817532383</v>
      </c>
      <c r="N2" s="36">
        <v>1.4558204237685</v>
      </c>
      <c r="O2" s="36">
        <v>1.45861502269952</v>
      </c>
      <c r="P2" s="36">
        <v>1.41706601978664</v>
      </c>
      <c r="Q2" s="36">
        <v>0.65544531337593404</v>
      </c>
      <c r="R2" s="36">
        <v>0.20130685670503501</v>
      </c>
      <c r="S2" s="36">
        <v>0.31990721974651798</v>
      </c>
      <c r="T2" s="36">
        <v>0.34642256747438099</v>
      </c>
      <c r="U2" s="36">
        <v>0.28743204119657201</v>
      </c>
      <c r="V2" s="36">
        <v>0.18730909830499401</v>
      </c>
      <c r="W2" s="36">
        <v>0.27763173659828</v>
      </c>
      <c r="X2" s="36">
        <v>0.69314718055994495</v>
      </c>
      <c r="Y2" s="36">
        <v>0.65232518603969003</v>
      </c>
      <c r="Z2" s="36">
        <v>0.69314718055994495</v>
      </c>
      <c r="AA2" s="36">
        <v>2.34122871658625</v>
      </c>
      <c r="AB2" s="36">
        <v>1.17000228475478</v>
      </c>
      <c r="AC2" s="36">
        <v>3.32024036724868</v>
      </c>
      <c r="AD2" s="36">
        <v>3.23647995881656</v>
      </c>
      <c r="AE2" s="36">
        <v>3.9951317771505099</v>
      </c>
      <c r="AF2" s="36">
        <v>1.17000228475478</v>
      </c>
      <c r="AG2" s="36">
        <v>3.7663496248808399</v>
      </c>
      <c r="AH2" s="36">
        <v>0</v>
      </c>
      <c r="AI2" s="36">
        <v>3.8164807987076599</v>
      </c>
      <c r="AJ2" s="36">
        <v>3.7663496248808399</v>
      </c>
      <c r="AK2" s="36">
        <v>0.20375683751401999</v>
      </c>
      <c r="AL2" s="36">
        <v>0.118671529717499</v>
      </c>
      <c r="AM2" s="36">
        <v>0.159564569671338</v>
      </c>
      <c r="AN2" s="36">
        <v>0.16126814759612201</v>
      </c>
      <c r="AO2" s="36">
        <v>0.167207918983906</v>
      </c>
      <c r="AP2" s="36">
        <v>0.45742484703887498</v>
      </c>
      <c r="AQ2" s="36">
        <v>0.405465108108164</v>
      </c>
      <c r="AR2" s="36">
        <v>0.51879379341516796</v>
      </c>
      <c r="AS2" s="36">
        <v>0.51879379341516796</v>
      </c>
      <c r="AT2" s="36">
        <v>3.9318256327243302</v>
      </c>
      <c r="AU2" s="36">
        <v>0.31845373111853498</v>
      </c>
      <c r="AV2" s="36">
        <v>0</v>
      </c>
      <c r="AW2" s="36">
        <v>3.9318256327243302</v>
      </c>
      <c r="AX2" s="36">
        <v>4.1510399058986502</v>
      </c>
      <c r="AY2" s="36">
        <v>3.6506582412937401</v>
      </c>
      <c r="AZ2" s="36">
        <v>3.6506582412937401</v>
      </c>
      <c r="BA2" s="36">
        <v>0.60595396885756803</v>
      </c>
      <c r="BB2" s="36">
        <v>3.2580965380214799</v>
      </c>
      <c r="BC2" s="36">
        <v>0</v>
      </c>
      <c r="BD2" s="36">
        <v>0.31845373111853498</v>
      </c>
      <c r="BE2" s="36">
        <v>0</v>
      </c>
      <c r="BF2" s="36">
        <v>0.122217632724249</v>
      </c>
      <c r="BG2" s="36">
        <v>0.26543646350446098</v>
      </c>
      <c r="BH2" s="36">
        <v>0.405465108108164</v>
      </c>
      <c r="BI2" s="36">
        <v>0.405465108108164</v>
      </c>
      <c r="BJ2" s="36">
        <v>0.28743204119657201</v>
      </c>
      <c r="BK2" s="36">
        <v>0.37500590062345601</v>
      </c>
      <c r="BL2" s="36">
        <v>0.22314355131420999</v>
      </c>
      <c r="BM2" s="36">
        <v>0.22314355131420999</v>
      </c>
      <c r="BN2" s="36">
        <v>0</v>
      </c>
      <c r="BO2" s="36">
        <v>0.167207918983906</v>
      </c>
      <c r="BP2" s="36">
        <v>0.55961578793542299</v>
      </c>
      <c r="BQ2" s="36">
        <v>1.1786549963416499</v>
      </c>
      <c r="BR2" s="36">
        <v>0.69314718055994495</v>
      </c>
      <c r="BS2" s="36">
        <v>0.86035509954385203</v>
      </c>
      <c r="BT2" s="36">
        <v>1.64229224930505</v>
      </c>
      <c r="BU2" s="36">
        <v>4.5729878452771402</v>
      </c>
      <c r="BV2" s="36">
        <v>0</v>
      </c>
      <c r="BW2" s="36">
        <v>3.6517485557757299</v>
      </c>
      <c r="BX2" s="36">
        <v>0.84715499303929298</v>
      </c>
      <c r="BY2" s="36">
        <v>4.2928948293460403</v>
      </c>
      <c r="BZ2" s="36">
        <v>2.63354214892715</v>
      </c>
      <c r="CA2" s="36">
        <v>3.3611389844161699</v>
      </c>
      <c r="CB2" s="36">
        <v>2.8994514733500498</v>
      </c>
      <c r="CC2" s="36">
        <v>2.8285198769510602</v>
      </c>
      <c r="CD2" s="36">
        <v>2.3468637927469</v>
      </c>
      <c r="CE2" s="36">
        <v>4.0683887143233699</v>
      </c>
      <c r="CF2" s="36">
        <v>0</v>
      </c>
      <c r="CH2" t="str">
        <f>CONCATENATE("/*",A2,"*/ ",B2,C2,D2," "," 1 ")&amp;ConcatRange(E2:CF2," ")&amp;";"</f>
        <v>/*1*/ 000  1 2.88480071284671 2.17588743994809 2.54866361559075 6.28785856016178 6.35610766069589 5.8636311755981 7.28892769452126 0.453620149995211 1.33183817532383 1.4558204237685 1.45861502269952 1.41706601978664 0.655445313375934 0.201306856705035 0.319907219746518 0.346422567474381 0.287432041196572 0.187309098304994 0.27763173659828 0.693147180559945 0.65232518603969 0.693147180559945 2.34122871658625 1.17000228475478 3.32024036724868 3.23647995881656 3.99513177715051 1.17000228475478 3.76634962488084 0 3.81648079870766 3.76634962488084 0.20375683751402 0.118671529717499 0.159564569671338 0.161268147596122 0.167207918983906 0.457424847038875 0.405465108108164 0.518793793415168 0.518793793415168 3.93182563272433 0.318453731118535 0 3.93182563272433 4.15103990589865 3.65065824129374 3.65065824129374 0.605953968857568 3.25809653802148 0 0.318453731118535 0 0.122217632724249 0.265436463504461 0.405465108108164 0.405465108108164 0.287432041196572 0.375005900623456 0.22314355131421 0.22314355131421 0 0.167207918983906 0.559615787935423 1.17865499634165 0.693147180559945 0.860355099543852 1.64229224930505 4.57298784527714 0 3.65174855577573 0.847154993039293 4.29289482934604 2.63354214892715 3.36113898441617 2.89945147335005 2.82851987695106 2.3468637927469 4.06838871432337 0;</v>
      </c>
    </row>
    <row r="3" spans="1:86" x14ac:dyDescent="0.25">
      <c r="A3" s="2">
        <v>8</v>
      </c>
      <c r="B3" s="2">
        <v>0</v>
      </c>
      <c r="C3" s="2">
        <v>0</v>
      </c>
      <c r="D3" s="2">
        <v>0</v>
      </c>
      <c r="E3" s="36">
        <v>2.63188884013665</v>
      </c>
      <c r="F3" s="36">
        <v>2.2617630984737902</v>
      </c>
      <c r="G3" s="36">
        <v>2.53686638871871</v>
      </c>
      <c r="H3" s="36">
        <v>7.6657534318616998</v>
      </c>
      <c r="I3" s="36">
        <v>7.3051882153930396</v>
      </c>
      <c r="J3" s="36">
        <v>7.5016344578834104</v>
      </c>
      <c r="K3" s="36">
        <v>8.5998785580348507</v>
      </c>
      <c r="L3" s="36">
        <v>0</v>
      </c>
      <c r="M3" s="36">
        <v>2.0716613543608702</v>
      </c>
      <c r="N3" s="36">
        <v>2.0810652227959299</v>
      </c>
      <c r="O3" s="36">
        <v>2.0541237336955498</v>
      </c>
      <c r="P3" s="36">
        <v>2.0690123461893002</v>
      </c>
      <c r="Q3" s="36">
        <v>0.40212620684264999</v>
      </c>
      <c r="R3" s="36">
        <v>0.37018329396352501</v>
      </c>
      <c r="S3" s="36">
        <v>0.25619140536041002</v>
      </c>
      <c r="T3" s="36">
        <v>0.26773443464208502</v>
      </c>
      <c r="U3" s="36">
        <v>0.30821972366932898</v>
      </c>
      <c r="V3" s="36">
        <v>0.13453089295760601</v>
      </c>
      <c r="W3" s="36">
        <v>0.53062825106217004</v>
      </c>
      <c r="X3" s="36">
        <v>0.37843643572024499</v>
      </c>
      <c r="Y3" s="36">
        <v>0.431782416425538</v>
      </c>
      <c r="Z3" s="36">
        <v>0.53062825106217004</v>
      </c>
      <c r="AA3" s="36">
        <v>3.0049397543049001</v>
      </c>
      <c r="AB3" s="36">
        <v>0</v>
      </c>
      <c r="AC3" s="36">
        <v>2.0816890142203199</v>
      </c>
      <c r="AD3" s="36">
        <v>3.2410677523747</v>
      </c>
      <c r="AE3" s="36">
        <v>3.4836679090257401</v>
      </c>
      <c r="AF3" s="36">
        <v>2.27952115339549</v>
      </c>
      <c r="AG3" s="36">
        <v>4.0757561974107501</v>
      </c>
      <c r="AH3" s="36">
        <v>0</v>
      </c>
      <c r="AI3" s="36">
        <v>4.2145986164699201</v>
      </c>
      <c r="AJ3" s="36">
        <v>4.0757561974107501</v>
      </c>
      <c r="AK3" s="36">
        <v>0.22394323148477399</v>
      </c>
      <c r="AL3" s="36">
        <v>0.286681572118197</v>
      </c>
      <c r="AM3" s="36">
        <v>0.30895420772732102</v>
      </c>
      <c r="AN3" s="36">
        <v>0.26466929814270801</v>
      </c>
      <c r="AO3" s="36">
        <v>0.184818436992542</v>
      </c>
      <c r="AP3" s="36">
        <v>0.60431596685333</v>
      </c>
      <c r="AQ3" s="36">
        <v>0.55961578793542299</v>
      </c>
      <c r="AR3" s="36">
        <v>0.55961578793542299</v>
      </c>
      <c r="AS3" s="36">
        <v>0.60431596685333</v>
      </c>
      <c r="AT3" s="36">
        <v>3.0834225866809799</v>
      </c>
      <c r="AU3" s="36">
        <v>0.52827253736971103</v>
      </c>
      <c r="AV3" s="36">
        <v>3.2580965380214799</v>
      </c>
      <c r="AW3" s="36">
        <v>0</v>
      </c>
      <c r="AX3" s="36">
        <v>0</v>
      </c>
      <c r="AY3" s="36">
        <v>2.2335565065836098</v>
      </c>
      <c r="AZ3" s="36">
        <v>4.2145986164699201</v>
      </c>
      <c r="BA3" s="36">
        <v>0.51102560376865702</v>
      </c>
      <c r="BB3" s="36">
        <v>2.8716984926305398</v>
      </c>
      <c r="BC3" s="36">
        <v>0.55961578793542299</v>
      </c>
      <c r="BD3" s="36">
        <v>0</v>
      </c>
      <c r="BE3" s="36">
        <v>0.22314355131420999</v>
      </c>
      <c r="BF3" s="36">
        <v>0.28743204119657201</v>
      </c>
      <c r="BG3" s="36">
        <v>0.62860865942237398</v>
      </c>
      <c r="BH3" s="36">
        <v>1.0116009116784801</v>
      </c>
      <c r="BI3" s="36">
        <v>0</v>
      </c>
      <c r="BJ3" s="36">
        <v>0.22314355131420999</v>
      </c>
      <c r="BK3" s="36">
        <v>0.51102560376865702</v>
      </c>
      <c r="BL3" s="36">
        <v>0</v>
      </c>
      <c r="BM3" s="36">
        <v>0</v>
      </c>
      <c r="BN3" s="36">
        <v>0.22314355131420999</v>
      </c>
      <c r="BO3" s="36">
        <v>7.9734968018853505E-2</v>
      </c>
      <c r="BP3" s="36">
        <v>1.1786549963416499</v>
      </c>
      <c r="BQ3" s="36">
        <v>0.22314355131420999</v>
      </c>
      <c r="BR3" s="36">
        <v>0.81093021621632899</v>
      </c>
      <c r="BS3" s="36">
        <v>0.81093021621632899</v>
      </c>
      <c r="BT3" s="36">
        <v>1.64229224930505</v>
      </c>
      <c r="BU3" s="36">
        <v>4.0831656436306698</v>
      </c>
      <c r="BV3" s="36">
        <v>3.5361069907765299</v>
      </c>
      <c r="BW3" s="36">
        <v>3.9318256327243302</v>
      </c>
      <c r="BX3" s="36">
        <v>1.0116009116784801</v>
      </c>
      <c r="BY3" s="36">
        <v>4.3761217350184998</v>
      </c>
      <c r="BZ3" s="36">
        <v>2.52164029839965</v>
      </c>
      <c r="CA3" s="36">
        <v>3.1122255889898001</v>
      </c>
      <c r="CB3" s="36">
        <v>1.57294338756236</v>
      </c>
      <c r="CC3" s="36">
        <v>1.6766901394514</v>
      </c>
      <c r="CD3" s="36">
        <v>2.86794381637635</v>
      </c>
      <c r="CE3" s="36">
        <v>4.1164738270386998</v>
      </c>
      <c r="CF3" s="36">
        <v>2.17172282468586</v>
      </c>
      <c r="CH3" t="str">
        <f t="shared" ref="CH3:CH66" si="0">CONCATENATE("/*",A3,"*/ ",B3,C3,D3," "," 1 ")&amp;ConcatRange(E3:CF3," ")&amp;";"</f>
        <v>/*8*/ 000  1 2.63188884013665 2.26176309847379 2.53686638871871 7.6657534318617 7.30518821539304 7.50163445788341 8.59987855803485 0 2.07166135436087 2.08106522279593 2.05412373369555 2.0690123461893 0.40212620684265 0.370183293963525 0.25619140536041 0.267734434642085 0.308219723669329 0.134530892957606 0.53062825106217 0.378436435720245 0.431782416425538 0.53062825106217 3.0049397543049 0 2.08168901422032 3.2410677523747 3.48366790902574 2.27952115339549 4.07575619741075 0 4.21459861646992 4.07575619741075 0.223943231484774 0.286681572118197 0.308954207727321 0.264669298142708 0.184818436992542 0.60431596685333 0.559615787935423 0.559615787935423 0.60431596685333 3.08342258668098 0.528272537369711 3.25809653802148 0 0 2.23355650658361 4.21459861646992 0.511025603768657 2.87169849263054 0.559615787935423 0 0.22314355131421 0.287432041196572 0.628608659422374 1.01160091167848 0 0.22314355131421 0.511025603768657 0 0 0.22314355131421 7.97349680188535E-02 1.17865499634165 0.22314355131421 0.810930216216329 0.810930216216329 1.64229224930505 4.08316564363067 3.53610699077653 3.93182563272433 1.01160091167848 4.3761217350185 2.52164029839965 3.1122255889898 1.57294338756236 1.6766901394514 2.86794381637635 4.1164738270387 2.17172282468586;</v>
      </c>
    </row>
    <row r="4" spans="1:86" x14ac:dyDescent="0.25">
      <c r="A4" s="2">
        <v>10</v>
      </c>
      <c r="B4" s="2">
        <v>0</v>
      </c>
      <c r="C4" s="2">
        <v>0</v>
      </c>
      <c r="D4" s="2">
        <v>0</v>
      </c>
      <c r="E4" s="36">
        <v>2.6461747973841199</v>
      </c>
      <c r="F4" s="36">
        <v>2.3418058061473301</v>
      </c>
      <c r="G4" s="36">
        <v>2.6741486494265301</v>
      </c>
      <c r="H4" s="36">
        <v>7.1785454837636999</v>
      </c>
      <c r="I4" s="36">
        <v>7.2779385729456596</v>
      </c>
      <c r="J4" s="36">
        <v>6.9735430195201404</v>
      </c>
      <c r="K4" s="36">
        <v>8.2493137462606398</v>
      </c>
      <c r="L4" s="36">
        <v>1.5873349156290201E-2</v>
      </c>
      <c r="M4" s="36">
        <v>1.6020103966053001</v>
      </c>
      <c r="N4" s="36">
        <v>1.5993875765806</v>
      </c>
      <c r="O4" s="36">
        <v>1.51798030194527</v>
      </c>
      <c r="P4" s="36">
        <v>1.57381073479095</v>
      </c>
      <c r="Q4" s="36">
        <v>0.34924742810993598</v>
      </c>
      <c r="R4" s="36">
        <v>0.433728573381024</v>
      </c>
      <c r="S4" s="36">
        <v>0.37500590062345601</v>
      </c>
      <c r="T4" s="36">
        <v>0.328584063772207</v>
      </c>
      <c r="U4" s="36">
        <v>0.37980536132758702</v>
      </c>
      <c r="V4" s="36">
        <v>0.11511280710050401</v>
      </c>
      <c r="W4" s="36">
        <v>0.53062825106217004</v>
      </c>
      <c r="X4" s="36">
        <v>0.51879379341516796</v>
      </c>
      <c r="Y4" s="36">
        <v>0.47623417899637199</v>
      </c>
      <c r="Z4" s="36">
        <v>0.53062825106217004</v>
      </c>
      <c r="AA4" s="36">
        <v>2.2276460063295498</v>
      </c>
      <c r="AB4" s="36">
        <v>0.870874868343673</v>
      </c>
      <c r="AC4" s="36">
        <v>4.0352312977295899</v>
      </c>
      <c r="AD4" s="36">
        <v>2.7006226852734101</v>
      </c>
      <c r="AE4" s="36">
        <v>4.2743439804936996</v>
      </c>
      <c r="AF4" s="36">
        <v>2.2335565065836098</v>
      </c>
      <c r="AG4" s="36">
        <v>2.9473820126129402</v>
      </c>
      <c r="AH4" s="36">
        <v>1.32919476907932</v>
      </c>
      <c r="AI4" s="36">
        <v>3.4067486117004799</v>
      </c>
      <c r="AJ4" s="36">
        <v>4.0352312977295899</v>
      </c>
      <c r="AK4" s="36">
        <v>0.22074066669789899</v>
      </c>
      <c r="AL4" s="36">
        <v>0.24529635595534299</v>
      </c>
      <c r="AM4" s="36">
        <v>0.36949244764934702</v>
      </c>
      <c r="AN4" s="36">
        <v>0.27687387373517802</v>
      </c>
      <c r="AO4" s="36">
        <v>0.17563256864315799</v>
      </c>
      <c r="AP4" s="36">
        <v>0.32930374714260002</v>
      </c>
      <c r="AQ4" s="36">
        <v>0.37843643572024499</v>
      </c>
      <c r="AR4" s="36">
        <v>0.69813472207098404</v>
      </c>
      <c r="AS4" s="36">
        <v>0.69813472207098404</v>
      </c>
      <c r="AT4" s="36">
        <v>1.64229224930505</v>
      </c>
      <c r="AU4" s="36">
        <v>0.57829733888100299</v>
      </c>
      <c r="AV4" s="36">
        <v>0</v>
      </c>
      <c r="AW4" s="36">
        <v>3.9318256327243302</v>
      </c>
      <c r="AX4" s="36">
        <v>0</v>
      </c>
      <c r="AY4" s="36">
        <v>2.8716984926305398</v>
      </c>
      <c r="AZ4" s="36">
        <v>4.3307333402863302</v>
      </c>
      <c r="BA4" s="36">
        <v>0</v>
      </c>
      <c r="BB4" s="36">
        <v>0</v>
      </c>
      <c r="BC4" s="36">
        <v>0</v>
      </c>
      <c r="BD4" s="36">
        <v>0</v>
      </c>
      <c r="BE4" s="36">
        <v>0</v>
      </c>
      <c r="BF4" s="36">
        <v>0</v>
      </c>
      <c r="BG4" s="36">
        <v>7.9734968018853505E-2</v>
      </c>
      <c r="BH4" s="36">
        <v>1.5040773967762699</v>
      </c>
      <c r="BI4" s="36">
        <v>1.09861228866811</v>
      </c>
      <c r="BJ4" s="36">
        <v>1.0116009116784801</v>
      </c>
      <c r="BK4" s="36">
        <v>1.22876297313315</v>
      </c>
      <c r="BL4" s="36">
        <v>0.81093021621632899</v>
      </c>
      <c r="BM4" s="36">
        <v>0</v>
      </c>
      <c r="BN4" s="36">
        <v>0</v>
      </c>
      <c r="BO4" s="36">
        <v>0.34854196070854299</v>
      </c>
      <c r="BP4" s="36">
        <v>1.44691898293633</v>
      </c>
      <c r="BQ4" s="36">
        <v>1.44691898293633</v>
      </c>
      <c r="BR4" s="36">
        <v>1.0116009116784801</v>
      </c>
      <c r="BS4" s="36">
        <v>1.3217558399823199</v>
      </c>
      <c r="BT4" s="36">
        <v>1.64229224930505</v>
      </c>
      <c r="BU4" s="36">
        <v>4.3307333402863302</v>
      </c>
      <c r="BV4" s="36">
        <v>3.0834225866809799</v>
      </c>
      <c r="BW4" s="36">
        <v>3.81953483999298</v>
      </c>
      <c r="BX4" s="36">
        <v>1.0560526742493099</v>
      </c>
      <c r="BY4" s="36">
        <v>4.5879935078674698</v>
      </c>
      <c r="BZ4" s="36">
        <v>1.51951320490611</v>
      </c>
      <c r="CA4" s="36">
        <v>1.30914330193148</v>
      </c>
      <c r="CB4" s="36">
        <v>1.7945426605554</v>
      </c>
      <c r="CC4" s="36">
        <v>0</v>
      </c>
      <c r="CD4" s="36">
        <v>3.4997454474877001</v>
      </c>
      <c r="CE4" s="36">
        <v>3.73296034681234</v>
      </c>
      <c r="CF4" s="36">
        <v>3.1386881793583501</v>
      </c>
      <c r="CH4" t="str">
        <f t="shared" si="0"/>
        <v>/*10*/ 000  1 2.64617479738412 2.34180580614733 2.67414864942653 7.1785454837637 7.27793857294566 6.97354301952014 8.24931374626064 1.58733491562902E-02 1.6020103966053 1.5993875765806 1.51798030194527 1.57381073479095 0.349247428109936 0.433728573381024 0.375005900623456 0.328584063772207 0.379805361327587 0.115112807100504 0.53062825106217 0.518793793415168 0.476234178996372 0.53062825106217 2.22764600632955 0.870874868343673 4.03523129772959 2.70062268527341 4.2743439804937 2.23355650658361 2.94738201261294 1.32919476907932 3.40674861170048 4.03523129772959 0.220740666697899 0.245296355955343 0.369492447649347 0.276873873735178 0.175632568643158 0.3293037471426 0.378436435720245 0.698134722070984 0.698134722070984 1.64229224930505 0.578297338881003 0 3.93182563272433 0 2.87169849263054 4.33073334028633 0 0 0 0 0 0 7.97349680188535E-02 1.50407739677627 1.09861228866811 1.01160091167848 1.22876297313315 0.810930216216329 0 0 0.348541960708543 1.44691898293633 1.44691898293633 1.01160091167848 1.32175583998232 1.64229224930505 4.33073334028633 3.08342258668098 3.81953483999298 1.05605267424931 4.58799350786747 1.51951320490611 1.30914330193148 1.7945426605554 0 3.4997454474877 3.73296034681234 3.13868817935835;</v>
      </c>
    </row>
    <row r="5" spans="1:86" x14ac:dyDescent="0.25">
      <c r="A5" s="2">
        <v>11</v>
      </c>
      <c r="B5" s="2">
        <v>0</v>
      </c>
      <c r="C5" s="2">
        <v>0</v>
      </c>
      <c r="D5" s="2">
        <v>0</v>
      </c>
      <c r="E5" s="36">
        <v>2.4510050981123199</v>
      </c>
      <c r="F5" s="36">
        <v>2.2460147415056499</v>
      </c>
      <c r="G5" s="36">
        <v>2.5047092770841801</v>
      </c>
      <c r="H5" s="36">
        <v>6.2085900260966298</v>
      </c>
      <c r="I5" s="36">
        <v>5.8777357817796396</v>
      </c>
      <c r="J5" s="36">
        <v>6.0567840132286204</v>
      </c>
      <c r="K5" s="36">
        <v>7.1538338015788403</v>
      </c>
      <c r="L5" s="36">
        <v>0</v>
      </c>
      <c r="M5" s="36">
        <v>1.0253244928982801</v>
      </c>
      <c r="N5" s="36">
        <v>1.0777290777516899</v>
      </c>
      <c r="O5" s="36">
        <v>1.27759494419655</v>
      </c>
      <c r="P5" s="36">
        <v>1.1326916023209701</v>
      </c>
      <c r="Q5" s="36">
        <v>0.47187687362741598</v>
      </c>
      <c r="R5" s="36">
        <v>8.7094706850933706E-2</v>
      </c>
      <c r="S5" s="36">
        <v>0.133656384812674</v>
      </c>
      <c r="T5" s="36">
        <v>8.1579986992422804E-2</v>
      </c>
      <c r="U5" s="36">
        <v>0.102556588325092</v>
      </c>
      <c r="V5" s="36">
        <v>4.2101176018635299E-2</v>
      </c>
      <c r="W5" s="36">
        <v>0.122217632724249</v>
      </c>
      <c r="X5" s="36">
        <v>0.21511137961694499</v>
      </c>
      <c r="Y5" s="36">
        <v>0.13976194237515899</v>
      </c>
      <c r="Z5" s="36">
        <v>0.21511137961694499</v>
      </c>
      <c r="AA5" s="36">
        <v>3.0206687588440202</v>
      </c>
      <c r="AB5" s="36">
        <v>1.3937663759585901</v>
      </c>
      <c r="AC5" s="36">
        <v>2.3116439374823901</v>
      </c>
      <c r="AD5" s="36">
        <v>0</v>
      </c>
      <c r="AE5" s="36">
        <v>2.5742140001235798</v>
      </c>
      <c r="AF5" s="36">
        <v>0</v>
      </c>
      <c r="AG5" s="36">
        <v>4.4872758941429698</v>
      </c>
      <c r="AH5" s="36">
        <v>0</v>
      </c>
      <c r="AI5" s="36">
        <v>4.4872758941429698</v>
      </c>
      <c r="AJ5" s="36">
        <v>4.4872758941429698</v>
      </c>
      <c r="AK5" s="36">
        <v>0.38390093019232402</v>
      </c>
      <c r="AL5" s="36">
        <v>0.19309662996191301</v>
      </c>
      <c r="AM5" s="36">
        <v>0.30968815271439598</v>
      </c>
      <c r="AN5" s="36">
        <v>0.28818194749343201</v>
      </c>
      <c r="AO5" s="36">
        <v>0.173112617708645</v>
      </c>
      <c r="AP5" s="36">
        <v>0.52472852893498201</v>
      </c>
      <c r="AQ5" s="36">
        <v>0.36464311358790902</v>
      </c>
      <c r="AR5" s="36">
        <v>0.50077528791248904</v>
      </c>
      <c r="AS5" s="36">
        <v>0.52472852893498201</v>
      </c>
      <c r="AT5" s="36">
        <v>4.43477324748243</v>
      </c>
      <c r="AU5" s="36">
        <v>0.15443635330441899</v>
      </c>
      <c r="AV5" s="36">
        <v>0</v>
      </c>
      <c r="AW5" s="36">
        <v>0</v>
      </c>
      <c r="AX5" s="36">
        <v>0</v>
      </c>
      <c r="AY5" s="36">
        <v>0</v>
      </c>
      <c r="AZ5" s="36">
        <v>4.43477324748243</v>
      </c>
      <c r="BA5" s="36">
        <v>0.45932178089887499</v>
      </c>
      <c r="BB5" s="36">
        <v>2.2335565065836098</v>
      </c>
      <c r="BC5" s="36">
        <v>0.31845373111853498</v>
      </c>
      <c r="BD5" s="36">
        <v>0.69314718055994495</v>
      </c>
      <c r="BE5" s="36">
        <v>0.405465108108164</v>
      </c>
      <c r="BF5" s="36">
        <v>0.48550781578170099</v>
      </c>
      <c r="BG5" s="36">
        <v>0.77334372255422201</v>
      </c>
      <c r="BH5" s="36">
        <v>0.405465108108164</v>
      </c>
      <c r="BI5" s="36">
        <v>0.22314355131420999</v>
      </c>
      <c r="BJ5" s="36">
        <v>0</v>
      </c>
      <c r="BK5" s="36">
        <v>0.22314355131420999</v>
      </c>
      <c r="BL5" s="36">
        <v>0.22314355131420999</v>
      </c>
      <c r="BM5" s="36">
        <v>0</v>
      </c>
      <c r="BN5" s="36">
        <v>0.55961578793542299</v>
      </c>
      <c r="BO5" s="36">
        <v>0.28743204119657201</v>
      </c>
      <c r="BP5" s="36">
        <v>0.22314355131420999</v>
      </c>
      <c r="BQ5" s="36">
        <v>0.22314355131420999</v>
      </c>
      <c r="BR5" s="36">
        <v>0</v>
      </c>
      <c r="BS5" s="36">
        <v>0.15443635330441899</v>
      </c>
      <c r="BT5" s="36">
        <v>3.7534257877209898</v>
      </c>
      <c r="BU5" s="36">
        <v>4.0831656436306698</v>
      </c>
      <c r="BV5" s="36">
        <v>0</v>
      </c>
      <c r="BW5" s="36">
        <v>3.1060654052383398</v>
      </c>
      <c r="BX5" s="36">
        <v>0.34854196070854299</v>
      </c>
      <c r="BY5" s="36">
        <v>2.4879021587677999</v>
      </c>
      <c r="BZ5" s="36">
        <v>2.37704300391206</v>
      </c>
      <c r="CA5" s="36">
        <v>4.4994095903089297</v>
      </c>
      <c r="CB5" s="36">
        <v>0.89334916260221198</v>
      </c>
      <c r="CC5" s="36">
        <v>4.0623963095462603</v>
      </c>
      <c r="CD5" s="36">
        <v>2.5457333939214402</v>
      </c>
      <c r="CE5" s="36">
        <v>3.2561120166994701</v>
      </c>
      <c r="CF5" s="36">
        <v>1.74785426138261</v>
      </c>
      <c r="CH5" t="str">
        <f t="shared" si="0"/>
        <v>/*11*/ 000  1 2.45100509811232 2.24601474150565 2.50470927708418 6.20859002609663 5.87773578177964 6.05678401322862 7.15383380157884 0 1.02532449289828 1.07772907775169 1.27759494419655 1.13269160232097 0.471876873627416 8.70947068509337E-02 0.133656384812674 8.15799869924228E-02 0.102556588325092 4.21011760186353E-02 0.122217632724249 0.215111379616945 0.139761942375159 0.215111379616945 3.02066875884402 1.39376637595859 2.31164393748239 0 2.57421400012358 0 4.48727589414297 0 4.48727589414297 4.48727589414297 0.383900930192324 0.193096629961913 0.309688152714396 0.288181947493432 0.173112617708645 0.524728528934982 0.364643113587909 0.500775287912489 0.524728528934982 4.43477324748243 0.154436353304419 0 0 0 0 4.43477324748243 0.459321780898875 2.23355650658361 0.318453731118535 0.693147180559945 0.405465108108164 0.485507815781701 0.773343722554222 0.405465108108164 0.22314355131421 0 0.22314355131421 0.22314355131421 0 0.559615787935423 0.287432041196572 0.22314355131421 0.22314355131421 0 0.154436353304419 3.75342578772099 4.08316564363067 0 3.10606540523834 0.348541960708543 2.4879021587678 2.37704300391206 4.49940959030893 0.893349162602212 4.06239630954626 2.54573339392144 3.25611201669947 1.74785426138261;</v>
      </c>
    </row>
    <row r="6" spans="1:86" x14ac:dyDescent="0.25">
      <c r="A6" s="2">
        <v>12</v>
      </c>
      <c r="B6" s="2">
        <v>0</v>
      </c>
      <c r="C6" s="2">
        <v>1</v>
      </c>
      <c r="D6" s="2">
        <v>0</v>
      </c>
      <c r="E6" s="36">
        <v>2.5416019934645502</v>
      </c>
      <c r="F6" s="36">
        <v>2.3045830956567199</v>
      </c>
      <c r="G6" s="36">
        <v>2.8051769118329299</v>
      </c>
      <c r="H6" s="36">
        <v>5.8607862234658699</v>
      </c>
      <c r="I6" s="36">
        <v>5.8289456176102101</v>
      </c>
      <c r="J6" s="36">
        <v>6.0822189103764499</v>
      </c>
      <c r="K6" s="36">
        <v>7.0273145140397801</v>
      </c>
      <c r="L6" s="36">
        <v>0.19309662996191301</v>
      </c>
      <c r="M6" s="36">
        <v>0.974559639998131</v>
      </c>
      <c r="N6" s="36">
        <v>1.1593937609279701</v>
      </c>
      <c r="O6" s="36">
        <v>1.2053718252396399</v>
      </c>
      <c r="P6" s="36">
        <v>1.1177611075068701</v>
      </c>
      <c r="Q6" s="36">
        <v>0.66577598376381297</v>
      </c>
      <c r="R6" s="36">
        <v>0.10436001532424299</v>
      </c>
      <c r="S6" s="36">
        <v>0.22394323148477399</v>
      </c>
      <c r="T6" s="36">
        <v>0.17395330712343801</v>
      </c>
      <c r="U6" s="36">
        <v>0.16889853646181399</v>
      </c>
      <c r="V6" s="36">
        <v>0.14583044821154001</v>
      </c>
      <c r="W6" s="36">
        <v>0.307484699747961</v>
      </c>
      <c r="X6" s="36">
        <v>0.46373401623214</v>
      </c>
      <c r="Y6" s="36">
        <v>0.45742484703887498</v>
      </c>
      <c r="Z6" s="36">
        <v>0.46373401623214</v>
      </c>
      <c r="AA6" s="36">
        <v>2.5026647047097001</v>
      </c>
      <c r="AB6" s="36">
        <v>0</v>
      </c>
      <c r="AC6" s="36">
        <v>3.35550242240003</v>
      </c>
      <c r="AD6" s="36">
        <v>0</v>
      </c>
      <c r="AE6" s="36">
        <v>3.35550242240003</v>
      </c>
      <c r="AF6" s="36">
        <v>1.99918006007703</v>
      </c>
      <c r="AG6" s="36">
        <v>4.2040506223101604</v>
      </c>
      <c r="AH6" s="36">
        <v>0</v>
      </c>
      <c r="AI6" s="36">
        <v>4.2951061626431803</v>
      </c>
      <c r="AJ6" s="36">
        <v>4.2040506223101604</v>
      </c>
      <c r="AK6" s="36">
        <v>0.15014265842971899</v>
      </c>
      <c r="AL6" s="36">
        <v>5.9211859631845998E-2</v>
      </c>
      <c r="AM6" s="36">
        <v>0.13015068446504499</v>
      </c>
      <c r="AN6" s="36">
        <v>0.107957141505092</v>
      </c>
      <c r="AO6" s="36">
        <v>0.17479329037316299</v>
      </c>
      <c r="AP6" s="36">
        <v>0.65752000291679402</v>
      </c>
      <c r="AQ6" s="36">
        <v>0.41871033485818498</v>
      </c>
      <c r="AR6" s="36">
        <v>0.47000362924573602</v>
      </c>
      <c r="AS6" s="36">
        <v>0.65752000291679402</v>
      </c>
      <c r="AT6" s="36">
        <v>3.7534257877209898</v>
      </c>
      <c r="AU6" s="36">
        <v>0.28743204119657201</v>
      </c>
      <c r="AV6" s="36">
        <v>0</v>
      </c>
      <c r="AW6" s="36">
        <v>3.6506582412937401</v>
      </c>
      <c r="AX6" s="36">
        <v>3.6506582412937401</v>
      </c>
      <c r="AY6" s="36">
        <v>3.2580965380214799</v>
      </c>
      <c r="AZ6" s="36">
        <v>3.7534257877209898</v>
      </c>
      <c r="BA6" s="36">
        <v>0.916290731874155</v>
      </c>
      <c r="BB6" s="36">
        <v>3.7534257877209898</v>
      </c>
      <c r="BC6" s="36">
        <v>0</v>
      </c>
      <c r="BD6" s="36">
        <v>0</v>
      </c>
      <c r="BE6" s="36">
        <v>0</v>
      </c>
      <c r="BF6" s="36">
        <v>0</v>
      </c>
      <c r="BG6" s="36">
        <v>7.9734968018853505E-2</v>
      </c>
      <c r="BH6" s="36">
        <v>0.69314718055994495</v>
      </c>
      <c r="BI6" s="36">
        <v>1.09861228866811</v>
      </c>
      <c r="BJ6" s="36">
        <v>0.405465108108164</v>
      </c>
      <c r="BK6" s="36">
        <v>0.77334372255422201</v>
      </c>
      <c r="BL6" s="36">
        <v>0.22314355131420999</v>
      </c>
      <c r="BM6" s="36">
        <v>0.22314355131420999</v>
      </c>
      <c r="BN6" s="36">
        <v>0</v>
      </c>
      <c r="BO6" s="36">
        <v>0.15443635330441899</v>
      </c>
      <c r="BP6" s="36">
        <v>0.55961578793542299</v>
      </c>
      <c r="BQ6" s="36">
        <v>1.3217558399823199</v>
      </c>
      <c r="BR6" s="36">
        <v>1.0116009116784801</v>
      </c>
      <c r="BS6" s="36">
        <v>1.0116009116784801</v>
      </c>
      <c r="BT6" s="36">
        <v>3.0834225866809799</v>
      </c>
      <c r="BU6" s="36">
        <v>3.84658808264264</v>
      </c>
      <c r="BV6" s="36">
        <v>3.5361069907765299</v>
      </c>
      <c r="BW6" s="36">
        <v>3.7917293207283902</v>
      </c>
      <c r="BX6" s="36">
        <v>0.88252710172134596</v>
      </c>
      <c r="BY6" s="36">
        <v>4.2441142308473303</v>
      </c>
      <c r="BZ6" s="36">
        <v>2.67545813650155</v>
      </c>
      <c r="CA6" s="36">
        <v>3.4752529714915701</v>
      </c>
      <c r="CB6" s="36">
        <v>1.1964947557877801</v>
      </c>
      <c r="CC6" s="36">
        <v>3.4676032557105301</v>
      </c>
      <c r="CD6" s="36">
        <v>2.9358976073904102</v>
      </c>
      <c r="CE6" s="36">
        <v>2.4863920801565098</v>
      </c>
      <c r="CF6" s="36">
        <v>3.6577872102214801</v>
      </c>
      <c r="CH6" t="str">
        <f t="shared" si="0"/>
        <v>/*12*/ 010  1 2.54160199346455 2.30458309565672 2.80517691183293 5.86078622346587 5.82894561761021 6.08221891037645 7.02731451403978 0.193096629961913 0.974559639998131 1.15939376092797 1.20537182523964 1.11776110750687 0.665775983763813 0.104360015324243 0.223943231484774 0.173953307123438 0.168898536461814 0.14583044821154 0.307484699747961 0.46373401623214 0.457424847038875 0.46373401623214 2.5026647047097 0 3.35550242240003 0 3.35550242240003 1.99918006007703 4.20405062231016 0 4.29510616264318 4.20405062231016 0.150142658429719 0.059211859631846 0.130150684465045 0.107957141505092 0.174793290373163 0.657520002916794 0.418710334858185 0.470003629245736 0.657520002916794 3.75342578772099 0.287432041196572 0 3.65065824129374 3.65065824129374 3.25809653802148 3.75342578772099 0.916290731874155 3.75342578772099 0 0 0 0 7.97349680188535E-02 0.693147180559945 1.09861228866811 0.405465108108164 0.773343722554222 0.22314355131421 0.22314355131421 0 0.154436353304419 0.559615787935423 1.32175583998232 1.01160091167848 1.01160091167848 3.08342258668098 3.84658808264264 3.53610699077653 3.79172932072839 0.882527101721346 4.24411423084733 2.67545813650155 3.47525297149157 1.19649475578778 3.46760325571053 2.93589760739041 2.48639208015651 3.65778721022148;</v>
      </c>
    </row>
    <row r="7" spans="1:86" x14ac:dyDescent="0.25">
      <c r="A7" s="2">
        <v>13</v>
      </c>
      <c r="B7" s="2">
        <v>0</v>
      </c>
      <c r="C7" s="2">
        <v>0</v>
      </c>
      <c r="D7" s="2">
        <v>0</v>
      </c>
      <c r="E7" s="36">
        <v>2.8273136219290298</v>
      </c>
      <c r="F7" s="36">
        <v>2.2082744135227999</v>
      </c>
      <c r="G7" s="36">
        <v>2.3739750890807199</v>
      </c>
      <c r="H7" s="36">
        <v>6.9612960459101698</v>
      </c>
      <c r="I7" s="36">
        <v>6.4520489544372301</v>
      </c>
      <c r="J7" s="36">
        <v>6.3969296552161499</v>
      </c>
      <c r="K7" s="36">
        <v>7.7349961940227798</v>
      </c>
      <c r="L7" s="36">
        <v>0</v>
      </c>
      <c r="M7" s="36">
        <v>1.7621589994517599</v>
      </c>
      <c r="N7" s="36">
        <v>1.2202397767898101</v>
      </c>
      <c r="O7" s="36">
        <v>1.56087772181872</v>
      </c>
      <c r="P7" s="36">
        <v>1.53858617146215</v>
      </c>
      <c r="Q7" s="36">
        <v>0.91428872920348203</v>
      </c>
      <c r="R7" s="36">
        <v>0.37500590062345601</v>
      </c>
      <c r="S7" s="36">
        <v>0.28517894223366202</v>
      </c>
      <c r="T7" s="36">
        <v>0.42787870294506403</v>
      </c>
      <c r="U7" s="36">
        <v>0.36394842790523102</v>
      </c>
      <c r="V7" s="36">
        <v>0.18979357163265601</v>
      </c>
      <c r="W7" s="36">
        <v>0.57661336430399401</v>
      </c>
      <c r="X7" s="36">
        <v>0.37843643572024499</v>
      </c>
      <c r="Y7" s="36">
        <v>0.63127177684185798</v>
      </c>
      <c r="Z7" s="36">
        <v>0.63127177684185798</v>
      </c>
      <c r="AA7" s="36">
        <v>2.2328061983861298</v>
      </c>
      <c r="AB7" s="36">
        <v>0</v>
      </c>
      <c r="AC7" s="36">
        <v>3.6506582412937401</v>
      </c>
      <c r="AD7" s="36">
        <v>1.98100146886658</v>
      </c>
      <c r="AE7" s="36">
        <v>3.8010914447208601</v>
      </c>
      <c r="AF7" s="36">
        <v>1.98100146886658</v>
      </c>
      <c r="AG7" s="36">
        <v>3.9318256327243302</v>
      </c>
      <c r="AH7" s="36">
        <v>0</v>
      </c>
      <c r="AI7" s="36">
        <v>4.04742764243435</v>
      </c>
      <c r="AJ7" s="36">
        <v>3.9318256327243302</v>
      </c>
      <c r="AK7" s="36">
        <v>8.8926209194401501E-2</v>
      </c>
      <c r="AL7" s="36">
        <v>0.24998020526776901</v>
      </c>
      <c r="AM7" s="36">
        <v>0.151862349309246</v>
      </c>
      <c r="AN7" s="36">
        <v>0.155292884406035</v>
      </c>
      <c r="AO7" s="36">
        <v>0.143234168085908</v>
      </c>
      <c r="AP7" s="36">
        <v>0.25464221837358098</v>
      </c>
      <c r="AQ7" s="36">
        <v>0.35767444427181599</v>
      </c>
      <c r="AR7" s="36">
        <v>0.47000362924573602</v>
      </c>
      <c r="AS7" s="36">
        <v>0.47000362924573602</v>
      </c>
      <c r="AT7" s="36">
        <v>3.2580965380214799</v>
      </c>
      <c r="AU7" s="36">
        <v>0.25619140536041002</v>
      </c>
      <c r="AV7" s="36">
        <v>4.1510399058986502</v>
      </c>
      <c r="AW7" s="36">
        <v>2.6026896854443802</v>
      </c>
      <c r="AX7" s="36">
        <v>4.1510399058986502</v>
      </c>
      <c r="AY7" s="36">
        <v>3.84658808264264</v>
      </c>
      <c r="AZ7" s="36">
        <v>3.6506582412937401</v>
      </c>
      <c r="BA7" s="36">
        <v>0.55961578793542299</v>
      </c>
      <c r="BB7" s="36">
        <v>2.8716984926305398</v>
      </c>
      <c r="BC7" s="36">
        <v>0.55961578793542299</v>
      </c>
      <c r="BD7" s="36">
        <v>0</v>
      </c>
      <c r="BE7" s="36">
        <v>0</v>
      </c>
      <c r="BF7" s="36">
        <v>0.22314355131420999</v>
      </c>
      <c r="BG7" s="36">
        <v>0.671923544108319</v>
      </c>
      <c r="BH7" s="36">
        <v>0.22314355131420999</v>
      </c>
      <c r="BI7" s="36">
        <v>0.405465108108164</v>
      </c>
      <c r="BJ7" s="36">
        <v>0</v>
      </c>
      <c r="BK7" s="36">
        <v>0.22314355131420999</v>
      </c>
      <c r="BL7" s="36">
        <v>0</v>
      </c>
      <c r="BM7" s="36">
        <v>0</v>
      </c>
      <c r="BN7" s="36">
        <v>0</v>
      </c>
      <c r="BO7" s="36">
        <v>0</v>
      </c>
      <c r="BP7" s="36">
        <v>1.2527629684953701</v>
      </c>
      <c r="BQ7" s="36">
        <v>0</v>
      </c>
      <c r="BR7" s="36">
        <v>1.2527629684953701</v>
      </c>
      <c r="BS7" s="36">
        <v>0.98095424519987695</v>
      </c>
      <c r="BT7" s="36">
        <v>0</v>
      </c>
      <c r="BU7" s="36">
        <v>4.43477324748243</v>
      </c>
      <c r="BV7" s="36">
        <v>2.8716984926305398</v>
      </c>
      <c r="BW7" s="36">
        <v>3.8149612925850098</v>
      </c>
      <c r="BX7" s="36">
        <v>1.3104926477036101</v>
      </c>
      <c r="BY7" s="36">
        <v>3.65164476750371</v>
      </c>
      <c r="BZ7" s="36">
        <v>2.8133707159600201</v>
      </c>
      <c r="CA7" s="36">
        <v>4.1504413015739701</v>
      </c>
      <c r="CB7" s="36">
        <v>2.17964170678944</v>
      </c>
      <c r="CC7" s="36">
        <v>2.17964170678944</v>
      </c>
      <c r="CD7" s="36">
        <v>3.1728661052577598</v>
      </c>
      <c r="CE7" s="36">
        <v>3.9757033152827401</v>
      </c>
      <c r="CF7" s="36">
        <v>2.3175059017182602</v>
      </c>
      <c r="CH7" t="str">
        <f t="shared" si="0"/>
        <v>/*13*/ 000  1 2.82731362192903 2.2082744135228 2.37397508908072 6.96129604591017 6.45204895443723 6.39692965521615 7.73499619402278 0 1.76215899945176 1.22023977678981 1.56087772181872 1.53858617146215 0.914288729203482 0.375005900623456 0.285178942233662 0.427878702945064 0.363948427905231 0.189793571632656 0.576613364303994 0.378436435720245 0.631271776841858 0.631271776841858 2.23280619838613 0 3.65065824129374 1.98100146886658 3.80109144472086 1.98100146886658 3.93182563272433 0 4.04742764243435 3.93182563272433 8.89262091944015E-02 0.249980205267769 0.151862349309246 0.155292884406035 0.143234168085908 0.254642218373581 0.357674444271816 0.470003629245736 0.470003629245736 3.25809653802148 0.25619140536041 4.15103990589865 2.60268968544438 4.15103990589865 3.84658808264264 3.65065824129374 0.559615787935423 2.87169849263054 0.559615787935423 0 0 0.22314355131421 0.671923544108319 0.22314355131421 0.405465108108164 0 0.22314355131421 0 0 0 0 1.25276296849537 0 1.25276296849537 0.980954245199877 0 4.43477324748243 2.87169849263054 3.81496129258501 1.31049264770361 3.65164476750371 2.81337071596002 4.15044130157397 2.17964170678944 2.17964170678944 3.17286610525776 3.97570331528274 2.31750590171826;</v>
      </c>
    </row>
    <row r="8" spans="1:86" x14ac:dyDescent="0.25">
      <c r="A8" s="2">
        <v>14</v>
      </c>
      <c r="B8" s="2">
        <v>0</v>
      </c>
      <c r="C8" s="2">
        <v>0</v>
      </c>
      <c r="D8" s="2">
        <v>0</v>
      </c>
      <c r="E8" s="36">
        <v>2.6672282065819499</v>
      </c>
      <c r="F8" s="36">
        <v>2.2700619012884902</v>
      </c>
      <c r="G8" s="36">
        <v>2.5525652982618201</v>
      </c>
      <c r="H8" s="36">
        <v>6.0354814325247599</v>
      </c>
      <c r="I8" s="36">
        <v>6.0637852086876096</v>
      </c>
      <c r="J8" s="36">
        <v>5.2983173665480399</v>
      </c>
      <c r="K8" s="36">
        <v>6.9527286446248704</v>
      </c>
      <c r="L8" s="36">
        <v>0.108854404912082</v>
      </c>
      <c r="M8" s="36">
        <v>1.27759494419655</v>
      </c>
      <c r="N8" s="36">
        <v>1.3384162808754301</v>
      </c>
      <c r="O8" s="36">
        <v>1.2014696741078199</v>
      </c>
      <c r="P8" s="36">
        <v>1.27396517614597</v>
      </c>
      <c r="Q8" s="36">
        <v>0.53649337051456802</v>
      </c>
      <c r="R8" s="36">
        <v>0.17058630057553401</v>
      </c>
      <c r="S8" s="36">
        <v>0.30453918951820402</v>
      </c>
      <c r="T8" s="36">
        <v>0.16126814759612201</v>
      </c>
      <c r="U8" s="36">
        <v>0.21511137961694499</v>
      </c>
      <c r="V8" s="36">
        <v>0.148420005118273</v>
      </c>
      <c r="W8" s="36">
        <v>0.307484699747961</v>
      </c>
      <c r="X8" s="36">
        <v>0.482426149244293</v>
      </c>
      <c r="Y8" s="36">
        <v>0.24686007793152601</v>
      </c>
      <c r="Z8" s="36">
        <v>0.482426149244293</v>
      </c>
      <c r="AA8" s="36">
        <v>2.4612967841488702</v>
      </c>
      <c r="AB8" s="36">
        <v>2.2717134293269599</v>
      </c>
      <c r="AC8" s="36">
        <v>1.6767226592397</v>
      </c>
      <c r="AD8" s="36">
        <v>3.5774729202895901</v>
      </c>
      <c r="AE8" s="36">
        <v>3.8882629578638102</v>
      </c>
      <c r="AF8" s="36">
        <v>3.2153897555833701</v>
      </c>
      <c r="AG8" s="36">
        <v>3.3762555713579498</v>
      </c>
      <c r="AH8" s="36">
        <v>0</v>
      </c>
      <c r="AI8" s="36">
        <v>3.9735695550796599</v>
      </c>
      <c r="AJ8" s="36">
        <v>3.5774729202895901</v>
      </c>
      <c r="AK8" s="36">
        <v>0.28442677973110803</v>
      </c>
      <c r="AL8" s="36">
        <v>0.16636153721522501</v>
      </c>
      <c r="AM8" s="36">
        <v>0.19721016928770499</v>
      </c>
      <c r="AN8" s="36">
        <v>0.217527812528574</v>
      </c>
      <c r="AO8" s="36">
        <v>0.137149838147234</v>
      </c>
      <c r="AP8" s="36">
        <v>0.55388511322643796</v>
      </c>
      <c r="AQ8" s="36">
        <v>0.42526773540434398</v>
      </c>
      <c r="AR8" s="36">
        <v>0.350656871613169</v>
      </c>
      <c r="AS8" s="36">
        <v>0.55388511322643796</v>
      </c>
      <c r="AT8" s="36">
        <v>3.4067486117004799</v>
      </c>
      <c r="AU8" s="36">
        <v>0.45932178089887499</v>
      </c>
      <c r="AV8" s="36">
        <v>0</v>
      </c>
      <c r="AW8" s="36">
        <v>3.6506582412937401</v>
      </c>
      <c r="AX8" s="36">
        <v>0</v>
      </c>
      <c r="AY8" s="36">
        <v>2.6026896854443802</v>
      </c>
      <c r="AZ8" s="36">
        <v>4.0831656436306698</v>
      </c>
      <c r="BA8" s="36">
        <v>0.55961578793542299</v>
      </c>
      <c r="BB8" s="36">
        <v>3.2580965380214799</v>
      </c>
      <c r="BC8" s="36">
        <v>0</v>
      </c>
      <c r="BD8" s="36">
        <v>0</v>
      </c>
      <c r="BE8" s="36">
        <v>0</v>
      </c>
      <c r="BF8" s="36">
        <v>0</v>
      </c>
      <c r="BG8" s="36">
        <v>0.45932178089887499</v>
      </c>
      <c r="BH8" s="36">
        <v>0</v>
      </c>
      <c r="BI8" s="36">
        <v>0.405465108108164</v>
      </c>
      <c r="BJ8" s="36">
        <v>0.405465108108164</v>
      </c>
      <c r="BK8" s="36">
        <v>0.28743204119657201</v>
      </c>
      <c r="BL8" s="36">
        <v>0.22314355131420999</v>
      </c>
      <c r="BM8" s="36">
        <v>0</v>
      </c>
      <c r="BN8" s="36">
        <v>0</v>
      </c>
      <c r="BO8" s="36">
        <v>7.9734968018853505E-2</v>
      </c>
      <c r="BP8" s="36">
        <v>0.22314355131420999</v>
      </c>
      <c r="BQ8" s="36">
        <v>1.1786549963416499</v>
      </c>
      <c r="BR8" s="36">
        <v>0</v>
      </c>
      <c r="BS8" s="36">
        <v>0.60595396885756803</v>
      </c>
      <c r="BT8" s="36">
        <v>2.6026896854443802</v>
      </c>
      <c r="BU8" s="36">
        <v>4.3307333402863302</v>
      </c>
      <c r="BV8" s="36">
        <v>2.6026896854443802</v>
      </c>
      <c r="BW8" s="36">
        <v>3.6342912638295299</v>
      </c>
      <c r="BX8" s="36">
        <v>0.45932178089887499</v>
      </c>
      <c r="BY8" s="36">
        <v>4.4150019241678304</v>
      </c>
      <c r="BZ8" s="36">
        <v>2.5731464386374099</v>
      </c>
      <c r="CA8" s="36">
        <v>2.9610373037571001</v>
      </c>
      <c r="CB8" s="36">
        <v>2.37126963179136</v>
      </c>
      <c r="CC8" s="36">
        <v>2.2200827154612299</v>
      </c>
      <c r="CD8" s="36">
        <v>3.2390184147626999</v>
      </c>
      <c r="CE8" s="36">
        <v>3.9030814140841601</v>
      </c>
      <c r="CF8" s="36">
        <v>2.30431769517166</v>
      </c>
      <c r="CH8" t="str">
        <f t="shared" si="0"/>
        <v>/*14*/ 000  1 2.66722820658195 2.27006190128849 2.55256529826182 6.03548143252476 6.06378520868761 5.29831736654804 6.95272864462487 0.108854404912082 1.27759494419655 1.33841628087543 1.20146967410782 1.27396517614597 0.536493370514568 0.170586300575534 0.304539189518204 0.161268147596122 0.215111379616945 0.148420005118273 0.307484699747961 0.482426149244293 0.246860077931526 0.482426149244293 2.46129678414887 2.27171342932696 1.6767226592397 3.57747292028959 3.88826295786381 3.21538975558337 3.37625557135795 0 3.97356955507966 3.57747292028959 0.284426779731108 0.166361537215225 0.197210169287705 0.217527812528574 0.137149838147234 0.553885113226438 0.425267735404344 0.350656871613169 0.553885113226438 3.40674861170048 0.459321780898875 0 3.65065824129374 0 2.60268968544438 4.08316564363067 0.559615787935423 3.25809653802148 0 0 0 0 0.459321780898875 0 0.405465108108164 0.405465108108164 0.287432041196572 0.22314355131421 0 0 7.97349680188535E-02 0.22314355131421 1.17865499634165 0 0.605953968857568 2.60268968544438 4.33073334028633 2.60268968544438 3.63429126382953 0.459321780898875 4.41500192416783 2.57314643863741 2.9610373037571 2.37126963179136 2.22008271546123 3.2390184147627 3.90308141408416 2.30431769517166;</v>
      </c>
    </row>
    <row r="9" spans="1:86" x14ac:dyDescent="0.25">
      <c r="A9" s="2">
        <v>16</v>
      </c>
      <c r="B9" s="2">
        <v>0</v>
      </c>
      <c r="C9" s="2">
        <v>0</v>
      </c>
      <c r="D9" s="2">
        <v>0</v>
      </c>
      <c r="E9" s="36">
        <v>2.7472709142554899</v>
      </c>
      <c r="F9" s="36">
        <v>2.2038691200548901</v>
      </c>
      <c r="G9" s="36">
        <v>2.4466854369678002</v>
      </c>
      <c r="H9" s="36">
        <v>6.2519038831658902</v>
      </c>
      <c r="I9" s="36">
        <v>5.7807435157923299</v>
      </c>
      <c r="J9" s="36">
        <v>5.7620513827801796</v>
      </c>
      <c r="K9" s="36">
        <v>7.0553128433397498</v>
      </c>
      <c r="L9" s="36">
        <v>0</v>
      </c>
      <c r="M9" s="36">
        <v>1.0342515295077199</v>
      </c>
      <c r="N9" s="36">
        <v>0.94584953411569905</v>
      </c>
      <c r="O9" s="36">
        <v>0.79975691561820395</v>
      </c>
      <c r="P9" s="36">
        <v>0.93137636929219603</v>
      </c>
      <c r="Q9" s="36">
        <v>0.482426149244293</v>
      </c>
      <c r="R9" s="36">
        <v>0.23665190133900199</v>
      </c>
      <c r="S9" s="36">
        <v>0.26466929814270801</v>
      </c>
      <c r="T9" s="36">
        <v>0.244513577050402</v>
      </c>
      <c r="U9" s="36">
        <v>0.24842135849847799</v>
      </c>
      <c r="V9" s="36">
        <v>0.1016536537265</v>
      </c>
      <c r="W9" s="36">
        <v>0.350656871613169</v>
      </c>
      <c r="X9" s="36">
        <v>0.405465108108164</v>
      </c>
      <c r="Y9" s="36">
        <v>0.36464311358790902</v>
      </c>
      <c r="Z9" s="36">
        <v>0.405465108108164</v>
      </c>
      <c r="AA9" s="36">
        <v>1.86377000520433</v>
      </c>
      <c r="AB9" s="36">
        <v>0</v>
      </c>
      <c r="AC9" s="36">
        <v>4.1289231069085099</v>
      </c>
      <c r="AD9" s="36">
        <v>0</v>
      </c>
      <c r="AE9" s="36">
        <v>4.1289231069085099</v>
      </c>
      <c r="AF9" s="36">
        <v>1.32919476907932</v>
      </c>
      <c r="AG9" s="36">
        <v>3.6139134216240199</v>
      </c>
      <c r="AH9" s="36">
        <v>0</v>
      </c>
      <c r="AI9" s="36">
        <v>3.6861005966635001</v>
      </c>
      <c r="AJ9" s="36">
        <v>4.1289231069085099</v>
      </c>
      <c r="AK9" s="36">
        <v>0.23269776411902099</v>
      </c>
      <c r="AL9" s="36">
        <v>0.186479566942618</v>
      </c>
      <c r="AM9" s="36">
        <v>0.21672298351128699</v>
      </c>
      <c r="AN9" s="36">
        <v>0.20701416938432601</v>
      </c>
      <c r="AO9" s="36">
        <v>0.14583044821154001</v>
      </c>
      <c r="AP9" s="36">
        <v>0.47623417899637199</v>
      </c>
      <c r="AQ9" s="36">
        <v>0.431782416425538</v>
      </c>
      <c r="AR9" s="36">
        <v>0.37843643572024499</v>
      </c>
      <c r="AS9" s="36">
        <v>0.47623417899637199</v>
      </c>
      <c r="AT9" s="36">
        <v>2.6026896854443802</v>
      </c>
      <c r="AU9" s="36">
        <v>0.60595396885756803</v>
      </c>
      <c r="AV9" s="36">
        <v>2.6026896854443802</v>
      </c>
      <c r="AW9" s="36">
        <v>0</v>
      </c>
      <c r="AX9" s="36">
        <v>0</v>
      </c>
      <c r="AY9" s="36">
        <v>1.64229224930505</v>
      </c>
      <c r="AZ9" s="36">
        <v>4.43477324748243</v>
      </c>
      <c r="BA9" s="36">
        <v>0.84715499303929298</v>
      </c>
      <c r="BB9" s="36">
        <v>3.5361069907765299</v>
      </c>
      <c r="BC9" s="36">
        <v>0.117783035656383</v>
      </c>
      <c r="BD9" s="36">
        <v>0</v>
      </c>
      <c r="BE9" s="36">
        <v>0</v>
      </c>
      <c r="BF9" s="36">
        <v>4.1141943331175199E-2</v>
      </c>
      <c r="BG9" s="36">
        <v>4.1141943331175199E-2</v>
      </c>
      <c r="BH9" s="36">
        <v>0.405465108108164</v>
      </c>
      <c r="BI9" s="36">
        <v>0.22314355131420999</v>
      </c>
      <c r="BJ9" s="36">
        <v>0.405465108108164</v>
      </c>
      <c r="BK9" s="36">
        <v>0.34854196070854299</v>
      </c>
      <c r="BL9" s="36">
        <v>0</v>
      </c>
      <c r="BM9" s="36">
        <v>0</v>
      </c>
      <c r="BN9" s="36">
        <v>0</v>
      </c>
      <c r="BO9" s="36">
        <v>0</v>
      </c>
      <c r="BP9" s="36">
        <v>0.55961578793542299</v>
      </c>
      <c r="BQ9" s="36">
        <v>0.405465108108164</v>
      </c>
      <c r="BR9" s="36">
        <v>0</v>
      </c>
      <c r="BS9" s="36">
        <v>0.34854196070854299</v>
      </c>
      <c r="BT9" s="36">
        <v>3.0834225866809799</v>
      </c>
      <c r="BU9" s="36">
        <v>3.4067486117004799</v>
      </c>
      <c r="BV9" s="36">
        <v>3.9318256327243302</v>
      </c>
      <c r="BW9" s="36">
        <v>3.9194950202668499</v>
      </c>
      <c r="BX9" s="36">
        <v>0.86499743748660496</v>
      </c>
      <c r="BY9" s="36">
        <v>4.3766497048610598</v>
      </c>
      <c r="BZ9" s="36">
        <v>2.8186967211892702</v>
      </c>
      <c r="CA9" s="36">
        <v>3.1103547643906899</v>
      </c>
      <c r="CB9" s="36">
        <v>2.0518915899563002</v>
      </c>
      <c r="CC9" s="36">
        <v>0.29849298858825501</v>
      </c>
      <c r="CD9" s="36">
        <v>2.3738941207190698</v>
      </c>
      <c r="CE9" s="36">
        <v>0</v>
      </c>
      <c r="CF9" s="36">
        <v>4.4323683895037203</v>
      </c>
      <c r="CH9" t="str">
        <f t="shared" si="0"/>
        <v>/*16*/ 000  1 2.74727091425549 2.20386912005489 2.4466854369678 6.25190388316589 5.78074351579233 5.76205138278018 7.05531284333975 0 1.03425152950772 0.945849534115699 0.799756915618204 0.931376369292196 0.482426149244293 0.236651901339002 0.264669298142708 0.244513577050402 0.248421358498478 0.1016536537265 0.350656871613169 0.405465108108164 0.364643113587909 0.405465108108164 1.86377000520433 0 4.12892310690851 0 4.12892310690851 1.32919476907932 3.61391342162402 0 3.6861005966635 4.12892310690851 0.232697764119021 0.186479566942618 0.216722983511287 0.207014169384326 0.14583044821154 0.476234178996372 0.431782416425538 0.378436435720245 0.476234178996372 2.60268968544438 0.605953968857568 2.60268968544438 0 0 1.64229224930505 4.43477324748243 0.847154993039293 3.53610699077653 0.117783035656383 0 0 4.11419433311752E-02 4.11419433311752E-02 0.405465108108164 0.22314355131421 0.405465108108164 0.348541960708543 0 0 0 0 0.559615787935423 0.405465108108164 0 0.348541960708543 3.08342258668098 3.40674861170048 3.93182563272433 3.91949502026685 0.864997437486605 4.37664970486106 2.81869672118927 3.11035476439069 2.0518915899563 0.298492988588255 2.37389412071907 0 4.43236838950372;</v>
      </c>
    </row>
    <row r="10" spans="1:86" x14ac:dyDescent="0.25">
      <c r="A10" s="2">
        <v>18</v>
      </c>
      <c r="B10" s="2">
        <v>0</v>
      </c>
      <c r="C10" s="2">
        <v>0</v>
      </c>
      <c r="D10" s="2">
        <v>0</v>
      </c>
      <c r="E10" s="36">
        <v>2.8094026953625</v>
      </c>
      <c r="F10" s="36">
        <v>2.2874714551839999</v>
      </c>
      <c r="G10" s="36">
        <v>2.7278528283983898</v>
      </c>
      <c r="H10" s="36">
        <v>6.6618547405453103</v>
      </c>
      <c r="I10" s="36">
        <v>6.6066501861982196</v>
      </c>
      <c r="J10" s="36">
        <v>6.2766434893416401</v>
      </c>
      <c r="K10" s="36">
        <v>7.6265702062906602</v>
      </c>
      <c r="L10" s="36">
        <v>5.7325066619269401E-2</v>
      </c>
      <c r="M10" s="36">
        <v>1.38328985209959</v>
      </c>
      <c r="N10" s="36">
        <v>1.3185507090333699</v>
      </c>
      <c r="O10" s="36">
        <v>1.3800247481062999</v>
      </c>
      <c r="P10" s="36">
        <v>1.3609765531356</v>
      </c>
      <c r="Q10" s="36">
        <v>0.53062825106217004</v>
      </c>
      <c r="R10" s="36">
        <v>0.14063112973974601</v>
      </c>
      <c r="S10" s="36">
        <v>0.133656384812674</v>
      </c>
      <c r="T10" s="36">
        <v>0.16889853646181399</v>
      </c>
      <c r="U10" s="36">
        <v>0.147557564357615</v>
      </c>
      <c r="V10" s="36">
        <v>9.5310179804324893E-2</v>
      </c>
      <c r="W10" s="36">
        <v>0.36464311358790902</v>
      </c>
      <c r="X10" s="36">
        <v>0.36464311358790902</v>
      </c>
      <c r="Y10" s="36">
        <v>0.27763173659828</v>
      </c>
      <c r="Z10" s="36">
        <v>0.36464311358790902</v>
      </c>
      <c r="AA10" s="36">
        <v>2.9559514035421501</v>
      </c>
      <c r="AB10" s="36">
        <v>0</v>
      </c>
      <c r="AC10" s="36">
        <v>3.8901249843269299</v>
      </c>
      <c r="AD10" s="36">
        <v>1.1259031489040101</v>
      </c>
      <c r="AE10" s="36">
        <v>3.9318256327243302</v>
      </c>
      <c r="AF10" s="36">
        <v>1.64229224930505</v>
      </c>
      <c r="AG10" s="36">
        <v>3.8010914447208601</v>
      </c>
      <c r="AH10" s="36">
        <v>1.1259031489040101</v>
      </c>
      <c r="AI10" s="36">
        <v>3.9318256327243302</v>
      </c>
      <c r="AJ10" s="36">
        <v>3.8901249843269299</v>
      </c>
      <c r="AK10" s="36">
        <v>4.78373294141601E-2</v>
      </c>
      <c r="AL10" s="36">
        <v>0.12927233570413901</v>
      </c>
      <c r="AM10" s="36">
        <v>1.19285708652738E-2</v>
      </c>
      <c r="AN10" s="36">
        <v>6.3913325743652896E-2</v>
      </c>
      <c r="AO10" s="36">
        <v>0.116003675756306</v>
      </c>
      <c r="AP10" s="36">
        <v>0.22314355131420999</v>
      </c>
      <c r="AQ10" s="36">
        <v>0.47623417899637199</v>
      </c>
      <c r="AR10" s="36">
        <v>4.8790164169432E-2</v>
      </c>
      <c r="AS10" s="36">
        <v>0.47623417899637199</v>
      </c>
      <c r="AT10" s="36">
        <v>3.4067486117004799</v>
      </c>
      <c r="AU10" s="36">
        <v>0.117783035656383</v>
      </c>
      <c r="AV10" s="36">
        <v>3.9318256327243302</v>
      </c>
      <c r="AW10" s="36">
        <v>3.6506582412937401</v>
      </c>
      <c r="AX10" s="36">
        <v>4.4830025520138799</v>
      </c>
      <c r="AY10" s="36">
        <v>4.0831656436306698</v>
      </c>
      <c r="AZ10" s="36">
        <v>4.0831656436306698</v>
      </c>
      <c r="BA10" s="36">
        <v>0.51102560376865702</v>
      </c>
      <c r="BB10" s="36">
        <v>3.2580965380214799</v>
      </c>
      <c r="BC10" s="36">
        <v>0.405465108108164</v>
      </c>
      <c r="BD10" s="36">
        <v>0.117783035656383</v>
      </c>
      <c r="BE10" s="36">
        <v>0</v>
      </c>
      <c r="BF10" s="36">
        <v>0.188966099512623</v>
      </c>
      <c r="BG10" s="36">
        <v>0.377065633586466</v>
      </c>
      <c r="BH10" s="36">
        <v>0.22314355131420999</v>
      </c>
      <c r="BI10" s="36">
        <v>0</v>
      </c>
      <c r="BJ10" s="36">
        <v>0</v>
      </c>
      <c r="BK10" s="36">
        <v>7.9734968018853505E-2</v>
      </c>
      <c r="BL10" s="36">
        <v>0.81093021621632899</v>
      </c>
      <c r="BM10" s="36">
        <v>0.916290731874155</v>
      </c>
      <c r="BN10" s="36">
        <v>0</v>
      </c>
      <c r="BO10" s="36">
        <v>0.65076146406350699</v>
      </c>
      <c r="BP10" s="36">
        <v>1.2527629684953701</v>
      </c>
      <c r="BQ10" s="36">
        <v>0.916290731874155</v>
      </c>
      <c r="BR10" s="36">
        <v>1.6094379124341001</v>
      </c>
      <c r="BS10" s="36">
        <v>1.2993738890891899</v>
      </c>
      <c r="BT10" s="36">
        <v>3.0834225866809799</v>
      </c>
      <c r="BU10" s="36">
        <v>4.2743439804936996</v>
      </c>
      <c r="BV10" s="36">
        <v>2.2335565065836098</v>
      </c>
      <c r="BW10" s="36">
        <v>3.4272549159814401</v>
      </c>
      <c r="BX10" s="36">
        <v>0.96508089604358704</v>
      </c>
      <c r="BY10" s="36">
        <v>3.5339201140757899</v>
      </c>
      <c r="BZ10" s="36">
        <v>2.7338478939233499</v>
      </c>
      <c r="CA10" s="36">
        <v>4.2157063716068697</v>
      </c>
      <c r="CB10" s="36">
        <v>0.81093021621632899</v>
      </c>
      <c r="CC10" s="36">
        <v>2.8295300986399199</v>
      </c>
      <c r="CD10" s="36">
        <v>2.5055259369907401</v>
      </c>
      <c r="CE10" s="36">
        <v>4.1108738641733096</v>
      </c>
      <c r="CF10" s="36">
        <v>2.5307161858192901</v>
      </c>
      <c r="CH10" t="str">
        <f t="shared" si="0"/>
        <v>/*18*/ 000  1 2.8094026953625 2.287471455184 2.72785282839839 6.66185474054531 6.60665018619822 6.27664348934164 7.62657020629066 5.73250666192694E-02 1.38328985209959 1.31855070903337 1.3800247481063 1.3609765531356 0.53062825106217 0.140631129739746 0.133656384812674 0.168898536461814 0.147557564357615 9.53101798043249E-02 0.364643113587909 0.364643113587909 0.27763173659828 0.364643113587909 2.95595140354215 0 3.89012498432693 1.12590314890401 3.93182563272433 1.64229224930505 3.80109144472086 1.12590314890401 3.93182563272433 3.89012498432693 4.78373294141601E-02 0.129272335704139 1.19285708652738E-02 6.39133257436529E-02 0.116003675756306 0.22314355131421 0.476234178996372 0.048790164169432 0.476234178996372 3.40674861170048 0.117783035656383 3.93182563272433 3.65065824129374 4.48300255201388 4.08316564363067 4.08316564363067 0.511025603768657 3.25809653802148 0.405465108108164 0.117783035656383 0 0.188966099512623 0.377065633586466 0.22314355131421 0 0 7.97349680188535E-02 0.810930216216329 0.916290731874155 0 0.650761464063507 1.25276296849537 0.916290731874155 1.6094379124341 1.29937388908919 3.08342258668098 4.2743439804937 2.23355650658361 3.42725491598144 0.965080896043587 3.53392011407579 2.73384789392335 4.21570637160687 0.810930216216329 2.82953009863992 2.50552593699074 4.11087386417331 2.53071618581929;</v>
      </c>
    </row>
    <row r="11" spans="1:86" x14ac:dyDescent="0.25">
      <c r="A11" s="2">
        <v>22</v>
      </c>
      <c r="B11" s="2">
        <v>0</v>
      </c>
      <c r="C11" s="2">
        <v>0</v>
      </c>
      <c r="D11" s="2">
        <v>0</v>
      </c>
      <c r="E11" s="36">
        <v>2.8678989020441099</v>
      </c>
      <c r="F11" s="36">
        <v>2.2192034840549901</v>
      </c>
      <c r="G11" s="36">
        <v>2.45358796653057</v>
      </c>
      <c r="H11" s="36">
        <v>5.8141305318250698</v>
      </c>
      <c r="I11" s="36">
        <v>6.3062752869480203</v>
      </c>
      <c r="J11" s="36">
        <v>5.7620513827801796</v>
      </c>
      <c r="K11" s="36">
        <v>7.0892431550275097</v>
      </c>
      <c r="L11" s="36">
        <v>1.1161247137527399</v>
      </c>
      <c r="M11" s="36">
        <v>1.0691834779773</v>
      </c>
      <c r="N11" s="36">
        <v>1.2383742310432699</v>
      </c>
      <c r="O11" s="36">
        <v>1.1593937609279701</v>
      </c>
      <c r="P11" s="36">
        <v>1.1578241482999601</v>
      </c>
      <c r="Q11" s="36">
        <v>0.37018329396352501</v>
      </c>
      <c r="R11" s="36">
        <v>0.19062035960865001</v>
      </c>
      <c r="S11" s="36">
        <v>0.22234323114344101</v>
      </c>
      <c r="T11" s="36">
        <v>0.27990188513281899</v>
      </c>
      <c r="U11" s="36">
        <v>0.231111720963387</v>
      </c>
      <c r="V11" s="36">
        <v>9.5310179804324893E-2</v>
      </c>
      <c r="W11" s="36">
        <v>0.24686007793152601</v>
      </c>
      <c r="X11" s="36">
        <v>0.41871033485818498</v>
      </c>
      <c r="Y11" s="36">
        <v>0.37843643572024499</v>
      </c>
      <c r="Z11" s="36">
        <v>0.41871033485818498</v>
      </c>
      <c r="AA11" s="36">
        <v>2.2393257533548501</v>
      </c>
      <c r="AB11" s="36">
        <v>0</v>
      </c>
      <c r="AC11" s="36">
        <v>3.1604413030310301</v>
      </c>
      <c r="AD11" s="36">
        <v>2.3680918951961698</v>
      </c>
      <c r="AE11" s="36">
        <v>3.5042953396657199</v>
      </c>
      <c r="AF11" s="36">
        <v>3.2886257430563099</v>
      </c>
      <c r="AG11" s="36">
        <v>3.7596873441244498</v>
      </c>
      <c r="AH11" s="36">
        <v>0</v>
      </c>
      <c r="AI11" s="36">
        <v>4.2303603661395401</v>
      </c>
      <c r="AJ11" s="36">
        <v>3.7596873441244498</v>
      </c>
      <c r="AK11" s="36">
        <v>0.31408054630631199</v>
      </c>
      <c r="AL11" s="36">
        <v>0.24920108563349899</v>
      </c>
      <c r="AM11" s="36">
        <v>0.17563256864315799</v>
      </c>
      <c r="AN11" s="36">
        <v>0.23744085601503401</v>
      </c>
      <c r="AO11" s="36">
        <v>0.14583044821154001</v>
      </c>
      <c r="AP11" s="36">
        <v>0.47000362924573602</v>
      </c>
      <c r="AQ11" s="36">
        <v>0.54232429082536204</v>
      </c>
      <c r="AR11" s="36">
        <v>0.307484699747961</v>
      </c>
      <c r="AS11" s="36">
        <v>0.54232429082536204</v>
      </c>
      <c r="AT11" s="36">
        <v>3.6506582412937401</v>
      </c>
      <c r="AU11" s="36">
        <v>0.377065633586466</v>
      </c>
      <c r="AV11" s="36">
        <v>0</v>
      </c>
      <c r="AW11" s="36">
        <v>2.6026896854443802</v>
      </c>
      <c r="AX11" s="36">
        <v>3.6506582412937401</v>
      </c>
      <c r="AY11" s="36">
        <v>2.8716984926305398</v>
      </c>
      <c r="AZ11" s="36">
        <v>3.84658808264264</v>
      </c>
      <c r="BA11" s="36">
        <v>0.60595396885756803</v>
      </c>
      <c r="BB11" s="36">
        <v>3.2580965380214799</v>
      </c>
      <c r="BC11" s="36">
        <v>0.31845373111853498</v>
      </c>
      <c r="BD11" s="36">
        <v>0.117783035656383</v>
      </c>
      <c r="BE11" s="36">
        <v>0</v>
      </c>
      <c r="BF11" s="36">
        <v>0.15443635330441899</v>
      </c>
      <c r="BG11" s="36">
        <v>0.22314355131420999</v>
      </c>
      <c r="BH11" s="36">
        <v>0.916290731874155</v>
      </c>
      <c r="BI11" s="36">
        <v>0.81093021621632899</v>
      </c>
      <c r="BJ11" s="36">
        <v>0.916290731874155</v>
      </c>
      <c r="BK11" s="36">
        <v>0.88252710172134596</v>
      </c>
      <c r="BL11" s="36">
        <v>0</v>
      </c>
      <c r="BM11" s="36">
        <v>0</v>
      </c>
      <c r="BN11" s="36">
        <v>0.405465108108164</v>
      </c>
      <c r="BO11" s="36">
        <v>0.15443635330441899</v>
      </c>
      <c r="BP11" s="36">
        <v>0</v>
      </c>
      <c r="BQ11" s="36">
        <v>0</v>
      </c>
      <c r="BR11" s="36">
        <v>0.405465108108164</v>
      </c>
      <c r="BS11" s="36">
        <v>0.15443635330441899</v>
      </c>
      <c r="BT11" s="36">
        <v>0</v>
      </c>
      <c r="BU11" s="36">
        <v>4.5729878452771402</v>
      </c>
      <c r="BV11" s="36">
        <v>1.64229224930505</v>
      </c>
      <c r="BW11" s="36">
        <v>3.7135720667043102</v>
      </c>
      <c r="BX11" s="36">
        <v>0.58333231455273904</v>
      </c>
      <c r="BY11" s="36">
        <v>4.5787851420433796</v>
      </c>
      <c r="BZ11" s="36">
        <v>1.3850435792182401</v>
      </c>
      <c r="CA11" s="36">
        <v>1.5269254908596399</v>
      </c>
      <c r="CB11" s="36">
        <v>0.74838591081920103</v>
      </c>
      <c r="CC11" s="36">
        <v>0</v>
      </c>
      <c r="CD11" s="36">
        <v>2.8862802513092398</v>
      </c>
      <c r="CE11" s="36">
        <v>3.0033866454618998</v>
      </c>
      <c r="CF11" s="36">
        <v>4.1558509297747204</v>
      </c>
      <c r="CH11" t="str">
        <f t="shared" si="0"/>
        <v>/*22*/ 000  1 2.86789890204411 2.21920348405499 2.45358796653057 5.81413053182507 6.30627528694802 5.76205138278018 7.08924315502751 1.11612471375274 1.0691834779773 1.23837423104327 1.15939376092797 1.15782414829996 0.370183293963525 0.19062035960865 0.222343231143441 0.279901885132819 0.231111720963387 9.53101798043249E-02 0.246860077931526 0.418710334858185 0.378436435720245 0.418710334858185 2.23932575335485 0 3.16044130303103 2.36809189519617 3.50429533966572 3.28862574305631 3.75968734412445 0 4.23036036613954 3.75968734412445 0.314080546306312 0.249201085633499 0.175632568643158 0.237440856015034 0.14583044821154 0.470003629245736 0.542324290825362 0.307484699747961 0.542324290825362 3.65065824129374 0.377065633586466 0 2.60268968544438 3.65065824129374 2.87169849263054 3.84658808264264 0.605953968857568 3.25809653802148 0.318453731118535 0.117783035656383 0 0.154436353304419 0.22314355131421 0.916290731874155 0.810930216216329 0.916290731874155 0.882527101721346 0 0 0.405465108108164 0.154436353304419 0 0 0.405465108108164 0.154436353304419 0 4.57298784527714 1.64229224930505 3.71357206670431 0.583332314552739 4.57878514204338 1.38504357921824 1.52692549085964 0.748385910819201 0 2.88628025130924 3.0033866454619 4.15585092977472;</v>
      </c>
    </row>
    <row r="12" spans="1:86" x14ac:dyDescent="0.25">
      <c r="A12" s="2">
        <v>26</v>
      </c>
      <c r="B12" s="2">
        <v>0</v>
      </c>
      <c r="C12" s="2">
        <v>0</v>
      </c>
      <c r="D12" s="2">
        <v>0</v>
      </c>
      <c r="E12" s="36">
        <v>2.9907197317304499</v>
      </c>
      <c r="F12" s="36">
        <v>2.29051251175978</v>
      </c>
      <c r="G12" s="36">
        <v>2.4492794721448501</v>
      </c>
      <c r="H12" s="36">
        <v>7.7731736804825404</v>
      </c>
      <c r="I12" s="36">
        <v>7.7981126288297897</v>
      </c>
      <c r="J12" s="36">
        <v>7.7857208965346203</v>
      </c>
      <c r="K12" s="36">
        <v>8.8840560617424593</v>
      </c>
      <c r="L12" s="36">
        <v>3.2467190137501399E-2</v>
      </c>
      <c r="M12" s="36">
        <v>1.94776556955477</v>
      </c>
      <c r="N12" s="36">
        <v>1.7791806870211899</v>
      </c>
      <c r="O12" s="36">
        <v>1.98100146886658</v>
      </c>
      <c r="P12" s="36">
        <v>1.9064265442061801</v>
      </c>
      <c r="Q12" s="36">
        <v>1.0423946086698801</v>
      </c>
      <c r="R12" s="36">
        <v>0.221542269947236</v>
      </c>
      <c r="S12" s="36">
        <v>0.29192306670903501</v>
      </c>
      <c r="T12" s="36">
        <v>0.22952315827824901</v>
      </c>
      <c r="U12" s="36">
        <v>0.247641022914597</v>
      </c>
      <c r="V12" s="36">
        <v>0.20620083058389799</v>
      </c>
      <c r="W12" s="36">
        <v>0.431782416425538</v>
      </c>
      <c r="X12" s="36">
        <v>0.916290731874155</v>
      </c>
      <c r="Y12" s="36">
        <v>0.39204208777602401</v>
      </c>
      <c r="Z12" s="36">
        <v>0.916290731874155</v>
      </c>
      <c r="AA12" s="36">
        <v>3.0612859042934302</v>
      </c>
      <c r="AB12" s="36">
        <v>0</v>
      </c>
      <c r="AC12" s="36">
        <v>3.0834225866809799</v>
      </c>
      <c r="AD12" s="36">
        <v>0</v>
      </c>
      <c r="AE12" s="36">
        <v>3.0834225866809799</v>
      </c>
      <c r="AF12" s="36">
        <v>0</v>
      </c>
      <c r="AG12" s="36">
        <v>4.3577723634978698</v>
      </c>
      <c r="AH12" s="36">
        <v>1.1259031489040101</v>
      </c>
      <c r="AI12" s="36">
        <v>4.3841119588732198</v>
      </c>
      <c r="AJ12" s="36">
        <v>4.3577723634978698</v>
      </c>
      <c r="AK12" s="36">
        <v>0.28968007511445398</v>
      </c>
      <c r="AL12" s="36">
        <v>0.38048912203798702</v>
      </c>
      <c r="AM12" s="36">
        <v>0.28593053941297503</v>
      </c>
      <c r="AN12" s="36">
        <v>0.319180739511152</v>
      </c>
      <c r="AO12" s="36">
        <v>0.288931291852213</v>
      </c>
      <c r="AP12" s="36">
        <v>0.54232429082536204</v>
      </c>
      <c r="AQ12" s="36">
        <v>0.85015092936961001</v>
      </c>
      <c r="AR12" s="36">
        <v>0.78845736036427005</v>
      </c>
      <c r="AS12" s="36">
        <v>0.85015092936961001</v>
      </c>
      <c r="AT12" s="36">
        <v>3.4067486117004799</v>
      </c>
      <c r="AU12" s="36">
        <v>0.30010459245033799</v>
      </c>
      <c r="AV12" s="36">
        <v>2.6026896854443802</v>
      </c>
      <c r="AW12" s="36">
        <v>3.2580965380214799</v>
      </c>
      <c r="AX12" s="36">
        <v>3.6506582412937401</v>
      </c>
      <c r="AY12" s="36">
        <v>3.2580965380214799</v>
      </c>
      <c r="AZ12" s="36">
        <v>3.4067486117004799</v>
      </c>
      <c r="BA12" s="36">
        <v>0.60595396885756803</v>
      </c>
      <c r="BB12" s="36">
        <v>2.8716984926305398</v>
      </c>
      <c r="BC12" s="36">
        <v>0.117783035656383</v>
      </c>
      <c r="BD12" s="36">
        <v>0.22314355131420999</v>
      </c>
      <c r="BE12" s="36">
        <v>0.117783035656383</v>
      </c>
      <c r="BF12" s="36">
        <v>0.15443635330441899</v>
      </c>
      <c r="BG12" s="36">
        <v>0.433080275141138</v>
      </c>
      <c r="BH12" s="36">
        <v>0</v>
      </c>
      <c r="BI12" s="36">
        <v>0</v>
      </c>
      <c r="BJ12" s="36">
        <v>0.405465108108164</v>
      </c>
      <c r="BK12" s="36">
        <v>0.15443635330441899</v>
      </c>
      <c r="BL12" s="36">
        <v>0.69314718055994495</v>
      </c>
      <c r="BM12" s="36">
        <v>0</v>
      </c>
      <c r="BN12" s="36">
        <v>0</v>
      </c>
      <c r="BO12" s="36">
        <v>0.28743204119657201</v>
      </c>
      <c r="BP12" s="36">
        <v>0.55961578793542299</v>
      </c>
      <c r="BQ12" s="36">
        <v>0.81093021621632899</v>
      </c>
      <c r="BR12" s="36">
        <v>0.69314718055994495</v>
      </c>
      <c r="BS12" s="36">
        <v>0.69314718055994495</v>
      </c>
      <c r="BT12" s="36">
        <v>3.9318256327243302</v>
      </c>
      <c r="BU12" s="36">
        <v>3.7534257877209898</v>
      </c>
      <c r="BV12" s="36">
        <v>2.2335565065836098</v>
      </c>
      <c r="BW12" s="36">
        <v>3.12820685795336</v>
      </c>
      <c r="BX12" s="36">
        <v>0.65076146406350699</v>
      </c>
      <c r="BY12" s="36">
        <v>3.7499039959517</v>
      </c>
      <c r="BZ12" s="36">
        <v>2.7398072327154002</v>
      </c>
      <c r="CA12" s="36">
        <v>4.0856905574417697</v>
      </c>
      <c r="CB12" s="36">
        <v>2.2270775405153098</v>
      </c>
      <c r="CC12" s="36">
        <v>3.5422759800536401</v>
      </c>
      <c r="CD12" s="36">
        <v>2.6551607373735302</v>
      </c>
      <c r="CE12" s="36">
        <v>3.6291777017287301</v>
      </c>
      <c r="CF12" s="36">
        <v>2.1612309747092602</v>
      </c>
      <c r="CH12" t="str">
        <f t="shared" si="0"/>
        <v>/*26*/ 000  1 2.99071973173045 2.29051251175978 2.44927947214485 7.77317368048254 7.79811262882979 7.78572089653462 8.88405606174246 3.24671901375014E-02 1.94776556955477 1.77918068702119 1.98100146886658 1.90642654420618 1.04239460866988 0.221542269947236 0.291923066709035 0.229523158278249 0.247641022914597 0.206200830583898 0.431782416425538 0.916290731874155 0.392042087776024 0.916290731874155 3.06128590429343 0 3.08342258668098 0 3.08342258668098 0 4.35777236349787 1.12590314890401 4.38411195887322 4.35777236349787 0.289680075114454 0.380489122037987 0.285930539412975 0.319180739511152 0.288931291852213 0.542324290825362 0.85015092936961 0.78845736036427 0.85015092936961 3.40674861170048 0.300104592450338 2.60268968544438 3.25809653802148 3.65065824129374 3.25809653802148 3.40674861170048 0.605953968857568 2.87169849263054 0.117783035656383 0.22314355131421 0.117783035656383 0.154436353304419 0.433080275141138 0 0 0.405465108108164 0.154436353304419 0.693147180559945 0 0 0.287432041196572 0.559615787935423 0.810930216216329 0.693147180559945 0.693147180559945 3.93182563272433 3.75342578772099 2.23355650658361 3.12820685795336 0.650761464063507 3.7499039959517 2.7398072327154 4.08569055744177 2.22707754051531 3.54227598005364 2.65516073737353 3.62917770172873 2.16123097470926;</v>
      </c>
    </row>
    <row r="13" spans="1:86" x14ac:dyDescent="0.25">
      <c r="A13" s="2">
        <v>27</v>
      </c>
      <c r="B13" s="2">
        <v>0</v>
      </c>
      <c r="C13" s="2">
        <v>0</v>
      </c>
      <c r="D13" s="2">
        <v>0</v>
      </c>
      <c r="E13" s="36">
        <v>2.4765384001174802</v>
      </c>
      <c r="F13" s="36">
        <v>2.41591377830105</v>
      </c>
      <c r="G13" s="36">
        <v>2.6173958328340801</v>
      </c>
      <c r="H13" s="36">
        <v>7.4048875756161197</v>
      </c>
      <c r="I13" s="36">
        <v>7.54802896993501</v>
      </c>
      <c r="J13" s="36">
        <v>7.4792996377828302</v>
      </c>
      <c r="K13" s="36">
        <v>8.5773471142359803</v>
      </c>
      <c r="L13" s="36">
        <v>0</v>
      </c>
      <c r="M13" s="36">
        <v>1.5993875765806</v>
      </c>
      <c r="N13" s="36">
        <v>1.5884185452100299</v>
      </c>
      <c r="O13" s="36">
        <v>1.6654401025493899</v>
      </c>
      <c r="P13" s="36">
        <v>1.61839765380557</v>
      </c>
      <c r="Q13" s="36">
        <v>0.57154435880069598</v>
      </c>
      <c r="R13" s="36">
        <v>0.30674913516900698</v>
      </c>
      <c r="S13" s="36">
        <v>0.27155269052189701</v>
      </c>
      <c r="T13" s="36">
        <v>0.39474114474518901</v>
      </c>
      <c r="U13" s="36">
        <v>0.32930374714260002</v>
      </c>
      <c r="V13" s="36">
        <v>0.136277618292548</v>
      </c>
      <c r="W13" s="36">
        <v>0.482426149244293</v>
      </c>
      <c r="X13" s="36">
        <v>0.39204208777602401</v>
      </c>
      <c r="Y13" s="36">
        <v>0.54232429082536204</v>
      </c>
      <c r="Z13" s="36">
        <v>0.54232429082536204</v>
      </c>
      <c r="AA13" s="36">
        <v>2.4310662546425901</v>
      </c>
      <c r="AB13" s="36">
        <v>0</v>
      </c>
      <c r="AC13" s="36">
        <v>3.4067486117004799</v>
      </c>
      <c r="AD13" s="36">
        <v>1.64229224930505</v>
      </c>
      <c r="AE13" s="36">
        <v>3.5361069907765299</v>
      </c>
      <c r="AF13" s="36">
        <v>1.64229224930505</v>
      </c>
      <c r="AG13" s="36">
        <v>4.1510399058986502</v>
      </c>
      <c r="AH13" s="36">
        <v>0</v>
      </c>
      <c r="AI13" s="36">
        <v>4.2145986164699201</v>
      </c>
      <c r="AJ13" s="36">
        <v>4.1510399058986502</v>
      </c>
      <c r="AK13" s="36">
        <v>0.34854196070854299</v>
      </c>
      <c r="AL13" s="36">
        <v>0.453620149995211</v>
      </c>
      <c r="AM13" s="36">
        <v>0.195566783543975</v>
      </c>
      <c r="AN13" s="36">
        <v>0.34145977813225198</v>
      </c>
      <c r="AO13" s="36">
        <v>0.28141245943818499</v>
      </c>
      <c r="AP13" s="36">
        <v>0.76546784213957098</v>
      </c>
      <c r="AQ13" s="36">
        <v>0.90016134994427099</v>
      </c>
      <c r="AR13" s="36">
        <v>0.33647223662121301</v>
      </c>
      <c r="AS13" s="36">
        <v>0.90016134994427099</v>
      </c>
      <c r="AT13" s="36">
        <v>2.8716984926305398</v>
      </c>
      <c r="AU13" s="36">
        <v>0.538829820175588</v>
      </c>
      <c r="AV13" s="36">
        <v>2.6026896854443802</v>
      </c>
      <c r="AW13" s="36">
        <v>0</v>
      </c>
      <c r="AX13" s="36">
        <v>2.6026896854443802</v>
      </c>
      <c r="AY13" s="36">
        <v>2.2335565065836098</v>
      </c>
      <c r="AZ13" s="36">
        <v>4.1510399058986502</v>
      </c>
      <c r="BA13" s="36">
        <v>0.77334372255422201</v>
      </c>
      <c r="BB13" s="36">
        <v>3.5361069907765299</v>
      </c>
      <c r="BC13" s="36">
        <v>0.117783035656383</v>
      </c>
      <c r="BD13" s="36">
        <v>0.117783035656383</v>
      </c>
      <c r="BE13" s="36">
        <v>0.69314718055994495</v>
      </c>
      <c r="BF13" s="36">
        <v>0.34854196070854299</v>
      </c>
      <c r="BG13" s="36">
        <v>0.53532309536637801</v>
      </c>
      <c r="BH13" s="36">
        <v>0.69314718055994495</v>
      </c>
      <c r="BI13" s="36">
        <v>0.55961578793542299</v>
      </c>
      <c r="BJ13" s="36">
        <v>0.405465108108164</v>
      </c>
      <c r="BK13" s="36">
        <v>0.55961578793542299</v>
      </c>
      <c r="BL13" s="36">
        <v>0.405465108108164</v>
      </c>
      <c r="BM13" s="36">
        <v>0.81093021621632899</v>
      </c>
      <c r="BN13" s="36">
        <v>0</v>
      </c>
      <c r="BO13" s="36">
        <v>0.45932178089887499</v>
      </c>
      <c r="BP13" s="36">
        <v>0.55961578793542299</v>
      </c>
      <c r="BQ13" s="36">
        <v>0.22314355131420999</v>
      </c>
      <c r="BR13" s="36">
        <v>1.2527629684953701</v>
      </c>
      <c r="BS13" s="36">
        <v>0.77334372255422201</v>
      </c>
      <c r="BT13" s="36">
        <v>2.6026896854443802</v>
      </c>
      <c r="BU13" s="36">
        <v>4.0103649484268296</v>
      </c>
      <c r="BV13" s="36">
        <v>3.5361069907765299</v>
      </c>
      <c r="BW13" s="36">
        <v>3.7287009483006099</v>
      </c>
      <c r="BX13" s="36">
        <v>0.82942479885249298</v>
      </c>
      <c r="BY13" s="36">
        <v>3.5914044327301</v>
      </c>
      <c r="BZ13" s="36">
        <v>2.6965847229929301</v>
      </c>
      <c r="CA13" s="36">
        <v>4.1853272099339698</v>
      </c>
      <c r="CB13" s="36">
        <v>1.7869678932745101</v>
      </c>
      <c r="CC13" s="36">
        <v>3.25993335580758</v>
      </c>
      <c r="CD13" s="36">
        <v>3.2071824842637202</v>
      </c>
      <c r="CE13" s="36">
        <v>3.8354764099095702</v>
      </c>
      <c r="CF13" s="36">
        <v>0.45337473678347101</v>
      </c>
      <c r="CH13" t="str">
        <f t="shared" si="0"/>
        <v>/*27*/ 000  1 2.47653840011748 2.41591377830105 2.61739583283408 7.40488757561612 7.54802896993501 7.47929963778283 8.57734711423598 0 1.5993875765806 1.58841854521003 1.66544010254939 1.61839765380557 0.571544358800696 0.306749135169007 0.271552690521897 0.394741144745189 0.3293037471426 0.136277618292548 0.482426149244293 0.392042087776024 0.542324290825362 0.542324290825362 2.43106625464259 0 3.40674861170048 1.64229224930505 3.53610699077653 1.64229224930505 4.15103990589865 0 4.21459861646992 4.15103990589865 0.348541960708543 0.453620149995211 0.195566783543975 0.341459778132252 0.281412459438185 0.765467842139571 0.900161349944271 0.336472236621213 0.900161349944271 2.87169849263054 0.538829820175588 2.60268968544438 0 2.60268968544438 2.23355650658361 4.15103990589865 0.773343722554222 3.53610699077653 0.117783035656383 0.117783035656383 0.693147180559945 0.348541960708543 0.535323095366378 0.693147180559945 0.559615787935423 0.405465108108164 0.559615787935423 0.405465108108164 0.810930216216329 0 0.459321780898875 0.559615787935423 0.22314355131421 1.25276296849537 0.773343722554222 2.60268968544438 4.01036494842683 3.53610699077653 3.72870094830061 0.829424798852493 3.5914044327301 2.69658472299293 4.18532720993397 1.78696789327451 3.25993335580758 3.20718248426372 3.83547640990957 0.453374736783471;</v>
      </c>
    </row>
    <row r="14" spans="1:86" x14ac:dyDescent="0.25">
      <c r="A14" s="2">
        <v>29</v>
      </c>
      <c r="B14" s="2">
        <v>0</v>
      </c>
      <c r="C14" s="2">
        <v>0</v>
      </c>
      <c r="D14" s="2">
        <v>0</v>
      </c>
      <c r="E14" s="36">
        <v>2.7212954278522301</v>
      </c>
      <c r="F14" s="36">
        <v>2.34468626901268</v>
      </c>
      <c r="G14" s="36">
        <v>2.4824035195698801</v>
      </c>
      <c r="H14" s="36">
        <v>5.8141305318250698</v>
      </c>
      <c r="I14" s="36">
        <v>5.8111409929766999</v>
      </c>
      <c r="J14" s="36">
        <v>5.3844950627890897</v>
      </c>
      <c r="K14" s="36">
        <v>6.7855876450079302</v>
      </c>
      <c r="L14" s="36">
        <v>0</v>
      </c>
      <c r="M14" s="36">
        <v>0.94584953411569905</v>
      </c>
      <c r="N14" s="36">
        <v>1.01631704594128</v>
      </c>
      <c r="O14" s="36">
        <v>0.77149614697092195</v>
      </c>
      <c r="P14" s="36">
        <v>0.916290731874155</v>
      </c>
      <c r="Q14" s="36">
        <v>0.43631757159092899</v>
      </c>
      <c r="R14" s="36">
        <v>0.2390169004705</v>
      </c>
      <c r="S14" s="36">
        <v>0.14669437915080299</v>
      </c>
      <c r="T14" s="36">
        <v>0.12133228516752501</v>
      </c>
      <c r="U14" s="36">
        <v>0.167207918983906</v>
      </c>
      <c r="V14" s="36">
        <v>0.123102197133983</v>
      </c>
      <c r="W14" s="36">
        <v>0.51879379341516796</v>
      </c>
      <c r="X14" s="36">
        <v>0.24686007793152601</v>
      </c>
      <c r="Y14" s="36">
        <v>0.16551443847757299</v>
      </c>
      <c r="Z14" s="36">
        <v>0.51879379341516796</v>
      </c>
      <c r="AA14" s="36">
        <v>2.2222423403115101</v>
      </c>
      <c r="AB14" s="36">
        <v>0</v>
      </c>
      <c r="AC14" s="36">
        <v>3.00721608149528</v>
      </c>
      <c r="AD14" s="36">
        <v>0</v>
      </c>
      <c r="AE14" s="36">
        <v>3.00721608149528</v>
      </c>
      <c r="AF14" s="36">
        <v>2.1624030623941799</v>
      </c>
      <c r="AG14" s="36">
        <v>4.3051050927576497</v>
      </c>
      <c r="AH14" s="36">
        <v>0</v>
      </c>
      <c r="AI14" s="36">
        <v>4.40389819867511</v>
      </c>
      <c r="AJ14" s="36">
        <v>4.3051050927576497</v>
      </c>
      <c r="AK14" s="36">
        <v>9.0754363268464103E-2</v>
      </c>
      <c r="AL14" s="36">
        <v>9.4400675421484295E-2</v>
      </c>
      <c r="AM14" s="36">
        <v>0.17981842657583599</v>
      </c>
      <c r="AN14" s="36">
        <v>0.12133228516752501</v>
      </c>
      <c r="AO14" s="36">
        <v>0.114221144090023</v>
      </c>
      <c r="AP14" s="36">
        <v>0.24686007793152601</v>
      </c>
      <c r="AQ14" s="36">
        <v>0.27002713721305999</v>
      </c>
      <c r="AR14" s="36">
        <v>0.398776119957368</v>
      </c>
      <c r="AS14" s="36">
        <v>0.398776119957368</v>
      </c>
      <c r="AT14" s="36">
        <v>3.4067486117004799</v>
      </c>
      <c r="AU14" s="36">
        <v>0.28743204119657201</v>
      </c>
      <c r="AV14" s="36">
        <v>4.1510399058986502</v>
      </c>
      <c r="AW14" s="36">
        <v>3.9318256327243302</v>
      </c>
      <c r="AX14" s="36">
        <v>0</v>
      </c>
      <c r="AY14" s="36">
        <v>3.6506582412937401</v>
      </c>
      <c r="AZ14" s="36">
        <v>3.5361069907765299</v>
      </c>
      <c r="BA14" s="36">
        <v>1.0116009116784801</v>
      </c>
      <c r="BB14" s="36">
        <v>4.0831656436306698</v>
      </c>
      <c r="BC14" s="36">
        <v>0.31845373111853498</v>
      </c>
      <c r="BD14" s="36">
        <v>0.117783035656383</v>
      </c>
      <c r="BE14" s="36">
        <v>0</v>
      </c>
      <c r="BF14" s="36">
        <v>0.15443635330441899</v>
      </c>
      <c r="BG14" s="36">
        <v>0.188966099512623</v>
      </c>
      <c r="BH14" s="36">
        <v>0</v>
      </c>
      <c r="BI14" s="36">
        <v>0</v>
      </c>
      <c r="BJ14" s="36">
        <v>0</v>
      </c>
      <c r="BK14" s="36">
        <v>0</v>
      </c>
      <c r="BL14" s="36">
        <v>0.405465108108164</v>
      </c>
      <c r="BM14" s="36">
        <v>0</v>
      </c>
      <c r="BN14" s="36">
        <v>0.22314355131420999</v>
      </c>
      <c r="BO14" s="36">
        <v>0.22314355131420999</v>
      </c>
      <c r="BP14" s="36">
        <v>1.09861228866811</v>
      </c>
      <c r="BQ14" s="36">
        <v>0</v>
      </c>
      <c r="BR14" s="36">
        <v>0</v>
      </c>
      <c r="BS14" s="36">
        <v>0.51102560376865702</v>
      </c>
      <c r="BT14" s="36">
        <v>2.2335565065836098</v>
      </c>
      <c r="BU14" s="36">
        <v>4.3307333402863302</v>
      </c>
      <c r="BV14" s="36">
        <v>2.8716984926305398</v>
      </c>
      <c r="BW14" s="36">
        <v>3.6506582412937401</v>
      </c>
      <c r="BX14" s="36">
        <v>0.45932178089887499</v>
      </c>
      <c r="BY14" s="36">
        <v>3.9708012177969598</v>
      </c>
      <c r="BZ14" s="36">
        <v>2.67263025587095</v>
      </c>
      <c r="CA14" s="36">
        <v>3.8912691258349299</v>
      </c>
      <c r="CB14" s="36">
        <v>1.17226519822512</v>
      </c>
      <c r="CC14" s="36">
        <v>2.3935430244908602</v>
      </c>
      <c r="CD14" s="36">
        <v>3.4215826623854699</v>
      </c>
      <c r="CE14" s="36">
        <v>3.6690991195742702</v>
      </c>
      <c r="CF14" s="36">
        <v>3.0437638848568298</v>
      </c>
      <c r="CH14" t="str">
        <f t="shared" si="0"/>
        <v>/*29*/ 000  1 2.72129542785223 2.34468626901268 2.48240351956988 5.81413053182507 5.8111409929767 5.38449506278909 6.78558764500793 0 0.945849534115699 1.01631704594128 0.771496146970922 0.916290731874155 0.436317571590929 0.2390169004705 0.146694379150803 0.121332285167525 0.167207918983906 0.123102197133983 0.518793793415168 0.246860077931526 0.165514438477573 0.518793793415168 2.22224234031151 0 3.00721608149528 0 3.00721608149528 2.16240306239418 4.30510509275765 0 4.40389819867511 4.30510509275765 9.07543632684641E-02 9.44006754214843E-02 0.179818426575836 0.121332285167525 0.114221144090023 0.246860077931526 0.27002713721306 0.398776119957368 0.398776119957368 3.40674861170048 0.287432041196572 4.15103990589865 3.93182563272433 0 3.65065824129374 3.53610699077653 1.01160091167848 4.08316564363067 0.318453731118535 0.117783035656383 0 0.154436353304419 0.188966099512623 0 0 0 0 0.405465108108164 0 0.22314355131421 0.22314355131421 1.09861228866811 0 0 0.511025603768657 2.23355650658361 4.33073334028633 2.87169849263054 3.65065824129374 0.459321780898875 3.97080121779696 2.67263025587095 3.89126912583493 1.17226519822512 2.39354302449086 3.42158266238547 3.66909911957427 3.04376388485683;</v>
      </c>
    </row>
    <row r="15" spans="1:86" x14ac:dyDescent="0.25">
      <c r="A15" s="2">
        <v>32</v>
      </c>
      <c r="B15" s="2">
        <v>0</v>
      </c>
      <c r="C15" s="2">
        <v>0</v>
      </c>
      <c r="D15" s="2">
        <v>0</v>
      </c>
      <c r="E15" s="36">
        <v>2.79116510781272</v>
      </c>
      <c r="F15" s="36">
        <v>2.2321626286975</v>
      </c>
      <c r="G15" s="36">
        <v>2.4748563139345001</v>
      </c>
      <c r="H15" s="36">
        <v>5.9939614273065702</v>
      </c>
      <c r="I15" s="36">
        <v>5.9839362806871899</v>
      </c>
      <c r="J15" s="36">
        <v>6.0776422433490298</v>
      </c>
      <c r="K15" s="36">
        <v>7.1163941440934604</v>
      </c>
      <c r="L15" s="36">
        <v>0</v>
      </c>
      <c r="M15" s="36">
        <v>1.0560526742493099</v>
      </c>
      <c r="N15" s="36">
        <v>1.0342515295077199</v>
      </c>
      <c r="O15" s="36">
        <v>1.11119940417358</v>
      </c>
      <c r="P15" s="36">
        <v>1.0674655596712701</v>
      </c>
      <c r="Q15" s="36">
        <v>0.42461392694692501</v>
      </c>
      <c r="R15" s="36">
        <v>0.26082461828189801</v>
      </c>
      <c r="S15" s="36">
        <v>0.26620304077465701</v>
      </c>
      <c r="T15" s="36">
        <v>0.23744085601503401</v>
      </c>
      <c r="U15" s="36">
        <v>0.25464221837358098</v>
      </c>
      <c r="V15" s="36">
        <v>0.107957141505092</v>
      </c>
      <c r="W15" s="36">
        <v>0.405465108108164</v>
      </c>
      <c r="X15" s="36">
        <v>0.44468582126144601</v>
      </c>
      <c r="Y15" s="36">
        <v>0.322083499169113</v>
      </c>
      <c r="Z15" s="36">
        <v>0.44468582126144601</v>
      </c>
      <c r="AA15" s="36">
        <v>2.0255131996542799</v>
      </c>
      <c r="AB15" s="36">
        <v>0</v>
      </c>
      <c r="AC15" s="36">
        <v>2.8716984926305398</v>
      </c>
      <c r="AD15" s="36">
        <v>0</v>
      </c>
      <c r="AE15" s="36">
        <v>2.8716984926305398</v>
      </c>
      <c r="AF15" s="36">
        <v>3.0834225866809799</v>
      </c>
      <c r="AG15" s="36">
        <v>4.1510399058986502</v>
      </c>
      <c r="AH15" s="36">
        <v>0</v>
      </c>
      <c r="AI15" s="36">
        <v>4.43477324748243</v>
      </c>
      <c r="AJ15" s="36">
        <v>4.1510399058986502</v>
      </c>
      <c r="AK15" s="36">
        <v>0.34571510370239</v>
      </c>
      <c r="AL15" s="36">
        <v>0.38933572617828099</v>
      </c>
      <c r="AM15" s="36">
        <v>0.33647223662121301</v>
      </c>
      <c r="AN15" s="36">
        <v>0.35767444427181599</v>
      </c>
      <c r="AO15" s="36">
        <v>0.20375683751401999</v>
      </c>
      <c r="AP15" s="36">
        <v>0.68813463873640102</v>
      </c>
      <c r="AQ15" s="36">
        <v>0.667829372575655</v>
      </c>
      <c r="AR15" s="36">
        <v>0.60431596685333</v>
      </c>
      <c r="AS15" s="36">
        <v>0.68813463873640102</v>
      </c>
      <c r="AT15" s="36">
        <v>3.0834225866809799</v>
      </c>
      <c r="AU15" s="36">
        <v>0.58333231455273904</v>
      </c>
      <c r="AV15" s="36">
        <v>0</v>
      </c>
      <c r="AW15" s="36">
        <v>0</v>
      </c>
      <c r="AX15" s="36">
        <v>0</v>
      </c>
      <c r="AY15" s="36">
        <v>0</v>
      </c>
      <c r="AZ15" s="36">
        <v>4.3841119588732198</v>
      </c>
      <c r="BA15" s="36">
        <v>0.88252710172134596</v>
      </c>
      <c r="BB15" s="36">
        <v>3.7534257877209898</v>
      </c>
      <c r="BC15" s="36">
        <v>0.48550781578170099</v>
      </c>
      <c r="BD15" s="36">
        <v>0.117783035656383</v>
      </c>
      <c r="BE15" s="36">
        <v>0.31845373111853498</v>
      </c>
      <c r="BF15" s="36">
        <v>0.31845373111853498</v>
      </c>
      <c r="BG15" s="36">
        <v>0.25619140536041002</v>
      </c>
      <c r="BH15" s="36">
        <v>0.81093021621632899</v>
      </c>
      <c r="BI15" s="36">
        <v>0.69314718055994495</v>
      </c>
      <c r="BJ15" s="36">
        <v>1.09861228866811</v>
      </c>
      <c r="BK15" s="36">
        <v>0.88252710172134596</v>
      </c>
      <c r="BL15" s="36">
        <v>0.22314355131420999</v>
      </c>
      <c r="BM15" s="36">
        <v>0</v>
      </c>
      <c r="BN15" s="36">
        <v>0</v>
      </c>
      <c r="BO15" s="36">
        <v>7.9734968018853505E-2</v>
      </c>
      <c r="BP15" s="36">
        <v>0</v>
      </c>
      <c r="BQ15" s="36">
        <v>0</v>
      </c>
      <c r="BR15" s="36">
        <v>0.22314355131420999</v>
      </c>
      <c r="BS15" s="36">
        <v>7.9734968018853505E-2</v>
      </c>
      <c r="BT15" s="36">
        <v>1.64229224930505</v>
      </c>
      <c r="BU15" s="36">
        <v>3.84658808264264</v>
      </c>
      <c r="BV15" s="36">
        <v>3.9318256327243302</v>
      </c>
      <c r="BW15" s="36">
        <v>3.9440060512812001</v>
      </c>
      <c r="BX15" s="36">
        <v>0.25619140536041002</v>
      </c>
      <c r="BY15" s="36">
        <v>4.0831656436306698</v>
      </c>
      <c r="BZ15" s="36">
        <v>2.8269585293052999</v>
      </c>
      <c r="CA15" s="36">
        <v>3.7534257877209898</v>
      </c>
      <c r="CB15" s="36">
        <v>0.82200006846632701</v>
      </c>
      <c r="CC15" s="36">
        <v>0</v>
      </c>
      <c r="CD15" s="36">
        <v>2.31327456883007</v>
      </c>
      <c r="CE15" s="36">
        <v>0</v>
      </c>
      <c r="CF15" s="36">
        <v>4.5066472003859399</v>
      </c>
      <c r="CH15" t="str">
        <f t="shared" si="0"/>
        <v>/*32*/ 000  1 2.79116510781272 2.2321626286975 2.4748563139345 5.99396142730657 5.98393628068719 6.07764224334903 7.11639414409346 0 1.05605267424931 1.03425152950772 1.11119940417358 1.06746555967127 0.424613926946925 0.260824618281898 0.266203040774657 0.237440856015034 0.254642218373581 0.107957141505092 0.405465108108164 0.444685821261446 0.322083499169113 0.444685821261446 2.02551319965428 0 2.87169849263054 0 2.87169849263054 3.08342258668098 4.15103990589865 0 4.43477324748243 4.15103990589865 0.34571510370239 0.389335726178281 0.336472236621213 0.357674444271816 0.20375683751402 0.688134638736401 0.667829372575655 0.60431596685333 0.688134638736401 3.08342258668098 0.583332314552739 0 0 0 0 4.38411195887322 0.882527101721346 3.75342578772099 0.485507815781701 0.117783035656383 0.318453731118535 0.318453731118535 0.25619140536041 0.810930216216329 0.693147180559945 1.09861228866811 0.882527101721346 0.22314355131421 0 0 7.97349680188535E-02 0 0 0.22314355131421 7.97349680188535E-02 1.64229224930505 3.84658808264264 3.93182563272433 3.9440060512812 0.25619140536041 4.08316564363067 2.8269585293053 3.75342578772099 0.822000068466327 0 2.31327456883007 0 4.50664720038594;</v>
      </c>
    </row>
    <row r="16" spans="1:86" x14ac:dyDescent="0.25">
      <c r="A16" s="2">
        <v>34</v>
      </c>
      <c r="B16" s="2">
        <v>1</v>
      </c>
      <c r="C16" s="2">
        <v>1</v>
      </c>
      <c r="D16" s="2">
        <v>1</v>
      </c>
      <c r="E16" s="36">
        <v>2.7013612129514102</v>
      </c>
      <c r="F16" s="36">
        <v>2.2396452932201698</v>
      </c>
      <c r="G16" s="36">
        <v>2.5718485799218098</v>
      </c>
      <c r="H16" s="36">
        <v>6.9612960459101698</v>
      </c>
      <c r="I16" s="36">
        <v>6.5539334040258099</v>
      </c>
      <c r="J16" s="36">
        <v>7.25276241805319</v>
      </c>
      <c r="K16" s="36">
        <v>8.0605400465386392</v>
      </c>
      <c r="L16" s="36">
        <v>0.26466929814270801</v>
      </c>
      <c r="M16" s="36">
        <v>1.2564703732836899</v>
      </c>
      <c r="N16" s="36">
        <v>1.37371557891303</v>
      </c>
      <c r="O16" s="36">
        <v>1.6724127115954901</v>
      </c>
      <c r="P16" s="36">
        <v>1.44997313778307</v>
      </c>
      <c r="Q16" s="36">
        <v>0.890767774643069</v>
      </c>
      <c r="R16" s="36">
        <v>0.2390169004705</v>
      </c>
      <c r="S16" s="36">
        <v>0.16805358499625001</v>
      </c>
      <c r="T16" s="36">
        <v>0.37018329396352501</v>
      </c>
      <c r="U16" s="36">
        <v>0.26313319953036801</v>
      </c>
      <c r="V16" s="36">
        <v>0.167207918983906</v>
      </c>
      <c r="W16" s="36">
        <v>0.51879379341516796</v>
      </c>
      <c r="X16" s="36">
        <v>0.307484699747961</v>
      </c>
      <c r="Y16" s="36">
        <v>0.60976557162089395</v>
      </c>
      <c r="Z16" s="36">
        <v>0.60976557162089395</v>
      </c>
      <c r="AA16" s="36">
        <v>2.47274971951737</v>
      </c>
      <c r="AB16" s="36">
        <v>0</v>
      </c>
      <c r="AC16" s="36">
        <v>2.2587376932137699</v>
      </c>
      <c r="AD16" s="36">
        <v>1.9041948985578401</v>
      </c>
      <c r="AE16" s="36">
        <v>2.7269373768206902</v>
      </c>
      <c r="AF16" s="36">
        <v>1.3498896792260899</v>
      </c>
      <c r="AG16" s="36">
        <v>4.3585404815185598</v>
      </c>
      <c r="AH16" s="36">
        <v>1.9041948985578401</v>
      </c>
      <c r="AI16" s="36">
        <v>4.4626153471058396</v>
      </c>
      <c r="AJ16" s="36">
        <v>4.3585404815185598</v>
      </c>
      <c r="AK16" s="36">
        <v>0.113328685307003</v>
      </c>
      <c r="AL16" s="36">
        <v>0.12927233570413901</v>
      </c>
      <c r="AM16" s="36">
        <v>9.0754363268464103E-2</v>
      </c>
      <c r="AN16" s="36">
        <v>0.11064652008706399</v>
      </c>
      <c r="AO16" s="36">
        <v>0.12486898204586901</v>
      </c>
      <c r="AP16" s="36">
        <v>0.42526773540434398</v>
      </c>
      <c r="AQ16" s="36">
        <v>0.45107561936021701</v>
      </c>
      <c r="AR16" s="36">
        <v>0.24686007793152601</v>
      </c>
      <c r="AS16" s="36">
        <v>0.45107561936021701</v>
      </c>
      <c r="AT16" s="36">
        <v>2.8716984926305398</v>
      </c>
      <c r="AU16" s="36">
        <v>0.28743204119657201</v>
      </c>
      <c r="AV16" s="36">
        <v>3.9318256327243302</v>
      </c>
      <c r="AW16" s="36">
        <v>3.9318256327243302</v>
      </c>
      <c r="AX16" s="36">
        <v>3.9318256327243302</v>
      </c>
      <c r="AY16" s="36">
        <v>3.9318256327243302</v>
      </c>
      <c r="AZ16" s="36">
        <v>3.5361069907765299</v>
      </c>
      <c r="BA16" s="36">
        <v>0.73380916227883497</v>
      </c>
      <c r="BB16" s="36">
        <v>3.2580965380214799</v>
      </c>
      <c r="BC16" s="36">
        <v>0.22314355131420999</v>
      </c>
      <c r="BD16" s="36">
        <v>0.31845373111853498</v>
      </c>
      <c r="BE16" s="36">
        <v>0.117783035656383</v>
      </c>
      <c r="BF16" s="36">
        <v>0.22314355131420999</v>
      </c>
      <c r="BG16" s="36">
        <v>0.433080275141138</v>
      </c>
      <c r="BH16" s="36">
        <v>0</v>
      </c>
      <c r="BI16" s="36">
        <v>0.22314355131420999</v>
      </c>
      <c r="BJ16" s="36">
        <v>0.69314718055994495</v>
      </c>
      <c r="BK16" s="36">
        <v>0.34854196070854299</v>
      </c>
      <c r="BL16" s="36">
        <v>0.81093021621632899</v>
      </c>
      <c r="BM16" s="36">
        <v>0.55961578793542299</v>
      </c>
      <c r="BN16" s="36">
        <v>0.405465108108164</v>
      </c>
      <c r="BO16" s="36">
        <v>0.60595396885756803</v>
      </c>
      <c r="BP16" s="36">
        <v>0.405465108108164</v>
      </c>
      <c r="BQ16" s="36">
        <v>0.405465108108164</v>
      </c>
      <c r="BR16" s="36">
        <v>1.1786549963416499</v>
      </c>
      <c r="BS16" s="36">
        <v>0.73380916227883497</v>
      </c>
      <c r="BT16" s="36">
        <v>2.2335565065836098</v>
      </c>
      <c r="BU16" s="36">
        <v>4.1510399058986502</v>
      </c>
      <c r="BV16" s="36">
        <v>3.4067486117004799</v>
      </c>
      <c r="BW16" s="36">
        <v>3.7823014888573798</v>
      </c>
      <c r="BX16" s="36">
        <v>0.71392971974247399</v>
      </c>
      <c r="BY16" s="36">
        <v>3.3725578234529898</v>
      </c>
      <c r="BZ16" s="36">
        <v>2.65296023478425</v>
      </c>
      <c r="CA16" s="36">
        <v>4.2883613512853804</v>
      </c>
      <c r="CB16" s="36">
        <v>1.11671233045971</v>
      </c>
      <c r="CC16" s="36">
        <v>3.8181638273115301</v>
      </c>
      <c r="CD16" s="36">
        <v>1.7569127379073399</v>
      </c>
      <c r="CE16" s="36">
        <v>3.78760844063292</v>
      </c>
      <c r="CF16" s="36">
        <v>1.8686359473752501</v>
      </c>
      <c r="CH16" t="str">
        <f t="shared" si="0"/>
        <v>/*34*/ 111  1 2.70136121295141 2.23964529322017 2.57184857992181 6.96129604591017 6.55393340402581 7.25276241805319 8.06054004653864 0.264669298142708 1.25647037328369 1.37371557891303 1.67241271159549 1.44997313778307 0.890767774643069 0.2390169004705 0.16805358499625 0.370183293963525 0.263133199530368 0.167207918983906 0.518793793415168 0.307484699747961 0.609765571620894 0.609765571620894 2.47274971951737 0 2.25873769321377 1.90419489855784 2.72693737682069 1.34988967922609 4.35854048151856 1.90419489855784 4.46261534710584 4.35854048151856 0.113328685307003 0.129272335704139 9.07543632684641E-02 0.110646520087064 0.124868982045869 0.425267735404344 0.451075619360217 0.246860077931526 0.451075619360217 2.87169849263054 0.287432041196572 3.93182563272433 3.93182563272433 3.93182563272433 3.93182563272433 3.53610699077653 0.733809162278835 3.25809653802148 0.22314355131421 0.318453731118535 0.117783035656383 0.22314355131421 0.433080275141138 0 0.22314355131421 0.693147180559945 0.348541960708543 0.810930216216329 0.559615787935423 0.405465108108164 0.605953968857568 0.405465108108164 0.405465108108164 1.17865499634165 0.733809162278835 2.23355650658361 4.15103990589865 3.40674861170048 3.78230148885738 0.713929719742474 3.37255782345299 2.65296023478425 4.28836135128538 1.11671233045971 3.81816382731153 1.75691273790734 3.78760844063292 1.86863594737525;</v>
      </c>
    </row>
    <row r="17" spans="1:86" x14ac:dyDescent="0.25">
      <c r="A17" s="2">
        <v>35</v>
      </c>
      <c r="B17" s="2">
        <v>1</v>
      </c>
      <c r="C17" s="2">
        <v>1</v>
      </c>
      <c r="D17" s="2">
        <v>0</v>
      </c>
      <c r="E17" s="36">
        <v>2.58021682959233</v>
      </c>
      <c r="F17" s="36">
        <v>2.2460147415056499</v>
      </c>
      <c r="G17" s="36">
        <v>2.5809741185342299</v>
      </c>
      <c r="H17" s="36">
        <v>7.6615270813585203</v>
      </c>
      <c r="I17" s="36">
        <v>7.4759059693673997</v>
      </c>
      <c r="J17" s="36">
        <v>7.57609734062311</v>
      </c>
      <c r="K17" s="36">
        <v>8.6723148282835396</v>
      </c>
      <c r="L17" s="36">
        <v>1.01050940711314</v>
      </c>
      <c r="M17" s="36">
        <v>2.22872324439559</v>
      </c>
      <c r="N17" s="36">
        <v>1.5918847531865099</v>
      </c>
      <c r="O17" s="36">
        <v>1.88327457806383</v>
      </c>
      <c r="P17" s="36">
        <v>1.9351380520734001</v>
      </c>
      <c r="Q17" s="36">
        <v>1.30887321415131</v>
      </c>
      <c r="R17" s="36">
        <v>0.34783599527152798</v>
      </c>
      <c r="S17" s="36">
        <v>0.28743204119657201</v>
      </c>
      <c r="T17" s="36">
        <v>0.25386672395705001</v>
      </c>
      <c r="U17" s="36">
        <v>0.29787989742822701</v>
      </c>
      <c r="V17" s="36">
        <v>0.24059046491793001</v>
      </c>
      <c r="W17" s="36">
        <v>0.916290731874155</v>
      </c>
      <c r="X17" s="36">
        <v>0.57661336430399401</v>
      </c>
      <c r="Y17" s="36">
        <v>0.45742484703887498</v>
      </c>
      <c r="Z17" s="36">
        <v>0.916290731874155</v>
      </c>
      <c r="AA17" s="36">
        <v>2.8944191118534999</v>
      </c>
      <c r="AB17" s="36">
        <v>0</v>
      </c>
      <c r="AC17" s="36">
        <v>2.6834842471569602</v>
      </c>
      <c r="AD17" s="36">
        <v>0</v>
      </c>
      <c r="AE17" s="36">
        <v>2.6834842471569602</v>
      </c>
      <c r="AF17" s="36">
        <v>2.0564287673707602</v>
      </c>
      <c r="AG17" s="36">
        <v>4.3307333402863302</v>
      </c>
      <c r="AH17" s="36">
        <v>1.71289662080233</v>
      </c>
      <c r="AI17" s="36">
        <v>4.4700832984941696</v>
      </c>
      <c r="AJ17" s="36">
        <v>4.3307333402863302</v>
      </c>
      <c r="AK17" s="36">
        <v>0.108854404912082</v>
      </c>
      <c r="AL17" s="36">
        <v>0.27155269052189701</v>
      </c>
      <c r="AM17" s="36">
        <v>0.17395330712343801</v>
      </c>
      <c r="AN17" s="36">
        <v>0.17898265552844</v>
      </c>
      <c r="AO17" s="36">
        <v>0.17395330712343801</v>
      </c>
      <c r="AP17" s="36">
        <v>0.43825493093115497</v>
      </c>
      <c r="AQ17" s="36">
        <v>0.50077528791248904</v>
      </c>
      <c r="AR17" s="36">
        <v>0.405465108108164</v>
      </c>
      <c r="AS17" s="36">
        <v>0.50077528791248904</v>
      </c>
      <c r="AT17" s="36">
        <v>3.4067486117004799</v>
      </c>
      <c r="AU17" s="36">
        <v>0.31845373111853498</v>
      </c>
      <c r="AV17" s="36">
        <v>3.6506582412937401</v>
      </c>
      <c r="AW17" s="36">
        <v>3.6506582412937401</v>
      </c>
      <c r="AX17" s="36">
        <v>3.2580965380214799</v>
      </c>
      <c r="AY17" s="36">
        <v>3.5361069907765299</v>
      </c>
      <c r="AZ17" s="36">
        <v>3.6506582412937401</v>
      </c>
      <c r="BA17" s="36">
        <v>0.77334372255422201</v>
      </c>
      <c r="BB17" s="36">
        <v>3.2580965380214799</v>
      </c>
      <c r="BC17" s="36">
        <v>0</v>
      </c>
      <c r="BD17" s="36">
        <v>0.22314355131420999</v>
      </c>
      <c r="BE17" s="36">
        <v>0</v>
      </c>
      <c r="BF17" s="36">
        <v>7.9734968018853505E-2</v>
      </c>
      <c r="BG17" s="36">
        <v>0.405465108108164</v>
      </c>
      <c r="BH17" s="36">
        <v>0.55961578793542299</v>
      </c>
      <c r="BI17" s="36">
        <v>0</v>
      </c>
      <c r="BJ17" s="36">
        <v>0.22314355131420999</v>
      </c>
      <c r="BK17" s="36">
        <v>0.28743204119657201</v>
      </c>
      <c r="BL17" s="36">
        <v>0.405465108108164</v>
      </c>
      <c r="BM17" s="36">
        <v>0.55961578793542299</v>
      </c>
      <c r="BN17" s="36">
        <v>0.916290731874155</v>
      </c>
      <c r="BO17" s="36">
        <v>0.65076146406350699</v>
      </c>
      <c r="BP17" s="36">
        <v>0.69314718055994495</v>
      </c>
      <c r="BQ17" s="36">
        <v>0.69314718055994495</v>
      </c>
      <c r="BR17" s="36">
        <v>0.22314355131420999</v>
      </c>
      <c r="BS17" s="36">
        <v>0.55961578793542299</v>
      </c>
      <c r="BT17" s="36">
        <v>3.2580965380214799</v>
      </c>
      <c r="BU17" s="36">
        <v>4.2145986164699201</v>
      </c>
      <c r="BV17" s="36">
        <v>1.64229224930505</v>
      </c>
      <c r="BW17" s="36">
        <v>3.3717685709713399</v>
      </c>
      <c r="BX17" s="36">
        <v>0.48550781578170099</v>
      </c>
      <c r="BY17" s="36">
        <v>4.2896371853805304</v>
      </c>
      <c r="BZ17" s="36">
        <v>2.7083168322196398</v>
      </c>
      <c r="CA17" s="36">
        <v>3.3693626581421401</v>
      </c>
      <c r="CB17" s="36">
        <v>0</v>
      </c>
      <c r="CC17" s="36">
        <v>4.0411413515963703</v>
      </c>
      <c r="CD17" s="36">
        <v>0</v>
      </c>
      <c r="CE17" s="36">
        <v>3.7750155740319902</v>
      </c>
      <c r="CF17" s="36">
        <v>0.92051141942784398</v>
      </c>
      <c r="CH17" t="str">
        <f t="shared" si="0"/>
        <v>/*35*/ 110  1 2.58021682959233 2.24601474150565 2.58097411853423 7.66152708135852 7.4759059693674 7.57609734062311 8.67231482828354 1.01050940711314 2.22872324439559 1.59188475318651 1.88327457806383 1.9351380520734 1.30887321415131 0.347835995271528 0.287432041196572 0.25386672395705 0.297879897428227 0.24059046491793 0.916290731874155 0.576613364303994 0.457424847038875 0.916290731874155 2.8944191118535 0 2.68348424715696 0 2.68348424715696 2.05642876737076 4.33073334028633 1.71289662080233 4.47008329849417 4.33073334028633 0.108854404912082 0.271552690521897 0.173953307123438 0.17898265552844 0.173953307123438 0.438254930931155 0.500775287912489 0.405465108108164 0.500775287912489 3.40674861170048 0.318453731118535 3.65065824129374 3.65065824129374 3.25809653802148 3.53610699077653 3.65065824129374 0.773343722554222 3.25809653802148 0 0.22314355131421 0 7.97349680188535E-02 0.405465108108164 0.559615787935423 0 0.22314355131421 0.287432041196572 0.405465108108164 0.559615787935423 0.916290731874155 0.650761464063507 0.693147180559945 0.693147180559945 0.22314355131421 0.559615787935423 3.25809653802148 4.21459861646992 1.64229224930505 3.37176857097134 0.485507815781701 4.28963718538053 2.70831683221964 3.36936265814214 0 4.04114135159637 0 3.77501557403199 0.920511419427844;</v>
      </c>
    </row>
    <row r="18" spans="1:86" x14ac:dyDescent="0.25">
      <c r="A18" s="2">
        <v>36</v>
      </c>
      <c r="B18" s="2">
        <v>0</v>
      </c>
      <c r="C18" s="2">
        <v>0</v>
      </c>
      <c r="D18" s="2">
        <v>0</v>
      </c>
      <c r="E18" s="36">
        <v>3.0301337002713198</v>
      </c>
      <c r="F18" s="36">
        <v>2.2741856184723499</v>
      </c>
      <c r="G18" s="36">
        <v>2.5384474167160298</v>
      </c>
      <c r="H18" s="36">
        <v>5.8888779583328796</v>
      </c>
      <c r="I18" s="36">
        <v>5.6383546693337498</v>
      </c>
      <c r="J18" s="36">
        <v>5.2522734280466299</v>
      </c>
      <c r="K18" s="36">
        <v>6.7226297948554503</v>
      </c>
      <c r="L18" s="36">
        <v>0</v>
      </c>
      <c r="M18" s="36">
        <v>1.2053718252396399</v>
      </c>
      <c r="N18" s="36">
        <v>1.3578948865981899</v>
      </c>
      <c r="O18" s="36">
        <v>1.06471073699243</v>
      </c>
      <c r="P18" s="36">
        <v>1.21639532432449</v>
      </c>
      <c r="Q18" s="36">
        <v>0.64238006350629195</v>
      </c>
      <c r="R18" s="36">
        <v>0.21913552991667101</v>
      </c>
      <c r="S18" s="36">
        <v>0.242946178610389</v>
      </c>
      <c r="T18" s="36">
        <v>0.20620083058389799</v>
      </c>
      <c r="U18" s="36">
        <v>0.22394323148477399</v>
      </c>
      <c r="V18" s="36">
        <v>0.12663265093336601</v>
      </c>
      <c r="W18" s="36">
        <v>0.405465108108164</v>
      </c>
      <c r="X18" s="36">
        <v>0.482426149244293</v>
      </c>
      <c r="Y18" s="36">
        <v>0.39204208777602401</v>
      </c>
      <c r="Z18" s="36">
        <v>0.482426149244293</v>
      </c>
      <c r="AA18" s="36">
        <v>2.3492778209860301</v>
      </c>
      <c r="AB18" s="36">
        <v>0</v>
      </c>
      <c r="AC18" s="36">
        <v>2.5467070506934499</v>
      </c>
      <c r="AD18" s="36">
        <v>3.8724294227676701</v>
      </c>
      <c r="AE18" s="36">
        <v>4.0914069182347603</v>
      </c>
      <c r="AF18" s="36">
        <v>3.1998560910309499</v>
      </c>
      <c r="AG18" s="36">
        <v>2.92568527524196</v>
      </c>
      <c r="AH18" s="36">
        <v>0</v>
      </c>
      <c r="AI18" s="36">
        <v>3.7418513388800401</v>
      </c>
      <c r="AJ18" s="36">
        <v>3.8724294227676701</v>
      </c>
      <c r="AK18" s="36">
        <v>0.27990188513281899</v>
      </c>
      <c r="AL18" s="36">
        <v>0.23980399220731699</v>
      </c>
      <c r="AM18" s="36">
        <v>0.286681572118197</v>
      </c>
      <c r="AN18" s="36">
        <v>0.27155269052189701</v>
      </c>
      <c r="AO18" s="36">
        <v>0.17898265552844</v>
      </c>
      <c r="AP18" s="36">
        <v>0.494696241836107</v>
      </c>
      <c r="AQ18" s="36">
        <v>0.60431596685333</v>
      </c>
      <c r="AR18" s="36">
        <v>0.494696241836107</v>
      </c>
      <c r="AS18" s="36">
        <v>0.60431596685333</v>
      </c>
      <c r="AT18" s="36">
        <v>2.6026896854443802</v>
      </c>
      <c r="AU18" s="36">
        <v>0.58333231455273904</v>
      </c>
      <c r="AV18" s="36">
        <v>0</v>
      </c>
      <c r="AW18" s="36">
        <v>3.2580965380214799</v>
      </c>
      <c r="AX18" s="36">
        <v>0</v>
      </c>
      <c r="AY18" s="36">
        <v>2.2335565065836098</v>
      </c>
      <c r="AZ18" s="36">
        <v>4.3841119588732198</v>
      </c>
      <c r="BA18" s="36">
        <v>0.405465108108164</v>
      </c>
      <c r="BB18" s="36">
        <v>3.2580965380214799</v>
      </c>
      <c r="BC18" s="36">
        <v>0</v>
      </c>
      <c r="BD18" s="36">
        <v>0</v>
      </c>
      <c r="BE18" s="36">
        <v>0</v>
      </c>
      <c r="BF18" s="36">
        <v>0</v>
      </c>
      <c r="BG18" s="36">
        <v>0.51102560376865702</v>
      </c>
      <c r="BH18" s="36">
        <v>0.22314355131420999</v>
      </c>
      <c r="BI18" s="36">
        <v>0.405465108108164</v>
      </c>
      <c r="BJ18" s="36">
        <v>0.69314718055994495</v>
      </c>
      <c r="BK18" s="36">
        <v>0.45932178089887499</v>
      </c>
      <c r="BL18" s="36">
        <v>0.22314355131420999</v>
      </c>
      <c r="BM18" s="36">
        <v>0</v>
      </c>
      <c r="BN18" s="36">
        <v>0</v>
      </c>
      <c r="BO18" s="36">
        <v>7.9734968018853505E-2</v>
      </c>
      <c r="BP18" s="36">
        <v>0</v>
      </c>
      <c r="BQ18" s="36">
        <v>0.405465108108164</v>
      </c>
      <c r="BR18" s="36">
        <v>0</v>
      </c>
      <c r="BS18" s="36">
        <v>0.15443635330441899</v>
      </c>
      <c r="BT18" s="36">
        <v>1.64229224930505</v>
      </c>
      <c r="BU18" s="36">
        <v>4.0831656436306698</v>
      </c>
      <c r="BV18" s="36">
        <v>3.6506582412937401</v>
      </c>
      <c r="BW18" s="36">
        <v>3.8685934475008099</v>
      </c>
      <c r="BX18" s="36">
        <v>0.65076146406350699</v>
      </c>
      <c r="BY18" s="36">
        <v>4.5010755354515002</v>
      </c>
      <c r="BZ18" s="36">
        <v>2.4292177439274099</v>
      </c>
      <c r="CA18" s="36">
        <v>2.4753612369444702</v>
      </c>
      <c r="CB18" s="36">
        <v>2.1554274486150802</v>
      </c>
      <c r="CC18" s="36">
        <v>1.21444410430261</v>
      </c>
      <c r="CD18" s="36">
        <v>1.6506808710085501</v>
      </c>
      <c r="CE18" s="36">
        <v>3.5687911317310301</v>
      </c>
      <c r="CF18" s="36">
        <v>3.9214520957065702</v>
      </c>
      <c r="CH18" t="str">
        <f t="shared" si="0"/>
        <v>/*36*/ 000  1 3.03013370027132 2.27418561847235 2.53844741671603 5.88887795833288 5.63835466933375 5.25227342804663 6.72262979485545 0 1.20537182523964 1.35789488659819 1.06471073699243 1.21639532432449 0.642380063506292 0.219135529916671 0.242946178610389 0.206200830583898 0.223943231484774 0.126632650933366 0.405465108108164 0.482426149244293 0.392042087776024 0.482426149244293 2.34927782098603 0 2.54670705069345 3.87242942276767 4.09140691823476 3.19985609103095 2.92568527524196 0 3.74185133888004 3.87242942276767 0.279901885132819 0.239803992207317 0.286681572118197 0.271552690521897 0.17898265552844 0.494696241836107 0.60431596685333 0.494696241836107 0.60431596685333 2.60268968544438 0.583332314552739 0 3.25809653802148 0 2.23355650658361 4.38411195887322 0.405465108108164 3.25809653802148 0 0 0 0 0.511025603768657 0.22314355131421 0.405465108108164 0.693147180559945 0.459321780898875 0.22314355131421 0 0 7.97349680188535E-02 0 0.405465108108164 0 0.154436353304419 1.64229224930505 4.08316564363067 3.65065824129374 3.86859344750081 0.650761464063507 4.5010755354515 2.42921774392741 2.47536123694447 2.15542744861508 1.21444410430261 1.65068087100855 3.56879113173103 3.92145209570657;</v>
      </c>
    </row>
    <row r="19" spans="1:86" x14ac:dyDescent="0.25">
      <c r="A19" s="2">
        <v>38</v>
      </c>
      <c r="B19" s="2">
        <v>0</v>
      </c>
      <c r="C19" s="2">
        <v>0</v>
      </c>
      <c r="D19" s="2">
        <v>0</v>
      </c>
      <c r="E19" s="36">
        <v>2.5494451709255701</v>
      </c>
      <c r="F19" s="36">
        <v>2.2565411544926399</v>
      </c>
      <c r="G19" s="36">
        <v>2.4423470353691998</v>
      </c>
      <c r="H19" s="36">
        <v>6.7934661325800096</v>
      </c>
      <c r="I19" s="36">
        <v>6.1569789855855603</v>
      </c>
      <c r="J19" s="36">
        <v>6.2653012127377101</v>
      </c>
      <c r="K19" s="36">
        <v>7.5432733467054502</v>
      </c>
      <c r="L19" s="36">
        <v>0.76313955237997999</v>
      </c>
      <c r="M19" s="36">
        <v>1.29828248379668</v>
      </c>
      <c r="N19" s="36">
        <v>1.2014696741078199</v>
      </c>
      <c r="O19" s="36">
        <v>1.1069110914828</v>
      </c>
      <c r="P19" s="36">
        <v>1.2053718252396399</v>
      </c>
      <c r="Q19" s="36">
        <v>0.42330502623649502</v>
      </c>
      <c r="R19" s="36">
        <v>0.30232434918865098</v>
      </c>
      <c r="S19" s="36">
        <v>0.38662202030668402</v>
      </c>
      <c r="T19" s="36">
        <v>0.33002291294130598</v>
      </c>
      <c r="U19" s="36">
        <v>0.34003730278570898</v>
      </c>
      <c r="V19" s="36">
        <v>0.143234168085908</v>
      </c>
      <c r="W19" s="36">
        <v>0.44468582126144601</v>
      </c>
      <c r="X19" s="36">
        <v>0.53062825106217004</v>
      </c>
      <c r="Y19" s="36">
        <v>0.45742484703887498</v>
      </c>
      <c r="Z19" s="36">
        <v>0.53062825106217004</v>
      </c>
      <c r="AA19" s="36">
        <v>1.9130917543955801</v>
      </c>
      <c r="AB19" s="36">
        <v>0</v>
      </c>
      <c r="AC19" s="36">
        <v>3.7896971668498498</v>
      </c>
      <c r="AD19" s="36">
        <v>0</v>
      </c>
      <c r="AE19" s="36">
        <v>3.7896971668498498</v>
      </c>
      <c r="AF19" s="36">
        <v>2.99167405009314</v>
      </c>
      <c r="AG19" s="36">
        <v>3.6593991487914299</v>
      </c>
      <c r="AH19" s="36">
        <v>0</v>
      </c>
      <c r="AI19" s="36">
        <v>4.0562445541775203</v>
      </c>
      <c r="AJ19" s="36">
        <v>3.7896971668498498</v>
      </c>
      <c r="AK19" s="36">
        <v>0.20294084399668999</v>
      </c>
      <c r="AL19" s="36">
        <v>0.157003748809665</v>
      </c>
      <c r="AM19" s="36">
        <v>0.25851069515150099</v>
      </c>
      <c r="AN19" s="36">
        <v>0.213497174262404</v>
      </c>
      <c r="AO19" s="36">
        <v>0.118671529717499</v>
      </c>
      <c r="AP19" s="36">
        <v>0.30010459245033799</v>
      </c>
      <c r="AQ19" s="36">
        <v>0.25464221837358098</v>
      </c>
      <c r="AR19" s="36">
        <v>0.43825493093115497</v>
      </c>
      <c r="AS19" s="36">
        <v>0.43825493093115497</v>
      </c>
      <c r="AT19" s="36">
        <v>2.2335565065836098</v>
      </c>
      <c r="AU19" s="36">
        <v>0.60595396885756803</v>
      </c>
      <c r="AV19" s="36">
        <v>0</v>
      </c>
      <c r="AW19" s="36">
        <v>3.2580965380214799</v>
      </c>
      <c r="AX19" s="36">
        <v>0</v>
      </c>
      <c r="AY19" s="36">
        <v>2.2335565065836098</v>
      </c>
      <c r="AZ19" s="36">
        <v>4.43477324748243</v>
      </c>
      <c r="BA19" s="36">
        <v>0.28743204119657201</v>
      </c>
      <c r="BB19" s="36">
        <v>2.8716984926305398</v>
      </c>
      <c r="BC19" s="36">
        <v>0.117783035656383</v>
      </c>
      <c r="BD19" s="36">
        <v>0.117783035656383</v>
      </c>
      <c r="BE19" s="36">
        <v>0</v>
      </c>
      <c r="BF19" s="36">
        <v>7.9734968018853505E-2</v>
      </c>
      <c r="BG19" s="36">
        <v>0.34854196070854299</v>
      </c>
      <c r="BH19" s="36">
        <v>1.2527629684953701</v>
      </c>
      <c r="BI19" s="36">
        <v>1.3217558399823199</v>
      </c>
      <c r="BJ19" s="36">
        <v>0.69314718055994495</v>
      </c>
      <c r="BK19" s="36">
        <v>1.1259031489040101</v>
      </c>
      <c r="BL19" s="36">
        <v>0</v>
      </c>
      <c r="BM19" s="36">
        <v>0</v>
      </c>
      <c r="BN19" s="36">
        <v>0</v>
      </c>
      <c r="BO19" s="36">
        <v>0</v>
      </c>
      <c r="BP19" s="36">
        <v>0.55961578793542299</v>
      </c>
      <c r="BQ19" s="36">
        <v>1.09861228866811</v>
      </c>
      <c r="BR19" s="36">
        <v>0.55961578793542299</v>
      </c>
      <c r="BS19" s="36">
        <v>0.77334372255422201</v>
      </c>
      <c r="BT19" s="36">
        <v>0</v>
      </c>
      <c r="BU19" s="36">
        <v>4.3307333402863302</v>
      </c>
      <c r="BV19" s="36">
        <v>3.2580965380214799</v>
      </c>
      <c r="BW19" s="36">
        <v>3.8642393345743402</v>
      </c>
      <c r="BX19" s="36">
        <v>0.60595396885756803</v>
      </c>
      <c r="BY19" s="36">
        <v>4.56467105600814</v>
      </c>
      <c r="BZ19" s="36">
        <v>1.3457327493637701</v>
      </c>
      <c r="CA19" s="36">
        <v>1.7865794091865099</v>
      </c>
      <c r="CB19" s="36">
        <v>2.6321208858738201</v>
      </c>
      <c r="CC19" s="36">
        <v>0</v>
      </c>
      <c r="CD19" s="36">
        <v>3.4647273299861099</v>
      </c>
      <c r="CE19" s="36">
        <v>3.7135720667043102</v>
      </c>
      <c r="CF19" s="36">
        <v>2.8407748168697902</v>
      </c>
      <c r="CH19" t="str">
        <f t="shared" si="0"/>
        <v>/*38*/ 000  1 2.54944517092557 2.25654115449264 2.4423470353692 6.79346613258001 6.15697898558556 6.26530121273771 7.54327334670545 0.76313955237998 1.29828248379668 1.20146967410782 1.1069110914828 1.20537182523964 0.423305026236495 0.302324349188651 0.386622020306684 0.330022912941306 0.340037302785709 0.143234168085908 0.444685821261446 0.53062825106217 0.457424847038875 0.53062825106217 1.91309175439558 0 3.78969716684985 0 3.78969716684985 2.99167405009314 3.65939914879143 0 4.05624455417752 3.78969716684985 0.20294084399669 0.157003748809665 0.258510695151501 0.213497174262404 0.118671529717499 0.300104592450338 0.254642218373581 0.438254930931155 0.438254930931155 2.23355650658361 0.605953968857568 0 3.25809653802148 0 2.23355650658361 4.43477324748243 0.287432041196572 2.87169849263054 0.117783035656383 0.117783035656383 0 7.97349680188535E-02 0.348541960708543 1.25276296849537 1.32175583998232 0.693147180559945 1.12590314890401 0 0 0 0 0.559615787935423 1.09861228866811 0.559615787935423 0.773343722554222 0 4.33073334028633 3.25809653802148 3.86423933457434 0.605953968857568 4.56467105600814 1.34573274936377 1.78657940918651 2.63212088587382 0 3.46472732998611 3.71357206670431 2.84077481686979;</v>
      </c>
    </row>
    <row r="20" spans="1:86" x14ac:dyDescent="0.25">
      <c r="A20" s="2">
        <v>41</v>
      </c>
      <c r="B20" s="2">
        <v>0</v>
      </c>
      <c r="C20" s="2">
        <v>0</v>
      </c>
      <c r="D20" s="2">
        <v>0</v>
      </c>
      <c r="E20" s="36">
        <v>3.1223649244873601</v>
      </c>
      <c r="F20" s="36">
        <v>2.2945529212967801</v>
      </c>
      <c r="G20" s="36">
        <v>2.77570884957602</v>
      </c>
      <c r="H20" s="36">
        <v>5.5645204073226902</v>
      </c>
      <c r="I20" s="36">
        <v>5.34233425196481</v>
      </c>
      <c r="J20" s="36">
        <v>5.9712618397904604</v>
      </c>
      <c r="K20" s="36">
        <v>6.7569323892475497</v>
      </c>
      <c r="L20" s="36">
        <v>0</v>
      </c>
      <c r="M20" s="36">
        <v>1.3480731482996899</v>
      </c>
      <c r="N20" s="36">
        <v>1.1394342831883599</v>
      </c>
      <c r="O20" s="36">
        <v>1.4322232930082901</v>
      </c>
      <c r="P20" s="36">
        <v>1.3139924493644899</v>
      </c>
      <c r="Q20" s="36">
        <v>0.65648319618835405</v>
      </c>
      <c r="R20" s="36">
        <v>0.24059046491793001</v>
      </c>
      <c r="S20" s="36">
        <v>0.131028262406404</v>
      </c>
      <c r="T20" s="36">
        <v>0.29266961396281999</v>
      </c>
      <c r="U20" s="36">
        <v>0.22633844221072899</v>
      </c>
      <c r="V20" s="36">
        <v>0.135404637006203</v>
      </c>
      <c r="W20" s="36">
        <v>0.33647223662121301</v>
      </c>
      <c r="X20" s="36">
        <v>0.21511137961694499</v>
      </c>
      <c r="Y20" s="36">
        <v>0.56531380905006001</v>
      </c>
      <c r="Z20" s="36">
        <v>0.56531380905006001</v>
      </c>
      <c r="AA20" s="36">
        <v>2.4616380228486499</v>
      </c>
      <c r="AB20" s="36">
        <v>0</v>
      </c>
      <c r="AC20" s="36">
        <v>4.1108738641733096</v>
      </c>
      <c r="AD20" s="36">
        <v>0</v>
      </c>
      <c r="AE20" s="36">
        <v>4.1108738641733096</v>
      </c>
      <c r="AF20" s="36">
        <v>0</v>
      </c>
      <c r="AG20" s="36">
        <v>3.7135720667043102</v>
      </c>
      <c r="AH20" s="36">
        <v>0</v>
      </c>
      <c r="AI20" s="36">
        <v>3.7135720667043102</v>
      </c>
      <c r="AJ20" s="36">
        <v>4.1108738641733096</v>
      </c>
      <c r="AK20" s="36">
        <v>7.0458463648561398E-2</v>
      </c>
      <c r="AL20" s="36">
        <v>0.188137942115395</v>
      </c>
      <c r="AM20" s="36">
        <v>7.5107472486805493E-2</v>
      </c>
      <c r="AN20" s="36">
        <v>0.10345870836823</v>
      </c>
      <c r="AO20" s="36">
        <v>0.14669437915080299</v>
      </c>
      <c r="AP20" s="36">
        <v>0.262364264467491</v>
      </c>
      <c r="AQ20" s="36">
        <v>0.44468582126144601</v>
      </c>
      <c r="AR20" s="36">
        <v>0.45107561936021701</v>
      </c>
      <c r="AS20" s="36">
        <v>0.45107561936021701</v>
      </c>
      <c r="AT20" s="36">
        <v>2.8716984926305398</v>
      </c>
      <c r="AU20" s="36">
        <v>0.25619140536041002</v>
      </c>
      <c r="AV20" s="36">
        <v>3.9318256327243302</v>
      </c>
      <c r="AW20" s="36">
        <v>3.2580965380214799</v>
      </c>
      <c r="AX20" s="36">
        <v>4.4830025520138799</v>
      </c>
      <c r="AY20" s="36">
        <v>4.0103649484268296</v>
      </c>
      <c r="AZ20" s="36">
        <v>3.6506582412937401</v>
      </c>
      <c r="BA20" s="36">
        <v>0.55961578793542299</v>
      </c>
      <c r="BB20" s="36">
        <v>3.2580965380214799</v>
      </c>
      <c r="BC20" s="36">
        <v>0</v>
      </c>
      <c r="BD20" s="36">
        <v>0</v>
      </c>
      <c r="BE20" s="36">
        <v>0</v>
      </c>
      <c r="BF20" s="36">
        <v>0</v>
      </c>
      <c r="BG20" s="36">
        <v>0.117783035656383</v>
      </c>
      <c r="BH20" s="36">
        <v>0</v>
      </c>
      <c r="BI20" s="36">
        <v>0</v>
      </c>
      <c r="BJ20" s="36">
        <v>0</v>
      </c>
      <c r="BK20" s="36">
        <v>0</v>
      </c>
      <c r="BL20" s="36">
        <v>0</v>
      </c>
      <c r="BM20" s="36">
        <v>0</v>
      </c>
      <c r="BN20" s="36">
        <v>0</v>
      </c>
      <c r="BO20" s="36">
        <v>0</v>
      </c>
      <c r="BP20" s="36">
        <v>0.55961578793542299</v>
      </c>
      <c r="BQ20" s="36">
        <v>0.405465108108164</v>
      </c>
      <c r="BR20" s="36">
        <v>1.09861228866811</v>
      </c>
      <c r="BS20" s="36">
        <v>0.73380916227883497</v>
      </c>
      <c r="BT20" s="36">
        <v>2.2335565065836098</v>
      </c>
      <c r="BU20" s="36">
        <v>4.3307333402863302</v>
      </c>
      <c r="BV20" s="36">
        <v>2.8716984926305398</v>
      </c>
      <c r="BW20" s="36">
        <v>3.6878289024777602</v>
      </c>
      <c r="BX20" s="36">
        <v>0.99621035505002897</v>
      </c>
      <c r="BY20" s="36">
        <v>4.0691634970248396</v>
      </c>
      <c r="BZ20" s="36">
        <v>2.7493200953004302</v>
      </c>
      <c r="CA20" s="36">
        <v>3.7725770131354999</v>
      </c>
      <c r="CB20" s="36">
        <v>1.37588534529185</v>
      </c>
      <c r="CC20" s="36">
        <v>3.61347341645298</v>
      </c>
      <c r="CD20" s="36">
        <v>3.3633091135828699</v>
      </c>
      <c r="CE20" s="36">
        <v>3.2916642453106602</v>
      </c>
      <c r="CF20" s="36">
        <v>2.1010264294382299</v>
      </c>
      <c r="CH20" t="str">
        <f t="shared" si="0"/>
        <v>/*41*/ 000  1 3.12236492448736 2.29455292129678 2.77570884957602 5.56452040732269 5.34233425196481 5.97126183979046 6.75693238924755 0 1.34807314829969 1.13943428318836 1.43222329300829 1.31399244936449 0.656483196188354 0.24059046491793 0.131028262406404 0.29266961396282 0.226338442210729 0.135404637006203 0.336472236621213 0.215111379616945 0.56531380905006 0.56531380905006 2.46163802284865 0 4.11087386417331 0 4.11087386417331 0 3.71357206670431 0 3.71357206670431 4.11087386417331 7.04584636485614E-02 0.188137942115395 7.51074724868055E-02 0.10345870836823 0.146694379150803 0.262364264467491 0.444685821261446 0.451075619360217 0.451075619360217 2.87169849263054 0.25619140536041 3.93182563272433 3.25809653802148 4.48300255201388 4.01036494842683 3.65065824129374 0.559615787935423 3.25809653802148 0 0 0 0 0.117783035656383 0 0 0 0 0 0 0 0 0.559615787935423 0.405465108108164 1.09861228866811 0.733809162278835 2.23355650658361 4.33073334028633 2.87169849263054 3.68782890247776 0.996210355050029 4.06916349702484 2.74932009530043 3.7725770131355 1.37588534529185 3.61347341645298 3.36330911358287 3.29166424531066 2.10102642943823;</v>
      </c>
    </row>
    <row r="21" spans="1:86" x14ac:dyDescent="0.25">
      <c r="A21" s="2">
        <v>48</v>
      </c>
      <c r="B21" s="2">
        <v>0</v>
      </c>
      <c r="C21" s="2">
        <v>0</v>
      </c>
      <c r="D21" s="2">
        <v>0</v>
      </c>
      <c r="E21" s="36">
        <v>2.7725887222397798</v>
      </c>
      <c r="F21" s="36">
        <v>2.2596775919827699</v>
      </c>
      <c r="G21" s="36">
        <v>2.7133693625798099</v>
      </c>
      <c r="H21" s="36">
        <v>6.5496507422338102</v>
      </c>
      <c r="I21" s="36">
        <v>6.4035741979348204</v>
      </c>
      <c r="J21" s="36">
        <v>6.4907235345025098</v>
      </c>
      <c r="K21" s="36">
        <v>7.5806997522245601</v>
      </c>
      <c r="L21" s="36">
        <v>0</v>
      </c>
      <c r="M21" s="36">
        <v>1.6219591929877699</v>
      </c>
      <c r="N21" s="36">
        <v>1.50696212084486</v>
      </c>
      <c r="O21" s="36">
        <v>1.3384162808754301</v>
      </c>
      <c r="P21" s="36">
        <v>1.49582118564713</v>
      </c>
      <c r="Q21" s="36">
        <v>0.71783979315031698</v>
      </c>
      <c r="R21" s="36">
        <v>0.16551443847757299</v>
      </c>
      <c r="S21" s="36">
        <v>0.231111720963387</v>
      </c>
      <c r="T21" s="36">
        <v>0.19803085049913499</v>
      </c>
      <c r="U21" s="36">
        <v>0.198850858745165</v>
      </c>
      <c r="V21" s="36">
        <v>0.12486898204586901</v>
      </c>
      <c r="W21" s="36">
        <v>0.36464311358790902</v>
      </c>
      <c r="X21" s="36">
        <v>0.431782416425538</v>
      </c>
      <c r="Y21" s="36">
        <v>0.50681760236845197</v>
      </c>
      <c r="Z21" s="36">
        <v>0.50681760236845197</v>
      </c>
      <c r="AA21" s="36">
        <v>2.8158277932756399</v>
      </c>
      <c r="AB21" s="36">
        <v>0</v>
      </c>
      <c r="AC21" s="36">
        <v>2.4941141305389101</v>
      </c>
      <c r="AD21" s="36">
        <v>0</v>
      </c>
      <c r="AE21" s="36">
        <v>2.4941141305389101</v>
      </c>
      <c r="AF21" s="36">
        <v>2.0369254045767602</v>
      </c>
      <c r="AG21" s="36">
        <v>4.4215117359504701</v>
      </c>
      <c r="AH21" s="36">
        <v>0</v>
      </c>
      <c r="AI21" s="36">
        <v>4.4985755758154502</v>
      </c>
      <c r="AJ21" s="36">
        <v>4.4215117359504701</v>
      </c>
      <c r="AK21" s="36">
        <v>0.244513577050402</v>
      </c>
      <c r="AL21" s="36">
        <v>0.143234168085908</v>
      </c>
      <c r="AM21" s="36">
        <v>0.24607852259670601</v>
      </c>
      <c r="AN21" s="36">
        <v>0.210260925483196</v>
      </c>
      <c r="AO21" s="36">
        <v>0.186479566942618</v>
      </c>
      <c r="AP21" s="36">
        <v>0.47623417899637199</v>
      </c>
      <c r="AQ21" s="36">
        <v>0.482426149244293</v>
      </c>
      <c r="AR21" s="36">
        <v>0.56531380905006001</v>
      </c>
      <c r="AS21" s="36">
        <v>0.56531380905006001</v>
      </c>
      <c r="AT21" s="36">
        <v>3.7534257877209898</v>
      </c>
      <c r="AU21" s="36">
        <v>0.377065633586466</v>
      </c>
      <c r="AV21" s="36">
        <v>0</v>
      </c>
      <c r="AW21" s="36">
        <v>3.2580965380214799</v>
      </c>
      <c r="AX21" s="36">
        <v>2.6026896854443802</v>
      </c>
      <c r="AY21" s="36">
        <v>2.6026896854443802</v>
      </c>
      <c r="AZ21" s="36">
        <v>3.84658808264264</v>
      </c>
      <c r="BA21" s="36">
        <v>0.98095424519987695</v>
      </c>
      <c r="BB21" s="36">
        <v>3.9318256327243302</v>
      </c>
      <c r="BC21" s="36">
        <v>0.48550781578170099</v>
      </c>
      <c r="BD21" s="36">
        <v>0.55961578793542299</v>
      </c>
      <c r="BE21" s="36">
        <v>0.117783035656383</v>
      </c>
      <c r="BF21" s="36">
        <v>0.405465108108164</v>
      </c>
      <c r="BG21" s="36">
        <v>0.15443635330441899</v>
      </c>
      <c r="BH21" s="36">
        <v>0</v>
      </c>
      <c r="BI21" s="36">
        <v>0.405465108108164</v>
      </c>
      <c r="BJ21" s="36">
        <v>0.22314355131420999</v>
      </c>
      <c r="BK21" s="36">
        <v>0.22314355131420999</v>
      </c>
      <c r="BL21" s="36">
        <v>0</v>
      </c>
      <c r="BM21" s="36">
        <v>0.22314355131420999</v>
      </c>
      <c r="BN21" s="36">
        <v>0</v>
      </c>
      <c r="BO21" s="36">
        <v>7.9734968018853505E-2</v>
      </c>
      <c r="BP21" s="36">
        <v>0.69314718055994495</v>
      </c>
      <c r="BQ21" s="36">
        <v>0.69314718055994495</v>
      </c>
      <c r="BR21" s="36">
        <v>0.22314355131420999</v>
      </c>
      <c r="BS21" s="36">
        <v>0.55961578793542299</v>
      </c>
      <c r="BT21" s="36">
        <v>2.8716984926305398</v>
      </c>
      <c r="BU21" s="36">
        <v>3.5361069907765299</v>
      </c>
      <c r="BV21" s="36">
        <v>3.9318256327243302</v>
      </c>
      <c r="BW21" s="36">
        <v>3.8421368779639802</v>
      </c>
      <c r="BX21" s="36">
        <v>0.73380916227883497</v>
      </c>
      <c r="BY21" s="36">
        <v>3.5534605670062001</v>
      </c>
      <c r="BZ21" s="36">
        <v>2.89309028158211</v>
      </c>
      <c r="CA21" s="36">
        <v>4.2056772091502204</v>
      </c>
      <c r="CB21" s="36">
        <v>1.2094449269160601</v>
      </c>
      <c r="CC21" s="36">
        <v>2.3316110229931302</v>
      </c>
      <c r="CD21" s="36">
        <v>2.4150535459072402</v>
      </c>
      <c r="CE21" s="36">
        <v>3.89833512759192</v>
      </c>
      <c r="CF21" s="36">
        <v>3.4289171178060598</v>
      </c>
      <c r="CH21" t="str">
        <f t="shared" si="0"/>
        <v>/*48*/ 000  1 2.77258872223978 2.25967759198277 2.71336936257981 6.54965074223381 6.40357419793482 6.49072353450251 7.58069975222456 0 1.62195919298777 1.50696212084486 1.33841628087543 1.49582118564713 0.717839793150317 0.165514438477573 0.231111720963387 0.198030850499135 0.198850858745165 0.124868982045869 0.364643113587909 0.431782416425538 0.506817602368452 0.506817602368452 2.81582779327564 0 2.49411413053891 0 2.49411413053891 2.03692540457676 4.42151173595047 0 4.49857557581545 4.42151173595047 0.244513577050402 0.143234168085908 0.246078522596706 0.210260925483196 0.186479566942618 0.476234178996372 0.482426149244293 0.56531380905006 0.56531380905006 3.75342578772099 0.377065633586466 0 3.25809653802148 2.60268968544438 2.60268968544438 3.84658808264264 0.980954245199877 3.93182563272433 0.485507815781701 0.559615787935423 0.117783035656383 0.405465108108164 0.154436353304419 0 0.405465108108164 0.22314355131421 0.22314355131421 0 0.22314355131421 0 7.97349680188535E-02 0.693147180559945 0.693147180559945 0.22314355131421 0.559615787935423 2.87169849263054 3.53610699077653 3.93182563272433 3.84213687796398 0.733809162278835 3.5534605670062 2.89309028158211 4.20567720915022 1.20944492691606 2.33161102299313 2.41505354590724 3.89833512759192 3.42891711780606;</v>
      </c>
    </row>
    <row r="22" spans="1:86" x14ac:dyDescent="0.25">
      <c r="A22" s="2">
        <v>57</v>
      </c>
      <c r="B22" s="2">
        <v>0</v>
      </c>
      <c r="C22" s="2">
        <v>0</v>
      </c>
      <c r="D22" s="2">
        <v>0</v>
      </c>
      <c r="E22" s="36">
        <v>2.7278528283983898</v>
      </c>
      <c r="F22" s="36">
        <v>2.1871742414827202</v>
      </c>
      <c r="G22" s="36">
        <v>2.2181159363676</v>
      </c>
      <c r="H22" s="36">
        <v>5.2417470150596399</v>
      </c>
      <c r="I22" s="36">
        <v>4.7874917427820503</v>
      </c>
      <c r="J22" s="36">
        <v>4.5849674786705696</v>
      </c>
      <c r="K22" s="36">
        <v>6.0038870671065396</v>
      </c>
      <c r="L22" s="36">
        <v>0</v>
      </c>
      <c r="M22" s="36">
        <v>0.64867269045811604</v>
      </c>
      <c r="N22" s="36">
        <v>0.70556970055850199</v>
      </c>
      <c r="O22" s="36">
        <v>0.64867269045811604</v>
      </c>
      <c r="P22" s="36">
        <v>0.667829372575655</v>
      </c>
      <c r="Q22" s="36">
        <v>0.26313319953036801</v>
      </c>
      <c r="R22" s="36">
        <v>0.20945022418220699</v>
      </c>
      <c r="S22" s="36">
        <v>0.19967019512856801</v>
      </c>
      <c r="T22" s="36">
        <v>0.17647114311577899</v>
      </c>
      <c r="U22" s="36">
        <v>0.19474407679251199</v>
      </c>
      <c r="V22" s="36">
        <v>8.0657903017454499E-2</v>
      </c>
      <c r="W22" s="36">
        <v>0.307484699747961</v>
      </c>
      <c r="X22" s="36">
        <v>0.307484699747961</v>
      </c>
      <c r="Y22" s="36">
        <v>0.262364264467491</v>
      </c>
      <c r="Z22" s="36">
        <v>0.307484699747961</v>
      </c>
      <c r="AA22" s="36">
        <v>1.68824909285839</v>
      </c>
      <c r="AB22" s="36">
        <v>0</v>
      </c>
      <c r="AC22" s="36">
        <v>4.0103649484268296</v>
      </c>
      <c r="AD22" s="36">
        <v>3.0834225866809799</v>
      </c>
      <c r="AE22" s="36">
        <v>4.3307333402863302</v>
      </c>
      <c r="AF22" s="36">
        <v>2.6026896854443802</v>
      </c>
      <c r="AG22" s="36">
        <v>2.6026896854443802</v>
      </c>
      <c r="AH22" s="36">
        <v>0</v>
      </c>
      <c r="AI22" s="36">
        <v>3.2580965380214799</v>
      </c>
      <c r="AJ22" s="36">
        <v>4.0103649484268296</v>
      </c>
      <c r="AK22" s="36">
        <v>0.111541374732907</v>
      </c>
      <c r="AL22" s="36">
        <v>0.10436001532424299</v>
      </c>
      <c r="AM22" s="36">
        <v>0.16889853646181399</v>
      </c>
      <c r="AN22" s="36">
        <v>0.12839321476839899</v>
      </c>
      <c r="AO22" s="36">
        <v>9.0754363268464103E-2</v>
      </c>
      <c r="AP22" s="36">
        <v>0.22314355131420999</v>
      </c>
      <c r="AQ22" s="36">
        <v>0.22314355131420999</v>
      </c>
      <c r="AR22" s="36">
        <v>0.31481073984003399</v>
      </c>
      <c r="AS22" s="36">
        <v>0.31481073984003399</v>
      </c>
      <c r="AT22" s="36">
        <v>2.2335565065836098</v>
      </c>
      <c r="AU22" s="36">
        <v>0.45932178089887499</v>
      </c>
      <c r="AV22" s="36">
        <v>3.6506582412937401</v>
      </c>
      <c r="AW22" s="36">
        <v>3.2580965380214799</v>
      </c>
      <c r="AX22" s="36">
        <v>3.6506582412937401</v>
      </c>
      <c r="AY22" s="36">
        <v>3.5361069907765299</v>
      </c>
      <c r="AZ22" s="36">
        <v>4.0831656436306698</v>
      </c>
      <c r="BA22" s="36">
        <v>0.34854196070854299</v>
      </c>
      <c r="BB22" s="36">
        <v>2.2335565065836098</v>
      </c>
      <c r="BC22" s="36">
        <v>0</v>
      </c>
      <c r="BD22" s="36">
        <v>0</v>
      </c>
      <c r="BE22" s="36">
        <v>0.31845373111853498</v>
      </c>
      <c r="BF22" s="36">
        <v>0.117783035656383</v>
      </c>
      <c r="BG22" s="36">
        <v>0.377065633586466</v>
      </c>
      <c r="BH22" s="36">
        <v>1.09861228866811</v>
      </c>
      <c r="BI22" s="36">
        <v>1.0116009116784801</v>
      </c>
      <c r="BJ22" s="36">
        <v>0.916290731874155</v>
      </c>
      <c r="BK22" s="36">
        <v>1.0116009116784801</v>
      </c>
      <c r="BL22" s="36">
        <v>0.22314355131420999</v>
      </c>
      <c r="BM22" s="36">
        <v>0</v>
      </c>
      <c r="BN22" s="36">
        <v>0</v>
      </c>
      <c r="BO22" s="36">
        <v>7.9734968018853505E-2</v>
      </c>
      <c r="BP22" s="36">
        <v>0</v>
      </c>
      <c r="BQ22" s="36">
        <v>0.22314355131420999</v>
      </c>
      <c r="BR22" s="36">
        <v>0.405465108108164</v>
      </c>
      <c r="BS22" s="36">
        <v>0.22314355131420999</v>
      </c>
      <c r="BT22" s="36">
        <v>1.64229224930505</v>
      </c>
      <c r="BU22" s="36">
        <v>3.84658808264264</v>
      </c>
      <c r="BV22" s="36">
        <v>3.9318256327243302</v>
      </c>
      <c r="BW22" s="36">
        <v>3.91036162610148</v>
      </c>
      <c r="BX22" s="36">
        <v>0.22314355131420999</v>
      </c>
      <c r="BY22" s="36">
        <v>4.4611381396820002</v>
      </c>
      <c r="BZ22" s="36">
        <v>2.4286008135769102</v>
      </c>
      <c r="CA22" s="36">
        <v>2.7352761873558</v>
      </c>
      <c r="CB22" s="36">
        <v>1.8291769822722601</v>
      </c>
      <c r="CC22" s="36">
        <v>0</v>
      </c>
      <c r="CD22" s="36">
        <v>3.3249419738282802</v>
      </c>
      <c r="CE22" s="36">
        <v>0</v>
      </c>
      <c r="CF22" s="36">
        <v>4.23372753729097</v>
      </c>
      <c r="CH22" t="str">
        <f t="shared" si="0"/>
        <v>/*57*/ 000  1 2.72785282839839 2.18717424148272 2.2181159363676 5.24174701505964 4.78749174278205 4.58496747867057 6.00388706710654 0 0.648672690458116 0.705569700558502 0.648672690458116 0.667829372575655 0.263133199530368 0.209450224182207 0.199670195128568 0.176471143115779 0.194744076792512 8.06579030174545E-02 0.307484699747961 0.307484699747961 0.262364264467491 0.307484699747961 1.68824909285839 0 4.01036494842683 3.08342258668098 4.33073334028633 2.60268968544438 2.60268968544438 0 3.25809653802148 4.01036494842683 0.111541374732907 0.104360015324243 0.168898536461814 0.128393214768399 9.07543632684641E-02 0.22314355131421 0.22314355131421 0.314810739840034 0.314810739840034 2.23355650658361 0.459321780898875 3.65065824129374 3.25809653802148 3.65065824129374 3.53610699077653 4.08316564363067 0.348541960708543 2.23355650658361 0 0 0.318453731118535 0.117783035656383 0.377065633586466 1.09861228866811 1.01160091167848 0.916290731874155 1.01160091167848 0.22314355131421 0 0 7.97349680188535E-02 0 0.22314355131421 0.405465108108164 0.22314355131421 1.64229224930505 3.84658808264264 3.93182563272433 3.91036162610148 0.22314355131421 4.461138139682 2.42860081357691 2.7352761873558 1.82917698227226 0 3.32494197382828 0 4.23372753729097;</v>
      </c>
    </row>
    <row r="23" spans="1:86" x14ac:dyDescent="0.25">
      <c r="A23" s="2">
        <v>61</v>
      </c>
      <c r="B23" s="2">
        <v>0</v>
      </c>
      <c r="C23" s="2">
        <v>0</v>
      </c>
      <c r="D23" s="2">
        <v>0</v>
      </c>
      <c r="E23" s="36">
        <v>2.8449093838194099</v>
      </c>
      <c r="F23" s="36">
        <v>2.2803394840467299</v>
      </c>
      <c r="G23" s="36">
        <v>2.5463152779166398</v>
      </c>
      <c r="H23" s="36">
        <v>5.9427993751267003</v>
      </c>
      <c r="I23" s="36">
        <v>5.1179938124167599</v>
      </c>
      <c r="J23" s="36">
        <v>5.1179938124167599</v>
      </c>
      <c r="K23" s="36">
        <v>6.5694814204143004</v>
      </c>
      <c r="L23" s="36">
        <v>0.35136084911496401</v>
      </c>
      <c r="M23" s="36">
        <v>1.29828248379668</v>
      </c>
      <c r="N23" s="36">
        <v>1.14358565431084</v>
      </c>
      <c r="O23" s="36">
        <v>1.08180517035173</v>
      </c>
      <c r="P23" s="36">
        <v>1.1786549963416499</v>
      </c>
      <c r="Q23" s="36">
        <v>0.70458155818560797</v>
      </c>
      <c r="R23" s="36">
        <v>0.25851069515150099</v>
      </c>
      <c r="S23" s="36">
        <v>8.7094706850933706E-2</v>
      </c>
      <c r="T23" s="36">
        <v>0.15357908792830099</v>
      </c>
      <c r="U23" s="36">
        <v>0.17647114311577899</v>
      </c>
      <c r="V23" s="36">
        <v>0.19062035960865001</v>
      </c>
      <c r="W23" s="36">
        <v>0.58778666490211895</v>
      </c>
      <c r="X23" s="36">
        <v>0.148420005118273</v>
      </c>
      <c r="Y23" s="36">
        <v>0.47000362924573602</v>
      </c>
      <c r="Z23" s="36">
        <v>0.58778666490211895</v>
      </c>
      <c r="AA23" s="36">
        <v>2.5406566648924902</v>
      </c>
      <c r="AB23" s="36">
        <v>0</v>
      </c>
      <c r="AC23" s="36">
        <v>2.8716984926305398</v>
      </c>
      <c r="AD23" s="36">
        <v>0</v>
      </c>
      <c r="AE23" s="36">
        <v>2.8716984926305398</v>
      </c>
      <c r="AF23" s="36">
        <v>2.2335565065836098</v>
      </c>
      <c r="AG23" s="36">
        <v>4.3307333402863302</v>
      </c>
      <c r="AH23" s="36">
        <v>0</v>
      </c>
      <c r="AI23" s="36">
        <v>4.43477324748243</v>
      </c>
      <c r="AJ23" s="36">
        <v>4.3307333402863302</v>
      </c>
      <c r="AK23" s="36">
        <v>7.8811180424289806E-2</v>
      </c>
      <c r="AL23" s="36">
        <v>0.25386672395705001</v>
      </c>
      <c r="AM23" s="36">
        <v>0.173112617708645</v>
      </c>
      <c r="AN23" s="36">
        <v>0.16466662155523401</v>
      </c>
      <c r="AO23" s="36">
        <v>0.13976194237515899</v>
      </c>
      <c r="AP23" s="36">
        <v>0.307484699747961</v>
      </c>
      <c r="AQ23" s="36">
        <v>0.42526773540434398</v>
      </c>
      <c r="AR23" s="36">
        <v>0.32930374714260002</v>
      </c>
      <c r="AS23" s="36">
        <v>0.42526773540434398</v>
      </c>
      <c r="AT23" s="36">
        <v>4.2145986164699201</v>
      </c>
      <c r="AU23" s="36">
        <v>7.9734968018853505E-2</v>
      </c>
      <c r="AV23" s="36">
        <v>3.9318256327243302</v>
      </c>
      <c r="AW23" s="36">
        <v>0</v>
      </c>
      <c r="AX23" s="36">
        <v>3.2580965380214799</v>
      </c>
      <c r="AY23" s="36">
        <v>3.2580965380214799</v>
      </c>
      <c r="AZ23" s="36">
        <v>4.2145986164699201</v>
      </c>
      <c r="BA23" s="36">
        <v>0.405465108108164</v>
      </c>
      <c r="BB23" s="36">
        <v>3.2580965380214799</v>
      </c>
      <c r="BC23" s="36">
        <v>0.31845373111853498</v>
      </c>
      <c r="BD23" s="36">
        <v>0.31845373111853498</v>
      </c>
      <c r="BE23" s="36">
        <v>0.117783035656383</v>
      </c>
      <c r="BF23" s="36">
        <v>0.25619140536041002</v>
      </c>
      <c r="BG23" s="36">
        <v>0.34854196070854299</v>
      </c>
      <c r="BH23" s="36">
        <v>0</v>
      </c>
      <c r="BI23" s="36">
        <v>0</v>
      </c>
      <c r="BJ23" s="36">
        <v>0</v>
      </c>
      <c r="BK23" s="36">
        <v>0</v>
      </c>
      <c r="BL23" s="36">
        <v>0.405465108108164</v>
      </c>
      <c r="BM23" s="36">
        <v>0.22314355131420999</v>
      </c>
      <c r="BN23" s="36">
        <v>0.55961578793542299</v>
      </c>
      <c r="BO23" s="36">
        <v>0.405465108108164</v>
      </c>
      <c r="BP23" s="36">
        <v>1.09861228866811</v>
      </c>
      <c r="BQ23" s="36">
        <v>0</v>
      </c>
      <c r="BR23" s="36">
        <v>0.22314355131420999</v>
      </c>
      <c r="BS23" s="36">
        <v>0.55961578793542299</v>
      </c>
      <c r="BT23" s="36">
        <v>3.5361069907765299</v>
      </c>
      <c r="BU23" s="36">
        <v>4.1510399058986502</v>
      </c>
      <c r="BV23" s="36">
        <v>1.64229224930505</v>
      </c>
      <c r="BW23" s="36">
        <v>3.2818506240295902</v>
      </c>
      <c r="BX23" s="36">
        <v>0.28743204119657201</v>
      </c>
      <c r="BY23" s="36">
        <v>2.4141264677269501</v>
      </c>
      <c r="BZ23" s="36">
        <v>2.1064485471663601</v>
      </c>
      <c r="CA23" s="36">
        <v>4.5088795256698004</v>
      </c>
      <c r="CB23" s="36">
        <v>2.6176573358654598</v>
      </c>
      <c r="CC23" s="36">
        <v>4.1361823273926301</v>
      </c>
      <c r="CD23" s="36">
        <v>0.83418291826977198</v>
      </c>
      <c r="CE23" s="36">
        <v>1.8775486011498499</v>
      </c>
      <c r="CF23" s="36">
        <v>2.99034318546892</v>
      </c>
      <c r="CH23" t="str">
        <f t="shared" si="0"/>
        <v>/*61*/ 000  1 2.84490938381941 2.28033948404673 2.54631527791664 5.9427993751267 5.11799381241676 5.11799381241676 6.5694814204143 0.351360849114964 1.29828248379668 1.14358565431084 1.08180517035173 1.17865499634165 0.704581558185608 0.258510695151501 8.70947068509337E-02 0.153579087928301 0.176471143115779 0.19062035960865 0.587786664902119 0.148420005118273 0.470003629245736 0.587786664902119 2.54065666489249 0 2.87169849263054 0 2.87169849263054 2.23355650658361 4.33073334028633 0 4.43477324748243 4.33073334028633 7.88111804242898E-02 0.25386672395705 0.173112617708645 0.164666621555234 0.139761942375159 0.307484699747961 0.425267735404344 0.3293037471426 0.425267735404344 4.21459861646992 7.97349680188535E-02 3.93182563272433 0 3.25809653802148 3.25809653802148 4.21459861646992 0.405465108108164 3.25809653802148 0.318453731118535 0.318453731118535 0.117783035656383 0.25619140536041 0.348541960708543 0 0 0 0 0.405465108108164 0.22314355131421 0.559615787935423 0.405465108108164 1.09861228866811 0 0.22314355131421 0.559615787935423 3.53610699077653 4.15103990589865 1.64229224930505 3.28185062402959 0.287432041196572 2.41412646772695 2.10644854716636 4.5088795256698 2.61765733586546 4.13618232739263 0.834182918269772 1.87754860114985 2.99034318546892;</v>
      </c>
    </row>
    <row r="24" spans="1:86" x14ac:dyDescent="0.25">
      <c r="A24" s="2">
        <v>75</v>
      </c>
      <c r="B24" s="2">
        <v>0</v>
      </c>
      <c r="C24" s="2">
        <v>0</v>
      </c>
      <c r="D24" s="2">
        <v>0</v>
      </c>
      <c r="E24" s="36">
        <v>2.8390784635086099</v>
      </c>
      <c r="F24" s="36">
        <v>2.20055236742889</v>
      </c>
      <c r="G24" s="36">
        <v>2.5384474167160298</v>
      </c>
      <c r="H24" s="36">
        <v>5.8260001073804499</v>
      </c>
      <c r="I24" s="36">
        <v>5.4722706736714803</v>
      </c>
      <c r="J24" s="36">
        <v>5.7397929121792304</v>
      </c>
      <c r="K24" s="36">
        <v>6.7867169506050802</v>
      </c>
      <c r="L24" s="36">
        <v>0</v>
      </c>
      <c r="M24" s="36">
        <v>0.95088537663865402</v>
      </c>
      <c r="N24" s="36">
        <v>0.92147725856145501</v>
      </c>
      <c r="O24" s="36">
        <v>1.09861228866811</v>
      </c>
      <c r="P24" s="36">
        <v>0.993251773010283</v>
      </c>
      <c r="Q24" s="36">
        <v>0.405465108108164</v>
      </c>
      <c r="R24" s="36">
        <v>0.24529635595534299</v>
      </c>
      <c r="S24" s="36">
        <v>0.20375683751401999</v>
      </c>
      <c r="T24" s="36">
        <v>0.31481073984003399</v>
      </c>
      <c r="U24" s="36">
        <v>0.255417111864505</v>
      </c>
      <c r="V24" s="36">
        <v>0.117783035656383</v>
      </c>
      <c r="W24" s="36">
        <v>0.405465108108164</v>
      </c>
      <c r="X24" s="36">
        <v>0.405465108108164</v>
      </c>
      <c r="Y24" s="36">
        <v>0.405465108108164</v>
      </c>
      <c r="Z24" s="36">
        <v>0.405465108108164</v>
      </c>
      <c r="AA24" s="36">
        <v>1.92234903893166</v>
      </c>
      <c r="AB24" s="36">
        <v>0</v>
      </c>
      <c r="AC24" s="36">
        <v>3.0834225866809799</v>
      </c>
      <c r="AD24" s="36">
        <v>0</v>
      </c>
      <c r="AE24" s="36">
        <v>3.0834225866809799</v>
      </c>
      <c r="AF24" s="36">
        <v>0</v>
      </c>
      <c r="AG24" s="36">
        <v>4.3841119588732198</v>
      </c>
      <c r="AH24" s="36">
        <v>0</v>
      </c>
      <c r="AI24" s="36">
        <v>4.3841119588732198</v>
      </c>
      <c r="AJ24" s="36">
        <v>4.3841119588732198</v>
      </c>
      <c r="AK24" s="36">
        <v>0.36394842790523102</v>
      </c>
      <c r="AL24" s="36">
        <v>0.41078426958576397</v>
      </c>
      <c r="AM24" s="36">
        <v>0.23822918873225099</v>
      </c>
      <c r="AN24" s="36">
        <v>0.34003730278570898</v>
      </c>
      <c r="AO24" s="36">
        <v>0.23031775506221</v>
      </c>
      <c r="AP24" s="36">
        <v>0.58221561985266401</v>
      </c>
      <c r="AQ24" s="36">
        <v>0.67294447324242601</v>
      </c>
      <c r="AR24" s="36">
        <v>0.45742484703887498</v>
      </c>
      <c r="AS24" s="36">
        <v>0.67294447324242601</v>
      </c>
      <c r="AT24" s="36">
        <v>2.6026896854443802</v>
      </c>
      <c r="AU24" s="36">
        <v>0.58333231455273904</v>
      </c>
      <c r="AV24" s="36">
        <v>0</v>
      </c>
      <c r="AW24" s="36">
        <v>0</v>
      </c>
      <c r="AX24" s="36">
        <v>3.2580965380214799</v>
      </c>
      <c r="AY24" s="36">
        <v>2.2335565065836098</v>
      </c>
      <c r="AZ24" s="36">
        <v>4.3841119588732198</v>
      </c>
      <c r="BA24" s="36">
        <v>0.84715499303929298</v>
      </c>
      <c r="BB24" s="36">
        <v>3.5361069907765299</v>
      </c>
      <c r="BC24" s="36">
        <v>0</v>
      </c>
      <c r="BD24" s="36">
        <v>0</v>
      </c>
      <c r="BE24" s="36">
        <v>0.55961578793542299</v>
      </c>
      <c r="BF24" s="36">
        <v>0.22314355131420999</v>
      </c>
      <c r="BG24" s="36">
        <v>0.48550781578170099</v>
      </c>
      <c r="BH24" s="36">
        <v>0.405465108108164</v>
      </c>
      <c r="BI24" s="36">
        <v>0.22314355131420999</v>
      </c>
      <c r="BJ24" s="36">
        <v>0.22314355131420999</v>
      </c>
      <c r="BK24" s="36">
        <v>0.28743204119657201</v>
      </c>
      <c r="BL24" s="36">
        <v>0</v>
      </c>
      <c r="BM24" s="36">
        <v>0</v>
      </c>
      <c r="BN24" s="36">
        <v>0</v>
      </c>
      <c r="BO24" s="36">
        <v>0</v>
      </c>
      <c r="BP24" s="36">
        <v>0.22314355131420999</v>
      </c>
      <c r="BQ24" s="36">
        <v>0.405465108108164</v>
      </c>
      <c r="BR24" s="36">
        <v>0.22314355131420999</v>
      </c>
      <c r="BS24" s="36">
        <v>0.28743204119657201</v>
      </c>
      <c r="BT24" s="36">
        <v>0</v>
      </c>
      <c r="BU24" s="36">
        <v>4.5729878452771402</v>
      </c>
      <c r="BV24" s="36">
        <v>1.64229224930505</v>
      </c>
      <c r="BW24" s="36">
        <v>3.7534257877209898</v>
      </c>
      <c r="BX24" s="36">
        <v>0.188966099512623</v>
      </c>
      <c r="BY24" s="36">
        <v>4.5948470856650196</v>
      </c>
      <c r="BZ24" s="36">
        <v>1.2803781355283399</v>
      </c>
      <c r="CA24" s="36">
        <v>1.1075720300395799</v>
      </c>
      <c r="CB24" s="36">
        <v>1.90934442630521</v>
      </c>
      <c r="CC24" s="36">
        <v>0</v>
      </c>
      <c r="CD24" s="36">
        <v>2.3377870465472501</v>
      </c>
      <c r="CE24" s="36">
        <v>0</v>
      </c>
      <c r="CF24" s="36">
        <v>4.45310289591312</v>
      </c>
      <c r="CH24" t="str">
        <f t="shared" si="0"/>
        <v>/*75*/ 000  1 2.83907846350861 2.20055236742889 2.53844741671603 5.82600010738045 5.47227067367148 5.73979291217923 6.78671695060508 0 0.950885376638654 0.921477258561455 1.09861228866811 0.993251773010283 0.405465108108164 0.245296355955343 0.20375683751402 0.314810739840034 0.255417111864505 0.117783035656383 0.405465108108164 0.405465108108164 0.405465108108164 0.405465108108164 1.92234903893166 0 3.08342258668098 0 3.08342258668098 0 4.38411195887322 0 4.38411195887322 4.38411195887322 0.363948427905231 0.410784269585764 0.238229188732251 0.340037302785709 0.23031775506221 0.582215619852664 0.672944473242426 0.457424847038875 0.672944473242426 2.60268968544438 0.583332314552739 0 0 3.25809653802148 2.23355650658361 4.38411195887322 0.847154993039293 3.53610699077653 0 0 0.559615787935423 0.22314355131421 0.485507815781701 0.405465108108164 0.22314355131421 0.22314355131421 0.287432041196572 0 0 0 0 0.22314355131421 0.405465108108164 0.22314355131421 0.287432041196572 0 4.57298784527714 1.64229224930505 3.75342578772099 0.188966099512623 4.59484708566502 1.28037813552834 1.10757203003958 1.90934442630521 0 2.33778704654725 0 4.45310289591312;</v>
      </c>
    </row>
    <row r="25" spans="1:86" x14ac:dyDescent="0.25">
      <c r="A25" s="2">
        <v>84</v>
      </c>
      <c r="B25" s="2">
        <v>0</v>
      </c>
      <c r="C25" s="2">
        <v>0</v>
      </c>
      <c r="D25" s="2">
        <v>0</v>
      </c>
      <c r="E25" s="36">
        <v>2.8094026953625</v>
      </c>
      <c r="F25" s="36">
        <v>2.1961128484835299</v>
      </c>
      <c r="G25" s="36">
        <v>2.44408465526775</v>
      </c>
      <c r="H25" s="36">
        <v>4.8121843553724197</v>
      </c>
      <c r="I25" s="36">
        <v>4.95582705760126</v>
      </c>
      <c r="J25" s="36">
        <v>5.1239639794032596</v>
      </c>
      <c r="K25" s="36">
        <v>6.0661080901037501</v>
      </c>
      <c r="L25" s="36">
        <v>0</v>
      </c>
      <c r="M25" s="36">
        <v>1.06471073699243</v>
      </c>
      <c r="N25" s="36">
        <v>1.17495585525544</v>
      </c>
      <c r="O25" s="36">
        <v>1.1672050801337199</v>
      </c>
      <c r="P25" s="36">
        <v>1.1368710007852001</v>
      </c>
      <c r="Q25" s="36">
        <v>0.30453918951820402</v>
      </c>
      <c r="R25" s="36">
        <v>0.21913552991667101</v>
      </c>
      <c r="S25" s="36">
        <v>0.136277618292548</v>
      </c>
      <c r="T25" s="36">
        <v>0.1016536537265</v>
      </c>
      <c r="U25" s="36">
        <v>0.151862349309246</v>
      </c>
      <c r="V25" s="36">
        <v>9.3490343087339001E-2</v>
      </c>
      <c r="W25" s="36">
        <v>0.39204208777602401</v>
      </c>
      <c r="X25" s="36">
        <v>0.231111720963387</v>
      </c>
      <c r="Y25" s="36">
        <v>0.18232155679395501</v>
      </c>
      <c r="Z25" s="36">
        <v>0.39204208777602401</v>
      </c>
      <c r="AA25" s="36">
        <v>2.6339729977058899</v>
      </c>
      <c r="AB25" s="36">
        <v>0</v>
      </c>
      <c r="AC25" s="36">
        <v>4.2004148259491698</v>
      </c>
      <c r="AD25" s="36">
        <v>2.89828481138803</v>
      </c>
      <c r="AE25" s="36">
        <v>4.4291129671938201</v>
      </c>
      <c r="AF25" s="36">
        <v>0</v>
      </c>
      <c r="AG25" s="36">
        <v>2.89828481138803</v>
      </c>
      <c r="AH25" s="36">
        <v>0</v>
      </c>
      <c r="AI25" s="36">
        <v>2.89828481138803</v>
      </c>
      <c r="AJ25" s="36">
        <v>4.2004148259491698</v>
      </c>
      <c r="AK25" s="36">
        <v>0.17898265552844</v>
      </c>
      <c r="AL25" s="36">
        <v>0.15357908792830099</v>
      </c>
      <c r="AM25" s="36">
        <v>0.24842135849847799</v>
      </c>
      <c r="AN25" s="36">
        <v>0.18979357163265601</v>
      </c>
      <c r="AO25" s="36">
        <v>0.118671529717499</v>
      </c>
      <c r="AP25" s="36">
        <v>0.44468582126144601</v>
      </c>
      <c r="AQ25" s="36">
        <v>0.322083499169113</v>
      </c>
      <c r="AR25" s="36">
        <v>0.37843643572024499</v>
      </c>
      <c r="AS25" s="36">
        <v>0.44468582126144601</v>
      </c>
      <c r="AT25" s="36">
        <v>2.2335565065836098</v>
      </c>
      <c r="AU25" s="36">
        <v>0.55961578793542299</v>
      </c>
      <c r="AV25" s="36">
        <v>3.2580965380214799</v>
      </c>
      <c r="AW25" s="36">
        <v>3.2580965380214799</v>
      </c>
      <c r="AX25" s="36">
        <v>0</v>
      </c>
      <c r="AY25" s="36">
        <v>2.8716984926305398</v>
      </c>
      <c r="AZ25" s="36">
        <v>4.3307333402863302</v>
      </c>
      <c r="BA25" s="36">
        <v>0.22314355131420999</v>
      </c>
      <c r="BB25" s="36">
        <v>2.2335565065836098</v>
      </c>
      <c r="BC25" s="36">
        <v>0.69314718055994495</v>
      </c>
      <c r="BD25" s="36">
        <v>0.405465108108164</v>
      </c>
      <c r="BE25" s="36">
        <v>0.62860865942237398</v>
      </c>
      <c r="BF25" s="36">
        <v>0.58333231455273904</v>
      </c>
      <c r="BG25" s="36">
        <v>1.0413362208483801</v>
      </c>
      <c r="BH25" s="36">
        <v>0.69314718055994495</v>
      </c>
      <c r="BI25" s="36">
        <v>0.405465108108164</v>
      </c>
      <c r="BJ25" s="36">
        <v>0.22314355131420999</v>
      </c>
      <c r="BK25" s="36">
        <v>0.45932178089887499</v>
      </c>
      <c r="BL25" s="36">
        <v>0.405465108108164</v>
      </c>
      <c r="BM25" s="36">
        <v>0</v>
      </c>
      <c r="BN25" s="36">
        <v>0</v>
      </c>
      <c r="BO25" s="36">
        <v>0.15443635330441899</v>
      </c>
      <c r="BP25" s="36">
        <v>0.69314718055994495</v>
      </c>
      <c r="BQ25" s="36">
        <v>0.22314355131420999</v>
      </c>
      <c r="BR25" s="36">
        <v>0.22314355131420999</v>
      </c>
      <c r="BS25" s="36">
        <v>0.405465108108164</v>
      </c>
      <c r="BT25" s="36">
        <v>3.0834225866809799</v>
      </c>
      <c r="BU25" s="36">
        <v>3.9318256327243302</v>
      </c>
      <c r="BV25" s="36">
        <v>3.4067486117004799</v>
      </c>
      <c r="BW25" s="36">
        <v>3.6287843795626</v>
      </c>
      <c r="BX25" s="36">
        <v>0.58333231455273904</v>
      </c>
      <c r="BY25" s="36">
        <v>3.5965722608287498</v>
      </c>
      <c r="BZ25" s="36">
        <v>2.6856000722646201</v>
      </c>
      <c r="CA25" s="36">
        <v>4.18246227144492</v>
      </c>
      <c r="CB25" s="36">
        <v>1.3250652748234799</v>
      </c>
      <c r="CC25" s="36">
        <v>1.6196981710962699</v>
      </c>
      <c r="CD25" s="36">
        <v>2.0792113125541398</v>
      </c>
      <c r="CE25" s="36">
        <v>3.49225723342408</v>
      </c>
      <c r="CF25" s="36">
        <v>4.0132756477756901</v>
      </c>
      <c r="CH25" t="str">
        <f t="shared" si="0"/>
        <v>/*84*/ 000  1 2.8094026953625 2.19611284848353 2.44408465526775 4.81218435537242 4.95582705760126 5.12396397940326 6.06610809010375 0 1.06471073699243 1.17495585525544 1.16720508013372 1.1368710007852 0.304539189518204 0.219135529916671 0.136277618292548 0.1016536537265 0.151862349309246 0.093490343087339 0.392042087776024 0.231111720963387 0.182321556793955 0.392042087776024 2.63397299770589 0 4.20041482594917 2.89828481138803 4.42911296719382 0 2.89828481138803 0 2.89828481138803 4.20041482594917 0.17898265552844 0.153579087928301 0.248421358498478 0.189793571632656 0.118671529717499 0.444685821261446 0.322083499169113 0.378436435720245 0.444685821261446 2.23355650658361 0.559615787935423 3.25809653802148 3.25809653802148 0 2.87169849263054 4.33073334028633 0.22314355131421 2.23355650658361 0.693147180559945 0.405465108108164 0.628608659422374 0.583332314552739 1.04133622084838 0.693147180559945 0.405465108108164 0.22314355131421 0.459321780898875 0.405465108108164 0 0 0.154436353304419 0.693147180559945 0.22314355131421 0.22314355131421 0.405465108108164 3.08342258668098 3.93182563272433 3.40674861170048 3.6287843795626 0.583332314552739 3.59657226082875 2.68560007226462 4.18246227144492 1.32506527482348 1.61969817109627 2.07921131255414 3.49225723342408 4.01327564777569;</v>
      </c>
    </row>
    <row r="26" spans="1:86" x14ac:dyDescent="0.25">
      <c r="A26" s="2">
        <v>85</v>
      </c>
      <c r="B26" s="2">
        <v>1</v>
      </c>
      <c r="C26" s="2">
        <v>0</v>
      </c>
      <c r="D26" s="2">
        <v>0</v>
      </c>
      <c r="E26" s="36">
        <v>2.8273136219290298</v>
      </c>
      <c r="F26" s="36">
        <v>2.20937271127187</v>
      </c>
      <c r="G26" s="36">
        <v>2.5478814489493899</v>
      </c>
      <c r="H26" s="36">
        <v>6.8564619845945902</v>
      </c>
      <c r="I26" s="36">
        <v>6.1964441277945204</v>
      </c>
      <c r="J26" s="36">
        <v>6.0591231955818001</v>
      </c>
      <c r="K26" s="36">
        <v>7.5320881435417197</v>
      </c>
      <c r="L26" s="36">
        <v>1.43864959145382</v>
      </c>
      <c r="M26" s="36">
        <v>1.3514440836841399</v>
      </c>
      <c r="N26" s="36">
        <v>1.52060669872748</v>
      </c>
      <c r="O26" s="36">
        <v>1.6568938535904001</v>
      </c>
      <c r="P26" s="36">
        <v>1.51072193949494</v>
      </c>
      <c r="Q26" s="36">
        <v>0.72947910980733599</v>
      </c>
      <c r="R26" s="36">
        <v>0.30232434918865098</v>
      </c>
      <c r="S26" s="36">
        <v>0.213497174262404</v>
      </c>
      <c r="T26" s="36">
        <v>0.15272108701766399</v>
      </c>
      <c r="U26" s="36">
        <v>0.221542269947236</v>
      </c>
      <c r="V26" s="36">
        <v>0.148420005118273</v>
      </c>
      <c r="W26" s="36">
        <v>0.51879379341516796</v>
      </c>
      <c r="X26" s="36">
        <v>0.431782416425538</v>
      </c>
      <c r="Y26" s="36">
        <v>0.262364264467491</v>
      </c>
      <c r="Z26" s="36">
        <v>0.51879379341516796</v>
      </c>
      <c r="AA26" s="36">
        <v>2.7236610486163602</v>
      </c>
      <c r="AB26" s="36">
        <v>0</v>
      </c>
      <c r="AC26" s="36">
        <v>0</v>
      </c>
      <c r="AD26" s="36">
        <v>0</v>
      </c>
      <c r="AE26" s="36">
        <v>0</v>
      </c>
      <c r="AF26" s="36">
        <v>1.9041948985578401</v>
      </c>
      <c r="AG26" s="36">
        <v>4.5568828953565603</v>
      </c>
      <c r="AH26" s="36">
        <v>0</v>
      </c>
      <c r="AI26" s="36">
        <v>4.6151205168412597</v>
      </c>
      <c r="AJ26" s="36">
        <v>4.5568828953565603</v>
      </c>
      <c r="AK26" s="36">
        <v>0.21430460264700499</v>
      </c>
      <c r="AL26" s="36">
        <v>0.155292884406035</v>
      </c>
      <c r="AM26" s="36">
        <v>0.24137631957527</v>
      </c>
      <c r="AN26" s="36">
        <v>0.18564934688662901</v>
      </c>
      <c r="AO26" s="36">
        <v>0.16636153721522501</v>
      </c>
      <c r="AP26" s="36">
        <v>0.431782416425538</v>
      </c>
      <c r="AQ26" s="36">
        <v>0.39204208777602401</v>
      </c>
      <c r="AR26" s="36">
        <v>0.51282362642866397</v>
      </c>
      <c r="AS26" s="36">
        <v>0.51282362642866397</v>
      </c>
      <c r="AT26" s="36">
        <v>4.0103649484268296</v>
      </c>
      <c r="AU26" s="36">
        <v>0.122217632724249</v>
      </c>
      <c r="AV26" s="36">
        <v>3.6506582412937401</v>
      </c>
      <c r="AW26" s="36">
        <v>3.9318256327243302</v>
      </c>
      <c r="AX26" s="36">
        <v>0</v>
      </c>
      <c r="AY26" s="36">
        <v>3.4067486117004799</v>
      </c>
      <c r="AZ26" s="36">
        <v>4.0103649484268296</v>
      </c>
      <c r="BA26" s="36">
        <v>0.69314718055994495</v>
      </c>
      <c r="BB26" s="36">
        <v>3.5361069907765299</v>
      </c>
      <c r="BC26" s="36">
        <v>0.22314355131420999</v>
      </c>
      <c r="BD26" s="36">
        <v>0.22314355131420999</v>
      </c>
      <c r="BE26" s="36">
        <v>0.133656384812674</v>
      </c>
      <c r="BF26" s="36">
        <v>0.19638881400538999</v>
      </c>
      <c r="BG26" s="36">
        <v>0.50198667509878603</v>
      </c>
      <c r="BH26" s="36">
        <v>0.69314718055994495</v>
      </c>
      <c r="BI26" s="36">
        <v>0.405465108108164</v>
      </c>
      <c r="BJ26" s="36">
        <v>0.55961578793542299</v>
      </c>
      <c r="BK26" s="36">
        <v>0.55961578793542299</v>
      </c>
      <c r="BL26" s="36">
        <v>0.69314718055994495</v>
      </c>
      <c r="BM26" s="36">
        <v>0.22314355131420999</v>
      </c>
      <c r="BN26" s="36">
        <v>0.69314718055994495</v>
      </c>
      <c r="BO26" s="36">
        <v>0.55961578793542299</v>
      </c>
      <c r="BP26" s="36">
        <v>0.916290731874155</v>
      </c>
      <c r="BQ26" s="36">
        <v>0.405465108108164</v>
      </c>
      <c r="BR26" s="36">
        <v>0</v>
      </c>
      <c r="BS26" s="36">
        <v>0.51102560376865702</v>
      </c>
      <c r="BT26" s="36">
        <v>3.5361069907765299</v>
      </c>
      <c r="BU26" s="36">
        <v>3.9318256327243302</v>
      </c>
      <c r="BV26" s="36">
        <v>2.8716984926305398</v>
      </c>
      <c r="BW26" s="36">
        <v>3.4473491476832998</v>
      </c>
      <c r="BX26" s="36">
        <v>0.48550781578170099</v>
      </c>
      <c r="BY26" s="36">
        <v>2.2944521097638599</v>
      </c>
      <c r="BZ26" s="36">
        <v>1.7465877505813301</v>
      </c>
      <c r="CA26" s="36">
        <v>4.5226686244762897</v>
      </c>
      <c r="CB26" s="36">
        <v>2.4819783899502599</v>
      </c>
      <c r="CC26" s="36">
        <v>4.0831712615678004</v>
      </c>
      <c r="CD26" s="36">
        <v>2.0816321231034198</v>
      </c>
      <c r="CE26" s="36">
        <v>3.2061637894290902</v>
      </c>
      <c r="CF26" s="36">
        <v>0</v>
      </c>
      <c r="CH26" t="str">
        <f t="shared" si="0"/>
        <v>/*85*/ 100  1 2.82731362192903 2.20937271127187 2.54788144894939 6.85646198459459 6.19644412779452 6.0591231955818 7.53208814354172 1.43864959145382 1.35144408368414 1.52060669872748 1.6568938535904 1.51072193949494 0.729479109807336 0.302324349188651 0.213497174262404 0.152721087017664 0.221542269947236 0.148420005118273 0.518793793415168 0.431782416425538 0.262364264467491 0.518793793415168 2.72366104861636 0 0 0 0 1.90419489855784 4.55688289535656 0 4.61512051684126 4.55688289535656 0.214304602647005 0.155292884406035 0.24137631957527 0.185649346886629 0.166361537215225 0.431782416425538 0.392042087776024 0.512823626428664 0.512823626428664 4.01036494842683 0.122217632724249 3.65065824129374 3.93182563272433 0 3.40674861170048 4.01036494842683 0.693147180559945 3.53610699077653 0.22314355131421 0.22314355131421 0.133656384812674 0.19638881400539 0.501986675098786 0.693147180559945 0.405465108108164 0.559615787935423 0.559615787935423 0.693147180559945 0.22314355131421 0.693147180559945 0.559615787935423 0.916290731874155 0.405465108108164 0 0.511025603768657 3.53610699077653 3.93182563272433 2.87169849263054 3.4473491476833 0.485507815781701 2.29445210976386 1.74658775058133 4.52266862447629 2.48197838995026 4.0831712615678 2.08163212310342 3.20616378942909 0;</v>
      </c>
    </row>
    <row r="27" spans="1:86" x14ac:dyDescent="0.25">
      <c r="A27" s="2">
        <v>86</v>
      </c>
      <c r="B27" s="2">
        <v>0</v>
      </c>
      <c r="C27" s="2">
        <v>0</v>
      </c>
      <c r="D27" s="2">
        <v>0</v>
      </c>
      <c r="E27" s="36">
        <v>2.8094026953625</v>
      </c>
      <c r="F27" s="36">
        <v>2.2396452932201698</v>
      </c>
      <c r="G27" s="36">
        <v>2.5305171610400499</v>
      </c>
      <c r="H27" s="36">
        <v>6.1070228877422501</v>
      </c>
      <c r="I27" s="36">
        <v>6.1654178542314204</v>
      </c>
      <c r="J27" s="36">
        <v>6.3026189757449096</v>
      </c>
      <c r="K27" s="36">
        <v>7.2923371761738798</v>
      </c>
      <c r="L27" s="36">
        <v>0.452348694007015</v>
      </c>
      <c r="M27" s="36">
        <v>1.3015531326648</v>
      </c>
      <c r="N27" s="36">
        <v>1.42021257932335</v>
      </c>
      <c r="O27" s="36">
        <v>1.3252165116112999</v>
      </c>
      <c r="P27" s="36">
        <v>1.3501489144835399</v>
      </c>
      <c r="Q27" s="36">
        <v>0.60976557162089395</v>
      </c>
      <c r="R27" s="36">
        <v>0.20130685670503501</v>
      </c>
      <c r="S27" s="36">
        <v>0.22314355131420999</v>
      </c>
      <c r="T27" s="36">
        <v>0.180653499693258</v>
      </c>
      <c r="U27" s="36">
        <v>0.202124184090134</v>
      </c>
      <c r="V27" s="36">
        <v>0.11511280710050401</v>
      </c>
      <c r="W27" s="36">
        <v>0.431782416425538</v>
      </c>
      <c r="X27" s="36">
        <v>0.44468582126144601</v>
      </c>
      <c r="Y27" s="36">
        <v>0.36464311358790902</v>
      </c>
      <c r="Z27" s="36">
        <v>0.44468582126144601</v>
      </c>
      <c r="AA27" s="36">
        <v>2.6234359487123</v>
      </c>
      <c r="AB27" s="36">
        <v>1.4662601427577699</v>
      </c>
      <c r="AC27" s="36">
        <v>0</v>
      </c>
      <c r="AD27" s="36">
        <v>2.0369254045767602</v>
      </c>
      <c r="AE27" s="36">
        <v>2.3978952727983698</v>
      </c>
      <c r="AF27" s="36">
        <v>0</v>
      </c>
      <c r="AG27" s="36">
        <v>4.5108595065168497</v>
      </c>
      <c r="AH27" s="36">
        <v>0</v>
      </c>
      <c r="AI27" s="36">
        <v>4.5108595065168497</v>
      </c>
      <c r="AJ27" s="36">
        <v>4.5108595065168497</v>
      </c>
      <c r="AK27" s="36">
        <v>0.22793206804600699</v>
      </c>
      <c r="AL27" s="36">
        <v>0.212689093410351</v>
      </c>
      <c r="AM27" s="36">
        <v>0.184818436992542</v>
      </c>
      <c r="AN27" s="36">
        <v>0.20863886511132801</v>
      </c>
      <c r="AO27" s="36">
        <v>0.20375683751401999</v>
      </c>
      <c r="AP27" s="36">
        <v>0.54232429082536204</v>
      </c>
      <c r="AQ27" s="36">
        <v>0.65232518603969003</v>
      </c>
      <c r="AR27" s="36">
        <v>0.37843643572024499</v>
      </c>
      <c r="AS27" s="36">
        <v>0.65232518603969003</v>
      </c>
      <c r="AT27" s="36">
        <v>3.6506582412937401</v>
      </c>
      <c r="AU27" s="36">
        <v>0.28743204119657201</v>
      </c>
      <c r="AV27" s="36">
        <v>3.6506582412937401</v>
      </c>
      <c r="AW27" s="36">
        <v>3.6506582412937401</v>
      </c>
      <c r="AX27" s="36">
        <v>2.6026896854443802</v>
      </c>
      <c r="AY27" s="36">
        <v>3.4067486117004799</v>
      </c>
      <c r="AZ27" s="36">
        <v>3.6506582412937401</v>
      </c>
      <c r="BA27" s="36">
        <v>1.0116009116784801</v>
      </c>
      <c r="BB27" s="36">
        <v>4.0831656436306698</v>
      </c>
      <c r="BC27" s="36">
        <v>0</v>
      </c>
      <c r="BD27" s="36">
        <v>0</v>
      </c>
      <c r="BE27" s="36">
        <v>0</v>
      </c>
      <c r="BF27" s="36">
        <v>0</v>
      </c>
      <c r="BG27" s="36">
        <v>0.31845373111853498</v>
      </c>
      <c r="BH27" s="36">
        <v>0</v>
      </c>
      <c r="BI27" s="36">
        <v>0</v>
      </c>
      <c r="BJ27" s="36">
        <v>0</v>
      </c>
      <c r="BK27" s="36">
        <v>0</v>
      </c>
      <c r="BL27" s="36">
        <v>0.22314355131420999</v>
      </c>
      <c r="BM27" s="36">
        <v>0</v>
      </c>
      <c r="BN27" s="36">
        <v>0.69314718055994495</v>
      </c>
      <c r="BO27" s="36">
        <v>0.34854196070854299</v>
      </c>
      <c r="BP27" s="36">
        <v>0.55961578793542299</v>
      </c>
      <c r="BQ27" s="36">
        <v>0.405465108108164</v>
      </c>
      <c r="BR27" s="36">
        <v>0.55961578793542299</v>
      </c>
      <c r="BS27" s="36">
        <v>0.51102560376865702</v>
      </c>
      <c r="BT27" s="36">
        <v>3.5361069907765299</v>
      </c>
      <c r="BU27" s="36">
        <v>4.0103649484268296</v>
      </c>
      <c r="BV27" s="36">
        <v>2.6026896854443802</v>
      </c>
      <c r="BW27" s="36">
        <v>3.4067486117004799</v>
      </c>
      <c r="BX27" s="36">
        <v>0.98095424519987695</v>
      </c>
      <c r="BY27" s="36">
        <v>4.1784405825751998</v>
      </c>
      <c r="BZ27" s="36">
        <v>2.8350352128566998</v>
      </c>
      <c r="CA27" s="36">
        <v>3.6037572006971001</v>
      </c>
      <c r="CB27" s="36">
        <v>1.8760451919530401</v>
      </c>
      <c r="CC27" s="36">
        <v>2.8452599124933302</v>
      </c>
      <c r="CD27" s="36">
        <v>2.9815619957161101</v>
      </c>
      <c r="CE27" s="36">
        <v>4.0760884770329397</v>
      </c>
      <c r="CF27" s="36">
        <v>0.96818685954120598</v>
      </c>
      <c r="CH27" t="str">
        <f t="shared" si="0"/>
        <v>/*86*/ 000  1 2.8094026953625 2.23964529322017 2.53051716104005 6.10702288774225 6.16541785423142 6.30261897574491 7.29233717617388 0.452348694007015 1.3015531326648 1.42021257932335 1.3252165116113 1.35014891448354 0.609765571620894 0.201306856705035 0.22314355131421 0.180653499693258 0.202124184090134 0.115112807100504 0.431782416425538 0.444685821261446 0.364643113587909 0.444685821261446 2.6234359487123 1.46626014275777 0 2.03692540457676 2.39789527279837 0 4.51085950651685 0 4.51085950651685 4.51085950651685 0.227932068046007 0.212689093410351 0.184818436992542 0.208638865111328 0.20375683751402 0.542324290825362 0.65232518603969 0.378436435720245 0.65232518603969 3.65065824129374 0.287432041196572 3.65065824129374 3.65065824129374 2.60268968544438 3.40674861170048 3.65065824129374 1.01160091167848 4.08316564363067 0 0 0 0 0.318453731118535 0 0 0 0 0.22314355131421 0 0.693147180559945 0.348541960708543 0.559615787935423 0.405465108108164 0.559615787935423 0.511025603768657 3.53610699077653 4.01036494842683 2.60268968544438 3.40674861170048 0.980954245199877 4.1784405825752 2.8350352128567 3.6037572006971 1.87604519195304 2.84525991249333 2.98156199571611 4.07608847703294 0.968186859541206;</v>
      </c>
    </row>
    <row r="28" spans="1:86" x14ac:dyDescent="0.25">
      <c r="A28" s="2">
        <v>93</v>
      </c>
      <c r="B28" s="2">
        <v>0</v>
      </c>
      <c r="C28" s="2">
        <v>0</v>
      </c>
      <c r="D28" s="2">
        <v>1</v>
      </c>
      <c r="E28" s="36">
        <v>2.81540871942271</v>
      </c>
      <c r="F28" s="36">
        <v>2.2554934854602</v>
      </c>
      <c r="G28" s="36">
        <v>2.5360749363623998</v>
      </c>
      <c r="H28" s="36">
        <v>6.0913098820776996</v>
      </c>
      <c r="I28" s="36">
        <v>5.7397929121792304</v>
      </c>
      <c r="J28" s="36">
        <v>6.1923624894748697</v>
      </c>
      <c r="K28" s="36">
        <v>7.1228666585990803</v>
      </c>
      <c r="L28" s="36">
        <v>0</v>
      </c>
      <c r="M28" s="36">
        <v>0.87546873735389996</v>
      </c>
      <c r="N28" s="36">
        <v>0.94117844738193401</v>
      </c>
      <c r="O28" s="36">
        <v>1.0777290777516899</v>
      </c>
      <c r="P28" s="36">
        <v>0.96812388051417197</v>
      </c>
      <c r="Q28" s="36">
        <v>0.55847227723334403</v>
      </c>
      <c r="R28" s="36">
        <v>0.11511280710050401</v>
      </c>
      <c r="S28" s="36">
        <v>0.122217632724249</v>
      </c>
      <c r="T28" s="36">
        <v>0.23744085601503401</v>
      </c>
      <c r="U28" s="36">
        <v>0.16126814759612201</v>
      </c>
      <c r="V28" s="36">
        <v>0.135404637006203</v>
      </c>
      <c r="W28" s="36">
        <v>0.24686007793152601</v>
      </c>
      <c r="X28" s="36">
        <v>0.18232155679395501</v>
      </c>
      <c r="Y28" s="36">
        <v>0.51879379341516796</v>
      </c>
      <c r="Z28" s="36">
        <v>0.51879379341516796</v>
      </c>
      <c r="AA28" s="36">
        <v>2.33447128185637</v>
      </c>
      <c r="AB28" s="36">
        <v>0</v>
      </c>
      <c r="AC28" s="36">
        <v>2.7609588567576102</v>
      </c>
      <c r="AD28" s="36">
        <v>2.1290646921531602</v>
      </c>
      <c r="AE28" s="36">
        <v>3.14510010520481</v>
      </c>
      <c r="AF28" s="36">
        <v>2.4941141305389101</v>
      </c>
      <c r="AG28" s="36">
        <v>4.2145986164699201</v>
      </c>
      <c r="AH28" s="36">
        <v>0</v>
      </c>
      <c r="AI28" s="36">
        <v>4.3666337700664002</v>
      </c>
      <c r="AJ28" s="36">
        <v>4.2145986164699201</v>
      </c>
      <c r="AK28" s="36">
        <v>0.20782684720231701</v>
      </c>
      <c r="AL28" s="36">
        <v>0.13015068446504499</v>
      </c>
      <c r="AM28" s="36">
        <v>0.137149838147234</v>
      </c>
      <c r="AN28" s="36">
        <v>0.157003748809665</v>
      </c>
      <c r="AO28" s="36">
        <v>0.149281702715754</v>
      </c>
      <c r="AP28" s="36">
        <v>0.405465108108164</v>
      </c>
      <c r="AQ28" s="36">
        <v>0.231111720963387</v>
      </c>
      <c r="AR28" s="36">
        <v>0.44468582126144601</v>
      </c>
      <c r="AS28" s="36">
        <v>0.44468582126144601</v>
      </c>
      <c r="AT28" s="36">
        <v>3.4067486117004799</v>
      </c>
      <c r="AU28" s="36">
        <v>0.377065633586466</v>
      </c>
      <c r="AV28" s="36">
        <v>0</v>
      </c>
      <c r="AW28" s="36">
        <v>3.2580965380214799</v>
      </c>
      <c r="AX28" s="36">
        <v>3.9318256327243302</v>
      </c>
      <c r="AY28" s="36">
        <v>3.2580965380214799</v>
      </c>
      <c r="AZ28" s="36">
        <v>3.84658808264264</v>
      </c>
      <c r="BA28" s="36">
        <v>0.84715499303929298</v>
      </c>
      <c r="BB28" s="36">
        <v>3.9318256327243302</v>
      </c>
      <c r="BC28" s="36">
        <v>0</v>
      </c>
      <c r="BD28" s="36">
        <v>0.117783035656383</v>
      </c>
      <c r="BE28" s="36">
        <v>0</v>
      </c>
      <c r="BF28" s="36">
        <v>4.1141943331175199E-2</v>
      </c>
      <c r="BG28" s="36">
        <v>0.433080275141138</v>
      </c>
      <c r="BH28" s="36">
        <v>0</v>
      </c>
      <c r="BI28" s="36">
        <v>0</v>
      </c>
      <c r="BJ28" s="36">
        <v>0.405465108108164</v>
      </c>
      <c r="BK28" s="36">
        <v>0.15443635330441899</v>
      </c>
      <c r="BL28" s="36">
        <v>0</v>
      </c>
      <c r="BM28" s="36">
        <v>0</v>
      </c>
      <c r="BN28" s="36">
        <v>0</v>
      </c>
      <c r="BO28" s="36">
        <v>0</v>
      </c>
      <c r="BP28" s="36">
        <v>0</v>
      </c>
      <c r="BQ28" s="36">
        <v>0</v>
      </c>
      <c r="BR28" s="36">
        <v>0.916290731874155</v>
      </c>
      <c r="BS28" s="36">
        <v>0.405465108108164</v>
      </c>
      <c r="BT28" s="36">
        <v>3.6506582412937401</v>
      </c>
      <c r="BU28" s="36">
        <v>4.1510399058986502</v>
      </c>
      <c r="BV28" s="36">
        <v>0</v>
      </c>
      <c r="BW28" s="36">
        <v>3.1832486472250499</v>
      </c>
      <c r="BX28" s="36">
        <v>4.4016885416774301E-2</v>
      </c>
      <c r="BY28" s="36">
        <v>3.56837709945879</v>
      </c>
      <c r="BZ28" s="36">
        <v>2.7124405494035</v>
      </c>
      <c r="CA28" s="36">
        <v>4.1978182990316597</v>
      </c>
      <c r="CB28" s="36">
        <v>0.48792385971868801</v>
      </c>
      <c r="CC28" s="36">
        <v>4.14731883286042</v>
      </c>
      <c r="CD28" s="36">
        <v>1.91950897979504</v>
      </c>
      <c r="CE28" s="36">
        <v>3.37227150283899</v>
      </c>
      <c r="CF28" s="36">
        <v>1.42181933227014</v>
      </c>
      <c r="CH28" t="str">
        <f t="shared" si="0"/>
        <v>/*93*/ 001  1 2.81540871942271 2.2554934854602 2.5360749363624 6.0913098820777 5.73979291217923 6.19236248947487 7.12286665859908 0 0.8754687373539 0.941178447381934 1.07772907775169 0.968123880514172 0.558472277233344 0.115112807100504 0.122217632724249 0.237440856015034 0.161268147596122 0.135404637006203 0.246860077931526 0.182321556793955 0.518793793415168 0.518793793415168 2.33447128185637 0 2.76095885675761 2.12906469215316 3.14510010520481 2.49411413053891 4.21459861646992 0 4.3666337700664 4.21459861646992 0.207826847202317 0.130150684465045 0.137149838147234 0.157003748809665 0.149281702715754 0.405465108108164 0.231111720963387 0.444685821261446 0.444685821261446 3.40674861170048 0.377065633586466 0 3.25809653802148 3.93182563272433 3.25809653802148 3.84658808264264 0.847154993039293 3.93182563272433 0 0.117783035656383 0 4.11419433311752E-02 0.433080275141138 0 0 0.405465108108164 0.154436353304419 0 0 0 0 0 0 0.916290731874155 0.405465108108164 3.65065824129374 4.15103990589865 0 3.18324864722505 4.40168854167743E-02 3.56837709945879 2.7124405494035 4.19781829903166 0.487923859718688 4.14731883286042 1.91950897979504 3.37227150283899 1.42181933227014;</v>
      </c>
    </row>
    <row r="29" spans="1:86" x14ac:dyDescent="0.25">
      <c r="A29" s="2">
        <v>96</v>
      </c>
      <c r="B29" s="2">
        <v>0</v>
      </c>
      <c r="C29" s="2">
        <v>0</v>
      </c>
      <c r="D29" s="2">
        <v>0</v>
      </c>
      <c r="E29" s="36">
        <v>2.9231615807191602</v>
      </c>
      <c r="F29" s="36">
        <v>2.24812890719799</v>
      </c>
      <c r="G29" s="36">
        <v>2.2834022735772699</v>
      </c>
      <c r="H29" s="36">
        <v>7.6718267978787802</v>
      </c>
      <c r="I29" s="36">
        <v>7.3011478058560302</v>
      </c>
      <c r="J29" s="36">
        <v>6.8772960714974296</v>
      </c>
      <c r="K29" s="36">
        <v>8.4331591958062297</v>
      </c>
      <c r="L29" s="36">
        <v>0</v>
      </c>
      <c r="M29" s="36">
        <v>1.8082887711792699</v>
      </c>
      <c r="N29" s="36">
        <v>1.7535382564078601</v>
      </c>
      <c r="O29" s="36">
        <v>1.72952939269192</v>
      </c>
      <c r="P29" s="36">
        <v>1.76438827243192</v>
      </c>
      <c r="Q29" s="36">
        <v>0.79840769121743804</v>
      </c>
      <c r="R29" s="36">
        <v>0.29639401305380197</v>
      </c>
      <c r="S29" s="36">
        <v>0.19803085049913499</v>
      </c>
      <c r="T29" s="36">
        <v>0.24607852259670601</v>
      </c>
      <c r="U29" s="36">
        <v>0.247641022914597</v>
      </c>
      <c r="V29" s="36">
        <v>0.136277618292548</v>
      </c>
      <c r="W29" s="36">
        <v>0.60976557162089395</v>
      </c>
      <c r="X29" s="36">
        <v>0.32930374714260002</v>
      </c>
      <c r="Y29" s="36">
        <v>0.350656871613169</v>
      </c>
      <c r="Z29" s="36">
        <v>0.60976557162089395</v>
      </c>
      <c r="AA29" s="36">
        <v>2.9021356248164101</v>
      </c>
      <c r="AB29" s="36">
        <v>0</v>
      </c>
      <c r="AC29" s="36">
        <v>3.0031546593696299</v>
      </c>
      <c r="AD29" s="36">
        <v>1.1403938226830601</v>
      </c>
      <c r="AE29" s="36">
        <v>3.1035547560827399</v>
      </c>
      <c r="AF29" s="36">
        <v>0</v>
      </c>
      <c r="AG29" s="36">
        <v>4.3237087253493698</v>
      </c>
      <c r="AH29" s="36">
        <v>1.65918000432891</v>
      </c>
      <c r="AI29" s="36">
        <v>4.3785581263475297</v>
      </c>
      <c r="AJ29" s="36">
        <v>4.3237087253493698</v>
      </c>
      <c r="AK29" s="36">
        <v>0.231111720963387</v>
      </c>
      <c r="AL29" s="36">
        <v>0.30453918951820402</v>
      </c>
      <c r="AM29" s="36">
        <v>0.24373018492259799</v>
      </c>
      <c r="AN29" s="36">
        <v>0.25619140536041002</v>
      </c>
      <c r="AO29" s="36">
        <v>0.210260925483196</v>
      </c>
      <c r="AP29" s="36">
        <v>0.636576829071551</v>
      </c>
      <c r="AQ29" s="36">
        <v>0.636576829071551</v>
      </c>
      <c r="AR29" s="36">
        <v>0.42526773540434398</v>
      </c>
      <c r="AS29" s="36">
        <v>0.636576829071551</v>
      </c>
      <c r="AT29" s="36">
        <v>3.5361069907765299</v>
      </c>
      <c r="AU29" s="36">
        <v>0.377065633586466</v>
      </c>
      <c r="AV29" s="36">
        <v>3.6506582412937401</v>
      </c>
      <c r="AW29" s="36">
        <v>3.2580965380214799</v>
      </c>
      <c r="AX29" s="36">
        <v>0</v>
      </c>
      <c r="AY29" s="36">
        <v>3.0834225866809799</v>
      </c>
      <c r="AZ29" s="36">
        <v>3.84658808264264</v>
      </c>
      <c r="BA29" s="36">
        <v>0.69314718055994495</v>
      </c>
      <c r="BB29" s="36">
        <v>3.7534257877209898</v>
      </c>
      <c r="BC29" s="36">
        <v>0</v>
      </c>
      <c r="BD29" s="36">
        <v>0</v>
      </c>
      <c r="BE29" s="36">
        <v>0.62860865942237398</v>
      </c>
      <c r="BF29" s="36">
        <v>0.25619140536041002</v>
      </c>
      <c r="BG29" s="36">
        <v>0.48550781578170099</v>
      </c>
      <c r="BH29" s="36">
        <v>0</v>
      </c>
      <c r="BI29" s="36">
        <v>0</v>
      </c>
      <c r="BJ29" s="36">
        <v>0</v>
      </c>
      <c r="BK29" s="36">
        <v>0</v>
      </c>
      <c r="BL29" s="36">
        <v>0.22314355131420999</v>
      </c>
      <c r="BM29" s="36">
        <v>0.405465108108164</v>
      </c>
      <c r="BN29" s="36">
        <v>0.22314355131420999</v>
      </c>
      <c r="BO29" s="36">
        <v>0.28743204119657201</v>
      </c>
      <c r="BP29" s="36">
        <v>0.405465108108164</v>
      </c>
      <c r="BQ29" s="36">
        <v>0</v>
      </c>
      <c r="BR29" s="36">
        <v>0.405465108108164</v>
      </c>
      <c r="BS29" s="36">
        <v>0.28743204119657201</v>
      </c>
      <c r="BT29" s="36">
        <v>2.2335565065836098</v>
      </c>
      <c r="BU29" s="36">
        <v>4.2145986164699201</v>
      </c>
      <c r="BV29" s="36">
        <v>3.2580965380214799</v>
      </c>
      <c r="BW29" s="36">
        <v>3.7727609380946401</v>
      </c>
      <c r="BX29" s="36">
        <v>1.0267581849001299</v>
      </c>
      <c r="BY29" s="36">
        <v>3.7139378534547101</v>
      </c>
      <c r="BZ29" s="36">
        <v>2.7461805764634799</v>
      </c>
      <c r="CA29" s="36">
        <v>4.1106279322952002</v>
      </c>
      <c r="CB29" s="36">
        <v>1.3726999190012801</v>
      </c>
      <c r="CC29" s="36">
        <v>2.5858794846373798</v>
      </c>
      <c r="CD29" s="36">
        <v>2.56091251575373</v>
      </c>
      <c r="CE29" s="36">
        <v>3.58873354208046</v>
      </c>
      <c r="CF29" s="36">
        <v>3.6501267164230602</v>
      </c>
      <c r="CH29" t="str">
        <f t="shared" si="0"/>
        <v>/*96*/ 000  1 2.92316158071916 2.24812890719799 2.28340227357727 7.67182679787878 7.30114780585603 6.87729607149743 8.43315919580623 0 1.80828877117927 1.75353825640786 1.72952939269192 1.76438827243192 0.798407691217438 0.296394013053802 0.198030850499135 0.246078522596706 0.247641022914597 0.136277618292548 0.609765571620894 0.3293037471426 0.350656871613169 0.609765571620894 2.90213562481641 0 3.00315465936963 1.14039382268306 3.10355475608274 0 4.32370872534937 1.65918000432891 4.37855812634753 4.32370872534937 0.231111720963387 0.304539189518204 0.243730184922598 0.25619140536041 0.210260925483196 0.636576829071551 0.636576829071551 0.425267735404344 0.636576829071551 3.53610699077653 0.377065633586466 3.65065824129374 3.25809653802148 0 3.08342258668098 3.84658808264264 0.693147180559945 3.75342578772099 0 0 0.628608659422374 0.25619140536041 0.485507815781701 0 0 0 0 0.22314355131421 0.405465108108164 0.22314355131421 0.287432041196572 0.405465108108164 0 0.405465108108164 0.287432041196572 2.23355650658361 4.21459861646992 3.25809653802148 3.77276093809464 1.02675818490013 3.71393785345471 2.74618057646348 4.1106279322952 1.37269991900128 2.58587948463738 2.56091251575373 3.58873354208046 3.65012671642306;</v>
      </c>
    </row>
    <row r="30" spans="1:86" x14ac:dyDescent="0.25">
      <c r="A30" s="2">
        <v>108</v>
      </c>
      <c r="B30" s="2">
        <v>0</v>
      </c>
      <c r="C30" s="2">
        <v>0</v>
      </c>
      <c r="D30" s="2">
        <v>0</v>
      </c>
      <c r="E30" s="36">
        <v>2.92852352386054</v>
      </c>
      <c r="F30" s="36">
        <v>2.1938856760707002</v>
      </c>
      <c r="G30" s="36">
        <v>2.5855058483441198</v>
      </c>
      <c r="H30" s="36">
        <v>6.9819346771563904</v>
      </c>
      <c r="I30" s="36">
        <v>6.6039438246004698</v>
      </c>
      <c r="J30" s="36">
        <v>6.2383246250395104</v>
      </c>
      <c r="K30" s="36">
        <v>7.7514753180214599</v>
      </c>
      <c r="L30" s="36">
        <v>0</v>
      </c>
      <c r="M30" s="36">
        <v>1.4872702784598899</v>
      </c>
      <c r="N30" s="36">
        <v>1.27759494419655</v>
      </c>
      <c r="O30" s="36">
        <v>1.3578948865981899</v>
      </c>
      <c r="P30" s="36">
        <v>1.3780101415321899</v>
      </c>
      <c r="Q30" s="36">
        <v>0.72464584761931605</v>
      </c>
      <c r="R30" s="36">
        <v>0.26390154378637798</v>
      </c>
      <c r="S30" s="36">
        <v>0.3974329364109</v>
      </c>
      <c r="T30" s="36">
        <v>0.25773819607870901</v>
      </c>
      <c r="U30" s="36">
        <v>0.307484699747961</v>
      </c>
      <c r="V30" s="36">
        <v>0.24920108563349899</v>
      </c>
      <c r="W30" s="36">
        <v>0.832909122935104</v>
      </c>
      <c r="X30" s="36">
        <v>0.78845736036427005</v>
      </c>
      <c r="Y30" s="36">
        <v>0.57661336430399401</v>
      </c>
      <c r="Z30" s="36">
        <v>0.832909122935104</v>
      </c>
      <c r="AA30" s="36">
        <v>2.2242991745955001</v>
      </c>
      <c r="AB30" s="36">
        <v>0</v>
      </c>
      <c r="AC30" s="36">
        <v>2.2091531482014899</v>
      </c>
      <c r="AD30" s="36">
        <v>1.30914330193148</v>
      </c>
      <c r="AE30" s="36">
        <v>2.4690313006297102</v>
      </c>
      <c r="AF30" s="36">
        <v>2.2091531482014899</v>
      </c>
      <c r="AG30" s="36">
        <v>4.4077065645841103</v>
      </c>
      <c r="AH30" s="36">
        <v>0</v>
      </c>
      <c r="AI30" s="36">
        <v>4.5019074684124103</v>
      </c>
      <c r="AJ30" s="36">
        <v>4.4077065645841103</v>
      </c>
      <c r="AK30" s="36">
        <v>0.27687387373517802</v>
      </c>
      <c r="AL30" s="36">
        <v>0.186479566942618</v>
      </c>
      <c r="AM30" s="36">
        <v>0.23980399220731699</v>
      </c>
      <c r="AN30" s="36">
        <v>0.231111720963387</v>
      </c>
      <c r="AO30" s="36">
        <v>0.21913552991667101</v>
      </c>
      <c r="AP30" s="36">
        <v>0.60976557162089395</v>
      </c>
      <c r="AQ30" s="36">
        <v>0.51282362642866397</v>
      </c>
      <c r="AR30" s="36">
        <v>0.69813472207098404</v>
      </c>
      <c r="AS30" s="36">
        <v>0.69813472207098404</v>
      </c>
      <c r="AT30" s="36">
        <v>3.2580965380214799</v>
      </c>
      <c r="AU30" s="36">
        <v>0.33002291294130598</v>
      </c>
      <c r="AV30" s="36">
        <v>2.6026896854443802</v>
      </c>
      <c r="AW30" s="36">
        <v>3.9318256327243302</v>
      </c>
      <c r="AX30" s="36">
        <v>3.6506582412937401</v>
      </c>
      <c r="AY30" s="36">
        <v>3.5361069907765299</v>
      </c>
      <c r="AZ30" s="36">
        <v>3.6506582412937401</v>
      </c>
      <c r="BA30" s="36">
        <v>0.88252710172134596</v>
      </c>
      <c r="BB30" s="36">
        <v>3.7534257877209898</v>
      </c>
      <c r="BC30" s="36">
        <v>0</v>
      </c>
      <c r="BD30" s="36">
        <v>0.22314355131420999</v>
      </c>
      <c r="BE30" s="36">
        <v>0</v>
      </c>
      <c r="BF30" s="36">
        <v>7.9734968018853505E-2</v>
      </c>
      <c r="BG30" s="36">
        <v>4.1141943331175199E-2</v>
      </c>
      <c r="BH30" s="36">
        <v>0.81093021621632899</v>
      </c>
      <c r="BI30" s="36">
        <v>1.0116009116784801</v>
      </c>
      <c r="BJ30" s="36">
        <v>0.22314355131420999</v>
      </c>
      <c r="BK30" s="36">
        <v>0.73380916227883497</v>
      </c>
      <c r="BL30" s="36">
        <v>0.22314355131420999</v>
      </c>
      <c r="BM30" s="36">
        <v>0</v>
      </c>
      <c r="BN30" s="36">
        <v>0</v>
      </c>
      <c r="BO30" s="36">
        <v>7.9734968018853505E-2</v>
      </c>
      <c r="BP30" s="36">
        <v>0.405465108108164</v>
      </c>
      <c r="BQ30" s="36">
        <v>1.0116009116784801</v>
      </c>
      <c r="BR30" s="36">
        <v>0.405465108108164</v>
      </c>
      <c r="BS30" s="36">
        <v>0.65076146406350699</v>
      </c>
      <c r="BT30" s="36">
        <v>2.8716984926305398</v>
      </c>
      <c r="BU30" s="36">
        <v>4.3841119588732198</v>
      </c>
      <c r="BV30" s="36">
        <v>1.64229224930505</v>
      </c>
      <c r="BW30" s="36">
        <v>3.5421759749217299</v>
      </c>
      <c r="BX30" s="36">
        <v>0.65076146406350699</v>
      </c>
      <c r="BY30" s="36">
        <v>4.6151205168412597</v>
      </c>
      <c r="BZ30" s="36">
        <v>0</v>
      </c>
      <c r="CA30" s="36">
        <v>0</v>
      </c>
      <c r="CB30" s="36">
        <v>1.0368256342031801</v>
      </c>
      <c r="CC30" s="36">
        <v>0.29363700260791897</v>
      </c>
      <c r="CD30" s="36">
        <v>2.0128531393707201</v>
      </c>
      <c r="CE30" s="36">
        <v>3.9658171518168701</v>
      </c>
      <c r="CF30" s="36">
        <v>3.70353266180856</v>
      </c>
      <c r="CH30" t="str">
        <f t="shared" si="0"/>
        <v>/*108*/ 000  1 2.92852352386054 2.1938856760707 2.58550584834412 6.98193467715639 6.60394382460047 6.23832462503951 7.75147531802146 0 1.48727027845989 1.27759494419655 1.35789488659819 1.37801014153219 0.724645847619316 0.263901543786378 0.3974329364109 0.257738196078709 0.307484699747961 0.249201085633499 0.832909122935104 0.78845736036427 0.576613364303994 0.832909122935104 2.2242991745955 0 2.20915314820149 1.30914330193148 2.46903130062971 2.20915314820149 4.40770656458411 0 4.50190746841241 4.40770656458411 0.276873873735178 0.186479566942618 0.239803992207317 0.231111720963387 0.219135529916671 0.609765571620894 0.512823626428664 0.698134722070984 0.698134722070984 3.25809653802148 0.330022912941306 2.60268968544438 3.93182563272433 3.65065824129374 3.53610699077653 3.65065824129374 0.882527101721346 3.75342578772099 0 0.22314355131421 0 7.97349680188535E-02 4.11419433311752E-02 0.810930216216329 1.01160091167848 0.22314355131421 0.733809162278835 0.22314355131421 0 0 7.97349680188535E-02 0.405465108108164 1.01160091167848 0.405465108108164 0.650761464063507 2.87169849263054 4.38411195887322 1.64229224930505 3.54217597492173 0.650761464063507 4.61512051684126 0 0 1.03682563420318 0.293637002607919 2.01285313937072 3.96581715181687 3.70353266180856;</v>
      </c>
    </row>
    <row r="31" spans="1:86" x14ac:dyDescent="0.25">
      <c r="A31" s="2">
        <v>109</v>
      </c>
      <c r="B31" s="2">
        <v>0</v>
      </c>
      <c r="C31" s="2">
        <v>0</v>
      </c>
      <c r="D31" s="2">
        <v>0</v>
      </c>
      <c r="E31" s="36">
        <v>2.68102152871429</v>
      </c>
      <c r="F31" s="36">
        <v>2.2975725511705001</v>
      </c>
      <c r="G31" s="36">
        <v>2.51446545202954</v>
      </c>
      <c r="H31" s="36">
        <v>6.8373328146855901</v>
      </c>
      <c r="I31" s="36">
        <v>5.5683445037611001</v>
      </c>
      <c r="J31" s="36">
        <v>5.5721540321777603</v>
      </c>
      <c r="K31" s="36">
        <v>7.2827611796055898</v>
      </c>
      <c r="L31" s="36">
        <v>0.60157998703445503</v>
      </c>
      <c r="M31" s="36">
        <v>1.5581446180465499</v>
      </c>
      <c r="N31" s="36">
        <v>1.67485105098233</v>
      </c>
      <c r="O31" s="36">
        <v>1.4410192608091399</v>
      </c>
      <c r="P31" s="36">
        <v>1.5625559265339699</v>
      </c>
      <c r="Q31" s="36">
        <v>0.877549903557725</v>
      </c>
      <c r="R31" s="36">
        <v>0.24607852259670601</v>
      </c>
      <c r="S31" s="36">
        <v>0.131028262406404</v>
      </c>
      <c r="T31" s="36">
        <v>0.24137631957527</v>
      </c>
      <c r="U31" s="36">
        <v>0.20620083058389799</v>
      </c>
      <c r="V31" s="36">
        <v>0.17563256864315799</v>
      </c>
      <c r="W31" s="36">
        <v>0.58778666490211895</v>
      </c>
      <c r="X31" s="36">
        <v>0.21511137961694499</v>
      </c>
      <c r="Y31" s="36">
        <v>0.50681760236845197</v>
      </c>
      <c r="Z31" s="36">
        <v>0.58778666490211895</v>
      </c>
      <c r="AA31" s="36">
        <v>2.8589957499805201</v>
      </c>
      <c r="AB31" s="36">
        <v>0</v>
      </c>
      <c r="AC31" s="36">
        <v>0</v>
      </c>
      <c r="AD31" s="36">
        <v>0</v>
      </c>
      <c r="AE31" s="36">
        <v>0</v>
      </c>
      <c r="AF31" s="36">
        <v>1.5197319993496099</v>
      </c>
      <c r="AG31" s="36">
        <v>4.54177234735812</v>
      </c>
      <c r="AH31" s="36">
        <v>1.5197319993496099</v>
      </c>
      <c r="AI31" s="36">
        <v>4.6151205168412597</v>
      </c>
      <c r="AJ31" s="36">
        <v>4.54177234735812</v>
      </c>
      <c r="AK31" s="36">
        <v>0.27383666562972803</v>
      </c>
      <c r="AL31" s="36">
        <v>0.17730901497040999</v>
      </c>
      <c r="AM31" s="36">
        <v>0.198850858745165</v>
      </c>
      <c r="AN31" s="36">
        <v>0.212689093410351</v>
      </c>
      <c r="AO31" s="36">
        <v>0.17647114311577899</v>
      </c>
      <c r="AP31" s="36">
        <v>0.53649337051456802</v>
      </c>
      <c r="AQ31" s="36">
        <v>0.37156355643248301</v>
      </c>
      <c r="AR31" s="36">
        <v>0.494696241836107</v>
      </c>
      <c r="AS31" s="36">
        <v>0.53649337051456802</v>
      </c>
      <c r="AT31" s="36">
        <v>3.5361069907765299</v>
      </c>
      <c r="AU31" s="36">
        <v>0.405465108108164</v>
      </c>
      <c r="AV31" s="36">
        <v>2.6026896854443802</v>
      </c>
      <c r="AW31" s="36">
        <v>2.6026896854443802</v>
      </c>
      <c r="AX31" s="36">
        <v>3.2580965380214799</v>
      </c>
      <c r="AY31" s="36">
        <v>2.8716984926305398</v>
      </c>
      <c r="AZ31" s="36">
        <v>3.9318256327243302</v>
      </c>
      <c r="BA31" s="36">
        <v>0.73380916227883497</v>
      </c>
      <c r="BB31" s="36">
        <v>3.2580965380214799</v>
      </c>
      <c r="BC31" s="36">
        <v>0</v>
      </c>
      <c r="BD31" s="36">
        <v>0</v>
      </c>
      <c r="BE31" s="36">
        <v>0</v>
      </c>
      <c r="BF31" s="36">
        <v>0</v>
      </c>
      <c r="BG31" s="36">
        <v>0.22314355131420999</v>
      </c>
      <c r="BH31" s="36">
        <v>0.22314355131420999</v>
      </c>
      <c r="BI31" s="36">
        <v>0</v>
      </c>
      <c r="BJ31" s="36">
        <v>0</v>
      </c>
      <c r="BK31" s="36">
        <v>7.9734968018853505E-2</v>
      </c>
      <c r="BL31" s="36">
        <v>0.55961578793542299</v>
      </c>
      <c r="BM31" s="36">
        <v>0.22314355131420999</v>
      </c>
      <c r="BN31" s="36">
        <v>0</v>
      </c>
      <c r="BO31" s="36">
        <v>0.28743204119657201</v>
      </c>
      <c r="BP31" s="36">
        <v>0.69314718055994495</v>
      </c>
      <c r="BQ31" s="36">
        <v>0</v>
      </c>
      <c r="BR31" s="36">
        <v>0.55961578793542299</v>
      </c>
      <c r="BS31" s="36">
        <v>0.45932178089887499</v>
      </c>
      <c r="BT31" s="36">
        <v>3.6506582412937401</v>
      </c>
      <c r="BU31" s="36">
        <v>3.7534257877209898</v>
      </c>
      <c r="BV31" s="36">
        <v>3.0834225866809799</v>
      </c>
      <c r="BW31" s="36">
        <v>3.5421759749217299</v>
      </c>
      <c r="BX31" s="36">
        <v>0.48550781578170099</v>
      </c>
      <c r="BY31" s="36">
        <v>3.9959596603006999</v>
      </c>
      <c r="BZ31" s="36">
        <v>2.6304489550786601</v>
      </c>
      <c r="CA31" s="36">
        <v>3.8632948393367901</v>
      </c>
      <c r="CB31" s="36">
        <v>0</v>
      </c>
      <c r="CC31" s="36">
        <v>3.5859526218670199</v>
      </c>
      <c r="CD31" s="36">
        <v>1.10028173802839</v>
      </c>
      <c r="CE31" s="36">
        <v>4.15743309779476</v>
      </c>
      <c r="CF31" s="36">
        <v>0</v>
      </c>
      <c r="CH31" t="str">
        <f t="shared" si="0"/>
        <v>/*109*/ 000  1 2.68102152871429 2.2975725511705 2.51446545202954 6.83733281468559 5.5683445037611 5.57215403217776 7.28276117960559 0.601579987034455 1.55814461804655 1.67485105098233 1.44101926080914 1.56255592653397 0.877549903557725 0.246078522596706 0.131028262406404 0.24137631957527 0.206200830583898 0.175632568643158 0.587786664902119 0.215111379616945 0.506817602368452 0.587786664902119 2.85899574998052 0 0 0 0 1.51973199934961 4.54177234735812 1.51973199934961 4.61512051684126 4.54177234735812 0.273836665629728 0.17730901497041 0.198850858745165 0.212689093410351 0.176471143115779 0.536493370514568 0.371563556432483 0.494696241836107 0.536493370514568 3.53610699077653 0.405465108108164 2.60268968544438 2.60268968544438 3.25809653802148 2.87169849263054 3.93182563272433 0.733809162278835 3.25809653802148 0 0 0 0 0.22314355131421 0.22314355131421 0 0 7.97349680188535E-02 0.559615787935423 0.22314355131421 0 0.287432041196572 0.693147180559945 0 0.559615787935423 0.459321780898875 3.65065824129374 3.75342578772099 3.08342258668098 3.54217597492173 0.485507815781701 3.9959596603007 2.63044895507866 3.86329483933679 0 3.58595262186702 1.10028173802839 4.15743309779476 0;</v>
      </c>
    </row>
    <row r="32" spans="1:86" x14ac:dyDescent="0.25">
      <c r="A32" s="2">
        <v>117</v>
      </c>
      <c r="B32" s="2">
        <v>1</v>
      </c>
      <c r="C32" s="2">
        <v>1</v>
      </c>
      <c r="D32" s="2">
        <v>1</v>
      </c>
      <c r="E32" s="36">
        <v>2.5952547069568701</v>
      </c>
      <c r="F32" s="36">
        <v>2.1792868766495501</v>
      </c>
      <c r="G32" s="36">
        <v>2.56955412384829</v>
      </c>
      <c r="H32" s="36">
        <v>6.94601399109923</v>
      </c>
      <c r="I32" s="36">
        <v>6.3868793193626496</v>
      </c>
      <c r="J32" s="36">
        <v>6.1758672701057602</v>
      </c>
      <c r="K32" s="36">
        <v>7.6553906448261504</v>
      </c>
      <c r="L32" s="36">
        <v>1.29280751802643</v>
      </c>
      <c r="M32" s="36">
        <v>1.5993875765806</v>
      </c>
      <c r="N32" s="36">
        <v>1.4929040961781499</v>
      </c>
      <c r="O32" s="36">
        <v>1.42623596821284</v>
      </c>
      <c r="P32" s="36">
        <v>1.50873320831247</v>
      </c>
      <c r="Q32" s="36">
        <v>0.66987855362059101</v>
      </c>
      <c r="R32" s="36">
        <v>0.25386672395705001</v>
      </c>
      <c r="S32" s="36">
        <v>0.20863886511132801</v>
      </c>
      <c r="T32" s="36">
        <v>0.18564934688662901</v>
      </c>
      <c r="U32" s="36">
        <v>0.21591750622247</v>
      </c>
      <c r="V32" s="36">
        <v>0.12927233570413901</v>
      </c>
      <c r="W32" s="36">
        <v>0.53062825106217004</v>
      </c>
      <c r="X32" s="36">
        <v>0.39204208777602401</v>
      </c>
      <c r="Y32" s="36">
        <v>0.37843643572024499</v>
      </c>
      <c r="Z32" s="36">
        <v>0.53062825106217004</v>
      </c>
      <c r="AA32" s="36">
        <v>2.74900018743116</v>
      </c>
      <c r="AB32" s="36">
        <v>0</v>
      </c>
      <c r="AC32" s="36">
        <v>2.5798379699552898</v>
      </c>
      <c r="AD32" s="36">
        <v>2.3754637384066202</v>
      </c>
      <c r="AE32" s="36">
        <v>3.1333615085420301</v>
      </c>
      <c r="AF32" s="36">
        <v>0</v>
      </c>
      <c r="AG32" s="36">
        <v>4.3063732381976898</v>
      </c>
      <c r="AH32" s="36">
        <v>1.77121656799673</v>
      </c>
      <c r="AI32" s="36">
        <v>4.3700679133540898</v>
      </c>
      <c r="AJ32" s="36">
        <v>4.3063732381976898</v>
      </c>
      <c r="AK32" s="36">
        <v>0.117783035656383</v>
      </c>
      <c r="AL32" s="36">
        <v>0.23507212217948401</v>
      </c>
      <c r="AM32" s="36">
        <v>0.151862349309246</v>
      </c>
      <c r="AN32" s="36">
        <v>0.172271220940453</v>
      </c>
      <c r="AO32" s="36">
        <v>0.15357908792830099</v>
      </c>
      <c r="AP32" s="36">
        <v>0.47000362924573602</v>
      </c>
      <c r="AQ32" s="36">
        <v>0.41871033485818498</v>
      </c>
      <c r="AR32" s="36">
        <v>0.25464221837358098</v>
      </c>
      <c r="AS32" s="36">
        <v>0.47000362924573602</v>
      </c>
      <c r="AT32" s="36">
        <v>3.4067486117004799</v>
      </c>
      <c r="AU32" s="36">
        <v>0.28743204119657201</v>
      </c>
      <c r="AV32" s="36">
        <v>4.1510399058986502</v>
      </c>
      <c r="AW32" s="36">
        <v>3.2580965380214799</v>
      </c>
      <c r="AX32" s="36">
        <v>3.2580965380214799</v>
      </c>
      <c r="AY32" s="36">
        <v>3.6506582412937401</v>
      </c>
      <c r="AZ32" s="36">
        <v>3.5361069907765299</v>
      </c>
      <c r="BA32" s="36">
        <v>0.81093021621632899</v>
      </c>
      <c r="BB32" s="36">
        <v>3.5361069907765299</v>
      </c>
      <c r="BC32" s="36">
        <v>0</v>
      </c>
      <c r="BD32" s="36">
        <v>0.117783035656383</v>
      </c>
      <c r="BE32" s="36">
        <v>0.117783035656383</v>
      </c>
      <c r="BF32" s="36">
        <v>7.9734968018853505E-2</v>
      </c>
      <c r="BG32" s="36">
        <v>0.45932178089887499</v>
      </c>
      <c r="BH32" s="36">
        <v>0.22314355131420999</v>
      </c>
      <c r="BI32" s="36">
        <v>0.22314355131420999</v>
      </c>
      <c r="BJ32" s="36">
        <v>0.405465108108164</v>
      </c>
      <c r="BK32" s="36">
        <v>0.28743204119657201</v>
      </c>
      <c r="BL32" s="36">
        <v>0.22314355131420999</v>
      </c>
      <c r="BM32" s="36">
        <v>0.22314355131420999</v>
      </c>
      <c r="BN32" s="36">
        <v>0.55961578793542299</v>
      </c>
      <c r="BO32" s="36">
        <v>0.34854196070854299</v>
      </c>
      <c r="BP32" s="36">
        <v>0.55961578793542299</v>
      </c>
      <c r="BQ32" s="36">
        <v>0.55961578793542299</v>
      </c>
      <c r="BR32" s="36">
        <v>0.55961578793542299</v>
      </c>
      <c r="BS32" s="36">
        <v>0.55961578793542299</v>
      </c>
      <c r="BT32" s="36">
        <v>3.6506582412937401</v>
      </c>
      <c r="BU32" s="36">
        <v>3.9318256327243302</v>
      </c>
      <c r="BV32" s="36">
        <v>2.6026896854443802</v>
      </c>
      <c r="BW32" s="36">
        <v>3.3644296574699402</v>
      </c>
      <c r="BX32" s="36">
        <v>0.25619140536041002</v>
      </c>
      <c r="BY32" s="36">
        <v>4.2243342738253604</v>
      </c>
      <c r="BZ32" s="36">
        <v>2.4874035299865902</v>
      </c>
      <c r="CA32" s="36">
        <v>3.5166369327616498</v>
      </c>
      <c r="CB32" s="36">
        <v>0</v>
      </c>
      <c r="CC32" s="36">
        <v>4.5815603203830904</v>
      </c>
      <c r="CD32" s="36">
        <v>1.4663370687165</v>
      </c>
      <c r="CE32" s="36">
        <v>0</v>
      </c>
      <c r="CF32" s="36">
        <v>0</v>
      </c>
      <c r="CH32" t="str">
        <f t="shared" si="0"/>
        <v>/*117*/ 111  1 2.59525470695687 2.17928687664955 2.56955412384829 6.94601399109923 6.38687931936265 6.17586727010576 7.65539064482615 1.29280751802643 1.5993875765806 1.49290409617815 1.42623596821284 1.50873320831247 0.669878553620591 0.25386672395705 0.208638865111328 0.185649346886629 0.21591750622247 0.129272335704139 0.53062825106217 0.392042087776024 0.378436435720245 0.53062825106217 2.74900018743116 0 2.57983796995529 2.37546373840662 3.13336150854203 0 4.30637323819769 1.77121656799673 4.37006791335409 4.30637323819769 0.117783035656383 0.235072122179484 0.151862349309246 0.172271220940453 0.153579087928301 0.470003629245736 0.418710334858185 0.254642218373581 0.470003629245736 3.40674861170048 0.287432041196572 4.15103990589865 3.25809653802148 3.25809653802148 3.65065824129374 3.53610699077653 0.810930216216329 3.53610699077653 0 0.117783035656383 0.117783035656383 7.97349680188535E-02 0.459321780898875 0.22314355131421 0.22314355131421 0.405465108108164 0.287432041196572 0.22314355131421 0.22314355131421 0.559615787935423 0.348541960708543 0.559615787935423 0.559615787935423 0.559615787935423 0.559615787935423 3.65065824129374 3.93182563272433 2.60268968544438 3.36442965746994 0.25619140536041 4.22433427382536 2.48740352998659 3.51663693276165 0 4.58156032038309 1.4663370687165 0 0;</v>
      </c>
    </row>
    <row r="33" spans="1:86" x14ac:dyDescent="0.25">
      <c r="A33" s="2">
        <v>118</v>
      </c>
      <c r="B33" s="2">
        <v>0</v>
      </c>
      <c r="C33" s="2">
        <v>0</v>
      </c>
      <c r="D33" s="2">
        <v>0</v>
      </c>
      <c r="E33" s="36">
        <v>3.0445224377234199</v>
      </c>
      <c r="F33" s="36">
        <v>2.2512917986065002</v>
      </c>
      <c r="G33" s="36">
        <v>2.5824869781268598</v>
      </c>
      <c r="H33" s="36">
        <v>7.1884127364969501</v>
      </c>
      <c r="I33" s="36">
        <v>7.15305163493748</v>
      </c>
      <c r="J33" s="36">
        <v>7.1180162044653299</v>
      </c>
      <c r="K33" s="36">
        <v>8.2516639236055909</v>
      </c>
      <c r="L33" s="36">
        <v>0</v>
      </c>
      <c r="M33" s="36">
        <v>1.88524981231539</v>
      </c>
      <c r="N33" s="36">
        <v>1.8504999642506601</v>
      </c>
      <c r="O33" s="36">
        <v>1.8504999642506601</v>
      </c>
      <c r="P33" s="36">
        <v>1.86221793287662</v>
      </c>
      <c r="Q33" s="36">
        <v>0.60322247303195797</v>
      </c>
      <c r="R33" s="36">
        <v>0.33002291294130598</v>
      </c>
      <c r="S33" s="36">
        <v>0.27687387373517802</v>
      </c>
      <c r="T33" s="36">
        <v>0.29490591754110101</v>
      </c>
      <c r="U33" s="36">
        <v>0.30010459245033799</v>
      </c>
      <c r="V33" s="36">
        <v>0.116893751471499</v>
      </c>
      <c r="W33" s="36">
        <v>0.482426149244293</v>
      </c>
      <c r="X33" s="36">
        <v>0.44468582126144601</v>
      </c>
      <c r="Y33" s="36">
        <v>0.46373401623214</v>
      </c>
      <c r="Z33" s="36">
        <v>0.482426149244293</v>
      </c>
      <c r="AA33" s="36">
        <v>2.8043296080238398</v>
      </c>
      <c r="AB33" s="36">
        <v>1.1549926221042199</v>
      </c>
      <c r="AC33" s="36">
        <v>2.4740142086215799</v>
      </c>
      <c r="AD33" s="36">
        <v>2.2717134293269599</v>
      </c>
      <c r="AE33" s="36">
        <v>3.1240815119816499</v>
      </c>
      <c r="AF33" s="36">
        <v>1.1549926221042199</v>
      </c>
      <c r="AG33" s="36">
        <v>4.3449346541606904</v>
      </c>
      <c r="AH33" s="36">
        <v>0</v>
      </c>
      <c r="AI33" s="36">
        <v>4.3727462043872203</v>
      </c>
      <c r="AJ33" s="36">
        <v>4.3449346541606904</v>
      </c>
      <c r="AK33" s="36">
        <v>0.244513577050402</v>
      </c>
      <c r="AL33" s="36">
        <v>0.38048912203798702</v>
      </c>
      <c r="AM33" s="36">
        <v>0.29192306670903501</v>
      </c>
      <c r="AN33" s="36">
        <v>0.30821972366932898</v>
      </c>
      <c r="AO33" s="36">
        <v>0.21672298351128699</v>
      </c>
      <c r="AP33" s="36">
        <v>0.47000362924573602</v>
      </c>
      <c r="AQ33" s="36">
        <v>0.71294980785612505</v>
      </c>
      <c r="AR33" s="36">
        <v>0.64710324205853897</v>
      </c>
      <c r="AS33" s="36">
        <v>0.71294980785612505</v>
      </c>
      <c r="AT33" s="36">
        <v>2.8716984926305398</v>
      </c>
      <c r="AU33" s="36">
        <v>0.57267302709207102</v>
      </c>
      <c r="AV33" s="36">
        <v>0</v>
      </c>
      <c r="AW33" s="36">
        <v>0</v>
      </c>
      <c r="AX33" s="36">
        <v>2.6026896854443802</v>
      </c>
      <c r="AY33" s="36">
        <v>1.64229224930505</v>
      </c>
      <c r="AZ33" s="36">
        <v>4.2743439804936996</v>
      </c>
      <c r="BA33" s="36">
        <v>0.741937344729377</v>
      </c>
      <c r="BB33" s="36">
        <v>2.2335565065836098</v>
      </c>
      <c r="BC33" s="36">
        <v>0</v>
      </c>
      <c r="BD33" s="36">
        <v>0.48550781578170099</v>
      </c>
      <c r="BE33" s="36">
        <v>0.25153662581542802</v>
      </c>
      <c r="BF33" s="36">
        <v>0.27611543608031602</v>
      </c>
      <c r="BG33" s="36">
        <v>0.36116484921158398</v>
      </c>
      <c r="BH33" s="36">
        <v>0</v>
      </c>
      <c r="BI33" s="36">
        <v>0</v>
      </c>
      <c r="BJ33" s="36">
        <v>0</v>
      </c>
      <c r="BK33" s="36">
        <v>0</v>
      </c>
      <c r="BL33" s="36">
        <v>0</v>
      </c>
      <c r="BM33" s="36">
        <v>0</v>
      </c>
      <c r="BN33" s="36">
        <v>0</v>
      </c>
      <c r="BO33" s="36">
        <v>0</v>
      </c>
      <c r="BP33" s="36">
        <v>0.916290731874155</v>
      </c>
      <c r="BQ33" s="36">
        <v>0.405465108108164</v>
      </c>
      <c r="BR33" s="36">
        <v>0</v>
      </c>
      <c r="BS33" s="36">
        <v>0.51102560376865702</v>
      </c>
      <c r="BT33" s="36">
        <v>0</v>
      </c>
      <c r="BU33" s="36">
        <v>3.84658808264264</v>
      </c>
      <c r="BV33" s="36">
        <v>3.9318256327243302</v>
      </c>
      <c r="BW33" s="36">
        <v>3.94874058836331</v>
      </c>
      <c r="BX33" s="36">
        <v>0.77334372255422201</v>
      </c>
      <c r="BY33" s="36">
        <v>3.6747298185094901</v>
      </c>
      <c r="BZ33" s="36">
        <v>2.75098196848572</v>
      </c>
      <c r="CA33" s="36">
        <v>4.1361580650355103</v>
      </c>
      <c r="CB33" s="36">
        <v>1.1164244644338901</v>
      </c>
      <c r="CC33" s="36">
        <v>2.6086151374497102</v>
      </c>
      <c r="CD33" s="36">
        <v>2.7975474317403002</v>
      </c>
      <c r="CE33" s="36">
        <v>4.0669949140118797</v>
      </c>
      <c r="CF33" s="36">
        <v>2.5299814626429802</v>
      </c>
      <c r="CH33" t="str">
        <f t="shared" si="0"/>
        <v>/*118*/ 000  1 3.04452243772342 2.2512917986065 2.58248697812686 7.18841273649695 7.15305163493748 7.11801620446533 8.25166392360559 0 1.88524981231539 1.85049996425066 1.85049996425066 1.86221793287662 0.603222473031958 0.330022912941306 0.276873873735178 0.294905917541101 0.300104592450338 0.116893751471499 0.482426149244293 0.444685821261446 0.46373401623214 0.482426149244293 2.80432960802384 1.15499262210422 2.47401420862158 2.27171342932696 3.12408151198165 1.15499262210422 4.34493465416069 0 4.37274620438722 4.34493465416069 0.244513577050402 0.380489122037987 0.291923066709035 0.308219723669329 0.216722983511287 0.470003629245736 0.712949807856125 0.647103242058539 0.712949807856125 2.87169849263054 0.572673027092071 0 0 2.60268968544438 1.64229224930505 4.2743439804937 0.741937344729377 2.23355650658361 0 0.485507815781701 0.251536625815428 0.276115436080316 0.361164849211584 0 0 0 0 0 0 0 0 0.916290731874155 0.405465108108164 0 0.511025603768657 0 3.84658808264264 3.93182563272433 3.94874058836331 0.773343722554222 3.67472981850949 2.75098196848572 4.13615806503551 1.11642446443389 2.60861513744971 2.7975474317403 4.06699491401188 2.52998146264298;</v>
      </c>
    </row>
    <row r="34" spans="1:86" x14ac:dyDescent="0.25">
      <c r="A34" s="2">
        <v>123</v>
      </c>
      <c r="B34" s="2">
        <v>0</v>
      </c>
      <c r="C34" s="2">
        <v>0</v>
      </c>
      <c r="D34" s="2">
        <v>0</v>
      </c>
      <c r="E34" s="36">
        <v>2.7278528283983898</v>
      </c>
      <c r="F34" s="36">
        <v>2.4168062370840699</v>
      </c>
      <c r="G34" s="36">
        <v>2.3655598921554302</v>
      </c>
      <c r="H34" s="36">
        <v>6.9948499858330697</v>
      </c>
      <c r="I34" s="36">
        <v>6.8351845861473004</v>
      </c>
      <c r="J34" s="36">
        <v>7.1585139973293197</v>
      </c>
      <c r="K34" s="36">
        <v>8.1028891346408702</v>
      </c>
      <c r="L34" s="36">
        <v>0.28292075535007</v>
      </c>
      <c r="M34" s="36">
        <v>1.69799808941358</v>
      </c>
      <c r="N34" s="36">
        <v>1.6559397460855201</v>
      </c>
      <c r="O34" s="36">
        <v>1.7339537871316699</v>
      </c>
      <c r="P34" s="36">
        <v>1.6963492844234001</v>
      </c>
      <c r="Q34" s="36">
        <v>0.90138011913840099</v>
      </c>
      <c r="R34" s="36">
        <v>0.30010459245033799</v>
      </c>
      <c r="S34" s="36">
        <v>0.16889853646181399</v>
      </c>
      <c r="T34" s="36">
        <v>0.319180739511152</v>
      </c>
      <c r="U34" s="36">
        <v>0.26620304077465701</v>
      </c>
      <c r="V34" s="36">
        <v>0.172271220940453</v>
      </c>
      <c r="W34" s="36">
        <v>0.58778666490211895</v>
      </c>
      <c r="X34" s="36">
        <v>0.29266961396281999</v>
      </c>
      <c r="Y34" s="36">
        <v>0.56531380905006001</v>
      </c>
      <c r="Z34" s="36">
        <v>0.58778666490211895</v>
      </c>
      <c r="AA34" s="36">
        <v>2.7461164019086701</v>
      </c>
      <c r="AB34" s="36">
        <v>0</v>
      </c>
      <c r="AC34" s="36">
        <v>1.18570699551904</v>
      </c>
      <c r="AD34" s="36">
        <v>1.71289662080233</v>
      </c>
      <c r="AE34" s="36">
        <v>2.0564287673707602</v>
      </c>
      <c r="AF34" s="36">
        <v>1.18570699551904</v>
      </c>
      <c r="AG34" s="36">
        <v>4.5207989571019302</v>
      </c>
      <c r="AH34" s="36">
        <v>0</v>
      </c>
      <c r="AI34" s="36">
        <v>4.5452290805211204</v>
      </c>
      <c r="AJ34" s="36">
        <v>4.5207989571019302</v>
      </c>
      <c r="AK34" s="36">
        <v>0.16636153721522501</v>
      </c>
      <c r="AL34" s="36">
        <v>0.30158497762077202</v>
      </c>
      <c r="AM34" s="36">
        <v>0.167207918983906</v>
      </c>
      <c r="AN34" s="36">
        <v>0.21107097007994</v>
      </c>
      <c r="AO34" s="36">
        <v>0.19638881400538999</v>
      </c>
      <c r="AP34" s="36">
        <v>0.41210965082683298</v>
      </c>
      <c r="AQ34" s="36">
        <v>0.80647586586694897</v>
      </c>
      <c r="AR34" s="36">
        <v>0.29266961396281999</v>
      </c>
      <c r="AS34" s="36">
        <v>0.80647586586694897</v>
      </c>
      <c r="AT34" s="36">
        <v>3.4067486117004799</v>
      </c>
      <c r="AU34" s="36">
        <v>0.42002525943949398</v>
      </c>
      <c r="AV34" s="36">
        <v>2.6026896854443802</v>
      </c>
      <c r="AW34" s="36">
        <v>3.2580965380214799</v>
      </c>
      <c r="AX34" s="36">
        <v>2.6026896854443802</v>
      </c>
      <c r="AY34" s="36">
        <v>2.8716984926305398</v>
      </c>
      <c r="AZ34" s="36">
        <v>3.9318256327243302</v>
      </c>
      <c r="BA34" s="36">
        <v>1.0116009116784801</v>
      </c>
      <c r="BB34" s="36">
        <v>4.2145986164699201</v>
      </c>
      <c r="BC34" s="36">
        <v>0</v>
      </c>
      <c r="BD34" s="36">
        <v>0.31845373111853498</v>
      </c>
      <c r="BE34" s="36">
        <v>0.22314355131420999</v>
      </c>
      <c r="BF34" s="36">
        <v>0.188966099512623</v>
      </c>
      <c r="BG34" s="36">
        <v>0.48550781578170099</v>
      </c>
      <c r="BH34" s="36">
        <v>0</v>
      </c>
      <c r="BI34" s="36">
        <v>0</v>
      </c>
      <c r="BJ34" s="36">
        <v>0.55961578793542299</v>
      </c>
      <c r="BK34" s="36">
        <v>0.22314355131420999</v>
      </c>
      <c r="BL34" s="36">
        <v>0.405465108108164</v>
      </c>
      <c r="BM34" s="36">
        <v>0</v>
      </c>
      <c r="BN34" s="36">
        <v>0</v>
      </c>
      <c r="BO34" s="36">
        <v>0.15443635330441899</v>
      </c>
      <c r="BP34" s="36">
        <v>0.22314355131420999</v>
      </c>
      <c r="BQ34" s="36">
        <v>0</v>
      </c>
      <c r="BR34" s="36">
        <v>0.55961578793542299</v>
      </c>
      <c r="BS34" s="36">
        <v>0.28743204119657201</v>
      </c>
      <c r="BT34" s="36">
        <v>3.4067486117004799</v>
      </c>
      <c r="BU34" s="36">
        <v>3.9318256327243302</v>
      </c>
      <c r="BV34" s="36">
        <v>3.0834225866809799</v>
      </c>
      <c r="BW34" s="36">
        <v>3.5660053559634002</v>
      </c>
      <c r="BX34" s="36">
        <v>0.73380916227883497</v>
      </c>
      <c r="BY34" s="36">
        <v>2.5020914745420999</v>
      </c>
      <c r="BZ34" s="36">
        <v>2.10657020906809</v>
      </c>
      <c r="CA34" s="36">
        <v>4.4974958844800002</v>
      </c>
      <c r="CB34" s="36">
        <v>2.3139782767905301</v>
      </c>
      <c r="CC34" s="36">
        <v>3.6232292040346898</v>
      </c>
      <c r="CD34" s="36">
        <v>2.0503774086930302</v>
      </c>
      <c r="CE34" s="36">
        <v>1.9444209454561601</v>
      </c>
      <c r="CF34" s="36">
        <v>3.7534179753296302</v>
      </c>
      <c r="CH34" t="str">
        <f t="shared" si="0"/>
        <v>/*123*/ 000  1 2.72785282839839 2.41680623708407 2.36555989215543 6.99484998583307 6.8351845861473 7.15851399732932 8.10288913464087 0.28292075535007 1.69799808941358 1.65593974608552 1.73395378713167 1.6963492844234 0.901380119138401 0.300104592450338 0.168898536461814 0.319180739511152 0.266203040774657 0.172271220940453 0.587786664902119 0.29266961396282 0.56531380905006 0.587786664902119 2.74611640190867 0 1.18570699551904 1.71289662080233 2.05642876737076 1.18570699551904 4.52079895710193 0 4.54522908052112 4.52079895710193 0.166361537215225 0.301584977620772 0.167207918983906 0.21107097007994 0.19638881400539 0.412109650826833 0.806475865866949 0.29266961396282 0.806475865866949 3.40674861170048 0.420025259439494 2.60268968544438 3.25809653802148 2.60268968544438 2.87169849263054 3.93182563272433 1.01160091167848 4.21459861646992 0 0.318453731118535 0.22314355131421 0.188966099512623 0.485507815781701 0 0 0.559615787935423 0.22314355131421 0.405465108108164 0 0 0.154436353304419 0.22314355131421 0 0.559615787935423 0.287432041196572 3.40674861170048 3.93182563272433 3.08342258668098 3.5660053559634 0.733809162278835 2.5020914745421 2.10657020906809 4.49749588448 2.31397827679053 3.62322920403469 2.05037740869303 1.94442094545616 3.75341797532963;</v>
      </c>
    </row>
    <row r="35" spans="1:86" x14ac:dyDescent="0.25">
      <c r="A35" s="2">
        <v>128</v>
      </c>
      <c r="B35" s="2">
        <v>0</v>
      </c>
      <c r="C35" s="2">
        <v>0</v>
      </c>
      <c r="D35" s="2">
        <v>0</v>
      </c>
      <c r="E35" s="36">
        <v>2.81540871942271</v>
      </c>
      <c r="F35" s="36">
        <v>2.1610215286722601</v>
      </c>
      <c r="G35" s="36">
        <v>2.4882344398806699</v>
      </c>
      <c r="H35" s="36">
        <v>6.4645883036899603</v>
      </c>
      <c r="I35" s="36">
        <v>5.8888779583328796</v>
      </c>
      <c r="J35" s="36">
        <v>5.3844950627890897</v>
      </c>
      <c r="K35" s="36">
        <v>7.1057861294812703</v>
      </c>
      <c r="L35" s="36">
        <v>0</v>
      </c>
      <c r="M35" s="36">
        <v>1.47887354241298</v>
      </c>
      <c r="N35" s="36">
        <v>1.5234441992671199</v>
      </c>
      <c r="O35" s="36">
        <v>1.2635615957375901</v>
      </c>
      <c r="P35" s="36">
        <v>1.4281558152148099</v>
      </c>
      <c r="Q35" s="36">
        <v>0.58165680452658197</v>
      </c>
      <c r="R35" s="36">
        <v>0.324977857195478</v>
      </c>
      <c r="S35" s="36">
        <v>0.19474407679251199</v>
      </c>
      <c r="T35" s="36">
        <v>0.28517894223366202</v>
      </c>
      <c r="U35" s="36">
        <v>0.26159473768846198</v>
      </c>
      <c r="V35" s="36">
        <v>0.12663265093336601</v>
      </c>
      <c r="W35" s="36">
        <v>0.494696241836107</v>
      </c>
      <c r="X35" s="36">
        <v>0.307484699747961</v>
      </c>
      <c r="Y35" s="36">
        <v>0.36464311358790902</v>
      </c>
      <c r="Z35" s="36">
        <v>0.494696241836107</v>
      </c>
      <c r="AA35" s="36">
        <v>2.4508326694542499</v>
      </c>
      <c r="AB35" s="36">
        <v>2.2091531482014899</v>
      </c>
      <c r="AC35" s="36">
        <v>4.1457028544972401</v>
      </c>
      <c r="AD35" s="36">
        <v>2.6751137008559498</v>
      </c>
      <c r="AE35" s="36">
        <v>4.4401068457504103</v>
      </c>
      <c r="AF35" s="36">
        <v>2.4690313006297102</v>
      </c>
      <c r="AG35" s="36">
        <v>1.8570789353487001</v>
      </c>
      <c r="AH35" s="36">
        <v>0</v>
      </c>
      <c r="AI35" s="36">
        <v>2.8458391839793702</v>
      </c>
      <c r="AJ35" s="36">
        <v>4.1457028544972401</v>
      </c>
      <c r="AK35" s="36">
        <v>1.4214201630952601</v>
      </c>
      <c r="AL35" s="36">
        <v>0.250758718347183</v>
      </c>
      <c r="AM35" s="36">
        <v>0.29639401305380197</v>
      </c>
      <c r="AN35" s="36">
        <v>0.79930737638833604</v>
      </c>
      <c r="AO35" s="36">
        <v>1.92832791201007</v>
      </c>
      <c r="AP35" s="36">
        <v>3.6109179126442199</v>
      </c>
      <c r="AQ35" s="36">
        <v>0.43825493093115497</v>
      </c>
      <c r="AR35" s="36">
        <v>0.58221561985266401</v>
      </c>
      <c r="AS35" s="36">
        <v>3.6109179126442199</v>
      </c>
      <c r="AT35" s="36">
        <v>1.64229224930505</v>
      </c>
      <c r="AU35" s="36">
        <v>0.58333231455273904</v>
      </c>
      <c r="AV35" s="36">
        <v>3.9318256327243302</v>
      </c>
      <c r="AW35" s="36">
        <v>0</v>
      </c>
      <c r="AX35" s="36">
        <v>0</v>
      </c>
      <c r="AY35" s="36">
        <v>2.8716984926305398</v>
      </c>
      <c r="AZ35" s="36">
        <v>4.3841119588732198</v>
      </c>
      <c r="BA35" s="36">
        <v>0.28743204119657201</v>
      </c>
      <c r="BB35" s="36">
        <v>2.2335565065836098</v>
      </c>
      <c r="BC35" s="36">
        <v>0.48550781578170099</v>
      </c>
      <c r="BD35" s="36">
        <v>0</v>
      </c>
      <c r="BE35" s="36">
        <v>0</v>
      </c>
      <c r="BF35" s="36">
        <v>0.188966099512623</v>
      </c>
      <c r="BG35" s="36">
        <v>0.53532309536637801</v>
      </c>
      <c r="BH35" s="36">
        <v>0.22314355131420999</v>
      </c>
      <c r="BI35" s="36">
        <v>0.22314355131420999</v>
      </c>
      <c r="BJ35" s="36">
        <v>0</v>
      </c>
      <c r="BK35" s="36">
        <v>0.15443635330441899</v>
      </c>
      <c r="BL35" s="36">
        <v>0</v>
      </c>
      <c r="BM35" s="36">
        <v>0</v>
      </c>
      <c r="BN35" s="36">
        <v>0</v>
      </c>
      <c r="BO35" s="36">
        <v>0</v>
      </c>
      <c r="BP35" s="36">
        <v>1.6094379124341001</v>
      </c>
      <c r="BQ35" s="36">
        <v>0.22314355131420999</v>
      </c>
      <c r="BR35" s="36">
        <v>0.22314355131420999</v>
      </c>
      <c r="BS35" s="36">
        <v>0.916290731874155</v>
      </c>
      <c r="BT35" s="36">
        <v>3.5361069907765299</v>
      </c>
      <c r="BU35" s="36">
        <v>3.9318256327243302</v>
      </c>
      <c r="BV35" s="36">
        <v>2.8716984926305398</v>
      </c>
      <c r="BW35" s="36">
        <v>3.3644296574699402</v>
      </c>
      <c r="BX35" s="36">
        <v>0.81093021621632899</v>
      </c>
      <c r="BY35" s="36">
        <v>3.9824628295740099</v>
      </c>
      <c r="BZ35" s="36">
        <v>2.8733386253399198</v>
      </c>
      <c r="CA35" s="36">
        <v>3.8784869042086898</v>
      </c>
      <c r="CB35" s="36">
        <v>0</v>
      </c>
      <c r="CC35" s="36">
        <v>0.68983042771136005</v>
      </c>
      <c r="CD35" s="36">
        <v>1.74371406070927</v>
      </c>
      <c r="CE35" s="36">
        <v>1.82700301919885</v>
      </c>
      <c r="CF35" s="36">
        <v>4.5006187615942999</v>
      </c>
      <c r="CH35" t="str">
        <f t="shared" si="0"/>
        <v>/*128*/ 000  1 2.81540871942271 2.16102152867226 2.48823443988067 6.46458830368996 5.88887795833288 5.38449506278909 7.10578612948127 0 1.47887354241298 1.52344419926712 1.26356159573759 1.42815581521481 0.581656804526582 0.324977857195478 0.194744076792512 0.285178942233662 0.261594737688462 0.126632650933366 0.494696241836107 0.307484699747961 0.364643113587909 0.494696241836107 2.45083266945425 2.20915314820149 4.14570285449724 2.67511370085595 4.44010684575041 2.46903130062971 1.8570789353487 0 2.84583918397937 4.14570285449724 1.42142016309526 0.250758718347183 0.296394013053802 0.799307376388336 1.92832791201007 3.61091791264422 0.438254930931155 0.582215619852664 3.61091791264422 1.64229224930505 0.583332314552739 3.93182563272433 0 0 2.87169849263054 4.38411195887322 0.287432041196572 2.23355650658361 0.485507815781701 0 0 0.188966099512623 0.535323095366378 0.22314355131421 0.22314355131421 0 0.154436353304419 0 0 0 0 1.6094379124341 0.22314355131421 0.22314355131421 0.916290731874155 3.53610699077653 3.93182563272433 2.87169849263054 3.36442965746994 0.810930216216329 3.98246282957401 2.87333862533992 3.87848690420869 0 0.68983042771136 1.74371406070927 1.82700301919885 4.5006187615943;</v>
      </c>
    </row>
    <row r="36" spans="1:86" x14ac:dyDescent="0.25">
      <c r="A36" s="2">
        <v>130</v>
      </c>
      <c r="B36" s="2">
        <v>1</v>
      </c>
      <c r="C36" s="2">
        <v>1</v>
      </c>
      <c r="D36" s="2">
        <v>0</v>
      </c>
      <c r="E36" s="36">
        <v>2.50143595173921</v>
      </c>
      <c r="F36" s="36">
        <v>2.16332302566054</v>
      </c>
      <c r="G36" s="36">
        <v>2.1282317058492701</v>
      </c>
      <c r="H36" s="36">
        <v>6.0088131854425901</v>
      </c>
      <c r="I36" s="36">
        <v>6.4831073514571997</v>
      </c>
      <c r="J36" s="36">
        <v>6.2747620212419397</v>
      </c>
      <c r="K36" s="36">
        <v>7.3714892952142801</v>
      </c>
      <c r="L36" s="36">
        <v>0.39944703578260099</v>
      </c>
      <c r="M36" s="36">
        <v>1.45278410238872</v>
      </c>
      <c r="N36" s="36">
        <v>1.2053718252396399</v>
      </c>
      <c r="O36" s="36">
        <v>1.42623596821284</v>
      </c>
      <c r="P36" s="36">
        <v>1.3673663512343699</v>
      </c>
      <c r="Q36" s="36">
        <v>0.96088161520202997</v>
      </c>
      <c r="R36" s="36">
        <v>0.24920108563349899</v>
      </c>
      <c r="S36" s="36">
        <v>0.157003748809665</v>
      </c>
      <c r="T36" s="36">
        <v>0.33932530560361901</v>
      </c>
      <c r="U36" s="36">
        <v>0.25153662581542802</v>
      </c>
      <c r="V36" s="36">
        <v>0.181487876045377</v>
      </c>
      <c r="W36" s="36">
        <v>0.45742484703887498</v>
      </c>
      <c r="X36" s="36">
        <v>0.322083499169113</v>
      </c>
      <c r="Y36" s="36">
        <v>0.57661336430399401</v>
      </c>
      <c r="Z36" s="36">
        <v>0.57661336430399401</v>
      </c>
      <c r="AA36" s="36">
        <v>2.4190339056372898</v>
      </c>
      <c r="AB36" s="36">
        <v>0</v>
      </c>
      <c r="AC36" s="36">
        <v>3.8489980050066999</v>
      </c>
      <c r="AD36" s="36">
        <v>0</v>
      </c>
      <c r="AE36" s="36">
        <v>3.8489980050066999</v>
      </c>
      <c r="AF36" s="36">
        <v>0</v>
      </c>
      <c r="AG36" s="36">
        <v>4.0083145217460698</v>
      </c>
      <c r="AH36" s="36">
        <v>0</v>
      </c>
      <c r="AI36" s="36">
        <v>4.0083145217460698</v>
      </c>
      <c r="AJ36" s="36">
        <v>4.0083145217460698</v>
      </c>
      <c r="AK36" s="36">
        <v>3.0529205034822801E-2</v>
      </c>
      <c r="AL36" s="36">
        <v>0.10074990310014301</v>
      </c>
      <c r="AM36" s="36">
        <v>6.5787740538003195E-2</v>
      </c>
      <c r="AN36" s="36">
        <v>6.4850972319616298E-2</v>
      </c>
      <c r="AO36" s="36">
        <v>0.10436001532424299</v>
      </c>
      <c r="AP36" s="36">
        <v>0.13976194237515899</v>
      </c>
      <c r="AQ36" s="36">
        <v>0.28517894223366202</v>
      </c>
      <c r="AR36" s="36">
        <v>0.37843643572024499</v>
      </c>
      <c r="AS36" s="36">
        <v>0.37843643572024499</v>
      </c>
      <c r="AT36" s="36">
        <v>2.8716984926305398</v>
      </c>
      <c r="AU36" s="36">
        <v>0.188966099512623</v>
      </c>
      <c r="AV36" s="36">
        <v>4.4830025520138799</v>
      </c>
      <c r="AW36" s="36">
        <v>3.6506582412937401</v>
      </c>
      <c r="AX36" s="36">
        <v>4.1510399058986502</v>
      </c>
      <c r="AY36" s="36">
        <v>4.1510399058986502</v>
      </c>
      <c r="AZ36" s="36">
        <v>3.7534257877209898</v>
      </c>
      <c r="BA36" s="36">
        <v>0.84715499303929298</v>
      </c>
      <c r="BB36" s="36">
        <v>3.7534257877209898</v>
      </c>
      <c r="BC36" s="36">
        <v>0.22314355131420999</v>
      </c>
      <c r="BD36" s="36">
        <v>0.405465108108164</v>
      </c>
      <c r="BE36" s="36">
        <v>0.69314718055994495</v>
      </c>
      <c r="BF36" s="36">
        <v>0.45932178089887499</v>
      </c>
      <c r="BG36" s="36">
        <v>0.58333231455273904</v>
      </c>
      <c r="BH36" s="36">
        <v>0</v>
      </c>
      <c r="BI36" s="36">
        <v>0</v>
      </c>
      <c r="BJ36" s="36">
        <v>0</v>
      </c>
      <c r="BK36" s="36">
        <v>0</v>
      </c>
      <c r="BL36" s="36">
        <v>1.5040773967762699</v>
      </c>
      <c r="BM36" s="36">
        <v>0.405465108108164</v>
      </c>
      <c r="BN36" s="36">
        <v>0.81093021621632899</v>
      </c>
      <c r="BO36" s="36">
        <v>1.0116009116784801</v>
      </c>
      <c r="BP36" s="36">
        <v>0.51102560376865702</v>
      </c>
      <c r="BQ36" s="36">
        <v>0.405465108108164</v>
      </c>
      <c r="BR36" s="36">
        <v>1.09861228866811</v>
      </c>
      <c r="BS36" s="36">
        <v>0.73764242044649697</v>
      </c>
      <c r="BT36" s="36">
        <v>2.8716984926305398</v>
      </c>
      <c r="BU36" s="36">
        <v>4.2743439804936996</v>
      </c>
      <c r="BV36" s="36">
        <v>2.6026896854443802</v>
      </c>
      <c r="BW36" s="36">
        <v>3.4990195552816798</v>
      </c>
      <c r="BX36" s="36">
        <v>0.34854196070854299</v>
      </c>
      <c r="BY36" s="36">
        <v>2.30348468823688</v>
      </c>
      <c r="BZ36" s="36">
        <v>1.81319474994812</v>
      </c>
      <c r="CA36" s="36">
        <v>4.5216907461767999</v>
      </c>
      <c r="CB36" s="36">
        <v>3.2390628457266901</v>
      </c>
      <c r="CC36" s="36">
        <v>4.1701550991894596</v>
      </c>
      <c r="CD36" s="36">
        <v>2.5466840092999101</v>
      </c>
      <c r="CE36" s="36">
        <v>0</v>
      </c>
      <c r="CF36" s="36">
        <v>0</v>
      </c>
      <c r="CH36" t="str">
        <f t="shared" si="0"/>
        <v>/*130*/ 110  1 2.50143595173921 2.16332302566054 2.12823170584927 6.00881318544259 6.4831073514572 6.27476202124194 7.37148929521428 0.399447035782601 1.45278410238872 1.20537182523964 1.42623596821284 1.36736635123437 0.96088161520203 0.249201085633499 0.157003748809665 0.339325305603619 0.251536625815428 0.181487876045377 0.457424847038875 0.322083499169113 0.576613364303994 0.576613364303994 2.41903390563729 0 3.8489980050067 0 3.8489980050067 0 4.00831452174607 0 4.00831452174607 4.00831452174607 3.05292050348228E-02 0.100749903100143 6.57877405380032E-02 6.48509723196163E-02 0.104360015324243 0.139761942375159 0.285178942233662 0.378436435720245 0.378436435720245 2.87169849263054 0.188966099512623 4.48300255201388 3.65065824129374 4.15103990589865 4.15103990589865 3.75342578772099 0.847154993039293 3.75342578772099 0.22314355131421 0.405465108108164 0.693147180559945 0.459321780898875 0.583332314552739 0 0 0 0 1.50407739677627 0.405465108108164 0.810930216216329 1.01160091167848 0.511025603768657 0.405465108108164 1.09861228866811 0.737642420446497 2.87169849263054 4.2743439804937 2.60268968544438 3.49901955528168 0.348541960708543 2.30348468823688 1.81319474994812 4.5216907461768 3.23906284572669 4.17015509918946 2.54668400929991 0 0;</v>
      </c>
    </row>
    <row r="37" spans="1:86" x14ac:dyDescent="0.25">
      <c r="A37" s="2">
        <v>135</v>
      </c>
      <c r="B37" s="2">
        <v>0</v>
      </c>
      <c r="C37" s="2">
        <v>0</v>
      </c>
      <c r="D37" s="2">
        <v>0</v>
      </c>
      <c r="E37" s="36">
        <v>2.7408400239252</v>
      </c>
      <c r="F37" s="36">
        <v>2.17247640764703</v>
      </c>
      <c r="G37" s="36">
        <v>2.42480272571829</v>
      </c>
      <c r="H37" s="36">
        <v>6.5482191027623697</v>
      </c>
      <c r="I37" s="36">
        <v>6.4425401664682003</v>
      </c>
      <c r="J37" s="36">
        <v>5.5909869805108601</v>
      </c>
      <c r="K37" s="36">
        <v>7.3727463664043302</v>
      </c>
      <c r="L37" s="36">
        <v>0</v>
      </c>
      <c r="M37" s="36">
        <v>0.85993199820477095</v>
      </c>
      <c r="N37" s="36">
        <v>0.88583152438944601</v>
      </c>
      <c r="O37" s="36">
        <v>0.89117803105908</v>
      </c>
      <c r="P37" s="36">
        <v>0.87879652744657499</v>
      </c>
      <c r="Q37" s="36">
        <v>0.35767444427181599</v>
      </c>
      <c r="R37" s="36">
        <v>0.21993842036526101</v>
      </c>
      <c r="S37" s="36">
        <v>0.213497174262404</v>
      </c>
      <c r="T37" s="36">
        <v>0.15871169115482101</v>
      </c>
      <c r="U37" s="36">
        <v>0.19803085049913499</v>
      </c>
      <c r="V37" s="36">
        <v>0.107957141505092</v>
      </c>
      <c r="W37" s="36">
        <v>0.44468582126144601</v>
      </c>
      <c r="X37" s="36">
        <v>0.322083499169113</v>
      </c>
      <c r="Y37" s="36">
        <v>0.21511137961694499</v>
      </c>
      <c r="Z37" s="36">
        <v>0.44468582126144601</v>
      </c>
      <c r="AA37" s="36">
        <v>2.00700524841512</v>
      </c>
      <c r="AB37" s="36">
        <v>0</v>
      </c>
      <c r="AC37" s="36">
        <v>4.3524304567338703</v>
      </c>
      <c r="AD37" s="36">
        <v>0</v>
      </c>
      <c r="AE37" s="36">
        <v>4.3524304567338703</v>
      </c>
      <c r="AF37" s="36">
        <v>1.4662601427577699</v>
      </c>
      <c r="AG37" s="36">
        <v>3.0445224377234199</v>
      </c>
      <c r="AH37" s="36">
        <v>0</v>
      </c>
      <c r="AI37" s="36">
        <v>3.19183345375632</v>
      </c>
      <c r="AJ37" s="36">
        <v>4.3524304567338703</v>
      </c>
      <c r="AK37" s="36">
        <v>0.23822918873225099</v>
      </c>
      <c r="AL37" s="36">
        <v>0.143234168085908</v>
      </c>
      <c r="AM37" s="36">
        <v>0.17395330712343801</v>
      </c>
      <c r="AN37" s="36">
        <v>0.180653499693258</v>
      </c>
      <c r="AO37" s="36">
        <v>0.15443635330441899</v>
      </c>
      <c r="AP37" s="36">
        <v>0.64185388617239503</v>
      </c>
      <c r="AQ37" s="36">
        <v>0.21511137961694499</v>
      </c>
      <c r="AR37" s="36">
        <v>0.350656871613169</v>
      </c>
      <c r="AS37" s="36">
        <v>0.64185388617239503</v>
      </c>
      <c r="AT37" s="36">
        <v>3.0834225866809799</v>
      </c>
      <c r="AU37" s="36">
        <v>0.34854196070854299</v>
      </c>
      <c r="AV37" s="36">
        <v>3.6506582412937401</v>
      </c>
      <c r="AW37" s="36">
        <v>4.1510399058986502</v>
      </c>
      <c r="AX37" s="36">
        <v>2.6026896854443802</v>
      </c>
      <c r="AY37" s="36">
        <v>3.6506582412937401</v>
      </c>
      <c r="AZ37" s="36">
        <v>3.7534257877209898</v>
      </c>
      <c r="BA37" s="36">
        <v>0.45932178089887499</v>
      </c>
      <c r="BB37" s="36">
        <v>3.2580965380214799</v>
      </c>
      <c r="BC37" s="36">
        <v>0.31845373111853498</v>
      </c>
      <c r="BD37" s="36">
        <v>0</v>
      </c>
      <c r="BE37" s="36">
        <v>0.22314355131420999</v>
      </c>
      <c r="BF37" s="36">
        <v>0.188966099512623</v>
      </c>
      <c r="BG37" s="36">
        <v>0.377065633586466</v>
      </c>
      <c r="BH37" s="36">
        <v>0.81093021621632899</v>
      </c>
      <c r="BI37" s="36">
        <v>0.81093021621632899</v>
      </c>
      <c r="BJ37" s="36">
        <v>0.55961578793542299</v>
      </c>
      <c r="BK37" s="36">
        <v>0.73380916227883497</v>
      </c>
      <c r="BL37" s="36">
        <v>0</v>
      </c>
      <c r="BM37" s="36">
        <v>0</v>
      </c>
      <c r="BN37" s="36">
        <v>0</v>
      </c>
      <c r="BO37" s="36">
        <v>0</v>
      </c>
      <c r="BP37" s="36">
        <v>0.81093021621632899</v>
      </c>
      <c r="BQ37" s="36">
        <v>0.405465108108164</v>
      </c>
      <c r="BR37" s="36">
        <v>0</v>
      </c>
      <c r="BS37" s="36">
        <v>0.45932178089887499</v>
      </c>
      <c r="BT37" s="36">
        <v>0</v>
      </c>
      <c r="BU37" s="36">
        <v>4.2145986164699201</v>
      </c>
      <c r="BV37" s="36">
        <v>3.5361069907765299</v>
      </c>
      <c r="BW37" s="36">
        <v>3.7775311517085002</v>
      </c>
      <c r="BX37" s="36">
        <v>0.45932178089887499</v>
      </c>
      <c r="BY37" s="36">
        <v>4.55539153342494</v>
      </c>
      <c r="BZ37" s="36">
        <v>1.8581712347473101</v>
      </c>
      <c r="CA37" s="36">
        <v>1.92512418129548</v>
      </c>
      <c r="CB37" s="36">
        <v>1.75798284733453</v>
      </c>
      <c r="CC37" s="36">
        <v>0.85810877641768601</v>
      </c>
      <c r="CD37" s="36">
        <v>1.12601126274812</v>
      </c>
      <c r="CE37" s="36">
        <v>3.3189178746059498</v>
      </c>
      <c r="CF37" s="36">
        <v>4.1750002369160404</v>
      </c>
      <c r="CH37" t="str">
        <f t="shared" si="0"/>
        <v>/*135*/ 000  1 2.7408400239252 2.17247640764703 2.42480272571829 6.54821910276237 6.4425401664682 5.59098698051086 7.37274636640433 0 0.859931998204771 0.885831524389446 0.89117803105908 0.878796527446575 0.357674444271816 0.219938420365261 0.213497174262404 0.158711691154821 0.198030850499135 0.107957141505092 0.444685821261446 0.322083499169113 0.215111379616945 0.444685821261446 2.00700524841512 0 4.35243045673387 0 4.35243045673387 1.46626014275777 3.04452243772342 0 3.19183345375632 4.35243045673387 0.238229188732251 0.143234168085908 0.173953307123438 0.180653499693258 0.154436353304419 0.641853886172395 0.215111379616945 0.350656871613169 0.641853886172395 3.08342258668098 0.348541960708543 3.65065824129374 4.15103990589865 2.60268968544438 3.65065824129374 3.75342578772099 0.459321780898875 3.25809653802148 0.318453731118535 0 0.22314355131421 0.188966099512623 0.377065633586466 0.810930216216329 0.810930216216329 0.559615787935423 0.733809162278835 0 0 0 0 0.810930216216329 0.405465108108164 0 0.459321780898875 0 4.21459861646992 3.53610699077653 3.7775311517085 0.459321780898875 4.55539153342494 1.85817123474731 1.92512418129548 1.75798284733453 0.858108776417686 1.12601126274812 3.31891787460595 4.17500023691604;</v>
      </c>
    </row>
    <row r="38" spans="1:86" x14ac:dyDescent="0.25">
      <c r="A38" s="2">
        <v>149</v>
      </c>
      <c r="B38" s="2">
        <v>1</v>
      </c>
      <c r="C38" s="2">
        <v>1</v>
      </c>
      <c r="D38" s="2">
        <v>1</v>
      </c>
      <c r="E38" s="36">
        <v>2.6461747973841199</v>
      </c>
      <c r="F38" s="36">
        <v>2.2104698040862401</v>
      </c>
      <c r="G38" s="36">
        <v>2.5273273656719502</v>
      </c>
      <c r="H38" s="36">
        <v>7.6866213349446202</v>
      </c>
      <c r="I38" s="36">
        <v>7.6801756404365902</v>
      </c>
      <c r="J38" s="36">
        <v>6.9985096422505997</v>
      </c>
      <c r="K38" s="36">
        <v>8.6009827171459197</v>
      </c>
      <c r="L38" s="36">
        <v>1.1016077976479099</v>
      </c>
      <c r="M38" s="36">
        <v>1.72508533596006</v>
      </c>
      <c r="N38" s="36">
        <v>1.6712853157601799</v>
      </c>
      <c r="O38" s="36">
        <v>2.12453440305074</v>
      </c>
      <c r="P38" s="36">
        <v>1.86144099242886</v>
      </c>
      <c r="Q38" s="36">
        <v>1.0684966647634899</v>
      </c>
      <c r="R38" s="36">
        <v>0.25851069515150099</v>
      </c>
      <c r="S38" s="36">
        <v>0.20945022418220699</v>
      </c>
      <c r="T38" s="36">
        <v>0.50198667509878603</v>
      </c>
      <c r="U38" s="36">
        <v>0.33361100434018098</v>
      </c>
      <c r="V38" s="36">
        <v>0.23031775506221</v>
      </c>
      <c r="W38" s="36">
        <v>0.51879379341516796</v>
      </c>
      <c r="X38" s="36">
        <v>0.50681760236845197</v>
      </c>
      <c r="Y38" s="36">
        <v>0.68309684470644405</v>
      </c>
      <c r="Z38" s="36">
        <v>0.68309684470644405</v>
      </c>
      <c r="AA38" s="36">
        <v>2.69036133823113</v>
      </c>
      <c r="AB38" s="36">
        <v>1.1549926221042199</v>
      </c>
      <c r="AC38" s="36">
        <v>3.4479219218350199</v>
      </c>
      <c r="AD38" s="36">
        <v>0</v>
      </c>
      <c r="AE38" s="36">
        <v>3.5147938882447001</v>
      </c>
      <c r="AF38" s="36">
        <v>0</v>
      </c>
      <c r="AG38" s="36">
        <v>4.1929372275591899</v>
      </c>
      <c r="AH38" s="36">
        <v>1.1549926221042199</v>
      </c>
      <c r="AI38" s="36">
        <v>4.2252412370238703</v>
      </c>
      <c r="AJ38" s="36">
        <v>4.1929372275591899</v>
      </c>
      <c r="AK38" s="36">
        <v>0.30084505897806202</v>
      </c>
      <c r="AL38" s="36">
        <v>0.27079020478156302</v>
      </c>
      <c r="AM38" s="36">
        <v>2.2739486969489301E-2</v>
      </c>
      <c r="AN38" s="36">
        <v>0.20375683751401999</v>
      </c>
      <c r="AO38" s="36">
        <v>0.24529635595534299</v>
      </c>
      <c r="AP38" s="36">
        <v>0.70309751141311305</v>
      </c>
      <c r="AQ38" s="36">
        <v>0.61518563909023305</v>
      </c>
      <c r="AR38" s="36">
        <v>6.7658648473814906E-2</v>
      </c>
      <c r="AS38" s="36">
        <v>0.70309751141311305</v>
      </c>
      <c r="AT38" s="36">
        <v>3.5361069907765299</v>
      </c>
      <c r="AU38" s="36">
        <v>0.122217632724249</v>
      </c>
      <c r="AV38" s="36">
        <v>3.6506582412937401</v>
      </c>
      <c r="AW38" s="36">
        <v>2.6026896854443802</v>
      </c>
      <c r="AX38" s="36">
        <v>4.6151205168412597</v>
      </c>
      <c r="AY38" s="36">
        <v>3.9318256327243302</v>
      </c>
      <c r="AZ38" s="36">
        <v>3.7534257877209898</v>
      </c>
      <c r="BA38" s="36">
        <v>0.34854196070854299</v>
      </c>
      <c r="BB38" s="36">
        <v>2.2335565065836098</v>
      </c>
      <c r="BC38" s="36">
        <v>0.405465108108164</v>
      </c>
      <c r="BD38" s="36">
        <v>0.22314355131420999</v>
      </c>
      <c r="BE38" s="36">
        <v>0</v>
      </c>
      <c r="BF38" s="36">
        <v>0.22314355131420999</v>
      </c>
      <c r="BG38" s="36">
        <v>0.73380916227883497</v>
      </c>
      <c r="BH38" s="36">
        <v>0.55961578793542299</v>
      </c>
      <c r="BI38" s="36">
        <v>0</v>
      </c>
      <c r="BJ38" s="36">
        <v>0.81093021621632899</v>
      </c>
      <c r="BK38" s="36">
        <v>0.51102560376865702</v>
      </c>
      <c r="BL38" s="36">
        <v>0.405465108108164</v>
      </c>
      <c r="BM38" s="36">
        <v>0</v>
      </c>
      <c r="BN38" s="36">
        <v>0.405465108108164</v>
      </c>
      <c r="BO38" s="36">
        <v>0.28743204119657201</v>
      </c>
      <c r="BP38" s="36">
        <v>1.09861228866811</v>
      </c>
      <c r="BQ38" s="36">
        <v>0</v>
      </c>
      <c r="BR38" s="36">
        <v>1.44691898293633</v>
      </c>
      <c r="BS38" s="36">
        <v>1.0116009116784801</v>
      </c>
      <c r="BT38" s="36">
        <v>2.8716984926305398</v>
      </c>
      <c r="BU38" s="36">
        <v>4.2145986164699201</v>
      </c>
      <c r="BV38" s="36">
        <v>2.8716984926305398</v>
      </c>
      <c r="BW38" s="36">
        <v>3.6560462970187002</v>
      </c>
      <c r="BX38" s="36">
        <v>0.377065633586466</v>
      </c>
      <c r="BY38" s="36">
        <v>4.0028504253886403</v>
      </c>
      <c r="BZ38" s="36">
        <v>2.5647185615994501</v>
      </c>
      <c r="CA38" s="36">
        <v>3.8553679942715702</v>
      </c>
      <c r="CB38" s="36">
        <v>0</v>
      </c>
      <c r="CC38" s="36">
        <v>4.1872079583638904</v>
      </c>
      <c r="CD38" s="36">
        <v>3.5879892185156499</v>
      </c>
      <c r="CE38" s="36">
        <v>0</v>
      </c>
      <c r="CF38" s="36">
        <v>0</v>
      </c>
      <c r="CH38" t="str">
        <f t="shared" si="0"/>
        <v>/*149*/ 111  1 2.64617479738412 2.21046980408624 2.52732736567195 7.68662133494462 7.68017564043659 6.9985096422506 8.60098271714592 1.10160779764791 1.72508533596006 1.67128531576018 2.12453440305074 1.86144099242886 1.06849666476349 0.258510695151501 0.209450224182207 0.501986675098786 0.333611004340181 0.23031775506221 0.518793793415168 0.506817602368452 0.683096844706444 0.683096844706444 2.69036133823113 1.15499262210422 3.44792192183502 0 3.5147938882447 0 4.19293722755919 1.15499262210422 4.22524123702387 4.19293722755919 0.300845058978062 0.270790204781563 2.27394869694893E-02 0.20375683751402 0.245296355955343 0.703097511413113 0.615185639090233 6.76586484738149E-02 0.703097511413113 3.53610699077653 0.122217632724249 3.65065824129374 2.60268968544438 4.61512051684126 3.93182563272433 3.75342578772099 0.348541960708543 2.23355650658361 0.405465108108164 0.22314355131421 0 0.22314355131421 0.733809162278835 0.559615787935423 0 0.810930216216329 0.511025603768657 0.405465108108164 0 0.405465108108164 0.287432041196572 1.09861228866811 0 1.44691898293633 1.01160091167848 2.87169849263054 4.21459861646992 2.87169849263054 3.6560462970187 0.377065633586466 4.00285042538864 2.56471856159945 3.85536799427157 0 4.18720795836389 3.58798921851565 0 0;</v>
      </c>
    </row>
    <row r="39" spans="1:86" x14ac:dyDescent="0.25">
      <c r="A39" s="2">
        <v>154</v>
      </c>
      <c r="B39" s="2">
        <v>1</v>
      </c>
      <c r="C39" s="2">
        <v>1</v>
      </c>
      <c r="D39" s="2">
        <v>1</v>
      </c>
      <c r="E39" s="36">
        <v>2.7972813348301502</v>
      </c>
      <c r="F39" s="36">
        <v>2.2449559801574099</v>
      </c>
      <c r="G39" s="36">
        <v>2.72915916431245</v>
      </c>
      <c r="H39" s="36">
        <v>7.3740018593501597</v>
      </c>
      <c r="I39" s="36">
        <v>7.3198649298089702</v>
      </c>
      <c r="J39" s="36">
        <v>7.29573507274928</v>
      </c>
      <c r="K39" s="36">
        <v>8.4285805330596304</v>
      </c>
      <c r="L39" s="36">
        <v>0.65803800344637697</v>
      </c>
      <c r="M39" s="36">
        <v>1.6389967146756399</v>
      </c>
      <c r="N39" s="36">
        <v>1.47590651980958</v>
      </c>
      <c r="O39" s="36">
        <v>1.6559397460855201</v>
      </c>
      <c r="P39" s="36">
        <v>1.5935117618838399</v>
      </c>
      <c r="Q39" s="36">
        <v>1.02926221053332</v>
      </c>
      <c r="R39" s="36">
        <v>0.298622012490115</v>
      </c>
      <c r="S39" s="36">
        <v>0.20701416938432601</v>
      </c>
      <c r="T39" s="36">
        <v>0.30158497762077202</v>
      </c>
      <c r="U39" s="36">
        <v>0.27079020478156302</v>
      </c>
      <c r="V39" s="36">
        <v>0.20130685670503501</v>
      </c>
      <c r="W39" s="36">
        <v>0.55388511322643796</v>
      </c>
      <c r="X39" s="36">
        <v>0.45742484703887498</v>
      </c>
      <c r="Y39" s="36">
        <v>0.69314718055994495</v>
      </c>
      <c r="Z39" s="36">
        <v>0.69314718055994495</v>
      </c>
      <c r="AA39" s="36">
        <v>2.6111721261257199</v>
      </c>
      <c r="AB39" s="36">
        <v>0</v>
      </c>
      <c r="AC39" s="36">
        <v>1.30914330193148</v>
      </c>
      <c r="AD39" s="36">
        <v>0</v>
      </c>
      <c r="AE39" s="36">
        <v>1.30914330193148</v>
      </c>
      <c r="AF39" s="36">
        <v>0</v>
      </c>
      <c r="AG39" s="36">
        <v>4.5601205174343704</v>
      </c>
      <c r="AH39" s="36">
        <v>1.30914330193148</v>
      </c>
      <c r="AI39" s="36">
        <v>4.5879935078674698</v>
      </c>
      <c r="AJ39" s="36">
        <v>4.5601205174343704</v>
      </c>
      <c r="AK39" s="36">
        <v>0.144965770250186</v>
      </c>
      <c r="AL39" s="36">
        <v>0.27155269052189701</v>
      </c>
      <c r="AM39" s="36">
        <v>0.22234323114344101</v>
      </c>
      <c r="AN39" s="36">
        <v>0.20782684720231701</v>
      </c>
      <c r="AO39" s="36">
        <v>0.23269776411902099</v>
      </c>
      <c r="AP39" s="36">
        <v>0.67803354274989702</v>
      </c>
      <c r="AQ39" s="36">
        <v>0.55388511322643796</v>
      </c>
      <c r="AR39" s="36">
        <v>0.58778666490211895</v>
      </c>
      <c r="AS39" s="36">
        <v>0.67803354274989702</v>
      </c>
      <c r="AT39" s="36">
        <v>3.7534257877209898</v>
      </c>
      <c r="AU39" s="36">
        <v>0.188966099512623</v>
      </c>
      <c r="AV39" s="36">
        <v>3.9318256327243302</v>
      </c>
      <c r="AW39" s="36">
        <v>2.6026896854443802</v>
      </c>
      <c r="AX39" s="36">
        <v>3.9318256327243302</v>
      </c>
      <c r="AY39" s="36">
        <v>3.6506582412937401</v>
      </c>
      <c r="AZ39" s="36">
        <v>3.7534257877209898</v>
      </c>
      <c r="BA39" s="36">
        <v>0.55961578793542299</v>
      </c>
      <c r="BB39" s="36">
        <v>2.2335565065836098</v>
      </c>
      <c r="BC39" s="36">
        <v>0</v>
      </c>
      <c r="BD39" s="36">
        <v>0</v>
      </c>
      <c r="BE39" s="36">
        <v>0</v>
      </c>
      <c r="BF39" s="36">
        <v>0</v>
      </c>
      <c r="BG39" s="36">
        <v>0.188966099512623</v>
      </c>
      <c r="BH39" s="36">
        <v>0</v>
      </c>
      <c r="BI39" s="36">
        <v>0.81093021621632899</v>
      </c>
      <c r="BJ39" s="36">
        <v>1.0116009116784801</v>
      </c>
      <c r="BK39" s="36">
        <v>0.69314718055994495</v>
      </c>
      <c r="BL39" s="36">
        <v>0.22314355131420999</v>
      </c>
      <c r="BM39" s="36">
        <v>0.22314355131420999</v>
      </c>
      <c r="BN39" s="36">
        <v>0.55961578793542299</v>
      </c>
      <c r="BO39" s="36">
        <v>0.34854196070854299</v>
      </c>
      <c r="BP39" s="36">
        <v>1.1786549963416499</v>
      </c>
      <c r="BQ39" s="36">
        <v>0.55961578793542299</v>
      </c>
      <c r="BR39" s="36">
        <v>0.916290731874155</v>
      </c>
      <c r="BS39" s="36">
        <v>0.916290731874155</v>
      </c>
      <c r="BT39" s="36">
        <v>2.8716984926305398</v>
      </c>
      <c r="BU39" s="36">
        <v>4.1510399058986502</v>
      </c>
      <c r="BV39" s="36">
        <v>3.0834225866809799</v>
      </c>
      <c r="BW39" s="36">
        <v>3.6826098411003398</v>
      </c>
      <c r="BX39" s="36">
        <v>0.22314355131420999</v>
      </c>
      <c r="BY39" s="36">
        <v>4.5036688806559901</v>
      </c>
      <c r="BZ39" s="36">
        <v>2.4631721576419898</v>
      </c>
      <c r="CA39" s="36">
        <v>2.4554778390971901</v>
      </c>
      <c r="CB39" s="36">
        <v>1.4506627666948799</v>
      </c>
      <c r="CC39" s="36">
        <v>3.54812362771214</v>
      </c>
      <c r="CD39" s="36">
        <v>0.80833483468108902</v>
      </c>
      <c r="CE39" s="36">
        <v>4.1390284524144496</v>
      </c>
      <c r="CF39" s="36">
        <v>0</v>
      </c>
      <c r="CH39" t="str">
        <f t="shared" si="0"/>
        <v>/*154*/ 111  1 2.79728133483015 2.24495598015741 2.72915916431245 7.37400185935016 7.31986492980897 7.29573507274928 8.42858053305963 0.658038003446377 1.63899671467564 1.47590651980958 1.65593974608552 1.59351176188384 1.02926221053332 0.298622012490115 0.207014169384326 0.301584977620772 0.270790204781563 0.201306856705035 0.553885113226438 0.457424847038875 0.693147180559945 0.693147180559945 2.61117212612572 0 1.30914330193148 0 1.30914330193148 0 4.56012051743437 1.30914330193148 4.58799350786747 4.56012051743437 0.144965770250186 0.271552690521897 0.222343231143441 0.207826847202317 0.232697764119021 0.678033542749897 0.553885113226438 0.587786664902119 0.678033542749897 3.75342578772099 0.188966099512623 3.93182563272433 2.60268968544438 3.93182563272433 3.65065824129374 3.75342578772099 0.559615787935423 2.23355650658361 0 0 0 0 0.188966099512623 0 0.810930216216329 1.01160091167848 0.693147180559945 0.22314355131421 0.22314355131421 0.559615787935423 0.348541960708543 1.17865499634165 0.559615787935423 0.916290731874155 0.916290731874155 2.87169849263054 4.15103990589865 3.08342258668098 3.68260984110034 0.22314355131421 4.50366888065599 2.46317215764199 2.45547783909719 1.45066276669488 3.54812362771214 0.808334834681089 4.13902845241445 0;</v>
      </c>
    </row>
    <row r="40" spans="1:86" x14ac:dyDescent="0.25">
      <c r="A40" s="2">
        <v>156</v>
      </c>
      <c r="B40" s="2">
        <v>1</v>
      </c>
      <c r="C40" s="2">
        <v>1</v>
      </c>
      <c r="D40" s="2">
        <v>1</v>
      </c>
      <c r="E40" s="36">
        <v>2.4423470353691998</v>
      </c>
      <c r="F40" s="36">
        <v>2.2385797630181301</v>
      </c>
      <c r="G40" s="36">
        <v>2.6567569067146599</v>
      </c>
      <c r="H40" s="36">
        <v>6.0958245624322203</v>
      </c>
      <c r="I40" s="36">
        <v>5.8833223884882804</v>
      </c>
      <c r="J40" s="36">
        <v>6.0822189103764499</v>
      </c>
      <c r="K40" s="36">
        <v>7.1220598816291396</v>
      </c>
      <c r="L40" s="36">
        <v>0.29192306670903501</v>
      </c>
      <c r="M40" s="36">
        <v>1.68639895357023</v>
      </c>
      <c r="N40" s="36">
        <v>1.4141526892482901</v>
      </c>
      <c r="O40" s="36">
        <v>1.2493285060467301</v>
      </c>
      <c r="P40" s="36">
        <v>1.4662601427577699</v>
      </c>
      <c r="Q40" s="36">
        <v>0.90381321036304296</v>
      </c>
      <c r="R40" s="36">
        <v>0.20945022418220699</v>
      </c>
      <c r="S40" s="36">
        <v>0.17647114311577899</v>
      </c>
      <c r="T40" s="36">
        <v>0.14236724128692199</v>
      </c>
      <c r="U40" s="36">
        <v>0.17981842657583599</v>
      </c>
      <c r="V40" s="36">
        <v>0.113328685307003</v>
      </c>
      <c r="W40" s="36">
        <v>0.431782416425538</v>
      </c>
      <c r="X40" s="36">
        <v>0.41871033485818498</v>
      </c>
      <c r="Y40" s="36">
        <v>0.262364264467491</v>
      </c>
      <c r="Z40" s="36">
        <v>0.431782416425538</v>
      </c>
      <c r="AA40" s="36">
        <v>2.8859174075467799</v>
      </c>
      <c r="AB40" s="36">
        <v>1.2527629684953701</v>
      </c>
      <c r="AC40" s="36">
        <v>1.7917594692280501</v>
      </c>
      <c r="AD40" s="36">
        <v>2.1400661634962699</v>
      </c>
      <c r="AE40" s="36">
        <v>2.7725887222397798</v>
      </c>
      <c r="AF40" s="36">
        <v>1.2527629684953701</v>
      </c>
      <c r="AG40" s="36">
        <v>4.42484663185681</v>
      </c>
      <c r="AH40" s="36">
        <v>0</v>
      </c>
      <c r="AI40" s="36">
        <v>4.45434729625351</v>
      </c>
      <c r="AJ40" s="36">
        <v>4.42484663185681</v>
      </c>
      <c r="AK40" s="36">
        <v>0.17981842657583599</v>
      </c>
      <c r="AL40" s="36">
        <v>0.24216155714997201</v>
      </c>
      <c r="AM40" s="36">
        <v>0.26543646350446098</v>
      </c>
      <c r="AN40" s="36">
        <v>0.23665190133900199</v>
      </c>
      <c r="AO40" s="36">
        <v>0.17814618538347399</v>
      </c>
      <c r="AP40" s="36">
        <v>0.350656871613169</v>
      </c>
      <c r="AQ40" s="36">
        <v>0.44468582126144601</v>
      </c>
      <c r="AR40" s="36">
        <v>0.58778666490211895</v>
      </c>
      <c r="AS40" s="36">
        <v>0.58778666490211895</v>
      </c>
      <c r="AT40" s="36">
        <v>4.1510399058986502</v>
      </c>
      <c r="AU40" s="36">
        <v>0.22314355131420999</v>
      </c>
      <c r="AV40" s="36">
        <v>3.2580965380214799</v>
      </c>
      <c r="AW40" s="36">
        <v>2.6026896854443802</v>
      </c>
      <c r="AX40" s="36">
        <v>0</v>
      </c>
      <c r="AY40" s="36">
        <v>2.6026896854443802</v>
      </c>
      <c r="AZ40" s="36">
        <v>4.1510399058986502</v>
      </c>
      <c r="BA40" s="36">
        <v>0.60595396885756803</v>
      </c>
      <c r="BB40" s="36">
        <v>2.8716984926305398</v>
      </c>
      <c r="BC40" s="36">
        <v>0.81093021621632899</v>
      </c>
      <c r="BD40" s="36">
        <v>0</v>
      </c>
      <c r="BE40" s="36">
        <v>0.55961578793542299</v>
      </c>
      <c r="BF40" s="36">
        <v>0.51102560376865702</v>
      </c>
      <c r="BG40" s="36">
        <v>0.73380916227883497</v>
      </c>
      <c r="BH40" s="36">
        <v>0</v>
      </c>
      <c r="BI40" s="36">
        <v>0.22314355131420999</v>
      </c>
      <c r="BJ40" s="36">
        <v>0</v>
      </c>
      <c r="BK40" s="36">
        <v>7.9734968018853505E-2</v>
      </c>
      <c r="BL40" s="36">
        <v>0.22314355131420999</v>
      </c>
      <c r="BM40" s="36">
        <v>0.69314718055994495</v>
      </c>
      <c r="BN40" s="36">
        <v>0.69314718055994495</v>
      </c>
      <c r="BO40" s="36">
        <v>0.55961578793542299</v>
      </c>
      <c r="BP40" s="36">
        <v>0.55961578793542299</v>
      </c>
      <c r="BQ40" s="36">
        <v>0.22314355131420999</v>
      </c>
      <c r="BR40" s="36">
        <v>0.69314718055994495</v>
      </c>
      <c r="BS40" s="36">
        <v>0.51102560376865702</v>
      </c>
      <c r="BT40" s="36">
        <v>3.4067486117004799</v>
      </c>
      <c r="BU40" s="36">
        <v>3.9318256327243302</v>
      </c>
      <c r="BV40" s="36">
        <v>3.0834225866809799</v>
      </c>
      <c r="BW40" s="36">
        <v>3.4339872044851498</v>
      </c>
      <c r="BX40" s="36">
        <v>0.45932178089887499</v>
      </c>
      <c r="BY40" s="36">
        <v>1.32919476907932</v>
      </c>
      <c r="BZ40" s="36">
        <v>1.15404699555621</v>
      </c>
      <c r="CA40" s="36">
        <v>4.58723022285543</v>
      </c>
      <c r="CB40" s="36">
        <v>0</v>
      </c>
      <c r="CC40" s="36">
        <v>4.4064217610684002</v>
      </c>
      <c r="CD40" s="36">
        <v>0</v>
      </c>
      <c r="CE40" s="36">
        <v>2.9969510425532402</v>
      </c>
      <c r="CF40" s="36">
        <v>0</v>
      </c>
      <c r="CH40" t="str">
        <f t="shared" si="0"/>
        <v>/*156*/ 111  1 2.4423470353692 2.23857976301813 2.65675690671466 6.09582456243222 5.88332238848828 6.08221891037645 7.12205988162914 0.291923066709035 1.68639895357023 1.41415268924829 1.24932850604673 1.46626014275777 0.903813210363043 0.209450224182207 0.176471143115779 0.142367241286922 0.179818426575836 0.113328685307003 0.431782416425538 0.418710334858185 0.262364264467491 0.431782416425538 2.88591740754678 1.25276296849537 1.79175946922805 2.14006616349627 2.77258872223978 1.25276296849537 4.42484663185681 0 4.45434729625351 4.42484663185681 0.179818426575836 0.242161557149972 0.265436463504461 0.236651901339002 0.178146185383474 0.350656871613169 0.444685821261446 0.587786664902119 0.587786664902119 4.15103990589865 0.22314355131421 3.25809653802148 2.60268968544438 0 2.60268968544438 4.15103990589865 0.605953968857568 2.87169849263054 0.810930216216329 0 0.559615787935423 0.511025603768657 0.733809162278835 0 0.22314355131421 0 7.97349680188535E-02 0.22314355131421 0.693147180559945 0.693147180559945 0.559615787935423 0.559615787935423 0.22314355131421 0.693147180559945 0.511025603768657 3.40674861170048 3.93182563272433 3.08342258668098 3.43398720448515 0.459321780898875 1.32919476907932 1.15404699555621 4.58723022285543 0 4.4064217610684 0 2.99695104255324 0;</v>
      </c>
    </row>
    <row r="41" spans="1:86" x14ac:dyDescent="0.25">
      <c r="A41" s="2">
        <v>157</v>
      </c>
      <c r="B41" s="2">
        <v>0</v>
      </c>
      <c r="C41" s="2">
        <v>1</v>
      </c>
      <c r="D41" s="2">
        <v>0</v>
      </c>
      <c r="E41" s="36">
        <v>2.7600099400329201</v>
      </c>
      <c r="F41" s="36">
        <v>2.2192034840549901</v>
      </c>
      <c r="G41" s="36">
        <v>2.4680995314716201</v>
      </c>
      <c r="H41" s="36">
        <v>7.13966033596492</v>
      </c>
      <c r="I41" s="36">
        <v>7.1412451223504902</v>
      </c>
      <c r="J41" s="36">
        <v>6.6908422774185601</v>
      </c>
      <c r="K41" s="36">
        <v>8.1098262760184792</v>
      </c>
      <c r="L41" s="36">
        <v>1.35273757759105</v>
      </c>
      <c r="M41" s="36">
        <v>2.1575593209437902</v>
      </c>
      <c r="N41" s="36">
        <v>1.90210752639692</v>
      </c>
      <c r="O41" s="36">
        <v>1.5867832218692901</v>
      </c>
      <c r="P41" s="36">
        <v>1.9089497366394601</v>
      </c>
      <c r="Q41" s="36">
        <v>1.2047724844965</v>
      </c>
      <c r="R41" s="36">
        <v>0.30821972366932898</v>
      </c>
      <c r="S41" s="36">
        <v>0.30084505897806202</v>
      </c>
      <c r="T41" s="36">
        <v>0.45995329339223401</v>
      </c>
      <c r="U41" s="36">
        <v>0.35907206853845403</v>
      </c>
      <c r="V41" s="36">
        <v>0.16889853646181399</v>
      </c>
      <c r="W41" s="36">
        <v>0.47000362924573602</v>
      </c>
      <c r="X41" s="36">
        <v>0.50077528791248904</v>
      </c>
      <c r="Y41" s="36">
        <v>0.58778666490211895</v>
      </c>
      <c r="Z41" s="36">
        <v>0.58778666490211895</v>
      </c>
      <c r="AA41" s="36">
        <v>2.6601196673446599</v>
      </c>
      <c r="AB41" s="36">
        <v>0</v>
      </c>
      <c r="AC41" s="36">
        <v>3.84658808264264</v>
      </c>
      <c r="AD41" s="36">
        <v>0</v>
      </c>
      <c r="AE41" s="36">
        <v>3.84658808264264</v>
      </c>
      <c r="AF41" s="36">
        <v>0</v>
      </c>
      <c r="AG41" s="36">
        <v>3.9318256327243302</v>
      </c>
      <c r="AH41" s="36">
        <v>1.64229224930505</v>
      </c>
      <c r="AI41" s="36">
        <v>4.0103649484268296</v>
      </c>
      <c r="AJ41" s="36">
        <v>3.9318256327243302</v>
      </c>
      <c r="AK41" s="36">
        <v>0.21672298351128699</v>
      </c>
      <c r="AL41" s="36">
        <v>0.17814618538347399</v>
      </c>
      <c r="AM41" s="36">
        <v>9.3490343087339001E-2</v>
      </c>
      <c r="AN41" s="36">
        <v>0.16381808522939501</v>
      </c>
      <c r="AO41" s="36">
        <v>0.18315454309784701</v>
      </c>
      <c r="AP41" s="36">
        <v>0.741937344729377</v>
      </c>
      <c r="AQ41" s="36">
        <v>0.322083499169113</v>
      </c>
      <c r="AR41" s="36">
        <v>0.157003748809665</v>
      </c>
      <c r="AS41" s="36">
        <v>0.741937344729377</v>
      </c>
      <c r="AT41" s="36">
        <v>2.2335565065836098</v>
      </c>
      <c r="AU41" s="36">
        <v>0.42002525943949398</v>
      </c>
      <c r="AV41" s="36">
        <v>2.6026896854443802</v>
      </c>
      <c r="AW41" s="36">
        <v>2.6026896854443802</v>
      </c>
      <c r="AX41" s="36">
        <v>4.4830025520138799</v>
      </c>
      <c r="AY41" s="36">
        <v>3.6506582412937401</v>
      </c>
      <c r="AZ41" s="36">
        <v>3.9318256327243302</v>
      </c>
      <c r="BA41" s="36">
        <v>0.51102560376865702</v>
      </c>
      <c r="BB41" s="36">
        <v>3.2580965380214799</v>
      </c>
      <c r="BC41" s="36">
        <v>0</v>
      </c>
      <c r="BD41" s="36">
        <v>0.22314355131420999</v>
      </c>
      <c r="BE41" s="36">
        <v>0</v>
      </c>
      <c r="BF41" s="36">
        <v>7.9734968018853505E-2</v>
      </c>
      <c r="BG41" s="36">
        <v>0.25619140536041002</v>
      </c>
      <c r="BH41" s="36">
        <v>0.22314355131420999</v>
      </c>
      <c r="BI41" s="36">
        <v>0.405465108108164</v>
      </c>
      <c r="BJ41" s="36">
        <v>0.69314718055994495</v>
      </c>
      <c r="BK41" s="36">
        <v>0.45932178089887499</v>
      </c>
      <c r="BL41" s="36">
        <v>0.69314718055994495</v>
      </c>
      <c r="BM41" s="36">
        <v>0.81093021621632899</v>
      </c>
      <c r="BN41" s="36">
        <v>0</v>
      </c>
      <c r="BO41" s="36">
        <v>0.55961578793542299</v>
      </c>
      <c r="BP41" s="36">
        <v>0.81093021621632899</v>
      </c>
      <c r="BQ41" s="36">
        <v>0.69314718055994495</v>
      </c>
      <c r="BR41" s="36">
        <v>1.0116009116784801</v>
      </c>
      <c r="BS41" s="36">
        <v>0.84715499303929298</v>
      </c>
      <c r="BT41" s="36">
        <v>3.0834225866809799</v>
      </c>
      <c r="BU41" s="36">
        <v>4.0831656436306698</v>
      </c>
      <c r="BV41" s="36">
        <v>3.0834225866809799</v>
      </c>
      <c r="BW41" s="36">
        <v>3.6506582412937401</v>
      </c>
      <c r="BX41" s="36">
        <v>0.34854196070854299</v>
      </c>
      <c r="BY41" s="36">
        <v>4.1876071926817904</v>
      </c>
      <c r="BZ41" s="36">
        <v>2.8232818365552999</v>
      </c>
      <c r="CA41" s="36">
        <v>3.58726192473494</v>
      </c>
      <c r="CB41" s="36">
        <v>0</v>
      </c>
      <c r="CC41" s="36">
        <v>3.24689654039457</v>
      </c>
      <c r="CD41" s="36">
        <v>1.0751737158660499</v>
      </c>
      <c r="CE41" s="36">
        <v>4.3089057012371397</v>
      </c>
      <c r="CF41" s="36">
        <v>0</v>
      </c>
      <c r="CH41" t="str">
        <f t="shared" si="0"/>
        <v>/*157*/ 010  1 2.76000994003292 2.21920348405499 2.46809953147162 7.13966033596492 7.14124512235049 6.69084227741856 8.10982627601848 1.35273757759105 2.15755932094379 1.90210752639692 1.58678322186929 1.90894973663946 1.2047724844965 0.308219723669329 0.300845058978062 0.459953293392234 0.359072068538454 0.168898536461814 0.470003629245736 0.500775287912489 0.587786664902119 0.587786664902119 2.66011966734466 0 3.84658808264264 0 3.84658808264264 0 3.93182563272433 1.64229224930505 4.01036494842683 3.93182563272433 0.216722983511287 0.178146185383474 0.093490343087339 0.163818085229395 0.183154543097847 0.741937344729377 0.322083499169113 0.157003748809665 0.741937344729377 2.23355650658361 0.420025259439494 2.60268968544438 2.60268968544438 4.48300255201388 3.65065824129374 3.93182563272433 0.511025603768657 3.25809653802148 0 0.22314355131421 0 7.97349680188535E-02 0.25619140536041 0.22314355131421 0.405465108108164 0.693147180559945 0.459321780898875 0.693147180559945 0.810930216216329 0 0.559615787935423 0.810930216216329 0.693147180559945 1.01160091167848 0.847154993039293 3.08342258668098 4.08316564363067 3.08342258668098 3.65065824129374 0.348541960708543 4.18760719268179 2.8232818365553 3.58726192473494 0 3.24689654039457 1.07517371586605 4.30890570123714 0;</v>
      </c>
    </row>
    <row r="42" spans="1:86" x14ac:dyDescent="0.25">
      <c r="A42" s="2">
        <v>163</v>
      </c>
      <c r="B42" s="2">
        <v>0</v>
      </c>
      <c r="C42" s="2">
        <v>0</v>
      </c>
      <c r="D42" s="2">
        <v>0</v>
      </c>
      <c r="E42" s="36">
        <v>2.8332133440562202</v>
      </c>
      <c r="F42" s="36">
        <v>2.2512917986065002</v>
      </c>
      <c r="G42" s="36">
        <v>2.4239173781615699</v>
      </c>
      <c r="H42" s="36">
        <v>6.4232469635335203</v>
      </c>
      <c r="I42" s="36">
        <v>6.3153580015223296</v>
      </c>
      <c r="J42" s="36">
        <v>5.9989365619466799</v>
      </c>
      <c r="K42" s="36">
        <v>7.35883089834235</v>
      </c>
      <c r="L42" s="36">
        <v>1.2264189931557701</v>
      </c>
      <c r="M42" s="36">
        <v>1.6268848260378199</v>
      </c>
      <c r="N42" s="36">
        <v>1.7116334247487699</v>
      </c>
      <c r="O42" s="36">
        <v>1.68880346781484</v>
      </c>
      <c r="P42" s="36">
        <v>1.6763486177167299</v>
      </c>
      <c r="Q42" s="36">
        <v>0.90300283754721999</v>
      </c>
      <c r="R42" s="36">
        <v>0.26159473768846198</v>
      </c>
      <c r="S42" s="36">
        <v>0.116003675756306</v>
      </c>
      <c r="T42" s="36">
        <v>0.28743204119657201</v>
      </c>
      <c r="U42" s="36">
        <v>0.221542269947236</v>
      </c>
      <c r="V42" s="36">
        <v>0.18564934688662901</v>
      </c>
      <c r="W42" s="36">
        <v>0.63127177684185798</v>
      </c>
      <c r="X42" s="36">
        <v>0.231111720963387</v>
      </c>
      <c r="Y42" s="36">
        <v>0.59883650108870401</v>
      </c>
      <c r="Z42" s="36">
        <v>0.63127177684185798</v>
      </c>
      <c r="AA42" s="36">
        <v>2.9207392945125599</v>
      </c>
      <c r="AB42" s="36">
        <v>0</v>
      </c>
      <c r="AC42" s="36">
        <v>2.2914230282878498</v>
      </c>
      <c r="AD42" s="36">
        <v>0</v>
      </c>
      <c r="AE42" s="36">
        <v>2.2914230282878498</v>
      </c>
      <c r="AF42" s="36">
        <v>1.17000228475478</v>
      </c>
      <c r="AG42" s="36">
        <v>4.4985755758154502</v>
      </c>
      <c r="AH42" s="36">
        <v>0</v>
      </c>
      <c r="AI42" s="36">
        <v>4.5229943715257299</v>
      </c>
      <c r="AJ42" s="36">
        <v>4.4985755758154502</v>
      </c>
      <c r="AK42" s="36">
        <v>8.8010877322713399E-2</v>
      </c>
      <c r="AL42" s="36">
        <v>0.18315454309784701</v>
      </c>
      <c r="AM42" s="36">
        <v>0.11064652008706399</v>
      </c>
      <c r="AN42" s="36">
        <v>0.12663265093336601</v>
      </c>
      <c r="AO42" s="36">
        <v>0.12575120530556</v>
      </c>
      <c r="AP42" s="36">
        <v>0.385262400790645</v>
      </c>
      <c r="AQ42" s="36">
        <v>0.35767444427181599</v>
      </c>
      <c r="AR42" s="36">
        <v>0.350656871613169</v>
      </c>
      <c r="AS42" s="36">
        <v>0.385262400790645</v>
      </c>
      <c r="AT42" s="36">
        <v>3.2580965380214799</v>
      </c>
      <c r="AU42" s="36">
        <v>0.31845373111853498</v>
      </c>
      <c r="AV42" s="36">
        <v>4.1510399058986502</v>
      </c>
      <c r="AW42" s="36">
        <v>0</v>
      </c>
      <c r="AX42" s="36">
        <v>3.9318256327243302</v>
      </c>
      <c r="AY42" s="36">
        <v>3.6506582412937401</v>
      </c>
      <c r="AZ42" s="36">
        <v>3.6506582412937401</v>
      </c>
      <c r="BA42" s="36">
        <v>1.07055569088558</v>
      </c>
      <c r="BB42" s="36">
        <v>4.0831656436306698</v>
      </c>
      <c r="BC42" s="36">
        <v>0</v>
      </c>
      <c r="BD42" s="36">
        <v>0.31845373111853498</v>
      </c>
      <c r="BE42" s="36">
        <v>0</v>
      </c>
      <c r="BF42" s="36">
        <v>0.117783035656383</v>
      </c>
      <c r="BG42" s="36">
        <v>0.405465108108164</v>
      </c>
      <c r="BH42" s="36">
        <v>0</v>
      </c>
      <c r="BI42" s="36">
        <v>0</v>
      </c>
      <c r="BJ42" s="36">
        <v>0</v>
      </c>
      <c r="BK42" s="36">
        <v>0</v>
      </c>
      <c r="BL42" s="36">
        <v>0.55961578793542299</v>
      </c>
      <c r="BM42" s="36">
        <v>0.69314718055994495</v>
      </c>
      <c r="BN42" s="36">
        <v>0.22314355131420999</v>
      </c>
      <c r="BO42" s="36">
        <v>0.51102560376865702</v>
      </c>
      <c r="BP42" s="36">
        <v>0.916290731874155</v>
      </c>
      <c r="BQ42" s="36">
        <v>0.405465108108164</v>
      </c>
      <c r="BR42" s="36">
        <v>1.3217558399823199</v>
      </c>
      <c r="BS42" s="36">
        <v>0.94895151411370304</v>
      </c>
      <c r="BT42" s="36">
        <v>3.2580965380214799</v>
      </c>
      <c r="BU42" s="36">
        <v>4.0103649484268296</v>
      </c>
      <c r="BV42" s="36">
        <v>3.0834225866809799</v>
      </c>
      <c r="BW42" s="36">
        <v>3.5177351979101101</v>
      </c>
      <c r="BX42" s="36">
        <v>0.405465108108164</v>
      </c>
      <c r="BY42" s="36">
        <v>3.3386479920013099</v>
      </c>
      <c r="BZ42" s="36">
        <v>2.66514270009093</v>
      </c>
      <c r="CA42" s="36">
        <v>4.3016161510457298</v>
      </c>
      <c r="CB42" s="36">
        <v>2.0103815358858599</v>
      </c>
      <c r="CC42" s="36">
        <v>4.3192909986950703</v>
      </c>
      <c r="CD42" s="36">
        <v>2.8982769372458002</v>
      </c>
      <c r="CE42" s="36">
        <v>0</v>
      </c>
      <c r="CF42" s="36">
        <v>1.18038859985926</v>
      </c>
      <c r="CH42" t="str">
        <f t="shared" si="0"/>
        <v>/*163*/ 000  1 2.83321334405622 2.2512917986065 2.42391737816157 6.42324696353352 6.31535800152233 5.99893656194668 7.35883089834235 1.22641899315577 1.62688482603782 1.71163342474877 1.68880346781484 1.67634861771673 0.90300283754722 0.261594737688462 0.116003675756306 0.287432041196572 0.221542269947236 0.185649346886629 0.631271776841858 0.231111720963387 0.598836501088704 0.631271776841858 2.92073929451256 0 2.29142302828785 0 2.29142302828785 1.17000228475478 4.49857557581545 0 4.52299437152573 4.49857557581545 8.80108773227134E-02 0.183154543097847 0.110646520087064 0.126632650933366 0.12575120530556 0.385262400790645 0.357674444271816 0.350656871613169 0.385262400790645 3.25809653802148 0.318453731118535 4.15103990589865 0 3.93182563272433 3.65065824129374 3.65065824129374 1.07055569088558 4.08316564363067 0 0.318453731118535 0 0.117783035656383 0.405465108108164 0 0 0 0 0.559615787935423 0.693147180559945 0.22314355131421 0.511025603768657 0.916290731874155 0.405465108108164 1.32175583998232 0.948951514113703 3.25809653802148 4.01036494842683 3.08342258668098 3.51773519791011 0.405465108108164 3.33864799200131 2.66514270009093 4.30161615104573 2.01038153588586 4.31929099869507 2.8982769372458 0 1.18038859985926;</v>
      </c>
    </row>
    <row r="43" spans="1:86" x14ac:dyDescent="0.25">
      <c r="A43" s="2">
        <v>170</v>
      </c>
      <c r="B43" s="2">
        <v>0</v>
      </c>
      <c r="C43" s="2">
        <v>0</v>
      </c>
      <c r="D43" s="2">
        <v>0</v>
      </c>
      <c r="E43" s="36">
        <v>2.7472709142554899</v>
      </c>
      <c r="F43" s="36">
        <v>2.2834022735772699</v>
      </c>
      <c r="G43" s="36">
        <v>2.2935443483419</v>
      </c>
      <c r="H43" s="36">
        <v>5.3844950627890897</v>
      </c>
      <c r="I43" s="36">
        <v>4.8598124043616702</v>
      </c>
      <c r="J43" s="36">
        <v>5.3981627015177498</v>
      </c>
      <c r="K43" s="36">
        <v>6.3385940782031804</v>
      </c>
      <c r="L43" s="36">
        <v>0</v>
      </c>
      <c r="M43" s="36">
        <v>1.0473189942805601</v>
      </c>
      <c r="N43" s="36">
        <v>0.993251773010283</v>
      </c>
      <c r="O43" s="36">
        <v>1.09460426727057</v>
      </c>
      <c r="P43" s="36">
        <v>1.0459144996676599</v>
      </c>
      <c r="Q43" s="36">
        <v>0.586674936049429</v>
      </c>
      <c r="R43" s="36">
        <v>0.131028262406404</v>
      </c>
      <c r="S43" s="36">
        <v>0.111541374732907</v>
      </c>
      <c r="T43" s="36">
        <v>8.8926209194401501E-2</v>
      </c>
      <c r="U43" s="36">
        <v>0.11064652008706399</v>
      </c>
      <c r="V43" s="36">
        <v>6.9526062648610304E-2</v>
      </c>
      <c r="W43" s="36">
        <v>0.262364264467491</v>
      </c>
      <c r="X43" s="36">
        <v>0.21511137961694499</v>
      </c>
      <c r="Y43" s="36">
        <v>0.148420005118273</v>
      </c>
      <c r="Z43" s="36">
        <v>0.262364264467491</v>
      </c>
      <c r="AA43" s="36">
        <v>2.8226281058096401</v>
      </c>
      <c r="AB43" s="36">
        <v>0</v>
      </c>
      <c r="AC43" s="36">
        <v>3.5361069907765299</v>
      </c>
      <c r="AD43" s="36">
        <v>0</v>
      </c>
      <c r="AE43" s="36">
        <v>3.5361069907765299</v>
      </c>
      <c r="AF43" s="36">
        <v>0</v>
      </c>
      <c r="AG43" s="36">
        <v>4.2145986164699201</v>
      </c>
      <c r="AH43" s="36">
        <v>0</v>
      </c>
      <c r="AI43" s="36">
        <v>4.2145986164699201</v>
      </c>
      <c r="AJ43" s="36">
        <v>4.2145986164699201</v>
      </c>
      <c r="AK43" s="36">
        <v>8.7094706850933706E-2</v>
      </c>
      <c r="AL43" s="36">
        <v>7.2320661579626105E-2</v>
      </c>
      <c r="AM43" s="36">
        <v>9.1667188525823895E-2</v>
      </c>
      <c r="AN43" s="36">
        <v>8.4341148433750998E-2</v>
      </c>
      <c r="AO43" s="36">
        <v>8.4341148433750998E-2</v>
      </c>
      <c r="AP43" s="36">
        <v>0.25464221837358098</v>
      </c>
      <c r="AQ43" s="36">
        <v>0.20701416938432601</v>
      </c>
      <c r="AR43" s="36">
        <v>0.22314355131420999</v>
      </c>
      <c r="AS43" s="36">
        <v>0.25464221837358098</v>
      </c>
      <c r="AT43" s="36">
        <v>0</v>
      </c>
      <c r="AU43" s="36">
        <v>0.377065633586466</v>
      </c>
      <c r="AV43" s="36">
        <v>4.3307333402863302</v>
      </c>
      <c r="AW43" s="36">
        <v>3.9318256327243302</v>
      </c>
      <c r="AX43" s="36">
        <v>3.6506582412937401</v>
      </c>
      <c r="AY43" s="36">
        <v>4.0103649484268296</v>
      </c>
      <c r="AZ43" s="36">
        <v>4.0103649484268296</v>
      </c>
      <c r="BA43" s="36">
        <v>0.60595396885756803</v>
      </c>
      <c r="BB43" s="36">
        <v>3.5361069907765299</v>
      </c>
      <c r="BC43" s="36">
        <v>0.405465108108164</v>
      </c>
      <c r="BD43" s="36">
        <v>0.48550781578170099</v>
      </c>
      <c r="BE43" s="36">
        <v>0.405465108108164</v>
      </c>
      <c r="BF43" s="36">
        <v>0.433080275141138</v>
      </c>
      <c r="BG43" s="36">
        <v>0.405465108108164</v>
      </c>
      <c r="BH43" s="36">
        <v>0.22314355131420999</v>
      </c>
      <c r="BI43" s="36">
        <v>0</v>
      </c>
      <c r="BJ43" s="36">
        <v>0</v>
      </c>
      <c r="BK43" s="36">
        <v>7.9734968018853505E-2</v>
      </c>
      <c r="BL43" s="36">
        <v>0.405465108108164</v>
      </c>
      <c r="BM43" s="36">
        <v>0.81093021621632899</v>
      </c>
      <c r="BN43" s="36">
        <v>0.55961578793542299</v>
      </c>
      <c r="BO43" s="36">
        <v>0.60595396885756803</v>
      </c>
      <c r="BP43" s="36">
        <v>0.55961578793542299</v>
      </c>
      <c r="BQ43" s="36">
        <v>0.405465108108164</v>
      </c>
      <c r="BR43" s="36">
        <v>0.405465108108164</v>
      </c>
      <c r="BS43" s="36">
        <v>0.45932178089887499</v>
      </c>
      <c r="BT43" s="36">
        <v>3.5361069907765299</v>
      </c>
      <c r="BU43" s="36">
        <v>4.1510399058986502</v>
      </c>
      <c r="BV43" s="36">
        <v>1.64229224930505</v>
      </c>
      <c r="BW43" s="36">
        <v>3.30505352110925</v>
      </c>
      <c r="BX43" s="36">
        <v>0.48550781578170099</v>
      </c>
      <c r="BY43" s="36">
        <v>1.7056567701746399</v>
      </c>
      <c r="BZ43" s="36">
        <v>1.4922297115285601</v>
      </c>
      <c r="CA43" s="36">
        <v>4.5694911935310696</v>
      </c>
      <c r="CB43" s="36">
        <v>0.71697016098350996</v>
      </c>
      <c r="CC43" s="36">
        <v>4.0051199507439996</v>
      </c>
      <c r="CD43" s="36">
        <v>2.4223693861314901</v>
      </c>
      <c r="CE43" s="36">
        <v>3.3847810479964502</v>
      </c>
      <c r="CF43" s="36">
        <v>1.98640864110572</v>
      </c>
      <c r="CH43" t="str">
        <f t="shared" si="0"/>
        <v>/*170*/ 000  1 2.74727091425549 2.28340227357727 2.2935443483419 5.38449506278909 4.85981240436167 5.39816270151775 6.33859407820318 0 1.04731899428056 0.993251773010283 1.09460426727057 1.04591449966766 0.586674936049429 0.131028262406404 0.111541374732907 8.89262091944015E-02 0.110646520087064 6.95260626486103E-02 0.262364264467491 0.215111379616945 0.148420005118273 0.262364264467491 2.82262810580964 0 3.53610699077653 0 3.53610699077653 0 4.21459861646992 0 4.21459861646992 4.21459861646992 8.70947068509337E-02 7.23206615796261E-02 9.16671885258239E-02 0.084341148433751 0.084341148433751 0.254642218373581 0.207014169384326 0.22314355131421 0.254642218373581 0 0.377065633586466 4.33073334028633 3.93182563272433 3.65065824129374 4.01036494842683 4.01036494842683 0.605953968857568 3.53610699077653 0.405465108108164 0.485507815781701 0.405465108108164 0.433080275141138 0.405465108108164 0.22314355131421 0 0 7.97349680188535E-02 0.405465108108164 0.810930216216329 0.559615787935423 0.605953968857568 0.559615787935423 0.405465108108164 0.405465108108164 0.459321780898875 3.53610699077653 4.15103990589865 1.64229224930505 3.30505352110925 0.485507815781701 1.70565677017464 1.49222971152856 4.56949119353107 0.71697016098351 4.005119950744 2.42236938613149 3.38478104799645 1.98640864110572;</v>
      </c>
    </row>
    <row r="44" spans="1:86" x14ac:dyDescent="0.25">
      <c r="A44" s="2" t="s">
        <v>4</v>
      </c>
      <c r="B44" s="2">
        <v>0</v>
      </c>
      <c r="C44" s="2">
        <v>0</v>
      </c>
      <c r="D44" s="2">
        <v>0</v>
      </c>
      <c r="E44" s="36">
        <v>2.58021682959233</v>
      </c>
      <c r="F44" s="36">
        <v>2.2267833795777601</v>
      </c>
      <c r="G44" s="36">
        <v>2.5494451709255701</v>
      </c>
      <c r="H44" s="36">
        <v>6.2690962837062596</v>
      </c>
      <c r="I44" s="36">
        <v>6.0258659738253098</v>
      </c>
      <c r="J44" s="36">
        <v>6.3750248198281003</v>
      </c>
      <c r="K44" s="36">
        <v>7.3310603052186298</v>
      </c>
      <c r="L44" s="36">
        <v>0.57997848245430705</v>
      </c>
      <c r="M44" s="36">
        <v>1.0473189942805601</v>
      </c>
      <c r="N44" s="36">
        <v>1.0473189942805601</v>
      </c>
      <c r="O44" s="36">
        <v>1.6120345382813701</v>
      </c>
      <c r="P44" s="36">
        <v>1.27284566861231</v>
      </c>
      <c r="Q44" s="36">
        <v>0.84844006496598101</v>
      </c>
      <c r="R44" s="36">
        <v>0.2390169004705</v>
      </c>
      <c r="S44" s="36">
        <v>0.15272108701766399</v>
      </c>
      <c r="T44" s="36">
        <v>0.45488999143568698</v>
      </c>
      <c r="U44" s="36">
        <v>0.29192306670903501</v>
      </c>
      <c r="V44" s="36">
        <v>0.18979357163265601</v>
      </c>
      <c r="W44" s="36">
        <v>0.405465108108164</v>
      </c>
      <c r="X44" s="36">
        <v>0.231111720963387</v>
      </c>
      <c r="Y44" s="36">
        <v>0.57661336430399401</v>
      </c>
      <c r="Z44" s="36">
        <v>0.57661336430399401</v>
      </c>
      <c r="AA44" s="36">
        <v>2.1488509930520001</v>
      </c>
      <c r="AB44" s="36">
        <v>0</v>
      </c>
      <c r="AC44" s="36">
        <v>3.8010914447208601</v>
      </c>
      <c r="AD44" s="36">
        <v>2.9831534913471298</v>
      </c>
      <c r="AE44" s="36">
        <v>4.1510399058986502</v>
      </c>
      <c r="AF44" s="36">
        <v>2.3393990661167599</v>
      </c>
      <c r="AG44" s="36">
        <v>3.37159691188586</v>
      </c>
      <c r="AH44" s="36">
        <v>0</v>
      </c>
      <c r="AI44" s="36">
        <v>3.6506582412937401</v>
      </c>
      <c r="AJ44" s="36">
        <v>3.8010914447208601</v>
      </c>
      <c r="AK44" s="36">
        <v>0.27763173659828</v>
      </c>
      <c r="AL44" s="36">
        <v>0.44211842575619997</v>
      </c>
      <c r="AM44" s="36">
        <v>4.8790164169432E-2</v>
      </c>
      <c r="AN44" s="36">
        <v>0.26849925303500699</v>
      </c>
      <c r="AO44" s="36">
        <v>0.25928259793008301</v>
      </c>
      <c r="AP44" s="36">
        <v>0.741937344729377</v>
      </c>
      <c r="AQ44" s="36">
        <v>0.636576829071551</v>
      </c>
      <c r="AR44" s="36">
        <v>8.6177696241052398E-2</v>
      </c>
      <c r="AS44" s="36">
        <v>0.741937344729377</v>
      </c>
      <c r="AT44" s="36">
        <v>3.2580965380214799</v>
      </c>
      <c r="AU44" s="36">
        <v>0.34854196070854299</v>
      </c>
      <c r="AV44" s="36">
        <v>0</v>
      </c>
      <c r="AW44" s="36">
        <v>0</v>
      </c>
      <c r="AX44" s="36">
        <v>4.6151205168412597</v>
      </c>
      <c r="AY44" s="36">
        <v>3.5361069907765299</v>
      </c>
      <c r="AZ44" s="36">
        <v>3.7534257877209898</v>
      </c>
      <c r="BA44" s="36">
        <v>0.34854196070854299</v>
      </c>
      <c r="BB44" s="36">
        <v>2.2335565065836098</v>
      </c>
      <c r="BC44" s="36">
        <v>0</v>
      </c>
      <c r="BD44" s="36">
        <v>0</v>
      </c>
      <c r="BE44" s="36">
        <v>0.22314355131420999</v>
      </c>
      <c r="BF44" s="36">
        <v>7.9734968018853505E-2</v>
      </c>
      <c r="BG44" s="36">
        <v>0.117783035656383</v>
      </c>
      <c r="BH44" s="36">
        <v>0.22314355131420999</v>
      </c>
      <c r="BI44" s="36">
        <v>0.81093021621632899</v>
      </c>
      <c r="BJ44" s="36">
        <v>0.22314355131420999</v>
      </c>
      <c r="BK44" s="36">
        <v>0.45932178089887499</v>
      </c>
      <c r="BL44" s="36">
        <v>0</v>
      </c>
      <c r="BM44" s="36">
        <v>0</v>
      </c>
      <c r="BN44" s="36">
        <v>0</v>
      </c>
      <c r="BO44" s="36">
        <v>0</v>
      </c>
      <c r="BP44" s="36">
        <v>0.55961578793542299</v>
      </c>
      <c r="BQ44" s="36">
        <v>0.22314355131420999</v>
      </c>
      <c r="BR44" s="36">
        <v>1.5581446180465499</v>
      </c>
      <c r="BS44" s="36">
        <v>0.94895151411370304</v>
      </c>
      <c r="BT44" s="36">
        <v>2.2335565065836098</v>
      </c>
      <c r="BU44" s="36">
        <v>4.2145986164699201</v>
      </c>
      <c r="BV44" s="36">
        <v>3.0834225866809799</v>
      </c>
      <c r="BW44" s="36">
        <v>3.6590901253031798</v>
      </c>
      <c r="BX44" s="36">
        <v>0</v>
      </c>
      <c r="BY44" s="36">
        <v>4.6151205168412597</v>
      </c>
      <c r="BZ44" s="36">
        <v>0</v>
      </c>
      <c r="CA44" s="36">
        <v>0</v>
      </c>
      <c r="CB44" s="36">
        <v>0</v>
      </c>
      <c r="CC44" s="36">
        <v>2.8968571886194399</v>
      </c>
      <c r="CD44" s="36">
        <v>2.2416038009283401</v>
      </c>
      <c r="CE44" s="36">
        <v>3.8866589963766001</v>
      </c>
      <c r="CF44" s="36">
        <v>3.3223968119102398</v>
      </c>
      <c r="CH44" t="str">
        <f t="shared" si="0"/>
        <v>/*14b*/ 000  1 2.58021682959233 2.22678337957776 2.54944517092557 6.26909628370626 6.02586597382531 6.3750248198281 7.33106030521863 0.579978482454307 1.04731899428056 1.04731899428056 1.61203453828137 1.27284566861231 0.848440064965981 0.2390169004705 0.152721087017664 0.454889991435687 0.291923066709035 0.189793571632656 0.405465108108164 0.231111720963387 0.576613364303994 0.576613364303994 2.148850993052 0 3.80109144472086 2.98315349134713 4.15103990589865 2.33939906611676 3.37159691188586 0 3.65065824129374 3.80109144472086 0.27763173659828 0.4421184257562 0.048790164169432 0.268499253035007 0.259282597930083 0.741937344729377 0.636576829071551 8.61776962410524E-02 0.741937344729377 3.25809653802148 0.348541960708543 0 0 4.61512051684126 3.53610699077653 3.75342578772099 0.348541960708543 2.23355650658361 0 0 0.22314355131421 7.97349680188535E-02 0.117783035656383 0.22314355131421 0.810930216216329 0.22314355131421 0.459321780898875 0 0 0 0 0.559615787935423 0.22314355131421 1.55814461804655 0.948951514113703 2.23355650658361 4.21459861646992 3.08342258668098 3.65909012530318 0 4.61512051684126 0 0 0 2.89685718861944 2.24160380092834 3.8866589963766 3.32239681191024;</v>
      </c>
    </row>
    <row r="45" spans="1:86" x14ac:dyDescent="0.25">
      <c r="A45" s="2" t="s">
        <v>5</v>
      </c>
      <c r="B45" s="2">
        <v>0</v>
      </c>
      <c r="C45" s="2">
        <v>0</v>
      </c>
      <c r="D45" s="2">
        <v>0</v>
      </c>
      <c r="E45" s="36">
        <v>2.94968833505258</v>
      </c>
      <c r="F45" s="36">
        <v>2.26488322581003</v>
      </c>
      <c r="G45" s="36">
        <v>2.57718192589717</v>
      </c>
      <c r="H45" s="36">
        <v>6.0935697700451401</v>
      </c>
      <c r="I45" s="36">
        <v>6.2225762680713697</v>
      </c>
      <c r="J45" s="36">
        <v>6.0520891689244198</v>
      </c>
      <c r="K45" s="36">
        <v>7.2225660188221701</v>
      </c>
      <c r="L45" s="36">
        <v>0</v>
      </c>
      <c r="M45" s="36">
        <v>1.10293626014816</v>
      </c>
      <c r="N45" s="36">
        <v>1.1275236321625299</v>
      </c>
      <c r="O45" s="36">
        <v>1.0473189942805601</v>
      </c>
      <c r="P45" s="36">
        <v>1.09292950553261</v>
      </c>
      <c r="Q45" s="36">
        <v>0.250758718347183</v>
      </c>
      <c r="R45" s="36">
        <v>0.19967019512856801</v>
      </c>
      <c r="S45" s="36">
        <v>0.279145741429495</v>
      </c>
      <c r="T45" s="36">
        <v>0.34358970439007702</v>
      </c>
      <c r="U45" s="36">
        <v>0.26466929814270801</v>
      </c>
      <c r="V45" s="36">
        <v>0.114221144090023</v>
      </c>
      <c r="W45" s="36">
        <v>0.322083499169113</v>
      </c>
      <c r="X45" s="36">
        <v>0.39204208777602401</v>
      </c>
      <c r="Y45" s="36">
        <v>0.41871033485818498</v>
      </c>
      <c r="Z45" s="36">
        <v>0.41871033485818498</v>
      </c>
      <c r="AA45" s="36">
        <v>2.0198242248613298</v>
      </c>
      <c r="AB45" s="36">
        <v>0</v>
      </c>
      <c r="AC45" s="36">
        <v>2.82072391005426</v>
      </c>
      <c r="AD45" s="36">
        <v>1.2897834607390499</v>
      </c>
      <c r="AE45" s="36">
        <v>2.9663549548433101</v>
      </c>
      <c r="AF45" s="36">
        <v>2.82072391005426</v>
      </c>
      <c r="AG45" s="36">
        <v>4.2015383963242199</v>
      </c>
      <c r="AH45" s="36">
        <v>0</v>
      </c>
      <c r="AI45" s="36">
        <v>4.4137554109150203</v>
      </c>
      <c r="AJ45" s="36">
        <v>4.2015383963242199</v>
      </c>
      <c r="AK45" s="36">
        <v>0.32135859881116502</v>
      </c>
      <c r="AL45" s="36">
        <v>0.227135572583747</v>
      </c>
      <c r="AM45" s="36">
        <v>0.28065745751481702</v>
      </c>
      <c r="AN45" s="36">
        <v>0.27002713721305999</v>
      </c>
      <c r="AO45" s="36">
        <v>0.17981842657583599</v>
      </c>
      <c r="AP45" s="36">
        <v>0.57097954658573802</v>
      </c>
      <c r="AQ45" s="36">
        <v>0.45742484703887498</v>
      </c>
      <c r="AR45" s="36">
        <v>0.60431596685333</v>
      </c>
      <c r="AS45" s="36">
        <v>0.60431596685333</v>
      </c>
      <c r="AT45" s="36">
        <v>2.2335565065836098</v>
      </c>
      <c r="AU45" s="36">
        <v>0.64867269045811604</v>
      </c>
      <c r="AV45" s="36">
        <v>0</v>
      </c>
      <c r="AW45" s="36">
        <v>0</v>
      </c>
      <c r="AX45" s="36">
        <v>0</v>
      </c>
      <c r="AY45" s="36">
        <v>0</v>
      </c>
      <c r="AZ45" s="36">
        <v>4.4830025520138799</v>
      </c>
      <c r="BA45" s="36">
        <v>0.77334372255422201</v>
      </c>
      <c r="BB45" s="36">
        <v>3.2580965380214799</v>
      </c>
      <c r="BC45" s="36">
        <v>0</v>
      </c>
      <c r="BD45" s="36">
        <v>0</v>
      </c>
      <c r="BE45" s="36">
        <v>0</v>
      </c>
      <c r="BF45" s="36">
        <v>0</v>
      </c>
      <c r="BG45" s="36">
        <v>0.15443635330441899</v>
      </c>
      <c r="BH45" s="36">
        <v>0.69314718055994495</v>
      </c>
      <c r="BI45" s="36">
        <v>0.69314718055994495</v>
      </c>
      <c r="BJ45" s="36">
        <v>0.69314718055994495</v>
      </c>
      <c r="BK45" s="36">
        <v>0.69314718055994495</v>
      </c>
      <c r="BL45" s="36">
        <v>0.22314355131420999</v>
      </c>
      <c r="BM45" s="36">
        <v>0</v>
      </c>
      <c r="BN45" s="36">
        <v>0.405465108108164</v>
      </c>
      <c r="BO45" s="36">
        <v>0.22314355131420999</v>
      </c>
      <c r="BP45" s="36">
        <v>0.405465108108164</v>
      </c>
      <c r="BQ45" s="36">
        <v>0.405465108108164</v>
      </c>
      <c r="BR45" s="36">
        <v>0.22314355131420999</v>
      </c>
      <c r="BS45" s="36">
        <v>0.34854196070854299</v>
      </c>
      <c r="BT45" s="36">
        <v>0</v>
      </c>
      <c r="BU45" s="36">
        <v>4.5290124221383596</v>
      </c>
      <c r="BV45" s="36">
        <v>2.2335565065836098</v>
      </c>
      <c r="BW45" s="36">
        <v>3.7084859837528499</v>
      </c>
      <c r="BX45" s="36">
        <v>0.34854196070854299</v>
      </c>
      <c r="BY45" s="36">
        <v>4.5426882153667698</v>
      </c>
      <c r="BZ45" s="36">
        <v>1.95854428687288</v>
      </c>
      <c r="CA45" s="36">
        <v>2.0865412787950599</v>
      </c>
      <c r="CB45" s="36">
        <v>2.1782175256857901</v>
      </c>
      <c r="CC45" s="36">
        <v>0</v>
      </c>
      <c r="CD45" s="36">
        <v>2.9892284997935699</v>
      </c>
      <c r="CE45" s="36">
        <v>1.60532162152101</v>
      </c>
      <c r="CF45" s="36">
        <v>4.25305114187353</v>
      </c>
      <c r="CH45" t="str">
        <f t="shared" si="0"/>
        <v>/*32b*/ 000  1 2.94968833505258 2.26488322581003 2.57718192589717 6.09356977004514 6.22257626807137 6.05208916892442 7.22256601882217 0 1.10293626014816 1.12752363216253 1.04731899428056 1.09292950553261 0.250758718347183 0.199670195128568 0.279145741429495 0.343589704390077 0.264669298142708 0.114221144090023 0.322083499169113 0.392042087776024 0.418710334858185 0.418710334858185 2.01982422486133 0 2.82072391005426 1.28978346073905 2.96635495484331 2.82072391005426 4.20153839632422 0 4.41375541091502 4.20153839632422 0.321358598811165 0.227135572583747 0.280657457514817 0.27002713721306 0.179818426575836 0.570979546585738 0.457424847038875 0.60431596685333 0.60431596685333 2.23355650658361 0.648672690458116 0 0 0 0 4.48300255201388 0.773343722554222 3.25809653802148 0 0 0 0 0.154436353304419 0.693147180559945 0.693147180559945 0.693147180559945 0.693147180559945 0.22314355131421 0 0.405465108108164 0.22314355131421 0.405465108108164 0.405465108108164 0.22314355131421 0.348541960708543 0 4.52901242213836 2.23355650658361 3.70848598375285 0.348541960708543 4.54268821536677 1.95854428687288 2.08654127879506 2.17821752568579 0 2.98922849979357 1.60532162152101 4.25305114187353;</v>
      </c>
    </row>
    <row r="46" spans="1:86" x14ac:dyDescent="0.25">
      <c r="A46" s="2" t="s">
        <v>6</v>
      </c>
      <c r="B46" s="2">
        <v>0</v>
      </c>
      <c r="C46" s="2">
        <v>0</v>
      </c>
      <c r="D46" s="2">
        <v>0</v>
      </c>
      <c r="E46" s="36">
        <v>2.9177707320842798</v>
      </c>
      <c r="F46" s="36">
        <v>2.1961128484835299</v>
      </c>
      <c r="G46" s="36">
        <v>2.49155119250667</v>
      </c>
      <c r="H46" s="36">
        <v>6.0426328336823802</v>
      </c>
      <c r="I46" s="36">
        <v>6.3526293963195704</v>
      </c>
      <c r="J46" s="36">
        <v>6.9334230257307103</v>
      </c>
      <c r="K46" s="36">
        <v>7.6103576183128396</v>
      </c>
      <c r="L46" s="36">
        <v>0</v>
      </c>
      <c r="M46" s="36">
        <v>1.2202397767898101</v>
      </c>
      <c r="N46" s="36">
        <v>1.4141526892482901</v>
      </c>
      <c r="O46" s="36">
        <v>1.50961757715189</v>
      </c>
      <c r="P46" s="36">
        <v>1.3882923637825599</v>
      </c>
      <c r="Q46" s="36">
        <v>0.56871710218176796</v>
      </c>
      <c r="R46" s="36">
        <v>0.17479329037316299</v>
      </c>
      <c r="S46" s="36">
        <v>0.28141245943818499</v>
      </c>
      <c r="T46" s="36">
        <v>0.44404459007564001</v>
      </c>
      <c r="U46" s="36">
        <v>0.31042155942126998</v>
      </c>
      <c r="V46" s="36">
        <v>0.19803085049913499</v>
      </c>
      <c r="W46" s="36">
        <v>0.37843643572024499</v>
      </c>
      <c r="X46" s="36">
        <v>0.482426149244293</v>
      </c>
      <c r="Y46" s="36">
        <v>0.59883650108870401</v>
      </c>
      <c r="Z46" s="36">
        <v>0.59883650108870401</v>
      </c>
      <c r="AA46" s="36">
        <v>2.22516394602546</v>
      </c>
      <c r="AB46" s="36">
        <v>0</v>
      </c>
      <c r="AC46" s="36">
        <v>4.3710288804643396</v>
      </c>
      <c r="AD46" s="36">
        <v>1.41706601978664</v>
      </c>
      <c r="AE46" s="36">
        <v>4.4097633896454802</v>
      </c>
      <c r="AF46" s="36">
        <v>0</v>
      </c>
      <c r="AG46" s="36">
        <v>2.9831534913471298</v>
      </c>
      <c r="AH46" s="36">
        <v>0</v>
      </c>
      <c r="AI46" s="36">
        <v>2.9831534913471298</v>
      </c>
      <c r="AJ46" s="36">
        <v>4.3710288804643396</v>
      </c>
      <c r="AK46" s="36">
        <v>0.12839321476839899</v>
      </c>
      <c r="AL46" s="36">
        <v>0.14410034397375701</v>
      </c>
      <c r="AM46" s="36">
        <v>2.7615167032973401E-2</v>
      </c>
      <c r="AN46" s="36">
        <v>9.8939947854903607E-2</v>
      </c>
      <c r="AO46" s="36">
        <v>0.151002873536527</v>
      </c>
      <c r="AP46" s="36">
        <v>0.27763173659828</v>
      </c>
      <c r="AQ46" s="36">
        <v>0.57661336430399401</v>
      </c>
      <c r="AR46" s="36">
        <v>8.6177696241052398E-2</v>
      </c>
      <c r="AS46" s="36">
        <v>0.57661336430399401</v>
      </c>
      <c r="AT46" s="36">
        <v>2.6026896854443802</v>
      </c>
      <c r="AU46" s="36">
        <v>0.25619140536041002</v>
      </c>
      <c r="AV46" s="36">
        <v>2.6026896854443802</v>
      </c>
      <c r="AW46" s="36">
        <v>4.1510399058986502</v>
      </c>
      <c r="AX46" s="36">
        <v>4.6151205168412597</v>
      </c>
      <c r="AY46" s="36">
        <v>4.0831656436306698</v>
      </c>
      <c r="AZ46" s="36">
        <v>3.84658808264264</v>
      </c>
      <c r="BA46" s="36">
        <v>0.15443635330441899</v>
      </c>
      <c r="BB46" s="36">
        <v>2.2335565065836098</v>
      </c>
      <c r="BC46" s="36">
        <v>0.31845373111853498</v>
      </c>
      <c r="BD46" s="36">
        <v>0.48550781578170099</v>
      </c>
      <c r="BE46" s="36">
        <v>0.22314355131420999</v>
      </c>
      <c r="BF46" s="36">
        <v>0.34854196070854299</v>
      </c>
      <c r="BG46" s="36">
        <v>0.671923544108319</v>
      </c>
      <c r="BH46" s="36">
        <v>0</v>
      </c>
      <c r="BI46" s="36">
        <v>0.22314355131420999</v>
      </c>
      <c r="BJ46" s="36">
        <v>0</v>
      </c>
      <c r="BK46" s="36">
        <v>7.9734968018853505E-2</v>
      </c>
      <c r="BL46" s="36">
        <v>0</v>
      </c>
      <c r="BM46" s="36">
        <v>0</v>
      </c>
      <c r="BN46" s="36">
        <v>0</v>
      </c>
      <c r="BO46" s="36">
        <v>0</v>
      </c>
      <c r="BP46" s="36">
        <v>0.916290731874155</v>
      </c>
      <c r="BQ46" s="36">
        <v>1.1786549963416499</v>
      </c>
      <c r="BR46" s="36">
        <v>1.6094379124341001</v>
      </c>
      <c r="BS46" s="36">
        <v>1.27620043832282</v>
      </c>
      <c r="BT46" s="36">
        <v>2.2335565065836098</v>
      </c>
      <c r="BU46" s="36">
        <v>4.4830025520138799</v>
      </c>
      <c r="BV46" s="36">
        <v>1.64229224930505</v>
      </c>
      <c r="BW46" s="36">
        <v>3.6720638611853702</v>
      </c>
      <c r="BX46" s="36">
        <v>1.4271963524403199</v>
      </c>
      <c r="BY46" s="36">
        <v>4.12043457198184</v>
      </c>
      <c r="BZ46" s="36">
        <v>2.8286145505023099</v>
      </c>
      <c r="CA46" s="36">
        <v>3.6991762595913</v>
      </c>
      <c r="CB46" s="36">
        <v>1.5259202120611199</v>
      </c>
      <c r="CC46" s="36">
        <v>2.9524783988879602</v>
      </c>
      <c r="CD46" s="36">
        <v>2.3408121743895198</v>
      </c>
      <c r="CE46" s="36">
        <v>2.9022123527792401</v>
      </c>
      <c r="CF46" s="36">
        <v>3.89271415299309</v>
      </c>
      <c r="CH46" t="str">
        <f t="shared" si="0"/>
        <v>/*57b*/ 000  1 2.91777073208428 2.19611284848353 2.49155119250667 6.04263283368238 6.35262939631957 6.93342302573071 7.61035761831284 0 1.22023977678981 1.41415268924829 1.50961757715189 1.38829236378256 0.568717102181768 0.174793290373163 0.281412459438185 0.44404459007564 0.31042155942127 0.198030850499135 0.378436435720245 0.482426149244293 0.598836501088704 0.598836501088704 2.22516394602546 0 4.37102888046434 1.41706601978664 4.40976338964548 0 2.98315349134713 0 2.98315349134713 4.37102888046434 0.128393214768399 0.144100343973757 2.76151670329734E-02 9.89399478549036E-02 0.151002873536527 0.27763173659828 0.576613364303994 8.61776962410524E-02 0.576613364303994 2.60268968544438 0.25619140536041 2.60268968544438 4.15103990589865 4.61512051684126 4.08316564363067 3.84658808264264 0.154436353304419 2.23355650658361 0.318453731118535 0.485507815781701 0.22314355131421 0.348541960708543 0.671923544108319 0 0.22314355131421 0 7.97349680188535E-02 0 0 0 0 0.916290731874155 1.17865499634165 1.6094379124341 1.27620043832282 2.23355650658361 4.48300255201388 1.64229224930505 3.67206386118537 1.42719635244032 4.12043457198184 2.82861455050231 3.6991762595913 1.52592021206112 2.95247839888796 2.34081217438952 2.90221235277924 3.89271415299309;</v>
      </c>
    </row>
    <row r="47" spans="1:86" x14ac:dyDescent="0.25">
      <c r="A47" s="2" t="s">
        <v>7</v>
      </c>
      <c r="B47" s="2">
        <v>0</v>
      </c>
      <c r="C47" s="2">
        <v>0</v>
      </c>
      <c r="D47" s="2">
        <v>0</v>
      </c>
      <c r="E47" s="36">
        <v>2.6741486494265301</v>
      </c>
      <c r="F47" s="36">
        <v>2.2502386126218399</v>
      </c>
      <c r="G47" s="36">
        <v>2.6137395216309698</v>
      </c>
      <c r="H47" s="36">
        <v>6.2402758451707703</v>
      </c>
      <c r="I47" s="36">
        <v>6.0707377280024897</v>
      </c>
      <c r="J47" s="36">
        <v>5.9964520886190202</v>
      </c>
      <c r="K47" s="36">
        <v>7.2048925102046697</v>
      </c>
      <c r="L47" s="36">
        <v>1.17248213723457</v>
      </c>
      <c r="M47" s="36">
        <v>1.74711071755917</v>
      </c>
      <c r="N47" s="36">
        <v>1.6389967146756399</v>
      </c>
      <c r="O47" s="36">
        <v>1.7897574665573801</v>
      </c>
      <c r="P47" s="36">
        <v>1.7272209480904801</v>
      </c>
      <c r="Q47" s="36">
        <v>0.89812676124648405</v>
      </c>
      <c r="R47" s="36">
        <v>0.19309662996191301</v>
      </c>
      <c r="S47" s="36">
        <v>0.12751332029896001</v>
      </c>
      <c r="T47" s="36">
        <v>0.151862349309246</v>
      </c>
      <c r="U47" s="36">
        <v>0.15785808461558001</v>
      </c>
      <c r="V47" s="36">
        <v>0.117783035656383</v>
      </c>
      <c r="W47" s="36">
        <v>0.405465108108164</v>
      </c>
      <c r="X47" s="36">
        <v>0.27763173659828</v>
      </c>
      <c r="Y47" s="36">
        <v>0.48858001481867103</v>
      </c>
      <c r="Z47" s="36">
        <v>0.48858001481867103</v>
      </c>
      <c r="AA47" s="36">
        <v>3.3332396884789302</v>
      </c>
      <c r="AB47" s="36">
        <v>1.54841321059633</v>
      </c>
      <c r="AC47" s="36">
        <v>0</v>
      </c>
      <c r="AD47" s="36">
        <v>0</v>
      </c>
      <c r="AE47" s="36">
        <v>1.54841321059633</v>
      </c>
      <c r="AF47" s="36">
        <v>0</v>
      </c>
      <c r="AG47" s="36">
        <v>4.4564961486063499</v>
      </c>
      <c r="AH47" s="36">
        <v>2.4941141305389101</v>
      </c>
      <c r="AI47" s="36">
        <v>4.5777578783777502</v>
      </c>
      <c r="AJ47" s="36">
        <v>4.4564961486063499</v>
      </c>
      <c r="AK47" s="36">
        <v>0.172271220940453</v>
      </c>
      <c r="AL47" s="36">
        <v>0.22633844221072899</v>
      </c>
      <c r="AM47" s="36">
        <v>0.28141245943818499</v>
      </c>
      <c r="AN47" s="36">
        <v>0.22554067591393101</v>
      </c>
      <c r="AO47" s="36">
        <v>0.227135572583747</v>
      </c>
      <c r="AP47" s="36">
        <v>0.33647223662121301</v>
      </c>
      <c r="AQ47" s="36">
        <v>0.56531380905006001</v>
      </c>
      <c r="AR47" s="36">
        <v>0.71294980785612505</v>
      </c>
      <c r="AS47" s="36">
        <v>0.71294980785612505</v>
      </c>
      <c r="AT47" s="36">
        <v>3.84658808264264</v>
      </c>
      <c r="AU47" s="36">
        <v>0.25619140536041002</v>
      </c>
      <c r="AV47" s="36">
        <v>3.2580965380214799</v>
      </c>
      <c r="AW47" s="36">
        <v>3.2580965380214799</v>
      </c>
      <c r="AX47" s="36">
        <v>3.2580965380214799</v>
      </c>
      <c r="AY47" s="36">
        <v>3.2580965380214799</v>
      </c>
      <c r="AZ47" s="36">
        <v>3.84658808264264</v>
      </c>
      <c r="BA47" s="36">
        <v>0.60595396885756803</v>
      </c>
      <c r="BB47" s="36">
        <v>0</v>
      </c>
      <c r="BC47" s="36">
        <v>0</v>
      </c>
      <c r="BD47" s="36">
        <v>0</v>
      </c>
      <c r="BE47" s="36">
        <v>0</v>
      </c>
      <c r="BF47" s="36">
        <v>0</v>
      </c>
      <c r="BG47" s="36">
        <v>0.25619140536041002</v>
      </c>
      <c r="BH47" s="36">
        <v>0</v>
      </c>
      <c r="BI47" s="36">
        <v>0</v>
      </c>
      <c r="BJ47" s="36">
        <v>0</v>
      </c>
      <c r="BK47" s="36">
        <v>0</v>
      </c>
      <c r="BL47" s="36">
        <v>0.81093021621632899</v>
      </c>
      <c r="BM47" s="36">
        <v>1.2993738890891899</v>
      </c>
      <c r="BN47" s="36">
        <v>1.2527629684953701</v>
      </c>
      <c r="BO47" s="36">
        <v>1.1284946631499799</v>
      </c>
      <c r="BP47" s="36">
        <v>0.69314718055994495</v>
      </c>
      <c r="BQ47" s="36">
        <v>0.405465108108164</v>
      </c>
      <c r="BR47" s="36">
        <v>0</v>
      </c>
      <c r="BS47" s="36">
        <v>0.435023910349709</v>
      </c>
      <c r="BT47" s="36">
        <v>3.84658808264264</v>
      </c>
      <c r="BU47" s="36">
        <v>3.84658808264264</v>
      </c>
      <c r="BV47" s="36">
        <v>2.2335565065836098</v>
      </c>
      <c r="BW47" s="36">
        <v>3.2818506240295902</v>
      </c>
      <c r="BX47" s="36">
        <v>0</v>
      </c>
      <c r="BY47" s="36">
        <v>3.4659233852238001</v>
      </c>
      <c r="BZ47" s="36">
        <v>2.6330392572896999</v>
      </c>
      <c r="CA47" s="36">
        <v>4.2484095240899702</v>
      </c>
      <c r="CB47" s="36">
        <v>1.2057256532881999</v>
      </c>
      <c r="CC47" s="36">
        <v>3.2912780823746002</v>
      </c>
      <c r="CD47" s="36">
        <v>3.0033058604053</v>
      </c>
      <c r="CE47" s="36">
        <v>3.73264448197994</v>
      </c>
      <c r="CF47" s="36">
        <v>2.5527292458808599</v>
      </c>
      <c r="CH47" t="str">
        <f t="shared" si="0"/>
        <v>/*201_NCT*/ 000  1 2.67414864942653 2.25023861262184 2.61373952163097 6.24027584517077 6.07073772800249 5.99645208861902 7.20489251020467 1.17248213723457 1.74711071755917 1.63899671467564 1.78975746655738 1.72722094809048 0.898126761246484 0.193096629961913 0.12751332029896 0.151862349309246 0.15785808461558 0.117783035656383 0.405465108108164 0.27763173659828 0.488580014818671 0.488580014818671 3.33323968847893 1.54841321059633 0 0 1.54841321059633 0 4.45649614860635 2.49411413053891 4.57775787837775 4.45649614860635 0.172271220940453 0.226338442210729 0.281412459438185 0.225540675913931 0.227135572583747 0.336472236621213 0.56531380905006 0.712949807856125 0.712949807856125 3.84658808264264 0.25619140536041 3.25809653802148 3.25809653802148 3.25809653802148 3.25809653802148 3.84658808264264 0.605953968857568 0 0 0 0 0 0.25619140536041 0 0 0 0 0.810930216216329 1.29937388908919 1.25276296849537 1.12849466314998 0.693147180559945 0.405465108108164 0 0.435023910349709 3.84658808264264 3.84658808264264 2.23355650658361 3.28185062402959 0 3.4659233852238 2.6330392572897 4.24840952408997 1.2057256532882 3.2912780823746 3.0033058604053 3.73264448197994 2.55272924588086;</v>
      </c>
    </row>
    <row r="48" spans="1:86" x14ac:dyDescent="0.25">
      <c r="A48" s="2" t="s">
        <v>8</v>
      </c>
      <c r="B48" s="2">
        <v>0</v>
      </c>
      <c r="C48" s="2">
        <v>0</v>
      </c>
      <c r="D48" s="2">
        <v>0</v>
      </c>
      <c r="E48" s="36">
        <v>2.75366071235426</v>
      </c>
      <c r="F48" s="36">
        <v>2.25444471766611</v>
      </c>
      <c r="G48" s="36">
        <v>2.4890646599366599</v>
      </c>
      <c r="H48" s="36">
        <v>6.5087691369716802</v>
      </c>
      <c r="I48" s="36">
        <v>5.9427993751267003</v>
      </c>
      <c r="J48" s="36">
        <v>5.9427993751267003</v>
      </c>
      <c r="K48" s="36">
        <v>7.2661287795564498</v>
      </c>
      <c r="L48" s="36">
        <v>1.0750024230289801</v>
      </c>
      <c r="M48" s="36">
        <v>1.50696212084486</v>
      </c>
      <c r="N48" s="36">
        <v>1.3384162808754301</v>
      </c>
      <c r="O48" s="36">
        <v>1.1709329502477399</v>
      </c>
      <c r="P48" s="36">
        <v>1.3480731482996899</v>
      </c>
      <c r="Q48" s="36">
        <v>0.65803800344637697</v>
      </c>
      <c r="R48" s="36">
        <v>0.24529635595534299</v>
      </c>
      <c r="S48" s="36">
        <v>0.144965770250186</v>
      </c>
      <c r="T48" s="36">
        <v>0.15014265842971899</v>
      </c>
      <c r="U48" s="36">
        <v>0.183986836113016</v>
      </c>
      <c r="V48" s="36">
        <v>0.10526051065749301</v>
      </c>
      <c r="W48" s="36">
        <v>0.39204208777602401</v>
      </c>
      <c r="X48" s="36">
        <v>0.24686007793152601</v>
      </c>
      <c r="Y48" s="36">
        <v>0.198850858745165</v>
      </c>
      <c r="Z48" s="36">
        <v>0.39204208777602401</v>
      </c>
      <c r="AA48" s="36">
        <v>2.7133030473836599</v>
      </c>
      <c r="AB48" s="36">
        <v>0</v>
      </c>
      <c r="AC48" s="36">
        <v>2.3116439374823901</v>
      </c>
      <c r="AD48" s="36">
        <v>1.3937663759585901</v>
      </c>
      <c r="AE48" s="36">
        <v>2.5742140001235798</v>
      </c>
      <c r="AF48" s="36">
        <v>0</v>
      </c>
      <c r="AG48" s="36">
        <v>4.4872758941429698</v>
      </c>
      <c r="AH48" s="36">
        <v>0</v>
      </c>
      <c r="AI48" s="36">
        <v>4.4872758941429698</v>
      </c>
      <c r="AJ48" s="36">
        <v>4.4872758941429698</v>
      </c>
      <c r="AK48" s="36">
        <v>0.26696903085423901</v>
      </c>
      <c r="AL48" s="36">
        <v>0.433728573381024</v>
      </c>
      <c r="AM48" s="36">
        <v>0.54696467038186403</v>
      </c>
      <c r="AN48" s="36">
        <v>0.41409443480621899</v>
      </c>
      <c r="AO48" s="36">
        <v>0.27535642276114403</v>
      </c>
      <c r="AP48" s="36">
        <v>0.57661336430399401</v>
      </c>
      <c r="AQ48" s="36">
        <v>0.65232518603969003</v>
      </c>
      <c r="AR48" s="36">
        <v>0.80200158547202705</v>
      </c>
      <c r="AS48" s="36">
        <v>0.80200158547202705</v>
      </c>
      <c r="AT48" s="36">
        <v>4.2145986164699201</v>
      </c>
      <c r="AU48" s="36">
        <v>0.26543646350446098</v>
      </c>
      <c r="AV48" s="36">
        <v>0</v>
      </c>
      <c r="AW48" s="36">
        <v>0</v>
      </c>
      <c r="AX48" s="36">
        <v>0</v>
      </c>
      <c r="AY48" s="36">
        <v>0</v>
      </c>
      <c r="AZ48" s="36">
        <v>4.2145986164699201</v>
      </c>
      <c r="BA48" s="36">
        <v>1.0116009116784801</v>
      </c>
      <c r="BB48" s="36">
        <v>3.9318256327243302</v>
      </c>
      <c r="BC48" s="36">
        <v>0</v>
      </c>
      <c r="BD48" s="36">
        <v>0.22314355131420999</v>
      </c>
      <c r="BE48" s="36">
        <v>0.405465108108164</v>
      </c>
      <c r="BF48" s="36">
        <v>0.22314355131420999</v>
      </c>
      <c r="BG48" s="36">
        <v>0.25619140536041002</v>
      </c>
      <c r="BH48" s="36">
        <v>0.22314355131420999</v>
      </c>
      <c r="BI48" s="36">
        <v>0</v>
      </c>
      <c r="BJ48" s="36">
        <v>0</v>
      </c>
      <c r="BK48" s="36">
        <v>7.9734968018853505E-2</v>
      </c>
      <c r="BL48" s="36">
        <v>0</v>
      </c>
      <c r="BM48" s="36">
        <v>0</v>
      </c>
      <c r="BN48" s="36">
        <v>0.22314355131420999</v>
      </c>
      <c r="BO48" s="36">
        <v>7.9734968018853505E-2</v>
      </c>
      <c r="BP48" s="36">
        <v>0.81093021621632899</v>
      </c>
      <c r="BQ48" s="36">
        <v>0</v>
      </c>
      <c r="BR48" s="36">
        <v>0</v>
      </c>
      <c r="BS48" s="36">
        <v>0.34854196070854299</v>
      </c>
      <c r="BT48" s="36">
        <v>3.9318256327243302</v>
      </c>
      <c r="BU48" s="36">
        <v>3.84658808264264</v>
      </c>
      <c r="BV48" s="36">
        <v>1.64229224930505</v>
      </c>
      <c r="BW48" s="36">
        <v>3.2419280683983498</v>
      </c>
      <c r="BX48" s="36">
        <v>0.30010459245033799</v>
      </c>
      <c r="BY48" s="36">
        <v>3.5150913833382198</v>
      </c>
      <c r="BZ48" s="36">
        <v>2.6989421820714798</v>
      </c>
      <c r="CA48" s="36">
        <v>4.2250950082633301</v>
      </c>
      <c r="CB48" s="36">
        <v>2.2335922214713801</v>
      </c>
      <c r="CC48" s="36">
        <v>3.1451096745328999</v>
      </c>
      <c r="CD48" s="36">
        <v>2.5853942008156099</v>
      </c>
      <c r="CE48" s="36">
        <v>3.4948226409666501</v>
      </c>
      <c r="CF48" s="36">
        <v>3.2669602726498201</v>
      </c>
      <c r="CH48" t="str">
        <f t="shared" si="0"/>
        <v>/*202_CWT*/ 000  1 2.75366071235426 2.25444471766611 2.48906465993666 6.50876913697168 5.9427993751267 5.9427993751267 7.26612877955645 1.07500242302898 1.50696212084486 1.33841628087543 1.17093295024774 1.34807314829969 0.658038003446377 0.245296355955343 0.144965770250186 0.150142658429719 0.183986836113016 0.105260510657493 0.392042087776024 0.246860077931526 0.198850858745165 0.392042087776024 2.71330304738366 0 2.31164393748239 1.39376637595859 2.57421400012358 0 4.48727589414297 0 4.48727589414297 4.48727589414297 0.266969030854239 0.433728573381024 0.546964670381864 0.414094434806219 0.275356422761144 0.576613364303994 0.65232518603969 0.802001585472027 0.802001585472027 4.21459861646992 0.265436463504461 0 0 0 0 4.21459861646992 1.01160091167848 3.93182563272433 0 0.22314355131421 0.405465108108164 0.22314355131421 0.25619140536041 0.22314355131421 0 0 7.97349680188535E-02 0 0 0.22314355131421 7.97349680188535E-02 0.810930216216329 0 0 0.348541960708543 3.93182563272433 3.84658808264264 1.64229224930505 3.24192806839835 0.300104592450338 3.51509138333822 2.69894218207148 4.22509500826333 2.23359222147138 3.1451096745329 2.58539420081561 3.49482264096665 3.26696027264982;</v>
      </c>
    </row>
    <row r="49" spans="1:86" x14ac:dyDescent="0.25">
      <c r="A49" s="2">
        <v>1</v>
      </c>
      <c r="B49" s="2">
        <v>0</v>
      </c>
      <c r="C49" s="2">
        <v>0</v>
      </c>
      <c r="D49" s="2">
        <v>0</v>
      </c>
      <c r="E49" s="36">
        <v>2.6741486494265301</v>
      </c>
      <c r="F49" s="36">
        <v>2.25758772706331</v>
      </c>
      <c r="G49" s="36">
        <v>2.4078456036515399</v>
      </c>
      <c r="H49" s="36">
        <v>7.69666708152646</v>
      </c>
      <c r="I49" s="36">
        <v>6.9782137426307003</v>
      </c>
      <c r="J49" s="36">
        <v>7.0335064842876998</v>
      </c>
      <c r="K49" s="36">
        <v>8.3907225273622892</v>
      </c>
      <c r="L49" s="36">
        <v>0.28292075535007</v>
      </c>
      <c r="M49" s="36">
        <v>1.9003148757824</v>
      </c>
      <c r="N49" s="36">
        <v>1.9351380520734001</v>
      </c>
      <c r="O49" s="36">
        <v>1.99809590222588</v>
      </c>
      <c r="P49" s="36">
        <v>1.9453385571563599</v>
      </c>
      <c r="Q49" s="36">
        <v>0.78618204652713497</v>
      </c>
      <c r="R49" s="36">
        <v>0.28216689176367099</v>
      </c>
      <c r="S49" s="36">
        <v>0.35276731910771503</v>
      </c>
      <c r="T49" s="36">
        <v>0.202124184090134</v>
      </c>
      <c r="U49" s="36">
        <v>0.28065745751481702</v>
      </c>
      <c r="V49" s="36">
        <v>0.14583044821154001</v>
      </c>
      <c r="W49" s="36">
        <v>0.46373401623214</v>
      </c>
      <c r="X49" s="36">
        <v>0.63127177684185798</v>
      </c>
      <c r="Y49" s="36">
        <v>0.39204208777602401</v>
      </c>
      <c r="Z49" s="36">
        <v>0.63127177684185798</v>
      </c>
      <c r="AA49" s="36">
        <v>2.9695936159443002</v>
      </c>
      <c r="AB49" s="36">
        <v>0</v>
      </c>
      <c r="AC49" s="36">
        <v>3.0834225866809799</v>
      </c>
      <c r="AD49" s="36">
        <v>1.64229224930505</v>
      </c>
      <c r="AE49" s="36">
        <v>3.2580965380214799</v>
      </c>
      <c r="AF49" s="36">
        <v>2.2335565065836098</v>
      </c>
      <c r="AG49" s="36">
        <v>4.1833165160243597</v>
      </c>
      <c r="AH49" s="36">
        <v>1.1259031489040101</v>
      </c>
      <c r="AI49" s="36">
        <v>4.3307333402863302</v>
      </c>
      <c r="AJ49" s="36">
        <v>4.1833165160243597</v>
      </c>
      <c r="AK49" s="36">
        <v>0.27307592006241899</v>
      </c>
      <c r="AL49" s="36">
        <v>0.17981842657583599</v>
      </c>
      <c r="AM49" s="36">
        <v>0.25851069515150099</v>
      </c>
      <c r="AN49" s="36">
        <v>0.23507212217948401</v>
      </c>
      <c r="AO49" s="36">
        <v>0.15785808461558001</v>
      </c>
      <c r="AP49" s="36">
        <v>0.44468582126144601</v>
      </c>
      <c r="AQ49" s="36">
        <v>0.42526773540434398</v>
      </c>
      <c r="AR49" s="36">
        <v>0.61518563909023305</v>
      </c>
      <c r="AS49" s="36">
        <v>0.61518563909023305</v>
      </c>
      <c r="AT49" s="36">
        <v>3.4067486117004799</v>
      </c>
      <c r="AU49" s="36">
        <v>0.45932178089887499</v>
      </c>
      <c r="AV49" s="36">
        <v>0</v>
      </c>
      <c r="AW49" s="36">
        <v>3.6506582412937401</v>
      </c>
      <c r="AX49" s="36">
        <v>0</v>
      </c>
      <c r="AY49" s="36">
        <v>2.6026896854443802</v>
      </c>
      <c r="AZ49" s="36">
        <v>4.0831656436306698</v>
      </c>
      <c r="BA49" s="36">
        <v>0.405465108108164</v>
      </c>
      <c r="BB49" s="36">
        <v>2.2335565065836098</v>
      </c>
      <c r="BC49" s="36">
        <v>0.48550781578170099</v>
      </c>
      <c r="BD49" s="36">
        <v>0.22314355131420999</v>
      </c>
      <c r="BE49" s="36">
        <v>0.69314718055994495</v>
      </c>
      <c r="BF49" s="36">
        <v>0.48550781578170099</v>
      </c>
      <c r="BG49" s="36">
        <v>0.62860865942237398</v>
      </c>
      <c r="BH49" s="36">
        <v>0</v>
      </c>
      <c r="BI49" s="36">
        <v>0</v>
      </c>
      <c r="BJ49" s="36">
        <v>0.405465108108164</v>
      </c>
      <c r="BK49" s="36">
        <v>0.15443635330441899</v>
      </c>
      <c r="BL49" s="36">
        <v>0.916290731874155</v>
      </c>
      <c r="BM49" s="36">
        <v>0</v>
      </c>
      <c r="BN49" s="36">
        <v>0.22314355131420999</v>
      </c>
      <c r="BO49" s="36">
        <v>0.45932178089887499</v>
      </c>
      <c r="BP49" s="36">
        <v>0.55961578793542299</v>
      </c>
      <c r="BQ49" s="36">
        <v>0.916290731874155</v>
      </c>
      <c r="BR49" s="36">
        <v>0.405465108108164</v>
      </c>
      <c r="BS49" s="36">
        <v>0.65076146406350699</v>
      </c>
      <c r="BT49" s="36">
        <v>2.2335565065836098</v>
      </c>
      <c r="BU49" s="36">
        <v>4.2743439804936996</v>
      </c>
      <c r="BV49" s="36">
        <v>3.0834225866809799</v>
      </c>
      <c r="BW49" s="36">
        <v>3.7386691186164498</v>
      </c>
      <c r="BX49" s="36">
        <v>0.65076146406350699</v>
      </c>
      <c r="BY49" s="36">
        <v>3.0214000203025702</v>
      </c>
      <c r="BZ49" s="36">
        <v>2.5555204291159899</v>
      </c>
      <c r="CA49" s="36">
        <v>4.4003575913586097</v>
      </c>
      <c r="CB49" s="36">
        <v>1.69364161318706</v>
      </c>
      <c r="CC49" s="36">
        <v>3.1133076031965299</v>
      </c>
      <c r="CD49" s="36">
        <v>2.2419020582278599</v>
      </c>
      <c r="CE49" s="36">
        <v>3.5518707274222598</v>
      </c>
      <c r="CF49" s="36">
        <v>3.4896874155385502</v>
      </c>
      <c r="CH49" t="str">
        <f t="shared" si="0"/>
        <v>/*1*/ 000  1 2.67414864942653 2.25758772706331 2.40784560365154 7.69666708152646 6.9782137426307 7.0335064842877 8.39072252736229 0.28292075535007 1.9003148757824 1.9351380520734 1.99809590222588 1.94533855715636 0.786182046527135 0.282166891763671 0.352767319107715 0.202124184090134 0.280657457514817 0.14583044821154 0.46373401623214 0.631271776841858 0.392042087776024 0.631271776841858 2.9695936159443 0 3.08342258668098 1.64229224930505 3.25809653802148 2.23355650658361 4.18331651602436 1.12590314890401 4.33073334028633 4.18331651602436 0.273075920062419 0.179818426575836 0.258510695151501 0.235072122179484 0.15785808461558 0.444685821261446 0.425267735404344 0.615185639090233 0.615185639090233 3.40674861170048 0.459321780898875 0 3.65065824129374 0 2.60268968544438 4.08316564363067 0.405465108108164 2.23355650658361 0.485507815781701 0.22314355131421 0.693147180559945 0.485507815781701 0.628608659422374 0 0 0.405465108108164 0.154436353304419 0.916290731874155 0 0.22314355131421 0.459321780898875 0.559615787935423 0.916290731874155 0.405465108108164 0.650761464063507 2.23355650658361 4.2743439804937 3.08342258668098 3.73866911861645 0.650761464063507 3.02140002030257 2.55552042911599 4.40035759135861 1.69364161318706 3.11330760319653 2.24190205822786 3.55187072742226 3.48968741553855;</v>
      </c>
    </row>
    <row r="50" spans="1:86" x14ac:dyDescent="0.25">
      <c r="A50" s="2">
        <v>4</v>
      </c>
      <c r="B50" s="2">
        <v>0</v>
      </c>
      <c r="C50" s="2">
        <v>0</v>
      </c>
      <c r="D50" s="2">
        <v>0</v>
      </c>
      <c r="E50" s="36">
        <v>2.6672282065819499</v>
      </c>
      <c r="F50" s="36">
        <v>2.2417729535972901</v>
      </c>
      <c r="G50" s="36">
        <v>2.46555392127219</v>
      </c>
      <c r="H50" s="36">
        <v>6.7855876450079302</v>
      </c>
      <c r="I50" s="36">
        <v>6.4488893941468604</v>
      </c>
      <c r="J50" s="36">
        <v>6.0185932144962297</v>
      </c>
      <c r="K50" s="36">
        <v>7.5632005923580703</v>
      </c>
      <c r="L50" s="36">
        <v>1.2053718252396399</v>
      </c>
      <c r="M50" s="36">
        <v>1.4440914598461101</v>
      </c>
      <c r="N50" s="36">
        <v>1.1593937609279701</v>
      </c>
      <c r="O50" s="36">
        <v>1.0206507471984001</v>
      </c>
      <c r="P50" s="36">
        <v>1.2237754316221201</v>
      </c>
      <c r="Q50" s="36">
        <v>0.69614268953974401</v>
      </c>
      <c r="R50" s="36">
        <v>0.12927233570413901</v>
      </c>
      <c r="S50" s="36">
        <v>0.20130685670503501</v>
      </c>
      <c r="T50" s="36">
        <v>0.12663265093336601</v>
      </c>
      <c r="U50" s="36">
        <v>0.15357908792830099</v>
      </c>
      <c r="V50" s="36">
        <v>8.8926209194401501E-2</v>
      </c>
      <c r="W50" s="36">
        <v>0.231111720963387</v>
      </c>
      <c r="X50" s="36">
        <v>0.405465108108164</v>
      </c>
      <c r="Y50" s="36">
        <v>0.231111720963387</v>
      </c>
      <c r="Z50" s="36">
        <v>0.405465108108164</v>
      </c>
      <c r="AA50" s="36">
        <v>2.73650807391869</v>
      </c>
      <c r="AB50" s="36">
        <v>0</v>
      </c>
      <c r="AC50" s="36">
        <v>2.5200324517633699</v>
      </c>
      <c r="AD50" s="36">
        <v>0</v>
      </c>
      <c r="AE50" s="36">
        <v>2.5200324517633699</v>
      </c>
      <c r="AF50" s="36">
        <v>0</v>
      </c>
      <c r="AG50" s="36">
        <v>4.4950316068771698</v>
      </c>
      <c r="AH50" s="36">
        <v>0</v>
      </c>
      <c r="AI50" s="36">
        <v>4.4950316068771698</v>
      </c>
      <c r="AJ50" s="36">
        <v>4.4950316068771698</v>
      </c>
      <c r="AK50" s="36">
        <v>0.33361100434018098</v>
      </c>
      <c r="AL50" s="36">
        <v>0.29639401305380197</v>
      </c>
      <c r="AM50" s="36">
        <v>0.23190505698278299</v>
      </c>
      <c r="AN50" s="36">
        <v>0.28968007511445398</v>
      </c>
      <c r="AO50" s="36">
        <v>0.23822918873225099</v>
      </c>
      <c r="AP50" s="36">
        <v>0.65752000291679402</v>
      </c>
      <c r="AQ50" s="36">
        <v>0.54232429082536204</v>
      </c>
      <c r="AR50" s="36">
        <v>0.55961578793542299</v>
      </c>
      <c r="AS50" s="36">
        <v>0.65752000291679402</v>
      </c>
      <c r="AT50" s="36">
        <v>3.9318256327243302</v>
      </c>
      <c r="AU50" s="36">
        <v>0.405465108108164</v>
      </c>
      <c r="AV50" s="36">
        <v>0</v>
      </c>
      <c r="AW50" s="36">
        <v>0</v>
      </c>
      <c r="AX50" s="36">
        <v>0</v>
      </c>
      <c r="AY50" s="36">
        <v>0</v>
      </c>
      <c r="AZ50" s="36">
        <v>3.9318256327243302</v>
      </c>
      <c r="BA50" s="36">
        <v>1.0413362208483801</v>
      </c>
      <c r="BB50" s="36">
        <v>4.0831656436306698</v>
      </c>
      <c r="BC50" s="36">
        <v>0.31845373111853498</v>
      </c>
      <c r="BD50" s="36">
        <v>0.117783035656383</v>
      </c>
      <c r="BE50" s="36">
        <v>0</v>
      </c>
      <c r="BF50" s="36">
        <v>0.15443635330441899</v>
      </c>
      <c r="BG50" s="36">
        <v>0.22314355131420999</v>
      </c>
      <c r="BH50" s="36">
        <v>0</v>
      </c>
      <c r="BI50" s="36">
        <v>0.55961578793542299</v>
      </c>
      <c r="BJ50" s="36">
        <v>0.405465108108164</v>
      </c>
      <c r="BK50" s="36">
        <v>0.34854196070854299</v>
      </c>
      <c r="BL50" s="36">
        <v>0.69314718055994495</v>
      </c>
      <c r="BM50" s="36">
        <v>0.22314355131420999</v>
      </c>
      <c r="BN50" s="36">
        <v>0.22314355131420999</v>
      </c>
      <c r="BO50" s="36">
        <v>0.405465108108164</v>
      </c>
      <c r="BP50" s="36">
        <v>0.22314355131420999</v>
      </c>
      <c r="BQ50" s="36">
        <v>0.69314718055994495</v>
      </c>
      <c r="BR50" s="36">
        <v>0</v>
      </c>
      <c r="BS50" s="36">
        <v>0.34854196070854299</v>
      </c>
      <c r="BT50" s="36">
        <v>2.6026896854443802</v>
      </c>
      <c r="BU50" s="36">
        <v>4.2743439804936996</v>
      </c>
      <c r="BV50" s="36">
        <v>2.8716984926305398</v>
      </c>
      <c r="BW50" s="36">
        <v>3.7135720667043102</v>
      </c>
      <c r="BX50" s="36">
        <v>0.15443635330441899</v>
      </c>
      <c r="BY50" s="36">
        <v>3.8432301139438598</v>
      </c>
      <c r="BZ50" s="36">
        <v>2.83779108548541</v>
      </c>
      <c r="CA50" s="36">
        <v>4.0132068107624601</v>
      </c>
      <c r="CB50" s="36">
        <v>0.88590498437160803</v>
      </c>
      <c r="CC50" s="36">
        <v>3.8263150326017801</v>
      </c>
      <c r="CD50" s="36">
        <v>0.38869824796446301</v>
      </c>
      <c r="CE50" s="36">
        <v>3.9928036099580502</v>
      </c>
      <c r="CF50" s="36">
        <v>0</v>
      </c>
      <c r="CH50" t="str">
        <f t="shared" si="0"/>
        <v>/*4*/ 000  1 2.66722820658195 2.24177295359729 2.46555392127219 6.78558764500793 6.44888939414686 6.01859321449623 7.56320059235807 1.20537182523964 1.44409145984611 1.15939376092797 1.0206507471984 1.22377543162212 0.696142689539744 0.129272335704139 0.201306856705035 0.126632650933366 0.153579087928301 8.89262091944015E-02 0.231111720963387 0.405465108108164 0.231111720963387 0.405465108108164 2.73650807391869 0 2.52003245176337 0 2.52003245176337 0 4.49503160687717 0 4.49503160687717 4.49503160687717 0.333611004340181 0.296394013053802 0.231905056982783 0.289680075114454 0.238229188732251 0.657520002916794 0.542324290825362 0.559615787935423 0.657520002916794 3.93182563272433 0.405465108108164 0 0 0 0 3.93182563272433 1.04133622084838 4.08316564363067 0.318453731118535 0.117783035656383 0 0.154436353304419 0.22314355131421 0 0.559615787935423 0.405465108108164 0.348541960708543 0.693147180559945 0.22314355131421 0.22314355131421 0.405465108108164 0.22314355131421 0.693147180559945 0 0.348541960708543 2.60268968544438 4.2743439804937 2.87169849263054 3.71357206670431 0.154436353304419 3.84323011394386 2.83779108548541 4.01320681076246 0.885904984371608 3.82631503260178 0.388698247964463 3.99280360995805 0;</v>
      </c>
    </row>
    <row r="51" spans="1:86" x14ac:dyDescent="0.25">
      <c r="A51" s="2">
        <v>17</v>
      </c>
      <c r="B51" s="2">
        <v>0</v>
      </c>
      <c r="C51" s="2">
        <v>0</v>
      </c>
      <c r="D51" s="2">
        <v>0</v>
      </c>
      <c r="E51" s="36">
        <v>2.8959119382717802</v>
      </c>
      <c r="F51" s="36">
        <v>2.2874714551839999</v>
      </c>
      <c r="G51" s="36">
        <v>2.4300984132930101</v>
      </c>
      <c r="H51" s="36">
        <v>5.3181199938442196</v>
      </c>
      <c r="I51" s="36">
        <v>5.5645204073226902</v>
      </c>
      <c r="J51" s="36">
        <v>6.1114673395026804</v>
      </c>
      <c r="K51" s="36">
        <v>6.8178305714541496</v>
      </c>
      <c r="L51" s="36">
        <v>6.3913325743652896E-2</v>
      </c>
      <c r="M51" s="36">
        <v>1.11939482785064</v>
      </c>
      <c r="N51" s="36">
        <v>1.08180517035173</v>
      </c>
      <c r="O51" s="36">
        <v>1.2581768583394499</v>
      </c>
      <c r="P51" s="36">
        <v>1.15593735528738</v>
      </c>
      <c r="Q51" s="36">
        <v>0.42853038103916102</v>
      </c>
      <c r="R51" s="36">
        <v>0.23031775506221</v>
      </c>
      <c r="S51" s="36">
        <v>0.27231459532065899</v>
      </c>
      <c r="T51" s="36">
        <v>0.32786386208461299</v>
      </c>
      <c r="U51" s="36">
        <v>0.27535642276114403</v>
      </c>
      <c r="V51" s="36">
        <v>0.118671529717499</v>
      </c>
      <c r="W51" s="36">
        <v>0.307484699747961</v>
      </c>
      <c r="X51" s="36">
        <v>0.36464311358790902</v>
      </c>
      <c r="Y51" s="36">
        <v>0.55388511322643796</v>
      </c>
      <c r="Z51" s="36">
        <v>0.55388511322643796</v>
      </c>
      <c r="AA51" s="36">
        <v>2.0621682130093801</v>
      </c>
      <c r="AB51" s="36">
        <v>0</v>
      </c>
      <c r="AC51" s="36">
        <v>3.3672958299864701</v>
      </c>
      <c r="AD51" s="36">
        <v>0</v>
      </c>
      <c r="AE51" s="36">
        <v>3.3672958299864701</v>
      </c>
      <c r="AF51" s="36">
        <v>0</v>
      </c>
      <c r="AG51" s="36">
        <v>4.2904594411483901</v>
      </c>
      <c r="AH51" s="36">
        <v>0</v>
      </c>
      <c r="AI51" s="36">
        <v>4.2904594411483901</v>
      </c>
      <c r="AJ51" s="36">
        <v>4.2904594411483901</v>
      </c>
      <c r="AK51" s="36">
        <v>0.40413088509502798</v>
      </c>
      <c r="AL51" s="36">
        <v>0.45805755822733502</v>
      </c>
      <c r="AM51" s="36">
        <v>0.33002291294130598</v>
      </c>
      <c r="AN51" s="36">
        <v>0.40011750178156902</v>
      </c>
      <c r="AO51" s="36">
        <v>0.19474407679251199</v>
      </c>
      <c r="AP51" s="36">
        <v>0.58221561985266401</v>
      </c>
      <c r="AQ51" s="36">
        <v>0.71783979315031698</v>
      </c>
      <c r="AR51" s="36">
        <v>0.57661336430399401</v>
      </c>
      <c r="AS51" s="36">
        <v>0.71783979315031698</v>
      </c>
      <c r="AT51" s="36">
        <v>1.64229224930505</v>
      </c>
      <c r="AU51" s="36">
        <v>0.64867269045811604</v>
      </c>
      <c r="AV51" s="36">
        <v>0</v>
      </c>
      <c r="AW51" s="36">
        <v>0</v>
      </c>
      <c r="AX51" s="36">
        <v>2.6026896854443802</v>
      </c>
      <c r="AY51" s="36">
        <v>1.64229224930505</v>
      </c>
      <c r="AZ51" s="36">
        <v>4.4830025520138799</v>
      </c>
      <c r="BA51" s="36">
        <v>0.65076146406350699</v>
      </c>
      <c r="BB51" s="36">
        <v>2.8716984926305398</v>
      </c>
      <c r="BC51" s="36">
        <v>0.117783035656383</v>
      </c>
      <c r="BD51" s="36">
        <v>0</v>
      </c>
      <c r="BE51" s="36">
        <v>0</v>
      </c>
      <c r="BF51" s="36">
        <v>4.1141943331175199E-2</v>
      </c>
      <c r="BG51" s="36">
        <v>0.48550781578170099</v>
      </c>
      <c r="BH51" s="36">
        <v>0.916290731874155</v>
      </c>
      <c r="BI51" s="36">
        <v>0.81093021621632899</v>
      </c>
      <c r="BJ51" s="36">
        <v>0.81093021621632899</v>
      </c>
      <c r="BK51" s="36">
        <v>0.84715499303929298</v>
      </c>
      <c r="BL51" s="36">
        <v>0</v>
      </c>
      <c r="BM51" s="36">
        <v>0</v>
      </c>
      <c r="BN51" s="36">
        <v>0</v>
      </c>
      <c r="BO51" s="36">
        <v>0</v>
      </c>
      <c r="BP51" s="36">
        <v>0</v>
      </c>
      <c r="BQ51" s="36">
        <v>0</v>
      </c>
      <c r="BR51" s="36">
        <v>0.22314355131420999</v>
      </c>
      <c r="BS51" s="36">
        <v>7.9734968018853505E-2</v>
      </c>
      <c r="BT51" s="36">
        <v>0</v>
      </c>
      <c r="BU51" s="36">
        <v>4.0103649484268296</v>
      </c>
      <c r="BV51" s="36">
        <v>3.84658808264264</v>
      </c>
      <c r="BW51" s="36">
        <v>3.9639890734527499</v>
      </c>
      <c r="BX51" s="36">
        <v>0.15443635330441899</v>
      </c>
      <c r="BY51" s="36">
        <v>4.4131860969229804</v>
      </c>
      <c r="BZ51" s="36">
        <v>2.5706255251905401</v>
      </c>
      <c r="CA51" s="36">
        <v>2.9687720919712102</v>
      </c>
      <c r="CB51" s="36">
        <v>1.3876595490766099</v>
      </c>
      <c r="CC51" s="36">
        <v>0</v>
      </c>
      <c r="CD51" s="36">
        <v>3.2314737325471699</v>
      </c>
      <c r="CE51" s="36">
        <v>3.0287864719105602</v>
      </c>
      <c r="CF51" s="36">
        <v>3.9890852355185702</v>
      </c>
      <c r="CH51" t="str">
        <f t="shared" si="0"/>
        <v>/*17*/ 000  1 2.89591193827178 2.287471455184 2.43009841329301 5.31811999384422 5.56452040732269 6.11146733950268 6.81783057145415 6.39133257436529E-02 1.11939482785064 1.08180517035173 1.25817685833945 1.15593735528738 0.428530381039161 0.23031775506221 0.272314595320659 0.327863862084613 0.275356422761144 0.118671529717499 0.307484699747961 0.364643113587909 0.553885113226438 0.553885113226438 2.06216821300938 0 3.36729582998647 0 3.36729582998647 0 4.29045944114839 0 4.29045944114839 4.29045944114839 0.404130885095028 0.458057558227335 0.330022912941306 0.400117501781569 0.194744076792512 0.582215619852664 0.717839793150317 0.576613364303994 0.717839793150317 1.64229224930505 0.648672690458116 0 0 2.60268968544438 1.64229224930505 4.48300255201388 0.650761464063507 2.87169849263054 0.117783035656383 0 0 4.11419433311752E-02 0.485507815781701 0.916290731874155 0.810930216216329 0.810930216216329 0.847154993039293 0 0 0 0 0 0 0.22314355131421 7.97349680188535E-02 0 4.01036494842683 3.84658808264264 3.96398907345275 0.154436353304419 4.41318609692298 2.57062552519054 2.96877209197121 1.38765954907661 0 3.23147373254717 3.02878647191056 3.98908523551857;</v>
      </c>
    </row>
    <row r="52" spans="1:86" x14ac:dyDescent="0.25">
      <c r="A52" s="2">
        <v>20</v>
      </c>
      <c r="B52" s="2">
        <v>0</v>
      </c>
      <c r="C52" s="2">
        <v>0</v>
      </c>
      <c r="D52" s="2">
        <v>0</v>
      </c>
      <c r="E52" s="36">
        <v>2.6672282065819499</v>
      </c>
      <c r="F52" s="36">
        <v>2.28238238567653</v>
      </c>
      <c r="G52" s="36">
        <v>2.6397713603489201</v>
      </c>
      <c r="H52" s="36">
        <v>7.5948843872165197</v>
      </c>
      <c r="I52" s="36">
        <v>7.2896105214511699</v>
      </c>
      <c r="J52" s="36">
        <v>6.9707300781435304</v>
      </c>
      <c r="K52" s="36">
        <v>8.4153819252695499</v>
      </c>
      <c r="L52" s="36">
        <v>0.67141268841393897</v>
      </c>
      <c r="M52" s="36">
        <v>1.6841742585481201</v>
      </c>
      <c r="N52" s="36">
        <v>1.76438827243192</v>
      </c>
      <c r="O52" s="36">
        <v>1.5969603909229899</v>
      </c>
      <c r="P52" s="36">
        <v>1.6841742585481201</v>
      </c>
      <c r="Q52" s="36">
        <v>0.782987884559735</v>
      </c>
      <c r="R52" s="36">
        <v>0.22793206804600699</v>
      </c>
      <c r="S52" s="36">
        <v>0.18730909830499401</v>
      </c>
      <c r="T52" s="36">
        <v>0.19144646457095499</v>
      </c>
      <c r="U52" s="36">
        <v>0.20294084399668999</v>
      </c>
      <c r="V52" s="36">
        <v>0.107957141505092</v>
      </c>
      <c r="W52" s="36">
        <v>0.44468582126144601</v>
      </c>
      <c r="X52" s="36">
        <v>0.33647223662121301</v>
      </c>
      <c r="Y52" s="36">
        <v>0.27763173659828</v>
      </c>
      <c r="Z52" s="36">
        <v>0.44468582126144601</v>
      </c>
      <c r="AA52" s="36">
        <v>3.0204248861443599</v>
      </c>
      <c r="AB52" s="36">
        <v>0</v>
      </c>
      <c r="AC52" s="36">
        <v>2.6421240509860402</v>
      </c>
      <c r="AD52" s="36">
        <v>0</v>
      </c>
      <c r="AE52" s="36">
        <v>2.6421240509860402</v>
      </c>
      <c r="AF52" s="36">
        <v>2.2717134293269599</v>
      </c>
      <c r="AG52" s="36">
        <v>4.3163274402155603</v>
      </c>
      <c r="AH52" s="36">
        <v>1.6767226592397</v>
      </c>
      <c r="AI52" s="36">
        <v>4.4768480586929202</v>
      </c>
      <c r="AJ52" s="36">
        <v>4.3163274402155603</v>
      </c>
      <c r="AK52" s="36">
        <v>0.19309662996191301</v>
      </c>
      <c r="AL52" s="36">
        <v>0.15443635330441899</v>
      </c>
      <c r="AM52" s="36">
        <v>0.17814618538347399</v>
      </c>
      <c r="AN52" s="36">
        <v>0.17563256864315799</v>
      </c>
      <c r="AO52" s="36">
        <v>0.151002873536527</v>
      </c>
      <c r="AP52" s="36">
        <v>0.47623417899637199</v>
      </c>
      <c r="AQ52" s="36">
        <v>0.398776119957368</v>
      </c>
      <c r="AR52" s="36">
        <v>0.37843643572024499</v>
      </c>
      <c r="AS52" s="36">
        <v>0.47623417899637199</v>
      </c>
      <c r="AT52" s="36">
        <v>4.0103649484268296</v>
      </c>
      <c r="AU52" s="36">
        <v>0.15443635330441899</v>
      </c>
      <c r="AV52" s="36">
        <v>3.2580965380214799</v>
      </c>
      <c r="AW52" s="36">
        <v>3.6506582412937401</v>
      </c>
      <c r="AX52" s="36">
        <v>3.2580965380214799</v>
      </c>
      <c r="AY52" s="36">
        <v>3.4067486117004799</v>
      </c>
      <c r="AZ52" s="36">
        <v>4.0103649484268296</v>
      </c>
      <c r="BA52" s="36">
        <v>0.60595396885756803</v>
      </c>
      <c r="BB52" s="36">
        <v>3.2580965380214799</v>
      </c>
      <c r="BC52" s="36">
        <v>0.117783035656383</v>
      </c>
      <c r="BD52" s="36">
        <v>0.22314355131420999</v>
      </c>
      <c r="BE52" s="36">
        <v>0.22314355131420999</v>
      </c>
      <c r="BF52" s="36">
        <v>0.188966099512623</v>
      </c>
      <c r="BG52" s="36">
        <v>0.55961578793542299</v>
      </c>
      <c r="BH52" s="36">
        <v>0</v>
      </c>
      <c r="BI52" s="36">
        <v>0</v>
      </c>
      <c r="BJ52" s="36">
        <v>0</v>
      </c>
      <c r="BK52" s="36">
        <v>0</v>
      </c>
      <c r="BL52" s="36">
        <v>0.69314718055994495</v>
      </c>
      <c r="BM52" s="36">
        <v>1.0116009116784801</v>
      </c>
      <c r="BN52" s="36">
        <v>0.405465108108164</v>
      </c>
      <c r="BO52" s="36">
        <v>0.73380916227883497</v>
      </c>
      <c r="BP52" s="36">
        <v>0.55961578793542299</v>
      </c>
      <c r="BQ52" s="36">
        <v>0.55961578793542299</v>
      </c>
      <c r="BR52" s="36">
        <v>0.55961578793542299</v>
      </c>
      <c r="BS52" s="36">
        <v>0.55961578793542299</v>
      </c>
      <c r="BT52" s="36">
        <v>2.6026896854443802</v>
      </c>
      <c r="BU52" s="36">
        <v>4.3841119588732198</v>
      </c>
      <c r="BV52" s="36">
        <v>2.2335565065836098</v>
      </c>
      <c r="BW52" s="36">
        <v>3.5421759749217299</v>
      </c>
      <c r="BX52" s="36">
        <v>0.53532309536637801</v>
      </c>
      <c r="BY52" s="36">
        <v>2.0234001507962098</v>
      </c>
      <c r="BZ52" s="36">
        <v>1.74989526512936</v>
      </c>
      <c r="CA52" s="36">
        <v>4.5479223563859703</v>
      </c>
      <c r="CB52" s="36">
        <v>0.27802016190897599</v>
      </c>
      <c r="CC52" s="36">
        <v>4.3349417464570799</v>
      </c>
      <c r="CD52" s="36">
        <v>1.07263680223853</v>
      </c>
      <c r="CE52" s="36">
        <v>3.1542689254995602</v>
      </c>
      <c r="CF52" s="36">
        <v>0</v>
      </c>
      <c r="CH52" t="str">
        <f t="shared" si="0"/>
        <v>/*20*/ 000  1 2.66722820658195 2.28238238567653 2.63977136034892 7.59488438721652 7.28961052145117 6.97073007814353 8.41538192526955 0.671412688413939 1.68417425854812 1.76438827243192 1.59696039092299 1.68417425854812 0.782987884559735 0.227932068046007 0.187309098304994 0.191446464570955 0.20294084399669 0.107957141505092 0.444685821261446 0.336472236621213 0.27763173659828 0.444685821261446 3.02042488614436 0 2.64212405098604 0 2.64212405098604 2.27171342932696 4.31632744021556 1.6767226592397 4.47684805869292 4.31632744021556 0.193096629961913 0.154436353304419 0.178146185383474 0.175632568643158 0.151002873536527 0.476234178996372 0.398776119957368 0.378436435720245 0.476234178996372 4.01036494842683 0.154436353304419 3.25809653802148 3.65065824129374 3.25809653802148 3.40674861170048 4.01036494842683 0.605953968857568 3.25809653802148 0.117783035656383 0.22314355131421 0.22314355131421 0.188966099512623 0.559615787935423 0 0 0 0 0.693147180559945 1.01160091167848 0.405465108108164 0.733809162278835 0.559615787935423 0.559615787935423 0.559615787935423 0.559615787935423 2.60268968544438 4.38411195887322 2.23355650658361 3.54217597492173 0.535323095366378 2.02340015079621 1.74989526512936 4.54792235638597 0.278020161908976 4.33494174645708 1.07263680223853 3.15426892549956 0;</v>
      </c>
    </row>
    <row r="53" spans="1:86" x14ac:dyDescent="0.25">
      <c r="A53" s="2">
        <v>25</v>
      </c>
      <c r="B53" s="2">
        <v>1</v>
      </c>
      <c r="C53" s="2">
        <v>1</v>
      </c>
      <c r="D53" s="2">
        <v>1</v>
      </c>
      <c r="E53" s="36">
        <v>2.81540871942271</v>
      </c>
      <c r="F53" s="36">
        <v>2.2104698040862401</v>
      </c>
      <c r="G53" s="36">
        <v>2.5392369943330499</v>
      </c>
      <c r="H53" s="36">
        <v>6.0707377280024897</v>
      </c>
      <c r="I53" s="36">
        <v>5.6835797673386796</v>
      </c>
      <c r="J53" s="36">
        <v>5.3981627015177498</v>
      </c>
      <c r="K53" s="36">
        <v>6.8522425690518798</v>
      </c>
      <c r="L53" s="36">
        <v>0</v>
      </c>
      <c r="M53" s="36">
        <v>0.71196893480053303</v>
      </c>
      <c r="N53" s="36">
        <v>0.65492596773974798</v>
      </c>
      <c r="O53" s="36">
        <v>0.667829372575655</v>
      </c>
      <c r="P53" s="36">
        <v>0.67854102817058304</v>
      </c>
      <c r="Q53" s="36">
        <v>0.24137631957527</v>
      </c>
      <c r="R53" s="36">
        <v>0.20945022418220699</v>
      </c>
      <c r="S53" s="36">
        <v>0.16381808522939501</v>
      </c>
      <c r="T53" s="36">
        <v>0.198850858745165</v>
      </c>
      <c r="U53" s="36">
        <v>0.19062035960865001</v>
      </c>
      <c r="V53" s="36">
        <v>9.7126710730722807E-2</v>
      </c>
      <c r="W53" s="36">
        <v>0.42526773540434398</v>
      </c>
      <c r="X53" s="36">
        <v>0.27763173659828</v>
      </c>
      <c r="Y53" s="36">
        <v>0.307484699747961</v>
      </c>
      <c r="Z53" s="36">
        <v>0.42526773540434398</v>
      </c>
      <c r="AA53" s="36">
        <v>1.72686532931006</v>
      </c>
      <c r="AB53" s="36">
        <v>0</v>
      </c>
      <c r="AC53" s="36">
        <v>2.6026896854443802</v>
      </c>
      <c r="AD53" s="36">
        <v>0</v>
      </c>
      <c r="AE53" s="36">
        <v>2.6026896854443802</v>
      </c>
      <c r="AF53" s="36">
        <v>2.2335565065836098</v>
      </c>
      <c r="AG53" s="36">
        <v>4.3841119588732198</v>
      </c>
      <c r="AH53" s="36">
        <v>0</v>
      </c>
      <c r="AI53" s="36">
        <v>4.4830025520138799</v>
      </c>
      <c r="AJ53" s="36">
        <v>4.3841119588732198</v>
      </c>
      <c r="AK53" s="36">
        <v>0.26466929814270801</v>
      </c>
      <c r="AL53" s="36">
        <v>0.34642256747438099</v>
      </c>
      <c r="AM53" s="36">
        <v>0.23507212217948401</v>
      </c>
      <c r="AN53" s="36">
        <v>0.28292075535007</v>
      </c>
      <c r="AO53" s="36">
        <v>0.17479329037316299</v>
      </c>
      <c r="AP53" s="36">
        <v>0.51282362642866397</v>
      </c>
      <c r="AQ53" s="36">
        <v>0.65752000291679402</v>
      </c>
      <c r="AR53" s="36">
        <v>0.307484699747961</v>
      </c>
      <c r="AS53" s="36">
        <v>0.65752000291679402</v>
      </c>
      <c r="AT53" s="36">
        <v>3.0834225866809799</v>
      </c>
      <c r="AU53" s="36">
        <v>0.53532309536637801</v>
      </c>
      <c r="AV53" s="36">
        <v>3.2580965380214799</v>
      </c>
      <c r="AW53" s="36">
        <v>0</v>
      </c>
      <c r="AX53" s="36">
        <v>0</v>
      </c>
      <c r="AY53" s="36">
        <v>2.2335565065836098</v>
      </c>
      <c r="AZ53" s="36">
        <v>4.2743439804936996</v>
      </c>
      <c r="BA53" s="36">
        <v>0.45932178089887499</v>
      </c>
      <c r="BB53" s="36">
        <v>2.8716984926305398</v>
      </c>
      <c r="BC53" s="36">
        <v>0</v>
      </c>
      <c r="BD53" s="36">
        <v>0</v>
      </c>
      <c r="BE53" s="36">
        <v>0</v>
      </c>
      <c r="BF53" s="36">
        <v>0</v>
      </c>
      <c r="BG53" s="36">
        <v>0.188966099512623</v>
      </c>
      <c r="BH53" s="36">
        <v>0.69314718055994495</v>
      </c>
      <c r="BI53" s="36">
        <v>0.916290731874155</v>
      </c>
      <c r="BJ53" s="36">
        <v>0.81093021621632899</v>
      </c>
      <c r="BK53" s="36">
        <v>0.81093021621632899</v>
      </c>
      <c r="BL53" s="36">
        <v>0</v>
      </c>
      <c r="BM53" s="36">
        <v>0</v>
      </c>
      <c r="BN53" s="36">
        <v>0</v>
      </c>
      <c r="BO53" s="36">
        <v>0</v>
      </c>
      <c r="BP53" s="36">
        <v>0</v>
      </c>
      <c r="BQ53" s="36">
        <v>0.22314355131420999</v>
      </c>
      <c r="BR53" s="36">
        <v>0</v>
      </c>
      <c r="BS53" s="36">
        <v>7.9734968018853505E-2</v>
      </c>
      <c r="BT53" s="36">
        <v>0</v>
      </c>
      <c r="BU53" s="36">
        <v>4.2743439804936996</v>
      </c>
      <c r="BV53" s="36">
        <v>3.4067486117004799</v>
      </c>
      <c r="BW53" s="36">
        <v>3.8815637979434401</v>
      </c>
      <c r="BX53" s="36">
        <v>0</v>
      </c>
      <c r="BY53" s="36">
        <v>4.5971178527972603</v>
      </c>
      <c r="BZ53" s="36">
        <v>1.0206507471984001</v>
      </c>
      <c r="CA53" s="36">
        <v>1.0303334479148201</v>
      </c>
      <c r="CB53" s="36">
        <v>2.4799359027359298</v>
      </c>
      <c r="CC53" s="36">
        <v>1.1949107545023301</v>
      </c>
      <c r="CD53" s="36">
        <v>2.9365281875174301</v>
      </c>
      <c r="CE53" s="36">
        <v>0</v>
      </c>
      <c r="CF53" s="36">
        <v>4.2471507686499104</v>
      </c>
      <c r="CH53" t="str">
        <f t="shared" si="0"/>
        <v>/*25*/ 111  1 2.81540871942271 2.21046980408624 2.53923699433305 6.07073772800249 5.68357976733868 5.39816270151775 6.85224256905188 0 0.711968934800533 0.654925967739748 0.667829372575655 0.678541028170583 0.24137631957527 0.209450224182207 0.163818085229395 0.198850858745165 0.19062035960865 9.71267107307228E-02 0.425267735404344 0.27763173659828 0.307484699747961 0.425267735404344 1.72686532931006 0 2.60268968544438 0 2.60268968544438 2.23355650658361 4.38411195887322 0 4.48300255201388 4.38411195887322 0.264669298142708 0.346422567474381 0.235072122179484 0.28292075535007 0.174793290373163 0.512823626428664 0.657520002916794 0.307484699747961 0.657520002916794 3.08342258668098 0.535323095366378 3.25809653802148 0 0 2.23355650658361 4.2743439804937 0.459321780898875 2.87169849263054 0 0 0 0 0.188966099512623 0.693147180559945 0.916290731874155 0.810930216216329 0.810930216216329 0 0 0 0 0 0.22314355131421 0 7.97349680188535E-02 0 4.2743439804937 3.40674861170048 3.88156379794344 0 4.59711785279726 1.0206507471984 1.03033344791482 2.47993590273593 1.19491075450233 2.93652818751743 0 4.24715076864991;</v>
      </c>
    </row>
    <row r="54" spans="1:86" x14ac:dyDescent="0.25">
      <c r="A54" s="2">
        <v>29</v>
      </c>
      <c r="B54" s="2">
        <v>0</v>
      </c>
      <c r="C54" s="2">
        <v>0</v>
      </c>
      <c r="D54" s="2">
        <v>0</v>
      </c>
      <c r="E54" s="36">
        <v>3.1863526331626399</v>
      </c>
      <c r="F54" s="36">
        <v>2.1927702269868399</v>
      </c>
      <c r="G54" s="36">
        <v>2.42480272571829</v>
      </c>
      <c r="H54" s="36">
        <v>6.1675164908883398</v>
      </c>
      <c r="I54" s="36">
        <v>6.2245584292753602</v>
      </c>
      <c r="J54" s="36">
        <v>5.7493929859082504</v>
      </c>
      <c r="K54" s="36">
        <v>7.1654934750608499</v>
      </c>
      <c r="L54" s="36">
        <v>8.8926209194401501E-2</v>
      </c>
      <c r="M54" s="36">
        <v>0.94584953411569905</v>
      </c>
      <c r="N54" s="36">
        <v>1.5422291627406499</v>
      </c>
      <c r="O54" s="36">
        <v>1.30833281965018</v>
      </c>
      <c r="P54" s="36">
        <v>1.2947271675944001</v>
      </c>
      <c r="Q54" s="36">
        <v>0.79840769121743804</v>
      </c>
      <c r="R54" s="36">
        <v>0.198850858745165</v>
      </c>
      <c r="S54" s="36">
        <v>0.26082461828189801</v>
      </c>
      <c r="T54" s="36">
        <v>0.155292884406035</v>
      </c>
      <c r="U54" s="36">
        <v>0.20863886511132801</v>
      </c>
      <c r="V54" s="36">
        <v>8.25012215117438E-2</v>
      </c>
      <c r="W54" s="36">
        <v>0.262364264467491</v>
      </c>
      <c r="X54" s="36">
        <v>0.350656871613169</v>
      </c>
      <c r="Y54" s="36">
        <v>0.262364264467491</v>
      </c>
      <c r="Z54" s="36">
        <v>0.350656871613169</v>
      </c>
      <c r="AA54" s="36">
        <v>2.5197910516415001</v>
      </c>
      <c r="AB54" s="36">
        <v>0</v>
      </c>
      <c r="AC54" s="36">
        <v>3.0768513248387799</v>
      </c>
      <c r="AD54" s="36">
        <v>0</v>
      </c>
      <c r="AE54" s="36">
        <v>3.0768513248387799</v>
      </c>
      <c r="AF54" s="36">
        <v>0</v>
      </c>
      <c r="AG54" s="36">
        <v>4.3858941462003704</v>
      </c>
      <c r="AH54" s="36">
        <v>0</v>
      </c>
      <c r="AI54" s="36">
        <v>4.3858941462003704</v>
      </c>
      <c r="AJ54" s="36">
        <v>4.3858941462003704</v>
      </c>
      <c r="AK54" s="36">
        <v>0.24686007793152601</v>
      </c>
      <c r="AL54" s="36">
        <v>7.9734968018853505E-2</v>
      </c>
      <c r="AM54" s="36">
        <v>0.22314355131420999</v>
      </c>
      <c r="AN54" s="36">
        <v>0.17563256864315799</v>
      </c>
      <c r="AO54" s="36">
        <v>0.17058630057553401</v>
      </c>
      <c r="AP54" s="36">
        <v>0.51879379341516796</v>
      </c>
      <c r="AQ54" s="36">
        <v>0.16551443847757299</v>
      </c>
      <c r="AR54" s="36">
        <v>0.51282362642866397</v>
      </c>
      <c r="AS54" s="36">
        <v>0.51879379341516796</v>
      </c>
      <c r="AT54" s="36">
        <v>3.2580965380214799</v>
      </c>
      <c r="AU54" s="36">
        <v>0.31845373111853498</v>
      </c>
      <c r="AV54" s="36">
        <v>3.2580965380214799</v>
      </c>
      <c r="AW54" s="36">
        <v>4.3307333402863302</v>
      </c>
      <c r="AX54" s="36">
        <v>2.6026896854443802</v>
      </c>
      <c r="AY54" s="36">
        <v>3.6506582412937401</v>
      </c>
      <c r="AZ54" s="36">
        <v>3.6506582412937401</v>
      </c>
      <c r="BA54" s="36">
        <v>0.81093021621632899</v>
      </c>
      <c r="BB54" s="36">
        <v>3.7534257877209898</v>
      </c>
      <c r="BC54" s="36">
        <v>0</v>
      </c>
      <c r="BD54" s="36">
        <v>0</v>
      </c>
      <c r="BE54" s="36">
        <v>0.117783035656383</v>
      </c>
      <c r="BF54" s="36">
        <v>4.1141943331175199E-2</v>
      </c>
      <c r="BG54" s="36">
        <v>0.48550781578170099</v>
      </c>
      <c r="BH54" s="36">
        <v>0.69314718055994495</v>
      </c>
      <c r="BI54" s="36">
        <v>0.405465108108164</v>
      </c>
      <c r="BJ54" s="36">
        <v>0.69314718055994495</v>
      </c>
      <c r="BK54" s="36">
        <v>0.60595396885756803</v>
      </c>
      <c r="BL54" s="36">
        <v>0</v>
      </c>
      <c r="BM54" s="36">
        <v>0</v>
      </c>
      <c r="BN54" s="36">
        <v>0.405465108108164</v>
      </c>
      <c r="BO54" s="36">
        <v>0.15443635330441899</v>
      </c>
      <c r="BP54" s="36">
        <v>0.405465108108164</v>
      </c>
      <c r="BQ54" s="36">
        <v>0.81093021621632899</v>
      </c>
      <c r="BR54" s="36">
        <v>0.405465108108164</v>
      </c>
      <c r="BS54" s="36">
        <v>0.55961578793542299</v>
      </c>
      <c r="BT54" s="36">
        <v>2.8716984926305398</v>
      </c>
      <c r="BU54" s="36">
        <v>4.0103649484268296</v>
      </c>
      <c r="BV54" s="36">
        <v>3.4067486117004799</v>
      </c>
      <c r="BW54" s="36">
        <v>3.6176519448255702</v>
      </c>
      <c r="BX54" s="36">
        <v>0.15443635330441899</v>
      </c>
      <c r="BY54" s="36">
        <v>3.7639173508965502</v>
      </c>
      <c r="BZ54" s="36">
        <v>2.5710078905070199</v>
      </c>
      <c r="CA54" s="36">
        <v>4.0755524242096204</v>
      </c>
      <c r="CB54" s="36">
        <v>2.8756860403595099</v>
      </c>
      <c r="CC54" s="36">
        <v>2.2066364115209098</v>
      </c>
      <c r="CD54" s="36">
        <v>2.39142694492508</v>
      </c>
      <c r="CE54" s="36">
        <v>3.6639252825700002</v>
      </c>
      <c r="CF54" s="36">
        <v>3.3405284325091098</v>
      </c>
      <c r="CH54" t="str">
        <f t="shared" si="0"/>
        <v>/*29*/ 000  1 3.18635263316264 2.19277022698684 2.42480272571829 6.16751649088834 6.22455842927536 5.74939298590825 7.16549347506085 8.89262091944015E-02 0.945849534115699 1.54222916274065 1.30833281965018 1.2947271675944 0.798407691217438 0.198850858745165 0.260824618281898 0.155292884406035 0.208638865111328 8.25012215117438E-02 0.262364264467491 0.350656871613169 0.262364264467491 0.350656871613169 2.5197910516415 0 3.07685132483878 0 3.07685132483878 0 4.38589414620037 0 4.38589414620037 4.38589414620037 0.246860077931526 7.97349680188535E-02 0.22314355131421 0.175632568643158 0.170586300575534 0.518793793415168 0.165514438477573 0.512823626428664 0.518793793415168 3.25809653802148 0.318453731118535 3.25809653802148 4.33073334028633 2.60268968544438 3.65065824129374 3.65065824129374 0.810930216216329 3.75342578772099 0 0 0.117783035656383 4.11419433311752E-02 0.485507815781701 0.693147180559945 0.405465108108164 0.693147180559945 0.605953968857568 0 0 0.405465108108164 0.154436353304419 0.405465108108164 0.810930216216329 0.405465108108164 0.559615787935423 2.87169849263054 4.01036494842683 3.40674861170048 3.61765194482557 0.154436353304419 3.76391735089655 2.57100789050702 4.07555242420962 2.87568604035951 2.20663641152091 2.39142694492508 3.66392528257 3.34052843250911;</v>
      </c>
    </row>
    <row r="55" spans="1:86" x14ac:dyDescent="0.25">
      <c r="A55" s="2">
        <v>33</v>
      </c>
      <c r="B55" s="2">
        <v>0</v>
      </c>
      <c r="C55" s="2">
        <v>0</v>
      </c>
      <c r="D55" s="2">
        <v>0</v>
      </c>
      <c r="E55" s="36">
        <v>2.6461747973841199</v>
      </c>
      <c r="F55" s="36">
        <v>2.1871742414827202</v>
      </c>
      <c r="G55" s="36">
        <v>2.57413778351594</v>
      </c>
      <c r="H55" s="36">
        <v>5.5294290875114198</v>
      </c>
      <c r="I55" s="36">
        <v>5.7300997829735696</v>
      </c>
      <c r="J55" s="36">
        <v>5.1873858058407496</v>
      </c>
      <c r="K55" s="36">
        <v>6.6025878921893399</v>
      </c>
      <c r="L55" s="36">
        <v>0</v>
      </c>
      <c r="M55" s="36">
        <v>1.0862022685914301</v>
      </c>
      <c r="N55" s="36">
        <v>1.11939482785064</v>
      </c>
      <c r="O55" s="36">
        <v>1.0605642210305799</v>
      </c>
      <c r="P55" s="36">
        <v>1.08889859648047</v>
      </c>
      <c r="Q55" s="36">
        <v>0.55503387843031105</v>
      </c>
      <c r="R55" s="36">
        <v>0.231111720963387</v>
      </c>
      <c r="S55" s="36">
        <v>0.19309662996191301</v>
      </c>
      <c r="T55" s="36">
        <v>0.184818436992542</v>
      </c>
      <c r="U55" s="36">
        <v>0.20294084399668999</v>
      </c>
      <c r="V55" s="36">
        <v>0.184818436992542</v>
      </c>
      <c r="W55" s="36">
        <v>0.53062825106217004</v>
      </c>
      <c r="X55" s="36">
        <v>0.60976557162089395</v>
      </c>
      <c r="Y55" s="36">
        <v>0.33647223662121301</v>
      </c>
      <c r="Z55" s="36">
        <v>0.60976557162089395</v>
      </c>
      <c r="AA55" s="36">
        <v>2.2781899361593201</v>
      </c>
      <c r="AB55" s="36">
        <v>0</v>
      </c>
      <c r="AC55" s="36">
        <v>1.6767226592397</v>
      </c>
      <c r="AD55" s="36">
        <v>0</v>
      </c>
      <c r="AE55" s="36">
        <v>1.6767226592397</v>
      </c>
      <c r="AF55" s="36">
        <v>0</v>
      </c>
      <c r="AG55" s="36">
        <v>4.5711168986632096</v>
      </c>
      <c r="AH55" s="36">
        <v>0</v>
      </c>
      <c r="AI55" s="36">
        <v>4.5711168986632096</v>
      </c>
      <c r="AJ55" s="36">
        <v>4.5711168986632096</v>
      </c>
      <c r="AK55" s="36">
        <v>0.149281702715754</v>
      </c>
      <c r="AL55" s="36">
        <v>0.117783035656383</v>
      </c>
      <c r="AM55" s="36">
        <v>0.12751332029896001</v>
      </c>
      <c r="AN55" s="36">
        <v>0.131905070879939</v>
      </c>
      <c r="AO55" s="36">
        <v>8.3421608139072401E-2</v>
      </c>
      <c r="AP55" s="36">
        <v>0.25464221837358098</v>
      </c>
      <c r="AQ55" s="36">
        <v>0.22314355131420999</v>
      </c>
      <c r="AR55" s="36">
        <v>0.24686007793152601</v>
      </c>
      <c r="AS55" s="36">
        <v>0.25464221837358098</v>
      </c>
      <c r="AT55" s="36">
        <v>3.7534257877209898</v>
      </c>
      <c r="AU55" s="36">
        <v>0.25619140536041002</v>
      </c>
      <c r="AV55" s="36">
        <v>3.6506582412937401</v>
      </c>
      <c r="AW55" s="36">
        <v>2.6026896854443802</v>
      </c>
      <c r="AX55" s="36">
        <v>3.6506582412937401</v>
      </c>
      <c r="AY55" s="36">
        <v>3.4067486117004799</v>
      </c>
      <c r="AZ55" s="36">
        <v>3.7534257877209898</v>
      </c>
      <c r="BA55" s="36">
        <v>1.0116009116784801</v>
      </c>
      <c r="BB55" s="36">
        <v>4.0831656436306698</v>
      </c>
      <c r="BC55" s="36">
        <v>0.31845373111853498</v>
      </c>
      <c r="BD55" s="36">
        <v>0.48550781578170099</v>
      </c>
      <c r="BE55" s="36">
        <v>0.405465108108164</v>
      </c>
      <c r="BF55" s="36">
        <v>0.405465108108164</v>
      </c>
      <c r="BG55" s="36">
        <v>0.77334372255422201</v>
      </c>
      <c r="BH55" s="36">
        <v>0.405465108108164</v>
      </c>
      <c r="BI55" s="36">
        <v>0</v>
      </c>
      <c r="BJ55" s="36">
        <v>0.55961578793542299</v>
      </c>
      <c r="BK55" s="36">
        <v>0.34854196070854299</v>
      </c>
      <c r="BL55" s="36">
        <v>0.55961578793542299</v>
      </c>
      <c r="BM55" s="36">
        <v>0.22314355131420999</v>
      </c>
      <c r="BN55" s="36">
        <v>0.81093021621632899</v>
      </c>
      <c r="BO55" s="36">
        <v>0.55961578793542299</v>
      </c>
      <c r="BP55" s="36">
        <v>0.55961578793542299</v>
      </c>
      <c r="BQ55" s="36">
        <v>0.22314355131420999</v>
      </c>
      <c r="BR55" s="36">
        <v>0.55961578793542299</v>
      </c>
      <c r="BS55" s="36">
        <v>0.45932178089887499</v>
      </c>
      <c r="BT55" s="36">
        <v>3.6506582412937401</v>
      </c>
      <c r="BU55" s="36">
        <v>4.0103649484268296</v>
      </c>
      <c r="BV55" s="36">
        <v>2.2335565065836098</v>
      </c>
      <c r="BW55" s="36">
        <v>3.2740077423062002</v>
      </c>
      <c r="BX55" s="36">
        <v>0.79208712841484896</v>
      </c>
      <c r="BY55" s="36">
        <v>2.17566039942038</v>
      </c>
      <c r="BZ55" s="36">
        <v>1.9722738384863101</v>
      </c>
      <c r="CA55" s="36">
        <v>4.5346618810974801</v>
      </c>
      <c r="CB55" s="36">
        <v>3.2202696226805898</v>
      </c>
      <c r="CC55" s="36">
        <v>3.5004245563794201</v>
      </c>
      <c r="CD55" s="36">
        <v>3.4737593570689902</v>
      </c>
      <c r="CE55" s="36">
        <v>2.5322329748135499</v>
      </c>
      <c r="CF55" s="36">
        <v>0.40421900204038602</v>
      </c>
      <c r="CH55" t="str">
        <f t="shared" si="0"/>
        <v>/*33*/ 000  1 2.64617479738412 2.18717424148272 2.57413778351594 5.52942908751142 5.73009978297357 5.18738580584075 6.60258789218934 0 1.08620226859143 1.11939482785064 1.06056422103058 1.08889859648047 0.555033878430311 0.231111720963387 0.193096629961913 0.184818436992542 0.20294084399669 0.184818436992542 0.53062825106217 0.609765571620894 0.336472236621213 0.609765571620894 2.27818993615932 0 1.6767226592397 0 1.6767226592397 0 4.57111689866321 0 4.57111689866321 4.57111689866321 0.149281702715754 0.117783035656383 0.12751332029896 0.131905070879939 8.34216081390724E-02 0.254642218373581 0.22314355131421 0.246860077931526 0.254642218373581 3.75342578772099 0.25619140536041 3.65065824129374 2.60268968544438 3.65065824129374 3.40674861170048 3.75342578772099 1.01160091167848 4.08316564363067 0.318453731118535 0.485507815781701 0.405465108108164 0.405465108108164 0.773343722554222 0.405465108108164 0 0.559615787935423 0.348541960708543 0.559615787935423 0.22314355131421 0.810930216216329 0.559615787935423 0.559615787935423 0.22314355131421 0.559615787935423 0.459321780898875 3.65065824129374 4.01036494842683 2.23355650658361 3.2740077423062 0.792087128414849 2.17566039942038 1.97227383848631 4.53466188109748 3.22026962268059 3.50042455637942 3.47375935706899 2.53223297481355 0.404219002040386;</v>
      </c>
    </row>
    <row r="56" spans="1:86" x14ac:dyDescent="0.25">
      <c r="A56" s="2">
        <v>36</v>
      </c>
      <c r="B56" s="2">
        <v>0</v>
      </c>
      <c r="C56" s="2">
        <v>0</v>
      </c>
      <c r="D56" s="2">
        <v>0</v>
      </c>
      <c r="E56" s="36">
        <v>3.2846635654062002</v>
      </c>
      <c r="F56" s="36">
        <v>2.2690283094652002</v>
      </c>
      <c r="G56" s="36">
        <v>2.6203112867942</v>
      </c>
      <c r="H56" s="36">
        <v>5.5214609178622496</v>
      </c>
      <c r="I56" s="36">
        <v>5.4205349992722898</v>
      </c>
      <c r="J56" s="36">
        <v>5.0751738152338302</v>
      </c>
      <c r="K56" s="36">
        <v>6.4520489544372301</v>
      </c>
      <c r="L56" s="36">
        <v>0</v>
      </c>
      <c r="M56" s="36">
        <v>1.11119940417358</v>
      </c>
      <c r="N56" s="36">
        <v>0.96049898653847499</v>
      </c>
      <c r="O56" s="36">
        <v>1.0777290777516899</v>
      </c>
      <c r="P56" s="36">
        <v>1.0518700261159799</v>
      </c>
      <c r="Q56" s="36">
        <v>0.468126869232875</v>
      </c>
      <c r="R56" s="36">
        <v>0.123102197133983</v>
      </c>
      <c r="S56" s="36">
        <v>0.20457216572877401</v>
      </c>
      <c r="T56" s="36">
        <v>0.13802129789737499</v>
      </c>
      <c r="U56" s="36">
        <v>0.15871169115482101</v>
      </c>
      <c r="V56" s="36">
        <v>0.16296882827813999</v>
      </c>
      <c r="W56" s="36">
        <v>0.21511137961694499</v>
      </c>
      <c r="X56" s="36">
        <v>0.62057648772510998</v>
      </c>
      <c r="Y56" s="36">
        <v>0.350656871613169</v>
      </c>
      <c r="Z56" s="36">
        <v>0.62057648772510998</v>
      </c>
      <c r="AA56" s="36">
        <v>2.4708922384024201</v>
      </c>
      <c r="AB56" s="36">
        <v>2.0971586624849898</v>
      </c>
      <c r="AC56" s="36">
        <v>1.5197319993496099</v>
      </c>
      <c r="AD56" s="36">
        <v>0</v>
      </c>
      <c r="AE56" s="36">
        <v>2.4607847076675902</v>
      </c>
      <c r="AF56" s="36">
        <v>1.5197319993496099</v>
      </c>
      <c r="AG56" s="36">
        <v>4.4205620168877102</v>
      </c>
      <c r="AH56" s="36">
        <v>1.5197319993496099</v>
      </c>
      <c r="AI56" s="36">
        <v>4.5029824096434998</v>
      </c>
      <c r="AJ56" s="36">
        <v>4.4205620168877102</v>
      </c>
      <c r="AK56" s="36">
        <v>0.151002873536527</v>
      </c>
      <c r="AL56" s="36">
        <v>0.13976194237515899</v>
      </c>
      <c r="AM56" s="36">
        <v>0.119559235057639</v>
      </c>
      <c r="AN56" s="36">
        <v>0.155292884406035</v>
      </c>
      <c r="AO56" s="36">
        <v>0.172271220940453</v>
      </c>
      <c r="AP56" s="36">
        <v>0.307484699747961</v>
      </c>
      <c r="AQ56" s="36">
        <v>0.32930374714260002</v>
      </c>
      <c r="AR56" s="36">
        <v>0.22314355131420999</v>
      </c>
      <c r="AS56" s="36">
        <v>0.32930374714260002</v>
      </c>
      <c r="AT56" s="36">
        <v>3.4067486117004799</v>
      </c>
      <c r="AU56" s="36">
        <v>0.45932178089887499</v>
      </c>
      <c r="AV56" s="36">
        <v>0</v>
      </c>
      <c r="AW56" s="36">
        <v>3.2580965380214799</v>
      </c>
      <c r="AX56" s="36">
        <v>2.6026896854443802</v>
      </c>
      <c r="AY56" s="36">
        <v>2.6026896854443802</v>
      </c>
      <c r="AZ56" s="36">
        <v>4.0831656436306698</v>
      </c>
      <c r="BA56" s="36">
        <v>1.0413362208483801</v>
      </c>
      <c r="BB56" s="36">
        <v>4.3307333402863302</v>
      </c>
      <c r="BC56" s="36">
        <v>0.117783035656383</v>
      </c>
      <c r="BD56" s="36">
        <v>0.22314355131420999</v>
      </c>
      <c r="BE56" s="36">
        <v>0</v>
      </c>
      <c r="BF56" s="36">
        <v>0.117783035656383</v>
      </c>
      <c r="BG56" s="36">
        <v>0.25619140536041002</v>
      </c>
      <c r="BH56" s="36">
        <v>0.22314355131420999</v>
      </c>
      <c r="BI56" s="36">
        <v>0.22314355131420999</v>
      </c>
      <c r="BJ56" s="36">
        <v>0</v>
      </c>
      <c r="BK56" s="36">
        <v>0.15443635330441899</v>
      </c>
      <c r="BL56" s="36">
        <v>0.405465108108164</v>
      </c>
      <c r="BM56" s="36">
        <v>0.69314718055994495</v>
      </c>
      <c r="BN56" s="36">
        <v>0.22314355131420999</v>
      </c>
      <c r="BO56" s="36">
        <v>0.45932178089887499</v>
      </c>
      <c r="BP56" s="36">
        <v>0.22314355131420999</v>
      </c>
      <c r="BQ56" s="36">
        <v>0.69314718055994495</v>
      </c>
      <c r="BR56" s="36">
        <v>0.405465108108164</v>
      </c>
      <c r="BS56" s="36">
        <v>0.45932178089887499</v>
      </c>
      <c r="BT56" s="36">
        <v>3.6506582412937401</v>
      </c>
      <c r="BU56" s="36">
        <v>3.7534257877209898</v>
      </c>
      <c r="BV56" s="36">
        <v>3.0834225866809799</v>
      </c>
      <c r="BW56" s="36">
        <v>3.4605034875595599</v>
      </c>
      <c r="BX56" s="36">
        <v>0.55961578793542299</v>
      </c>
      <c r="BY56" s="36">
        <v>4.02656523980081</v>
      </c>
      <c r="BZ56" s="36">
        <v>2.81899509505394</v>
      </c>
      <c r="CA56" s="36">
        <v>3.8271620419139398</v>
      </c>
      <c r="CB56" s="36">
        <v>1.3700177996604399</v>
      </c>
      <c r="CC56" s="36">
        <v>3.95770830171812</v>
      </c>
      <c r="CD56" s="36">
        <v>2.9683885635332299</v>
      </c>
      <c r="CE56" s="36">
        <v>2.8808681636857698</v>
      </c>
      <c r="CF56" s="36">
        <v>2.4368582193410799</v>
      </c>
      <c r="CH56" t="str">
        <f t="shared" si="0"/>
        <v>/*36*/ 000  1 3.2846635654062 2.2690283094652 2.6203112867942 5.52146091786225 5.42053499927229 5.07517381523383 6.45204895443723 0 1.11119940417358 0.960498986538475 1.07772907775169 1.05187002611598 0.468126869232875 0.123102197133983 0.204572165728774 0.138021297897375 0.158711691154821 0.16296882827814 0.215111379616945 0.62057648772511 0.350656871613169 0.62057648772511 2.47089223840242 2.09715866248499 1.51973199934961 0 2.46078470766759 1.51973199934961 4.42056201688771 1.51973199934961 4.5029824096435 4.42056201688771 0.151002873536527 0.139761942375159 0.119559235057639 0.155292884406035 0.172271220940453 0.307484699747961 0.3293037471426 0.22314355131421 0.3293037471426 3.40674861170048 0.459321780898875 0 3.25809653802148 2.60268968544438 2.60268968544438 4.08316564363067 1.04133622084838 4.33073334028633 0.117783035656383 0.22314355131421 0 0.117783035656383 0.25619140536041 0.22314355131421 0.22314355131421 0 0.154436353304419 0.405465108108164 0.693147180559945 0.22314355131421 0.459321780898875 0.22314355131421 0.693147180559945 0.405465108108164 0.459321780898875 3.65065824129374 3.75342578772099 3.08342258668098 3.46050348755956 0.559615787935423 4.02656523980081 2.81899509505394 3.82716204191394 1.37001779966044 3.95770830171812 2.96838856353323 2.88086816368577 2.43685821934108;</v>
      </c>
    </row>
    <row r="57" spans="1:86" x14ac:dyDescent="0.25">
      <c r="A57" s="2">
        <v>39</v>
      </c>
      <c r="B57" s="2">
        <v>0</v>
      </c>
      <c r="C57" s="2">
        <v>0</v>
      </c>
      <c r="D57" s="2">
        <v>0</v>
      </c>
      <c r="E57" s="36">
        <v>2.6026896854443802</v>
      </c>
      <c r="F57" s="36">
        <v>2.2512917986065002</v>
      </c>
      <c r="G57" s="36">
        <v>2.42480272571829</v>
      </c>
      <c r="H57" s="36">
        <v>6.16961073249146</v>
      </c>
      <c r="I57" s="36">
        <v>6.28785856016178</v>
      </c>
      <c r="J57" s="36">
        <v>6.1841488909374798</v>
      </c>
      <c r="K57" s="36">
        <v>7.3125534981026004</v>
      </c>
      <c r="L57" s="36">
        <v>0</v>
      </c>
      <c r="M57" s="36">
        <v>0.667829372575655</v>
      </c>
      <c r="N57" s="36">
        <v>0.52354439617376503</v>
      </c>
      <c r="O57" s="36">
        <v>0.741937344729377</v>
      </c>
      <c r="P57" s="36">
        <v>0.64867269045811604</v>
      </c>
      <c r="Q57" s="36">
        <v>0.21511137961694499</v>
      </c>
      <c r="R57" s="36">
        <v>0.24920108563349899</v>
      </c>
      <c r="S57" s="36">
        <v>0.26620304077465701</v>
      </c>
      <c r="T57" s="36">
        <v>0.37843643572024499</v>
      </c>
      <c r="U57" s="36">
        <v>0.29936357722561902</v>
      </c>
      <c r="V57" s="36">
        <v>0.30674913516900698</v>
      </c>
      <c r="W57" s="36">
        <v>0.350656871613169</v>
      </c>
      <c r="X57" s="36">
        <v>0.33647223662121301</v>
      </c>
      <c r="Y57" s="36">
        <v>1.09861228866811</v>
      </c>
      <c r="Z57" s="36">
        <v>1.09861228866811</v>
      </c>
      <c r="AA57" s="36">
        <v>1.2845384521655001</v>
      </c>
      <c r="AB57" s="36">
        <v>0</v>
      </c>
      <c r="AC57" s="36">
        <v>4.6151205168412597</v>
      </c>
      <c r="AD57" s="36">
        <v>0</v>
      </c>
      <c r="AE57" s="36">
        <v>4.6151205168412597</v>
      </c>
      <c r="AF57" s="36">
        <v>0</v>
      </c>
      <c r="AG57" s="36">
        <v>0</v>
      </c>
      <c r="AH57" s="36">
        <v>0</v>
      </c>
      <c r="AI57" s="36">
        <v>0</v>
      </c>
      <c r="AJ57" s="36">
        <v>4.6151205168412597</v>
      </c>
      <c r="AK57" s="36">
        <v>6.7658648473814906E-2</v>
      </c>
      <c r="AL57" s="36">
        <v>0.12486898204586901</v>
      </c>
      <c r="AM57" s="36">
        <v>0.122217632724249</v>
      </c>
      <c r="AN57" s="36">
        <v>0.10526051065749301</v>
      </c>
      <c r="AO57" s="36">
        <v>6.1095099359810799E-2</v>
      </c>
      <c r="AP57" s="36">
        <v>0.131028262406404</v>
      </c>
      <c r="AQ57" s="36">
        <v>0.25464221837358098</v>
      </c>
      <c r="AR57" s="36">
        <v>0.17395330712343801</v>
      </c>
      <c r="AS57" s="36">
        <v>0.25464221837358098</v>
      </c>
      <c r="AT57" s="36">
        <v>0</v>
      </c>
      <c r="AU57" s="36">
        <v>0.188966099512623</v>
      </c>
      <c r="AV57" s="36">
        <v>3.9318256327243302</v>
      </c>
      <c r="AW57" s="36">
        <v>4.6151205168412597</v>
      </c>
      <c r="AX57" s="36">
        <v>4.4830025520138799</v>
      </c>
      <c r="AY57" s="36">
        <v>4.3841119588732198</v>
      </c>
      <c r="AZ57" s="36">
        <v>4.3307333402863302</v>
      </c>
      <c r="BA57" s="36">
        <v>0</v>
      </c>
      <c r="BB57" s="36">
        <v>0</v>
      </c>
      <c r="BC57" s="36">
        <v>0</v>
      </c>
      <c r="BD57" s="36">
        <v>0</v>
      </c>
      <c r="BE57" s="36">
        <v>0</v>
      </c>
      <c r="BF57" s="36">
        <v>0</v>
      </c>
      <c r="BG57" s="36">
        <v>0.117783035656383</v>
      </c>
      <c r="BH57" s="36">
        <v>0</v>
      </c>
      <c r="BI57" s="36">
        <v>0</v>
      </c>
      <c r="BJ57" s="36">
        <v>0</v>
      </c>
      <c r="BK57" s="36">
        <v>0</v>
      </c>
      <c r="BL57" s="36">
        <v>0</v>
      </c>
      <c r="BM57" s="36">
        <v>0</v>
      </c>
      <c r="BN57" s="36">
        <v>0</v>
      </c>
      <c r="BO57" s="36">
        <v>0</v>
      </c>
      <c r="BP57" s="36">
        <v>0.55961578793542299</v>
      </c>
      <c r="BQ57" s="36">
        <v>0</v>
      </c>
      <c r="BR57" s="36">
        <v>0.69314718055994495</v>
      </c>
      <c r="BS57" s="36">
        <v>0.45932178089887499</v>
      </c>
      <c r="BT57" s="36">
        <v>2.2335565065836098</v>
      </c>
      <c r="BU57" s="36">
        <v>4.5290124221383596</v>
      </c>
      <c r="BV57" s="36">
        <v>0</v>
      </c>
      <c r="BW57" s="36">
        <v>3.5177351979101101</v>
      </c>
      <c r="BX57" s="36">
        <v>0.433080275141138</v>
      </c>
      <c r="BY57" s="36">
        <v>4.3966689114107496</v>
      </c>
      <c r="BZ57" s="36">
        <v>2.5063419305080701</v>
      </c>
      <c r="CA57" s="36">
        <v>3.0359140631868202</v>
      </c>
      <c r="CB57" s="36">
        <v>0.93781898510737904</v>
      </c>
      <c r="CC57" s="36">
        <v>2.8814082745265801</v>
      </c>
      <c r="CD57" s="36">
        <v>3.3301669063841302</v>
      </c>
      <c r="CE57" s="36">
        <v>3.6111979461338901</v>
      </c>
      <c r="CF57" s="36">
        <v>0</v>
      </c>
      <c r="CH57" t="str">
        <f t="shared" si="0"/>
        <v>/*39*/ 000  1 2.60268968544438 2.2512917986065 2.42480272571829 6.16961073249146 6.28785856016178 6.18414889093748 7.3125534981026 0 0.667829372575655 0.523544396173765 0.741937344729377 0.648672690458116 0.215111379616945 0.249201085633499 0.266203040774657 0.378436435720245 0.299363577225619 0.306749135169007 0.350656871613169 0.336472236621213 1.09861228866811 1.09861228866811 1.2845384521655 0 4.61512051684126 0 4.61512051684126 0 0 0 0 4.61512051684126 6.76586484738149E-02 0.124868982045869 0.122217632724249 0.105260510657493 6.10950993598108E-02 0.131028262406404 0.254642218373581 0.173953307123438 0.254642218373581 0 0.188966099512623 3.93182563272433 4.61512051684126 4.48300255201388 4.38411195887322 4.33073334028633 0 0 0 0 0 0 0.117783035656383 0 0 0 0 0 0 0 0 0.559615787935423 0 0.693147180559945 0.459321780898875 2.23355650658361 4.52901242213836 0 3.51773519791011 0.433080275141138 4.39666891141075 2.50634193050807 3.03591406318682 0.937818985107379 2.88140827452658 3.33016690638413 3.61119794613389 0;</v>
      </c>
    </row>
    <row r="58" spans="1:86" x14ac:dyDescent="0.25">
      <c r="A58" s="2">
        <v>40</v>
      </c>
      <c r="B58" s="2">
        <v>0</v>
      </c>
      <c r="C58" s="2">
        <v>0</v>
      </c>
      <c r="D58" s="2">
        <v>0</v>
      </c>
      <c r="E58" s="36">
        <v>2.7972813348301502</v>
      </c>
      <c r="F58" s="36">
        <v>2.2115656946068798</v>
      </c>
      <c r="G58" s="36">
        <v>2.4731713935695798</v>
      </c>
      <c r="H58" s="36">
        <v>7.0681720003880404</v>
      </c>
      <c r="I58" s="36">
        <v>6.5147126908725301</v>
      </c>
      <c r="J58" s="36">
        <v>7.3031700512368003</v>
      </c>
      <c r="K58" s="36">
        <v>8.1113280032867294</v>
      </c>
      <c r="L58" s="36">
        <v>0.93570112539397798</v>
      </c>
      <c r="M58" s="36">
        <v>2.1474505960440502</v>
      </c>
      <c r="N58" s="36">
        <v>1.81645208181843</v>
      </c>
      <c r="O58" s="36">
        <v>1.9058319254878999</v>
      </c>
      <c r="P58" s="36">
        <v>1.96655275960122</v>
      </c>
      <c r="Q58" s="36">
        <v>1.02209115076037</v>
      </c>
      <c r="R58" s="36">
        <v>0.26543646350446098</v>
      </c>
      <c r="S58" s="36">
        <v>0.23744085601503401</v>
      </c>
      <c r="T58" s="36">
        <v>0.15785808461558001</v>
      </c>
      <c r="U58" s="36">
        <v>0.221542269947236</v>
      </c>
      <c r="V58" s="36">
        <v>0.12133228516752501</v>
      </c>
      <c r="W58" s="36">
        <v>0.405465108108164</v>
      </c>
      <c r="X58" s="36">
        <v>0.39204208777602401</v>
      </c>
      <c r="Y58" s="36">
        <v>0.482426149244293</v>
      </c>
      <c r="Z58" s="36">
        <v>0.482426149244293</v>
      </c>
      <c r="AA58" s="36">
        <v>3.25161403345597</v>
      </c>
      <c r="AB58" s="36">
        <v>0</v>
      </c>
      <c r="AC58" s="36">
        <v>1.71289662080233</v>
      </c>
      <c r="AD58" s="36">
        <v>0</v>
      </c>
      <c r="AE58" s="36">
        <v>1.71289662080233</v>
      </c>
      <c r="AF58" s="36">
        <v>1.18570699551904</v>
      </c>
      <c r="AG58" s="36">
        <v>4.5452290805211204</v>
      </c>
      <c r="AH58" s="36">
        <v>0</v>
      </c>
      <c r="AI58" s="36">
        <v>4.5690765783398497</v>
      </c>
      <c r="AJ58" s="36">
        <v>4.5452290805211204</v>
      </c>
      <c r="AK58" s="36">
        <v>0.27002713721305999</v>
      </c>
      <c r="AL58" s="36">
        <v>0.33145969479766901</v>
      </c>
      <c r="AM58" s="36">
        <v>0.33861280112032399</v>
      </c>
      <c r="AN58" s="36">
        <v>0.31188676114859798</v>
      </c>
      <c r="AO58" s="36">
        <v>0.21993842036526101</v>
      </c>
      <c r="AP58" s="36">
        <v>0.71294980785612505</v>
      </c>
      <c r="AQ58" s="36">
        <v>0.63127177684185798</v>
      </c>
      <c r="AR58" s="36">
        <v>0.62057648772510998</v>
      </c>
      <c r="AS58" s="36">
        <v>0.71294980785612505</v>
      </c>
      <c r="AT58" s="36">
        <v>3.9318256327243302</v>
      </c>
      <c r="AU58" s="36">
        <v>0.33002291294130598</v>
      </c>
      <c r="AV58" s="36">
        <v>0</v>
      </c>
      <c r="AW58" s="36">
        <v>2.6026896854443802</v>
      </c>
      <c r="AX58" s="36">
        <v>2.6026896854443802</v>
      </c>
      <c r="AY58" s="36">
        <v>2.2335565065836098</v>
      </c>
      <c r="AZ58" s="36">
        <v>3.9318256327243302</v>
      </c>
      <c r="BA58" s="36">
        <v>0.77334372255422201</v>
      </c>
      <c r="BB58" s="36">
        <v>3.7534257877209898</v>
      </c>
      <c r="BC58" s="36">
        <v>0</v>
      </c>
      <c r="BD58" s="36">
        <v>0</v>
      </c>
      <c r="BE58" s="36">
        <v>0.22314355131420999</v>
      </c>
      <c r="BF58" s="36">
        <v>7.9734968018853505E-2</v>
      </c>
      <c r="BG58" s="36">
        <v>0.28743204119657201</v>
      </c>
      <c r="BH58" s="36">
        <v>0.405465108108164</v>
      </c>
      <c r="BI58" s="36">
        <v>0.69314718055994495</v>
      </c>
      <c r="BJ58" s="36">
        <v>0</v>
      </c>
      <c r="BK58" s="36">
        <v>0.405465108108164</v>
      </c>
      <c r="BL58" s="36">
        <v>0.55961578793542299</v>
      </c>
      <c r="BM58" s="36">
        <v>1.0116009116784801</v>
      </c>
      <c r="BN58" s="36">
        <v>0.22314355131420999</v>
      </c>
      <c r="BO58" s="36">
        <v>0.65076146406350699</v>
      </c>
      <c r="BP58" s="36">
        <v>0.55961578793542299</v>
      </c>
      <c r="BQ58" s="36">
        <v>0.22314355131420999</v>
      </c>
      <c r="BR58" s="36">
        <v>0</v>
      </c>
      <c r="BS58" s="36">
        <v>0.28743204119657201</v>
      </c>
      <c r="BT58" s="36">
        <v>2.6026896854443802</v>
      </c>
      <c r="BU58" s="36">
        <v>4.4830025520138799</v>
      </c>
      <c r="BV58" s="36">
        <v>0</v>
      </c>
      <c r="BW58" s="36">
        <v>3.5361069907765299</v>
      </c>
      <c r="BX58" s="36">
        <v>0.188966099512623</v>
      </c>
      <c r="BY58" s="36">
        <v>4.1373561578153497</v>
      </c>
      <c r="BZ58" s="36">
        <v>2.7791297827831598</v>
      </c>
      <c r="CA58" s="36">
        <v>3.6728262887916898</v>
      </c>
      <c r="CB58" s="36">
        <v>1.1133727041108199</v>
      </c>
      <c r="CC58" s="36">
        <v>3.6125241773155401</v>
      </c>
      <c r="CD58" s="36">
        <v>3.0568378643921599</v>
      </c>
      <c r="CE58" s="36">
        <v>0</v>
      </c>
      <c r="CF58" s="36">
        <v>3.7526916427077501</v>
      </c>
      <c r="CH58" t="str">
        <f t="shared" si="0"/>
        <v>/*40*/ 000  1 2.79728133483015 2.21156569460688 2.47317139356958 7.06817200038804 6.51471269087253 7.3031700512368 8.11132800328673 0.935701125393978 2.14745059604405 1.81645208181843 1.9058319254879 1.96655275960122 1.02209115076037 0.265436463504461 0.237440856015034 0.15785808461558 0.221542269947236 0.121332285167525 0.405465108108164 0.392042087776024 0.482426149244293 0.482426149244293 3.25161403345597 0 1.71289662080233 0 1.71289662080233 1.18570699551904 4.54522908052112 0 4.56907657833985 4.54522908052112 0.27002713721306 0.331459694797669 0.338612801120324 0.311886761148598 0.219938420365261 0.712949807856125 0.631271776841858 0.62057648772511 0.712949807856125 3.93182563272433 0.330022912941306 0 2.60268968544438 2.60268968544438 2.23355650658361 3.93182563272433 0.773343722554222 3.75342578772099 0 0 0.22314355131421 7.97349680188535E-02 0.287432041196572 0.405465108108164 0.693147180559945 0 0.405465108108164 0.559615787935423 1.01160091167848 0.22314355131421 0.650761464063507 0.559615787935423 0.22314355131421 0 0.287432041196572 2.60268968544438 4.48300255201388 0 3.53610699077653 0.188966099512623 4.13735615781535 2.77912978278316 3.67282628879169 1.11337270411082 3.61252417731554 3.05683786439216 0 3.75269164270775;</v>
      </c>
    </row>
    <row r="59" spans="1:86" x14ac:dyDescent="0.25">
      <c r="A59" s="2">
        <v>41</v>
      </c>
      <c r="B59" s="2">
        <v>0</v>
      </c>
      <c r="C59" s="2">
        <v>0</v>
      </c>
      <c r="D59" s="2">
        <v>0</v>
      </c>
      <c r="E59" s="36">
        <v>3.0056826044071601</v>
      </c>
      <c r="F59" s="36">
        <v>2.2321626286975</v>
      </c>
      <c r="G59" s="36">
        <v>2.72850620966959</v>
      </c>
      <c r="H59" s="36">
        <v>6.6066501861982196</v>
      </c>
      <c r="I59" s="36">
        <v>6.31896811374643</v>
      </c>
      <c r="J59" s="36">
        <v>6.3207682942505796</v>
      </c>
      <c r="K59" s="36">
        <v>7.5224002313871203</v>
      </c>
      <c r="L59" s="36">
        <v>0</v>
      </c>
      <c r="M59" s="36">
        <v>1.4048707466928301</v>
      </c>
      <c r="N59" s="36">
        <v>1.30833281965018</v>
      </c>
      <c r="O59" s="36">
        <v>1.43174562402381</v>
      </c>
      <c r="P59" s="36">
        <v>1.3807791804317799</v>
      </c>
      <c r="Q59" s="36">
        <v>0.60867802393349502</v>
      </c>
      <c r="R59" s="36">
        <v>0.242946178610389</v>
      </c>
      <c r="S59" s="36">
        <v>0.20945022418220699</v>
      </c>
      <c r="T59" s="36">
        <v>0.17479329037316299</v>
      </c>
      <c r="U59" s="36">
        <v>0.210260925483196</v>
      </c>
      <c r="V59" s="36">
        <v>0.12751332029896001</v>
      </c>
      <c r="W59" s="36">
        <v>0.482426149244293</v>
      </c>
      <c r="X59" s="36">
        <v>0.41871033485818498</v>
      </c>
      <c r="Y59" s="36">
        <v>0.405465108108164</v>
      </c>
      <c r="Z59" s="36">
        <v>0.482426149244293</v>
      </c>
      <c r="AA59" s="36">
        <v>2.6182713618554199</v>
      </c>
      <c r="AB59" s="36">
        <v>1.3714344982128699</v>
      </c>
      <c r="AC59" s="36">
        <v>1.9289093073752901</v>
      </c>
      <c r="AD59" s="36">
        <v>0</v>
      </c>
      <c r="AE59" s="36">
        <v>2.2848283714047901</v>
      </c>
      <c r="AF59" s="36">
        <v>2.7540428049526802</v>
      </c>
      <c r="AG59" s="36">
        <v>4.3499036727830402</v>
      </c>
      <c r="AH59" s="36">
        <v>0</v>
      </c>
      <c r="AI59" s="36">
        <v>4.5236997929900298</v>
      </c>
      <c r="AJ59" s="36">
        <v>4.3499036727830402</v>
      </c>
      <c r="AK59" s="36">
        <v>0.136277618292548</v>
      </c>
      <c r="AL59" s="36">
        <v>0.27002713721305999</v>
      </c>
      <c r="AM59" s="36">
        <v>0.2390169004705</v>
      </c>
      <c r="AN59" s="36">
        <v>0.21672298351128699</v>
      </c>
      <c r="AO59" s="36">
        <v>0.15871169115482101</v>
      </c>
      <c r="AP59" s="36">
        <v>0.231111720963387</v>
      </c>
      <c r="AQ59" s="36">
        <v>0.62057648772510998</v>
      </c>
      <c r="AR59" s="36">
        <v>0.405465108108164</v>
      </c>
      <c r="AS59" s="36">
        <v>0.62057648772510998</v>
      </c>
      <c r="AT59" s="36">
        <v>3.6506582412937401</v>
      </c>
      <c r="AU59" s="36">
        <v>0.34854196070854299</v>
      </c>
      <c r="AV59" s="36">
        <v>2.6026896854443802</v>
      </c>
      <c r="AW59" s="36">
        <v>3.6506582412937401</v>
      </c>
      <c r="AX59" s="36">
        <v>2.6026896854443802</v>
      </c>
      <c r="AY59" s="36">
        <v>3.0834225866809799</v>
      </c>
      <c r="AZ59" s="36">
        <v>3.7534257877209898</v>
      </c>
      <c r="BA59" s="36">
        <v>1.09861228866811</v>
      </c>
      <c r="BB59" s="36">
        <v>4.3307333402863302</v>
      </c>
      <c r="BC59" s="36">
        <v>0.117783035656383</v>
      </c>
      <c r="BD59" s="36">
        <v>0</v>
      </c>
      <c r="BE59" s="36">
        <v>0</v>
      </c>
      <c r="BF59" s="36">
        <v>4.1141943331175199E-2</v>
      </c>
      <c r="BG59" s="36">
        <v>0</v>
      </c>
      <c r="BH59" s="36">
        <v>0.69314718055994495</v>
      </c>
      <c r="BI59" s="36">
        <v>0.69314718055994495</v>
      </c>
      <c r="BJ59" s="36">
        <v>0</v>
      </c>
      <c r="BK59" s="36">
        <v>0.51102560376865702</v>
      </c>
      <c r="BL59" s="36">
        <v>0</v>
      </c>
      <c r="BM59" s="36">
        <v>0</v>
      </c>
      <c r="BN59" s="36">
        <v>0</v>
      </c>
      <c r="BO59" s="36">
        <v>0</v>
      </c>
      <c r="BP59" s="36">
        <v>0.55961578793542299</v>
      </c>
      <c r="BQ59" s="36">
        <v>0.69314718055994495</v>
      </c>
      <c r="BR59" s="36">
        <v>0.69314718055994495</v>
      </c>
      <c r="BS59" s="36">
        <v>0.65076146406350699</v>
      </c>
      <c r="BT59" s="36">
        <v>3.0834225866809799</v>
      </c>
      <c r="BU59" s="36">
        <v>4.0831656436306698</v>
      </c>
      <c r="BV59" s="36">
        <v>3.0834225866809799</v>
      </c>
      <c r="BW59" s="36">
        <v>3.5777244047477699</v>
      </c>
      <c r="BX59" s="36">
        <v>0.99621035505002897</v>
      </c>
      <c r="BY59" s="36">
        <v>4.6151205168412597</v>
      </c>
      <c r="BZ59" s="36">
        <v>0</v>
      </c>
      <c r="CA59" s="36">
        <v>0</v>
      </c>
      <c r="CB59" s="36">
        <v>1.3257417414456101</v>
      </c>
      <c r="CC59" s="36">
        <v>1.8032143482089</v>
      </c>
      <c r="CD59" s="36">
        <v>1.19517848692666</v>
      </c>
      <c r="CE59" s="36">
        <v>4.4247086494035397</v>
      </c>
      <c r="CF59" s="36">
        <v>2.1250447148078302</v>
      </c>
      <c r="CH59" t="str">
        <f t="shared" si="0"/>
        <v>/*41*/ 000  1 3.00568260440716 2.2321626286975 2.72850620966959 6.60665018619822 6.31896811374643 6.32076829425058 7.52240023138712 0 1.40487074669283 1.30833281965018 1.43174562402381 1.38077918043178 0.608678023933495 0.242946178610389 0.209450224182207 0.174793290373163 0.210260925483196 0.12751332029896 0.482426149244293 0.418710334858185 0.405465108108164 0.482426149244293 2.61827136185542 1.37143449821287 1.92890930737529 0 2.28482837140479 2.75404280495268 4.34990367278304 0 4.52369979299003 4.34990367278304 0.136277618292548 0.27002713721306 0.2390169004705 0.216722983511287 0.158711691154821 0.231111720963387 0.62057648772511 0.405465108108164 0.62057648772511 3.65065824129374 0.348541960708543 2.60268968544438 3.65065824129374 2.60268968544438 3.08342258668098 3.75342578772099 1.09861228866811 4.33073334028633 0.117783035656383 0 0 4.11419433311752E-02 0 0.693147180559945 0.693147180559945 0 0.511025603768657 0 0 0 0 0.559615787935423 0.693147180559945 0.693147180559945 0.650761464063507 3.08342258668098 4.08316564363067 3.08342258668098 3.57772440474777 0.996210355050029 4.61512051684126 0 0 1.32574174144561 1.8032143482089 1.19517848692666 4.42470864940354 2.12504471480783;</v>
      </c>
    </row>
    <row r="60" spans="1:86" x14ac:dyDescent="0.25">
      <c r="A60" s="2">
        <v>52</v>
      </c>
      <c r="B60" s="2">
        <v>0</v>
      </c>
      <c r="C60" s="2">
        <v>0</v>
      </c>
      <c r="D60" s="2">
        <v>0</v>
      </c>
      <c r="E60" s="36">
        <v>2.7278528283983898</v>
      </c>
      <c r="F60" s="36">
        <v>2.2679936482244298</v>
      </c>
      <c r="G60" s="36">
        <v>2.3924257969938401</v>
      </c>
      <c r="H60" s="36">
        <v>5.3706380281276598</v>
      </c>
      <c r="I60" s="36">
        <v>5.6240175061873403</v>
      </c>
      <c r="J60" s="36">
        <v>6.7833252006039597</v>
      </c>
      <c r="K60" s="36">
        <v>7.2247534057679701</v>
      </c>
      <c r="L60" s="36">
        <v>4.3059489460446999E-2</v>
      </c>
      <c r="M60" s="36">
        <v>0.88087078664289498</v>
      </c>
      <c r="N60" s="36">
        <v>1.0862022685914301</v>
      </c>
      <c r="O60" s="36">
        <v>1.1939224684724301</v>
      </c>
      <c r="P60" s="36">
        <v>1.0619483042965201</v>
      </c>
      <c r="Q60" s="36">
        <v>0.43889988419440201</v>
      </c>
      <c r="R60" s="36">
        <v>0.18232155679395501</v>
      </c>
      <c r="S60" s="36">
        <v>0.19721016928770499</v>
      </c>
      <c r="T60" s="36">
        <v>0.23507212217948401</v>
      </c>
      <c r="U60" s="36">
        <v>0.20457216572877401</v>
      </c>
      <c r="V60" s="36">
        <v>7.6034686275997604E-2</v>
      </c>
      <c r="W60" s="36">
        <v>0.24686007793152601</v>
      </c>
      <c r="X60" s="36">
        <v>0.33647223662121301</v>
      </c>
      <c r="Y60" s="36">
        <v>0.322083499169113</v>
      </c>
      <c r="Z60" s="36">
        <v>0.33647223662121301</v>
      </c>
      <c r="AA60" s="36">
        <v>2.2338778949842499</v>
      </c>
      <c r="AB60" s="36">
        <v>0</v>
      </c>
      <c r="AC60" s="36">
        <v>2.5287640328517802</v>
      </c>
      <c r="AD60" s="36">
        <v>0</v>
      </c>
      <c r="AE60" s="36">
        <v>2.5287640328517802</v>
      </c>
      <c r="AF60" s="36">
        <v>3.00721608149528</v>
      </c>
      <c r="AG60" s="36">
        <v>4.2517898089987902</v>
      </c>
      <c r="AH60" s="36">
        <v>0</v>
      </c>
      <c r="AI60" s="36">
        <v>4.4938139541151898</v>
      </c>
      <c r="AJ60" s="36">
        <v>4.2517898089987902</v>
      </c>
      <c r="AK60" s="36">
        <v>0.46121512321265601</v>
      </c>
      <c r="AL60" s="36">
        <v>0.419368013277156</v>
      </c>
      <c r="AM60" s="36">
        <v>0.26543646350446098</v>
      </c>
      <c r="AN60" s="36">
        <v>0.38797979376714498</v>
      </c>
      <c r="AO60" s="36">
        <v>0.18979357163265601</v>
      </c>
      <c r="AP60" s="36">
        <v>0.68813463873640102</v>
      </c>
      <c r="AQ60" s="36">
        <v>0.667829372575655</v>
      </c>
      <c r="AR60" s="36">
        <v>0.350656871613169</v>
      </c>
      <c r="AS60" s="36">
        <v>0.68813463873640102</v>
      </c>
      <c r="AT60" s="36">
        <v>3.4067486117004799</v>
      </c>
      <c r="AU60" s="36">
        <v>0.53532309536637801</v>
      </c>
      <c r="AV60" s="36">
        <v>0</v>
      </c>
      <c r="AW60" s="36">
        <v>0</v>
      </c>
      <c r="AX60" s="36">
        <v>0</v>
      </c>
      <c r="AY60" s="36">
        <v>0</v>
      </c>
      <c r="AZ60" s="36">
        <v>4.2743439804936996</v>
      </c>
      <c r="BA60" s="36">
        <v>1.26553815998409</v>
      </c>
      <c r="BB60" s="36">
        <v>4.3307333402863302</v>
      </c>
      <c r="BC60" s="36">
        <v>0.405465108108164</v>
      </c>
      <c r="BD60" s="36">
        <v>0.55961578793542299</v>
      </c>
      <c r="BE60" s="36">
        <v>0.62860865942237398</v>
      </c>
      <c r="BF60" s="36">
        <v>0.53532309536637801</v>
      </c>
      <c r="BG60" s="36">
        <v>0.34854196070854299</v>
      </c>
      <c r="BH60" s="36">
        <v>0.405465108108164</v>
      </c>
      <c r="BI60" s="36">
        <v>0</v>
      </c>
      <c r="BJ60" s="36">
        <v>0</v>
      </c>
      <c r="BK60" s="36">
        <v>0.15443635330441899</v>
      </c>
      <c r="BL60" s="36">
        <v>0.22314355131420999</v>
      </c>
      <c r="BM60" s="36">
        <v>0.81093021621632899</v>
      </c>
      <c r="BN60" s="36">
        <v>0.22314355131420999</v>
      </c>
      <c r="BO60" s="36">
        <v>0.45932178089887499</v>
      </c>
      <c r="BP60" s="36">
        <v>0</v>
      </c>
      <c r="BQ60" s="36">
        <v>0</v>
      </c>
      <c r="BR60" s="36">
        <v>0.22314355131420999</v>
      </c>
      <c r="BS60" s="36">
        <v>7.9734968018853505E-2</v>
      </c>
      <c r="BT60" s="36">
        <v>1.64229224930505</v>
      </c>
      <c r="BU60" s="36">
        <v>4.3307333402863302</v>
      </c>
      <c r="BV60" s="36">
        <v>3.0834225866809799</v>
      </c>
      <c r="BW60" s="36">
        <v>3.69199958145018</v>
      </c>
      <c r="BX60" s="36">
        <v>0.60595396885756803</v>
      </c>
      <c r="BY60" s="36">
        <v>2.1320339917990099</v>
      </c>
      <c r="BZ60" s="36">
        <v>1.8113986844804</v>
      </c>
      <c r="CA60" s="36">
        <v>4.53868844468726</v>
      </c>
      <c r="CB60" s="36">
        <v>1.2940852742276701</v>
      </c>
      <c r="CC60" s="36">
        <v>3.0328161288094599</v>
      </c>
      <c r="CD60" s="36">
        <v>1.93243601438597</v>
      </c>
      <c r="CE60" s="36">
        <v>3.7789453939436699</v>
      </c>
      <c r="CF60" s="36">
        <v>3.3058939905681202</v>
      </c>
      <c r="CH60" t="str">
        <f t="shared" si="0"/>
        <v>/*52*/ 000  1 2.72785282839839 2.26799364822443 2.39242579699384 5.37063802812766 5.62401750618734 6.78332520060396 7.22475340576797 0.043059489460447 0.880870786642895 1.08620226859143 1.19392246847243 1.06194830429652 0.438899884194402 0.182321556793955 0.197210169287705 0.235072122179484 0.204572165728774 7.60346862759976E-02 0.246860077931526 0.336472236621213 0.322083499169113 0.336472236621213 2.23387789498425 0 2.52876403285178 0 2.52876403285178 3.00721608149528 4.25178980899879 0 4.49381395411519 4.25178980899879 0.461215123212656 0.419368013277156 0.265436463504461 0.387979793767145 0.189793571632656 0.688134638736401 0.667829372575655 0.350656871613169 0.688134638736401 3.40674861170048 0.535323095366378 0 0 0 0 4.2743439804937 1.26553815998409 4.33073334028633 0.405465108108164 0.559615787935423 0.628608659422374 0.535323095366378 0.348541960708543 0.405465108108164 0 0 0.154436353304419 0.22314355131421 0.810930216216329 0.22314355131421 0.459321780898875 0 0 0.22314355131421 7.97349680188535E-02 1.64229224930505 4.33073334028633 3.08342258668098 3.69199958145018 0.605953968857568 2.13203399179901 1.8113986844804 4.53868844468726 1.29408527422767 3.03281612880946 1.93243601438597 3.77894539394367 3.30589399056812;</v>
      </c>
    </row>
    <row r="61" spans="1:86" x14ac:dyDescent="0.25">
      <c r="A61" s="2">
        <v>56</v>
      </c>
      <c r="B61" s="2">
        <v>0</v>
      </c>
      <c r="C61" s="2">
        <v>0</v>
      </c>
      <c r="D61" s="2">
        <v>0</v>
      </c>
      <c r="E61" s="36">
        <v>2.9444389791664398</v>
      </c>
      <c r="F61" s="36">
        <v>2.2332350148592499</v>
      </c>
      <c r="G61" s="36">
        <v>2.5779415157551901</v>
      </c>
      <c r="H61" s="36">
        <v>6.2766434893416401</v>
      </c>
      <c r="I61" s="36">
        <v>5.8805329864007003</v>
      </c>
      <c r="J61" s="36">
        <v>6.4997870406558498</v>
      </c>
      <c r="K61" s="36">
        <v>7.3479438231486904</v>
      </c>
      <c r="L61" s="36">
        <v>0.50500873844442595</v>
      </c>
      <c r="M61" s="36">
        <v>1.5713205903209699</v>
      </c>
      <c r="N61" s="36">
        <v>1.30508430569435</v>
      </c>
      <c r="O61" s="36">
        <v>1.3185507090333699</v>
      </c>
      <c r="P61" s="36">
        <v>1.40585186033542</v>
      </c>
      <c r="Q61" s="36">
        <v>0.65907320022619398</v>
      </c>
      <c r="R61" s="36">
        <v>0.27002713721305999</v>
      </c>
      <c r="S61" s="36">
        <v>0.155292884406035</v>
      </c>
      <c r="T61" s="36">
        <v>0.23665190133900199</v>
      </c>
      <c r="U61" s="36">
        <v>0.22394323148477399</v>
      </c>
      <c r="V61" s="36">
        <v>0.16381808522939501</v>
      </c>
      <c r="W61" s="36">
        <v>0.55388511322643796</v>
      </c>
      <c r="X61" s="36">
        <v>0.231111720963387</v>
      </c>
      <c r="Y61" s="36">
        <v>0.54232429082536204</v>
      </c>
      <c r="Z61" s="36">
        <v>0.55388511322643796</v>
      </c>
      <c r="AA61" s="36">
        <v>2.5869366253493702</v>
      </c>
      <c r="AB61" s="36">
        <v>0</v>
      </c>
      <c r="AC61" s="36">
        <v>0</v>
      </c>
      <c r="AD61" s="36">
        <v>0</v>
      </c>
      <c r="AE61" s="36">
        <v>0</v>
      </c>
      <c r="AF61" s="36">
        <v>1.4662601427577699</v>
      </c>
      <c r="AG61" s="36">
        <v>4.5815637333124197</v>
      </c>
      <c r="AH61" s="36">
        <v>0</v>
      </c>
      <c r="AI61" s="36">
        <v>4.6151205168412597</v>
      </c>
      <c r="AJ61" s="36">
        <v>4.5815637333124197</v>
      </c>
      <c r="AK61" s="36">
        <v>0.108854404912082</v>
      </c>
      <c r="AL61" s="36">
        <v>0.25464221837358098</v>
      </c>
      <c r="AM61" s="36">
        <v>0.21591750622247</v>
      </c>
      <c r="AN61" s="36">
        <v>0.180653499693258</v>
      </c>
      <c r="AO61" s="36">
        <v>0.184818436992542</v>
      </c>
      <c r="AP61" s="36">
        <v>0.37156355643248301</v>
      </c>
      <c r="AQ61" s="36">
        <v>0.66268797307523697</v>
      </c>
      <c r="AR61" s="36">
        <v>0.45107561936021701</v>
      </c>
      <c r="AS61" s="36">
        <v>0.66268797307523697</v>
      </c>
      <c r="AT61" s="36">
        <v>3.5361069907765299</v>
      </c>
      <c r="AU61" s="36">
        <v>0.377065633586466</v>
      </c>
      <c r="AV61" s="36">
        <v>3.9318256327243302</v>
      </c>
      <c r="AW61" s="36">
        <v>0</v>
      </c>
      <c r="AX61" s="36">
        <v>2.6026896854443802</v>
      </c>
      <c r="AY61" s="36">
        <v>3.0834225866809799</v>
      </c>
      <c r="AZ61" s="36">
        <v>3.84658808264264</v>
      </c>
      <c r="BA61" s="36">
        <v>0.916290731874155</v>
      </c>
      <c r="BB61" s="36">
        <v>3.9318256327243302</v>
      </c>
      <c r="BC61" s="36">
        <v>0.117783035656383</v>
      </c>
      <c r="BD61" s="36">
        <v>0.22314355131420999</v>
      </c>
      <c r="BE61" s="36">
        <v>0.31845373111853498</v>
      </c>
      <c r="BF61" s="36">
        <v>0.22314355131420999</v>
      </c>
      <c r="BG61" s="36">
        <v>0.45932178089887499</v>
      </c>
      <c r="BH61" s="36">
        <v>0.22314355131420999</v>
      </c>
      <c r="BI61" s="36">
        <v>0.69314718055994495</v>
      </c>
      <c r="BJ61" s="36">
        <v>0.405465108108164</v>
      </c>
      <c r="BK61" s="36">
        <v>0.45932178089887499</v>
      </c>
      <c r="BL61" s="36">
        <v>0.22314355131420999</v>
      </c>
      <c r="BM61" s="36">
        <v>0</v>
      </c>
      <c r="BN61" s="36">
        <v>0.22314355131420999</v>
      </c>
      <c r="BO61" s="36">
        <v>0.15443635330441899</v>
      </c>
      <c r="BP61" s="36">
        <v>0.916290731874155</v>
      </c>
      <c r="BQ61" s="36">
        <v>0</v>
      </c>
      <c r="BR61" s="36">
        <v>0.55961578793542299</v>
      </c>
      <c r="BS61" s="36">
        <v>0.55961578793542299</v>
      </c>
      <c r="BT61" s="36">
        <v>3.4067486117004799</v>
      </c>
      <c r="BU61" s="36">
        <v>3.84658808264264</v>
      </c>
      <c r="BV61" s="36">
        <v>3.2580965380214799</v>
      </c>
      <c r="BW61" s="36">
        <v>3.4927124904979299</v>
      </c>
      <c r="BX61" s="36">
        <v>0.60595396885756803</v>
      </c>
      <c r="BY61" s="36">
        <v>4.0028504253886403</v>
      </c>
      <c r="BZ61" s="36">
        <v>2.8285554540864899</v>
      </c>
      <c r="CA61" s="36">
        <v>3.8553679942715702</v>
      </c>
      <c r="CB61" s="36">
        <v>1.1141847090196899</v>
      </c>
      <c r="CC61" s="36">
        <v>3.95267958204361</v>
      </c>
      <c r="CD61" s="36">
        <v>1.4996321852244201</v>
      </c>
      <c r="CE61" s="36">
        <v>3.6443241687984398</v>
      </c>
      <c r="CF61" s="36">
        <v>1.68662638141026</v>
      </c>
      <c r="CH61" t="str">
        <f t="shared" si="0"/>
        <v>/*56*/ 000  1 2.94443897916644 2.23323501485925 2.57794151575519 6.27664348934164 5.8805329864007 6.49978704065585 7.34794382314869 0.505008738444426 1.57132059032097 1.30508430569435 1.31855070903337 1.40585186033542 0.659073200226194 0.27002713721306 0.155292884406035 0.236651901339002 0.223943231484774 0.163818085229395 0.553885113226438 0.231111720963387 0.542324290825362 0.553885113226438 2.58693662534937 0 0 0 0 1.46626014275777 4.58156373331242 0 4.61512051684126 4.58156373331242 0.108854404912082 0.254642218373581 0.21591750622247 0.180653499693258 0.184818436992542 0.371563556432483 0.662687973075237 0.451075619360217 0.662687973075237 3.53610699077653 0.377065633586466 3.93182563272433 0 2.60268968544438 3.08342258668098 3.84658808264264 0.916290731874155 3.93182563272433 0.117783035656383 0.22314355131421 0.318453731118535 0.22314355131421 0.459321780898875 0.22314355131421 0.693147180559945 0.405465108108164 0.459321780898875 0.22314355131421 0 0.22314355131421 0.154436353304419 0.916290731874155 0 0.559615787935423 0.559615787935423 3.40674861170048 3.84658808264264 3.25809653802148 3.49271249049793 0.605953968857568 4.00285042538864 2.82855545408649 3.85536799427157 1.11418470901969 3.95267958204361 1.49963218522442 3.64432416879844 1.68662638141026;</v>
      </c>
    </row>
    <row r="62" spans="1:86" x14ac:dyDescent="0.25">
      <c r="A62" s="2">
        <v>57</v>
      </c>
      <c r="B62" s="2">
        <v>0</v>
      </c>
      <c r="C62" s="2">
        <v>0</v>
      </c>
      <c r="D62" s="2">
        <v>0</v>
      </c>
      <c r="E62" s="36">
        <v>3.0445224377234199</v>
      </c>
      <c r="F62" s="36">
        <v>2.26384426467762</v>
      </c>
      <c r="G62" s="36">
        <v>2.3905959703167601</v>
      </c>
      <c r="H62" s="36">
        <v>5.4595855141441598</v>
      </c>
      <c r="I62" s="36">
        <v>5.4595855141441598</v>
      </c>
      <c r="J62" s="36">
        <v>5.4595855141441598</v>
      </c>
      <c r="K62" s="36">
        <v>6.5553568918106704</v>
      </c>
      <c r="L62" s="36">
        <v>0</v>
      </c>
      <c r="M62" s="36">
        <v>0.93137636929219603</v>
      </c>
      <c r="N62" s="36">
        <v>0.92624106272732298</v>
      </c>
      <c r="O62" s="36">
        <v>0.75377180237637997</v>
      </c>
      <c r="P62" s="36">
        <v>0.87380068025320301</v>
      </c>
      <c r="Q62" s="36">
        <v>0.28442677973110803</v>
      </c>
      <c r="R62" s="36">
        <v>0.22633844221072899</v>
      </c>
      <c r="S62" s="36">
        <v>0.231111720963387</v>
      </c>
      <c r="T62" s="36">
        <v>0.28968007511445398</v>
      </c>
      <c r="U62" s="36">
        <v>0.24920108563349899</v>
      </c>
      <c r="V62" s="36">
        <v>8.0657903017454499E-2</v>
      </c>
      <c r="W62" s="36">
        <v>0.307484699747961</v>
      </c>
      <c r="X62" s="36">
        <v>0.33647223662121301</v>
      </c>
      <c r="Y62" s="36">
        <v>0.37843643572024499</v>
      </c>
      <c r="Z62" s="36">
        <v>0.37843643572024499</v>
      </c>
      <c r="AA62" s="36">
        <v>1.7793494491513699</v>
      </c>
      <c r="AB62" s="36">
        <v>0</v>
      </c>
      <c r="AC62" s="36">
        <v>3.4067486117004799</v>
      </c>
      <c r="AD62" s="36">
        <v>2.2335565065836098</v>
      </c>
      <c r="AE62" s="36">
        <v>3.6506582412937401</v>
      </c>
      <c r="AF62" s="36">
        <v>2.6026896854443802</v>
      </c>
      <c r="AG62" s="36">
        <v>3.9318256327243302</v>
      </c>
      <c r="AH62" s="36">
        <v>0</v>
      </c>
      <c r="AI62" s="36">
        <v>4.1510399058986502</v>
      </c>
      <c r="AJ62" s="36">
        <v>3.9318256327243302</v>
      </c>
      <c r="AK62" s="36">
        <v>0.35136084911496401</v>
      </c>
      <c r="AL62" s="36">
        <v>0.360467742177429</v>
      </c>
      <c r="AM62" s="36">
        <v>0.210260925483196</v>
      </c>
      <c r="AN62" s="36">
        <v>0.30968815271439598</v>
      </c>
      <c r="AO62" s="36">
        <v>0.147557564357615</v>
      </c>
      <c r="AP62" s="36">
        <v>0.51282362642866397</v>
      </c>
      <c r="AQ62" s="36">
        <v>0.54232429082536204</v>
      </c>
      <c r="AR62" s="36">
        <v>0.36464311358790902</v>
      </c>
      <c r="AS62" s="36">
        <v>0.54232429082536204</v>
      </c>
      <c r="AT62" s="36">
        <v>2.8716984926305398</v>
      </c>
      <c r="AU62" s="36">
        <v>0.55961578793542299</v>
      </c>
      <c r="AV62" s="36">
        <v>0</v>
      </c>
      <c r="AW62" s="36">
        <v>0</v>
      </c>
      <c r="AX62" s="36">
        <v>3.2580965380214799</v>
      </c>
      <c r="AY62" s="36">
        <v>2.2335565065836098</v>
      </c>
      <c r="AZ62" s="36">
        <v>4.3307333402863302</v>
      </c>
      <c r="BA62" s="36">
        <v>0.69314718055994495</v>
      </c>
      <c r="BB62" s="36">
        <v>3.5361069907765299</v>
      </c>
      <c r="BC62" s="36">
        <v>0</v>
      </c>
      <c r="BD62" s="36">
        <v>0</v>
      </c>
      <c r="BE62" s="36">
        <v>0</v>
      </c>
      <c r="BF62" s="36">
        <v>0</v>
      </c>
      <c r="BG62" s="36">
        <v>7.9734968018853505E-2</v>
      </c>
      <c r="BH62" s="36">
        <v>0.69314718055994495</v>
      </c>
      <c r="BI62" s="36">
        <v>1.09861228866811</v>
      </c>
      <c r="BJ62" s="36">
        <v>0.69314718055994495</v>
      </c>
      <c r="BK62" s="36">
        <v>0.84715499303929298</v>
      </c>
      <c r="BL62" s="36">
        <v>0</v>
      </c>
      <c r="BM62" s="36">
        <v>0</v>
      </c>
      <c r="BN62" s="36">
        <v>0</v>
      </c>
      <c r="BO62" s="36">
        <v>0</v>
      </c>
      <c r="BP62" s="36">
        <v>0.22314355131420999</v>
      </c>
      <c r="BQ62" s="36">
        <v>0.22314355131420999</v>
      </c>
      <c r="BR62" s="36">
        <v>0.405465108108164</v>
      </c>
      <c r="BS62" s="36">
        <v>0.28743204119657201</v>
      </c>
      <c r="BT62" s="36">
        <v>2.8716984926305398</v>
      </c>
      <c r="BU62" s="36">
        <v>4.43477324748243</v>
      </c>
      <c r="BV62" s="36">
        <v>0</v>
      </c>
      <c r="BW62" s="36">
        <v>3.2740077423062002</v>
      </c>
      <c r="BX62" s="36">
        <v>0.28743204119657201</v>
      </c>
      <c r="BY62" s="36">
        <v>4.3217988091233996</v>
      </c>
      <c r="BZ62" s="36">
        <v>2.6360528205949598</v>
      </c>
      <c r="CA62" s="36">
        <v>3.2837642847700601</v>
      </c>
      <c r="CB62" s="36">
        <v>0</v>
      </c>
      <c r="CC62" s="36">
        <v>1.1712514722273999</v>
      </c>
      <c r="CD62" s="36">
        <v>2.1639526494748198</v>
      </c>
      <c r="CE62" s="36">
        <v>3.91147491005131</v>
      </c>
      <c r="CF62" s="36">
        <v>3.73995012095931</v>
      </c>
      <c r="CH62" t="str">
        <f t="shared" si="0"/>
        <v>/*57*/ 000  1 3.04452243772342 2.26384426467762 2.39059597031676 5.45958551414416 5.45958551414416 5.45958551414416 6.55535689181067 0 0.931376369292196 0.926241062727323 0.75377180237638 0.873800680253203 0.284426779731108 0.226338442210729 0.231111720963387 0.289680075114454 0.249201085633499 8.06579030174545E-02 0.307484699747961 0.336472236621213 0.378436435720245 0.378436435720245 1.77934944915137 0 3.40674861170048 2.23355650658361 3.65065824129374 2.60268968544438 3.93182563272433 0 4.15103990589865 3.93182563272433 0.351360849114964 0.360467742177429 0.210260925483196 0.309688152714396 0.147557564357615 0.512823626428664 0.542324290825362 0.364643113587909 0.542324290825362 2.87169849263054 0.559615787935423 0 0 3.25809653802148 2.23355650658361 4.33073334028633 0.693147180559945 3.53610699077653 0 0 0 0 7.97349680188535E-02 0.693147180559945 1.09861228866811 0.693147180559945 0.847154993039293 0 0 0 0 0.22314355131421 0.22314355131421 0.405465108108164 0.287432041196572 2.87169849263054 4.43477324748243 0 3.2740077423062 0.287432041196572 4.3217988091234 2.63605282059496 3.28376428477006 0 1.1712514722274 2.16395264947482 3.91147491005131 3.73995012095931;</v>
      </c>
    </row>
    <row r="63" spans="1:86" x14ac:dyDescent="0.25">
      <c r="A63" s="2">
        <v>65</v>
      </c>
      <c r="B63" s="2">
        <v>0</v>
      </c>
      <c r="C63" s="2">
        <v>0</v>
      </c>
      <c r="D63" s="2">
        <v>0</v>
      </c>
      <c r="E63" s="36">
        <v>2.7013612129514102</v>
      </c>
      <c r="F63" s="36">
        <v>2.27521389619791</v>
      </c>
      <c r="G63" s="36">
        <v>2.5748996883147099</v>
      </c>
      <c r="H63" s="36">
        <v>6.5410299991898997</v>
      </c>
      <c r="I63" s="36">
        <v>6.1841488909374798</v>
      </c>
      <c r="J63" s="36">
        <v>6.0378709199221401</v>
      </c>
      <c r="K63" s="36">
        <v>7.3746290152189404</v>
      </c>
      <c r="L63" s="36">
        <v>0.47125284864616701</v>
      </c>
      <c r="M63" s="36">
        <v>1.09861228866811</v>
      </c>
      <c r="N63" s="36">
        <v>0.993251773010283</v>
      </c>
      <c r="O63" s="36">
        <v>0.98879742266090298</v>
      </c>
      <c r="P63" s="36">
        <v>1.0281898243715599</v>
      </c>
      <c r="Q63" s="36">
        <v>0.32786386208461299</v>
      </c>
      <c r="R63" s="36">
        <v>0.155292884406035</v>
      </c>
      <c r="S63" s="36">
        <v>0.184818436992542</v>
      </c>
      <c r="T63" s="36">
        <v>0.192271887647123</v>
      </c>
      <c r="U63" s="36">
        <v>0.17730901497040999</v>
      </c>
      <c r="V63" s="36">
        <v>6.8592791465611702E-2</v>
      </c>
      <c r="W63" s="36">
        <v>0.262364264467491</v>
      </c>
      <c r="X63" s="36">
        <v>0.262364264467491</v>
      </c>
      <c r="Y63" s="36">
        <v>0.27763173659828</v>
      </c>
      <c r="Z63" s="36">
        <v>0.27763173659828</v>
      </c>
      <c r="AA63" s="36">
        <v>2.3259109182975402</v>
      </c>
      <c r="AB63" s="36">
        <v>0</v>
      </c>
      <c r="AC63" s="36">
        <v>1.32919476907932</v>
      </c>
      <c r="AD63" s="36">
        <v>0</v>
      </c>
      <c r="AE63" s="36">
        <v>1.32919476907932</v>
      </c>
      <c r="AF63" s="36">
        <v>1.32919476907932</v>
      </c>
      <c r="AG63" s="36">
        <v>4.5585396880597804</v>
      </c>
      <c r="AH63" s="36">
        <v>0</v>
      </c>
      <c r="AI63" s="36">
        <v>4.58723022285543</v>
      </c>
      <c r="AJ63" s="36">
        <v>4.5585396880597804</v>
      </c>
      <c r="AK63" s="36">
        <v>0.31772619380015799</v>
      </c>
      <c r="AL63" s="36">
        <v>0.29266961396281999</v>
      </c>
      <c r="AM63" s="36">
        <v>0.25619140536041002</v>
      </c>
      <c r="AN63" s="36">
        <v>0.288931291852213</v>
      </c>
      <c r="AO63" s="36">
        <v>0.20130685670503501</v>
      </c>
      <c r="AP63" s="36">
        <v>0.55961578793542299</v>
      </c>
      <c r="AQ63" s="36">
        <v>0.58778666490211895</v>
      </c>
      <c r="AR63" s="36">
        <v>0.63127177684185798</v>
      </c>
      <c r="AS63" s="36">
        <v>0.63127177684185798</v>
      </c>
      <c r="AT63" s="36">
        <v>3.6506582412937401</v>
      </c>
      <c r="AU63" s="36">
        <v>0.45932178089887499</v>
      </c>
      <c r="AV63" s="36">
        <v>2.6026896854443802</v>
      </c>
      <c r="AW63" s="36">
        <v>0</v>
      </c>
      <c r="AX63" s="36">
        <v>0</v>
      </c>
      <c r="AY63" s="36">
        <v>1.64229224930505</v>
      </c>
      <c r="AZ63" s="36">
        <v>4.0831656436306698</v>
      </c>
      <c r="BA63" s="36">
        <v>0.95551144502743601</v>
      </c>
      <c r="BB63" s="36">
        <v>3.5361069907765299</v>
      </c>
      <c r="BC63" s="36">
        <v>0</v>
      </c>
      <c r="BD63" s="36">
        <v>0</v>
      </c>
      <c r="BE63" s="36">
        <v>0</v>
      </c>
      <c r="BF63" s="36">
        <v>0</v>
      </c>
      <c r="BG63" s="36">
        <v>4.2101176018635299E-2</v>
      </c>
      <c r="BH63" s="36">
        <v>0.22314355131420999</v>
      </c>
      <c r="BI63" s="36">
        <v>0.22314355131420999</v>
      </c>
      <c r="BJ63" s="36">
        <v>0</v>
      </c>
      <c r="BK63" s="36">
        <v>0.167207918983906</v>
      </c>
      <c r="BL63" s="36">
        <v>0</v>
      </c>
      <c r="BM63" s="36">
        <v>0</v>
      </c>
      <c r="BN63" s="36">
        <v>0.28743204119657201</v>
      </c>
      <c r="BO63" s="36">
        <v>8.7094706850933706E-2</v>
      </c>
      <c r="BP63" s="36">
        <v>0.81093021621632899</v>
      </c>
      <c r="BQ63" s="36">
        <v>0.81093021621632899</v>
      </c>
      <c r="BR63" s="36">
        <v>0</v>
      </c>
      <c r="BS63" s="36">
        <v>0.64657954474361101</v>
      </c>
      <c r="BT63" s="36">
        <v>0</v>
      </c>
      <c r="BU63" s="36">
        <v>4.43477324748243</v>
      </c>
      <c r="BV63" s="36">
        <v>2.8716984926305398</v>
      </c>
      <c r="BW63" s="36">
        <v>3.74851535200981</v>
      </c>
      <c r="BX63" s="36">
        <v>0.69314718055994495</v>
      </c>
      <c r="BY63" s="36">
        <v>4.6151205168412597</v>
      </c>
      <c r="BZ63" s="36">
        <v>0</v>
      </c>
      <c r="CA63" s="36">
        <v>0</v>
      </c>
      <c r="CB63" s="36">
        <v>2.3692564312468298</v>
      </c>
      <c r="CC63" s="36">
        <v>1.28334639181926</v>
      </c>
      <c r="CD63" s="36">
        <v>2.6596947253420802</v>
      </c>
      <c r="CE63" s="36">
        <v>3.5166312141744198</v>
      </c>
      <c r="CF63" s="36">
        <v>3.7551149041061098</v>
      </c>
      <c r="CH63" t="str">
        <f t="shared" si="0"/>
        <v>/*65*/ 000  1 2.70136121295141 2.27521389619791 2.57489968831471 6.5410299991899 6.18414889093748 6.03787091992214 7.37462901521894 0.471252848646167 1.09861228866811 0.993251773010283 0.988797422660903 1.02818982437156 0.327863862084613 0.155292884406035 0.184818436992542 0.192271887647123 0.17730901497041 6.85927914656117E-02 0.262364264467491 0.262364264467491 0.27763173659828 0.27763173659828 2.32591091829754 0 1.32919476907932 0 1.32919476907932 1.32919476907932 4.55853968805978 0 4.58723022285543 4.55853968805978 0.317726193800158 0.29266961396282 0.25619140536041 0.288931291852213 0.201306856705035 0.559615787935423 0.587786664902119 0.631271776841858 0.631271776841858 3.65065824129374 0.459321780898875 2.60268968544438 0 0 1.64229224930505 4.08316564363067 0.955511445027436 3.53610699077653 0 0 0 0 4.21011760186353E-02 0.22314355131421 0.22314355131421 0 0.167207918983906 0 0 0.287432041196572 8.70947068509337E-02 0.810930216216329 0.810930216216329 0 0.646579544743611 0 4.43477324748243 2.87169849263054 3.74851535200981 0.693147180559945 4.61512051684126 0 0 2.36925643124683 1.28334639181926 2.65969472534208 3.51663121417442 3.75511490410611;</v>
      </c>
    </row>
    <row r="64" spans="1:86" x14ac:dyDescent="0.25">
      <c r="A64" s="2">
        <v>73</v>
      </c>
      <c r="B64" s="2">
        <v>0</v>
      </c>
      <c r="C64" s="2">
        <v>0</v>
      </c>
      <c r="D64" s="2">
        <v>0</v>
      </c>
      <c r="E64" s="36">
        <v>2.7663191092261901</v>
      </c>
      <c r="F64" s="36">
        <v>2.2628042229821999</v>
      </c>
      <c r="G64" s="36">
        <v>2.6041700706148201</v>
      </c>
      <c r="H64" s="36">
        <v>6.5764695690482204</v>
      </c>
      <c r="I64" s="36">
        <v>6.5764695690482204</v>
      </c>
      <c r="J64" s="36">
        <v>6.5764695690482204</v>
      </c>
      <c r="K64" s="36">
        <v>7.6741529212816797</v>
      </c>
      <c r="L64" s="36">
        <v>5.4488185284069797E-2</v>
      </c>
      <c r="M64" s="36">
        <v>1.4410192608091399</v>
      </c>
      <c r="N64" s="36">
        <v>1.27396517614597</v>
      </c>
      <c r="O64" s="36">
        <v>1.37371557891303</v>
      </c>
      <c r="P64" s="36">
        <v>1.3653260546836901</v>
      </c>
      <c r="Q64" s="36">
        <v>0.46121512321265601</v>
      </c>
      <c r="R64" s="36">
        <v>0.38933572617828099</v>
      </c>
      <c r="S64" s="36">
        <v>0.325700139639302</v>
      </c>
      <c r="T64" s="36">
        <v>0.37569294977449402</v>
      </c>
      <c r="U64" s="36">
        <v>0.36533731701738498</v>
      </c>
      <c r="V64" s="36">
        <v>0.122217632724249</v>
      </c>
      <c r="W64" s="36">
        <v>0.51879379341516796</v>
      </c>
      <c r="X64" s="36">
        <v>0.494696241836107</v>
      </c>
      <c r="Y64" s="36">
        <v>0.50681760236845197</v>
      </c>
      <c r="Z64" s="36">
        <v>0.51879379341516796</v>
      </c>
      <c r="AA64" s="36">
        <v>2.0290688760151601</v>
      </c>
      <c r="AB64" s="36">
        <v>0</v>
      </c>
      <c r="AC64" s="36">
        <v>3.4219799208446799</v>
      </c>
      <c r="AD64" s="36">
        <v>0</v>
      </c>
      <c r="AE64" s="36">
        <v>3.4219799208446799</v>
      </c>
      <c r="AF64" s="36">
        <v>2.4941141305389101</v>
      </c>
      <c r="AG64" s="36">
        <v>4.0986519388084002</v>
      </c>
      <c r="AH64" s="36">
        <v>0</v>
      </c>
      <c r="AI64" s="36">
        <v>4.2678776129829803</v>
      </c>
      <c r="AJ64" s="36">
        <v>4.0986519388084002</v>
      </c>
      <c r="AK64" s="36">
        <v>0.26849925303500699</v>
      </c>
      <c r="AL64" s="36">
        <v>0.50380100882902601</v>
      </c>
      <c r="AM64" s="36">
        <v>0.22872792960811</v>
      </c>
      <c r="AN64" s="36">
        <v>0.33074156191222798</v>
      </c>
      <c r="AO64" s="36">
        <v>0.26159473768846198</v>
      </c>
      <c r="AP64" s="36">
        <v>0.53649337051456802</v>
      </c>
      <c r="AQ64" s="36">
        <v>0.80200158547202705</v>
      </c>
      <c r="AR64" s="36">
        <v>0.47000362924573602</v>
      </c>
      <c r="AS64" s="36">
        <v>0.80200158547202705</v>
      </c>
      <c r="AT64" s="36">
        <v>2.2335565065836098</v>
      </c>
      <c r="AU64" s="36">
        <v>0.64657954474361101</v>
      </c>
      <c r="AV64" s="36">
        <v>0</v>
      </c>
      <c r="AW64" s="36">
        <v>0</v>
      </c>
      <c r="AX64" s="36">
        <v>0</v>
      </c>
      <c r="AY64" s="36">
        <v>0</v>
      </c>
      <c r="AZ64" s="36">
        <v>4.43477324748243</v>
      </c>
      <c r="BA64" s="36">
        <v>0.84715499303929298</v>
      </c>
      <c r="BB64" s="36">
        <v>3.7534257877209898</v>
      </c>
      <c r="BC64" s="36">
        <v>0</v>
      </c>
      <c r="BD64" s="36">
        <v>0.117783035656383</v>
      </c>
      <c r="BE64" s="36">
        <v>0</v>
      </c>
      <c r="BF64" s="36">
        <v>4.1141943331175199E-2</v>
      </c>
      <c r="BG64" s="36">
        <v>0.377065633586466</v>
      </c>
      <c r="BH64" s="36">
        <v>0.405465108108164</v>
      </c>
      <c r="BI64" s="36">
        <v>0.22314355131420999</v>
      </c>
      <c r="BJ64" s="36">
        <v>0.69314718055994495</v>
      </c>
      <c r="BK64" s="36">
        <v>0.45932178089887499</v>
      </c>
      <c r="BL64" s="36">
        <v>0.22314355131420999</v>
      </c>
      <c r="BM64" s="36">
        <v>0.55961578793542299</v>
      </c>
      <c r="BN64" s="36">
        <v>0</v>
      </c>
      <c r="BO64" s="36">
        <v>0.28743204119657201</v>
      </c>
      <c r="BP64" s="36">
        <v>0.69314718055994495</v>
      </c>
      <c r="BQ64" s="36">
        <v>0.55961578793542299</v>
      </c>
      <c r="BR64" s="36">
        <v>1.0116009116784801</v>
      </c>
      <c r="BS64" s="36">
        <v>0.77334372255422201</v>
      </c>
      <c r="BT64" s="36">
        <v>2.6026896854443802</v>
      </c>
      <c r="BU64" s="36">
        <v>4.3307333402863302</v>
      </c>
      <c r="BV64" s="36">
        <v>2.6026896854443802</v>
      </c>
      <c r="BW64" s="36">
        <v>3.6342912638295299</v>
      </c>
      <c r="BX64" s="36">
        <v>0.34854196070854299</v>
      </c>
      <c r="BY64" s="36">
        <v>4.5362701673330399</v>
      </c>
      <c r="BZ64" s="36">
        <v>2.2322699190790201</v>
      </c>
      <c r="CA64" s="36">
        <v>2.1584837490197901</v>
      </c>
      <c r="CB64" s="36">
        <v>2.3344721849942802</v>
      </c>
      <c r="CC64" s="36">
        <v>2.8912778483832802</v>
      </c>
      <c r="CD64" s="36">
        <v>2.81046933232708</v>
      </c>
      <c r="CE64" s="36">
        <v>4.0213894725772104</v>
      </c>
      <c r="CF64" s="36">
        <v>0.96763064533501997</v>
      </c>
      <c r="CH64" t="str">
        <f t="shared" si="0"/>
        <v>/*73*/ 000  1 2.76631910922619 2.2628042229822 2.60417007061482 6.57646956904822 6.57646956904822 6.57646956904822 7.67415292128168 5.44881852840698E-02 1.44101926080914 1.27396517614597 1.37371557891303 1.36532605468369 0.461215123212656 0.389335726178281 0.325700139639302 0.375692949774494 0.365337317017385 0.122217632724249 0.518793793415168 0.494696241836107 0.506817602368452 0.518793793415168 2.02906887601516 0 3.42197992084468 0 3.42197992084468 2.49411413053891 4.0986519388084 0 4.26787761298298 4.0986519388084 0.268499253035007 0.503801008829026 0.22872792960811 0.330741561912228 0.261594737688462 0.536493370514568 0.802001585472027 0.470003629245736 0.802001585472027 2.23355650658361 0.646579544743611 0 0 0 0 4.43477324748243 0.847154993039293 3.75342578772099 0 0.117783035656383 0 4.11419433311752E-02 0.377065633586466 0.405465108108164 0.22314355131421 0.693147180559945 0.459321780898875 0.22314355131421 0.559615787935423 0 0.287432041196572 0.693147180559945 0.559615787935423 1.01160091167848 0.773343722554222 2.60268968544438 4.33073334028633 2.60268968544438 3.63429126382953 0.348541960708543 4.53627016733304 2.23226991907902 2.15848374901979 2.33447218499428 2.89127784838328 2.81046933232708 4.02138947257721 0.96763064533502;</v>
      </c>
    </row>
    <row r="65" spans="1:86" x14ac:dyDescent="0.25">
      <c r="A65" s="2">
        <v>77</v>
      </c>
      <c r="B65" s="2">
        <v>0</v>
      </c>
      <c r="C65" s="2">
        <v>0</v>
      </c>
      <c r="D65" s="2">
        <v>0</v>
      </c>
      <c r="E65" s="36">
        <v>3.1000922888782299</v>
      </c>
      <c r="F65" s="36">
        <v>2.2310890912889798</v>
      </c>
      <c r="G65" s="36">
        <v>2.53449014997683</v>
      </c>
      <c r="H65" s="36">
        <v>6.49828214947643</v>
      </c>
      <c r="I65" s="36">
        <v>6.0234475929610296</v>
      </c>
      <c r="J65" s="36">
        <v>6.2728770065461701</v>
      </c>
      <c r="K65" s="36">
        <v>7.3808790355641198</v>
      </c>
      <c r="L65" s="36">
        <v>0.13976194237515899</v>
      </c>
      <c r="M65" s="36">
        <v>1.2564703732836899</v>
      </c>
      <c r="N65" s="36">
        <v>1.47017584510059</v>
      </c>
      <c r="O65" s="36">
        <v>1.2947271675944001</v>
      </c>
      <c r="P65" s="36">
        <v>1.3449513975855101</v>
      </c>
      <c r="Q65" s="36">
        <v>0.66217237626051495</v>
      </c>
      <c r="R65" s="36">
        <v>0.27307592006241899</v>
      </c>
      <c r="S65" s="36">
        <v>0.33002291294130598</v>
      </c>
      <c r="T65" s="36">
        <v>0.195566783543975</v>
      </c>
      <c r="U65" s="36">
        <v>0.27231459532065899</v>
      </c>
      <c r="V65" s="36">
        <v>0.123102197133983</v>
      </c>
      <c r="W65" s="36">
        <v>0.33647223662121301</v>
      </c>
      <c r="X65" s="36">
        <v>0.482426149244293</v>
      </c>
      <c r="Y65" s="36">
        <v>0.322083499169113</v>
      </c>
      <c r="Z65" s="36">
        <v>0.482426149244293</v>
      </c>
      <c r="AA65" s="36">
        <v>2.30985857696054</v>
      </c>
      <c r="AB65" s="36">
        <v>1.4412559191938601</v>
      </c>
      <c r="AC65" s="36">
        <v>1.4412559191938601</v>
      </c>
      <c r="AD65" s="36">
        <v>0</v>
      </c>
      <c r="AE65" s="36">
        <v>2.0084824527393401</v>
      </c>
      <c r="AF65" s="36">
        <v>0</v>
      </c>
      <c r="AG65" s="36">
        <v>4.4784384801489496</v>
      </c>
      <c r="AH65" s="36">
        <v>2.0084824527393401</v>
      </c>
      <c r="AI65" s="36">
        <v>4.5491076420515499</v>
      </c>
      <c r="AJ65" s="36">
        <v>4.4784384801489496</v>
      </c>
      <c r="AK65" s="36">
        <v>0.32135859881116502</v>
      </c>
      <c r="AL65" s="36">
        <v>0.24920108563349899</v>
      </c>
      <c r="AM65" s="36">
        <v>0.37912113276856202</v>
      </c>
      <c r="AN65" s="36">
        <v>0.30895420772732102</v>
      </c>
      <c r="AO65" s="36">
        <v>0.24607852259670601</v>
      </c>
      <c r="AP65" s="36">
        <v>0.62057648772510998</v>
      </c>
      <c r="AQ65" s="36">
        <v>0.75141608868392096</v>
      </c>
      <c r="AR65" s="36">
        <v>0.66268797307523697</v>
      </c>
      <c r="AS65" s="36">
        <v>0.75141608868392096</v>
      </c>
      <c r="AT65" s="36">
        <v>3.84658808264264</v>
      </c>
      <c r="AU65" s="36">
        <v>0.298622012490115</v>
      </c>
      <c r="AV65" s="36">
        <v>2.6026896854443802</v>
      </c>
      <c r="AW65" s="36">
        <v>3.6506582412937401</v>
      </c>
      <c r="AX65" s="36">
        <v>0</v>
      </c>
      <c r="AY65" s="36">
        <v>2.8716984926305398</v>
      </c>
      <c r="AZ65" s="36">
        <v>3.84658808264264</v>
      </c>
      <c r="BA65" s="36">
        <v>0.65076146406350699</v>
      </c>
      <c r="BB65" s="36">
        <v>3.2580965380214799</v>
      </c>
      <c r="BC65" s="36">
        <v>0.117783035656383</v>
      </c>
      <c r="BD65" s="36">
        <v>0</v>
      </c>
      <c r="BE65" s="36">
        <v>0</v>
      </c>
      <c r="BF65" s="36">
        <v>4.1141943331175199E-2</v>
      </c>
      <c r="BG65" s="36">
        <v>0.188966099512623</v>
      </c>
      <c r="BH65" s="36">
        <v>0</v>
      </c>
      <c r="BI65" s="36">
        <v>0</v>
      </c>
      <c r="BJ65" s="36">
        <v>0</v>
      </c>
      <c r="BK65" s="36">
        <v>0</v>
      </c>
      <c r="BL65" s="36">
        <v>0</v>
      </c>
      <c r="BM65" s="36">
        <v>0</v>
      </c>
      <c r="BN65" s="36">
        <v>0.55961578793542299</v>
      </c>
      <c r="BO65" s="36">
        <v>0.22314355131420999</v>
      </c>
      <c r="BP65" s="36">
        <v>0.55961578793542299</v>
      </c>
      <c r="BQ65" s="36">
        <v>1.0116009116784801</v>
      </c>
      <c r="BR65" s="36">
        <v>0</v>
      </c>
      <c r="BS65" s="36">
        <v>0.60595396885756803</v>
      </c>
      <c r="BT65" s="36">
        <v>2.2335565065836098</v>
      </c>
      <c r="BU65" s="36">
        <v>4.1510399058986502</v>
      </c>
      <c r="BV65" s="36">
        <v>3.4067486117004799</v>
      </c>
      <c r="BW65" s="36">
        <v>3.9070104636046001</v>
      </c>
      <c r="BX65" s="36">
        <v>0.405465108108164</v>
      </c>
      <c r="BY65" s="36">
        <v>4.5546029437503499</v>
      </c>
      <c r="BZ65" s="36">
        <v>2.19031185051126</v>
      </c>
      <c r="CA65" s="36">
        <v>1.9360041029358499</v>
      </c>
      <c r="CB65" s="36">
        <v>2.4877760923305701</v>
      </c>
      <c r="CC65" s="36">
        <v>1.49251657435969</v>
      </c>
      <c r="CD65" s="36">
        <v>2.8651521866819301</v>
      </c>
      <c r="CE65" s="36">
        <v>4.1507683512357403</v>
      </c>
      <c r="CF65" s="36">
        <v>2.01260152359546</v>
      </c>
      <c r="CH65" t="str">
        <f t="shared" si="0"/>
        <v>/*77*/ 000  1 3.10009228887823 2.23108909128898 2.53449014997683 6.49828214947643 6.02344759296103 6.27287700654617 7.38087903556412 0.139761942375159 1.25647037328369 1.47017584510059 1.2947271675944 1.34495139758551 0.662172376260515 0.273075920062419 0.330022912941306 0.195566783543975 0.272314595320659 0.123102197133983 0.336472236621213 0.482426149244293 0.322083499169113 0.482426149244293 2.30985857696054 1.44125591919386 1.44125591919386 0 2.00848245273934 0 4.47843848014895 2.00848245273934 4.54910764205155 4.47843848014895 0.321358598811165 0.249201085633499 0.379121132768562 0.308954207727321 0.246078522596706 0.62057648772511 0.751416088683921 0.662687973075237 0.751416088683921 3.84658808264264 0.298622012490115 2.60268968544438 3.65065824129374 0 2.87169849263054 3.84658808264264 0.650761464063507 3.25809653802148 0.117783035656383 0 0 4.11419433311752E-02 0.188966099512623 0 0 0 0 0 0 0.559615787935423 0.22314355131421 0.559615787935423 1.01160091167848 0 0.605953968857568 2.23355650658361 4.15103990589865 3.40674861170048 3.9070104636046 0.405465108108164 4.55460294375035 2.19031185051126 1.93600410293585 2.48777609233057 1.49251657435969 2.86515218668193 4.15076835123574 2.01260152359546;</v>
      </c>
    </row>
    <row r="66" spans="1:86" x14ac:dyDescent="0.25">
      <c r="A66" s="2">
        <v>80</v>
      </c>
      <c r="B66" s="2">
        <v>0</v>
      </c>
      <c r="C66" s="2">
        <v>0</v>
      </c>
      <c r="D66" s="2">
        <v>0</v>
      </c>
      <c r="E66" s="36">
        <v>2.9601050959108401</v>
      </c>
      <c r="F66" s="36">
        <v>2.3055806019738401</v>
      </c>
      <c r="G66" s="36">
        <v>2.52972066557779</v>
      </c>
      <c r="H66" s="36">
        <v>6.3473892096560096</v>
      </c>
      <c r="I66" s="36">
        <v>6.5806391372849502</v>
      </c>
      <c r="J66" s="36">
        <v>5.9738096118692603</v>
      </c>
      <c r="K66" s="36">
        <v>7.4283331941908104</v>
      </c>
      <c r="L66" s="36">
        <v>0</v>
      </c>
      <c r="M66" s="36">
        <v>1.6170091779304201</v>
      </c>
      <c r="N66" s="36">
        <v>1.43817498299688</v>
      </c>
      <c r="O66" s="36">
        <v>1.3415584672784999</v>
      </c>
      <c r="P66" s="36">
        <v>1.4720132365224301</v>
      </c>
      <c r="Q66" s="36">
        <v>0.82680356537261901</v>
      </c>
      <c r="R66" s="36">
        <v>0.202124184090134</v>
      </c>
      <c r="S66" s="36">
        <v>0.20130685670503501</v>
      </c>
      <c r="T66" s="36">
        <v>0.17142911562753099</v>
      </c>
      <c r="U66" s="36">
        <v>0.19062035960865001</v>
      </c>
      <c r="V66" s="36">
        <v>0.131028262406404</v>
      </c>
      <c r="W66" s="36">
        <v>0.431782416425538</v>
      </c>
      <c r="X66" s="36">
        <v>0.405465108108164</v>
      </c>
      <c r="Y66" s="36">
        <v>0.33647223662121301</v>
      </c>
      <c r="Z66" s="36">
        <v>0.431782416425538</v>
      </c>
      <c r="AA66" s="36">
        <v>2.8314470792461299</v>
      </c>
      <c r="AB66" s="36">
        <v>0</v>
      </c>
      <c r="AC66" s="36">
        <v>3.5071477233384099</v>
      </c>
      <c r="AD66" s="36">
        <v>0</v>
      </c>
      <c r="AE66" s="36">
        <v>3.5071477233384099</v>
      </c>
      <c r="AF66" s="36">
        <v>1.3714344982128699</v>
      </c>
      <c r="AG66" s="36">
        <v>4.1851902455216798</v>
      </c>
      <c r="AH66" s="36">
        <v>0</v>
      </c>
      <c r="AI66" s="36">
        <v>4.2289774313319404</v>
      </c>
      <c r="AJ66" s="36">
        <v>4.1851902455216798</v>
      </c>
      <c r="AK66" s="36">
        <v>0.13889199886661899</v>
      </c>
      <c r="AL66" s="36">
        <v>8.3421608139072401E-2</v>
      </c>
      <c r="AM66" s="36">
        <v>0.12751332029896001</v>
      </c>
      <c r="AN66" s="36">
        <v>0.113328685307003</v>
      </c>
      <c r="AO66" s="36">
        <v>0.109750863959119</v>
      </c>
      <c r="AP66" s="36">
        <v>0.385262400790645</v>
      </c>
      <c r="AQ66" s="36">
        <v>0.2390169004705</v>
      </c>
      <c r="AR66" s="36">
        <v>0.231111720963387</v>
      </c>
      <c r="AS66" s="36">
        <v>0.385262400790645</v>
      </c>
      <c r="AT66" s="36">
        <v>2.8716984926305398</v>
      </c>
      <c r="AU66" s="36">
        <v>0.25619140536041002</v>
      </c>
      <c r="AV66" s="36">
        <v>4.1510399058986502</v>
      </c>
      <c r="AW66" s="36">
        <v>4.1510399058986502</v>
      </c>
      <c r="AX66" s="36">
        <v>3.6506582412937401</v>
      </c>
      <c r="AY66" s="36">
        <v>4.0103649484268296</v>
      </c>
      <c r="AZ66" s="36">
        <v>3.84658808264264</v>
      </c>
      <c r="BA66" s="36">
        <v>0.45932178089887499</v>
      </c>
      <c r="BB66" s="36">
        <v>2.8716984926305398</v>
      </c>
      <c r="BC66" s="36">
        <v>0.48550781578170099</v>
      </c>
      <c r="BD66" s="36">
        <v>0.55961578793542299</v>
      </c>
      <c r="BE66" s="36">
        <v>0.117783035656383</v>
      </c>
      <c r="BF66" s="36">
        <v>0.405465108108164</v>
      </c>
      <c r="BG66" s="36">
        <v>0.671923544108319</v>
      </c>
      <c r="BH66" s="36">
        <v>0.405465108108164</v>
      </c>
      <c r="BI66" s="36">
        <v>0.22314355131420999</v>
      </c>
      <c r="BJ66" s="36">
        <v>0.22314355131420999</v>
      </c>
      <c r="BK66" s="36">
        <v>0.28743204119657201</v>
      </c>
      <c r="BL66" s="36">
        <v>0.916290731874155</v>
      </c>
      <c r="BM66" s="36">
        <v>0.69314718055994495</v>
      </c>
      <c r="BN66" s="36">
        <v>0.69314718055994495</v>
      </c>
      <c r="BO66" s="36">
        <v>0.77334372255422201</v>
      </c>
      <c r="BP66" s="36">
        <v>0.916290731874155</v>
      </c>
      <c r="BQ66" s="36">
        <v>1.09861228866811</v>
      </c>
      <c r="BR66" s="36">
        <v>0.405465108108164</v>
      </c>
      <c r="BS66" s="36">
        <v>0.84715499303929298</v>
      </c>
      <c r="BT66" s="36">
        <v>3.6506582412937401</v>
      </c>
      <c r="BU66" s="36">
        <v>3.7534257877209898</v>
      </c>
      <c r="BV66" s="36">
        <v>3.0834225866809799</v>
      </c>
      <c r="BW66" s="36">
        <v>3.50531712788385</v>
      </c>
      <c r="BX66" s="36">
        <v>0.51102560376865702</v>
      </c>
      <c r="BY66" s="36">
        <v>2.3774142336146902</v>
      </c>
      <c r="BZ66" s="36">
        <v>2.2194208517332799</v>
      </c>
      <c r="CA66" s="36">
        <v>4.5133070582674399</v>
      </c>
      <c r="CB66" s="36">
        <v>0</v>
      </c>
      <c r="CC66" s="36">
        <v>4.4501253867551798</v>
      </c>
      <c r="CD66" s="36">
        <v>0.62570589955511002</v>
      </c>
      <c r="CE66" s="36">
        <v>2.7403724062219901</v>
      </c>
      <c r="CF66" s="36">
        <v>0</v>
      </c>
      <c r="CH66" t="str">
        <f t="shared" si="0"/>
        <v>/*80*/ 000  1 2.96010509591084 2.30558060197384 2.52972066557779 6.34738920965601 6.58063913728495 5.97380961186926 7.42833319419081 0 1.61700917793042 1.43817498299688 1.3415584672785 1.47201323652243 0.826803565372619 0.202124184090134 0.201306856705035 0.171429115627531 0.19062035960865 0.131028262406404 0.431782416425538 0.405465108108164 0.336472236621213 0.431782416425538 2.83144707924613 0 3.50714772333841 0 3.50714772333841 1.37143449821287 4.18519024552168 0 4.22897743133194 4.18519024552168 0.138891998866619 8.34216081390724E-02 0.12751332029896 0.113328685307003 0.109750863959119 0.385262400790645 0.2390169004705 0.231111720963387 0.385262400790645 2.87169849263054 0.25619140536041 4.15103990589865 4.15103990589865 3.65065824129374 4.01036494842683 3.84658808264264 0.459321780898875 2.87169849263054 0.485507815781701 0.559615787935423 0.117783035656383 0.405465108108164 0.671923544108319 0.405465108108164 0.22314355131421 0.22314355131421 0.287432041196572 0.916290731874155 0.693147180559945 0.693147180559945 0.773343722554222 0.916290731874155 1.09861228866811 0.405465108108164 0.847154993039293 3.65065824129374 3.75342578772099 3.08342258668098 3.50531712788385 0.511025603768657 2.37741423361469 2.21942085173328 4.51330705826744 0 4.45012538675518 0.62570589955511 2.74037240622199 0;</v>
      </c>
    </row>
    <row r="67" spans="1:86" x14ac:dyDescent="0.25">
      <c r="A67" s="2">
        <v>82</v>
      </c>
      <c r="B67" s="2">
        <v>0</v>
      </c>
      <c r="C67" s="2">
        <v>0</v>
      </c>
      <c r="D67" s="2">
        <v>0</v>
      </c>
      <c r="E67" s="36">
        <v>2.9391619220655998</v>
      </c>
      <c r="F67" s="36">
        <v>2.2202898502672199</v>
      </c>
      <c r="G67" s="36">
        <v>2.6290069937617599</v>
      </c>
      <c r="H67" s="36">
        <v>6.4473058625412101</v>
      </c>
      <c r="I67" s="36">
        <v>6.2461067654815601</v>
      </c>
      <c r="J67" s="36">
        <v>6.7080840838530698</v>
      </c>
      <c r="K67" s="36">
        <v>7.5827384889144103</v>
      </c>
      <c r="L67" s="36">
        <v>0.99768637007814898</v>
      </c>
      <c r="M67" s="36">
        <v>1.52887840457568</v>
      </c>
      <c r="N67" s="36">
        <v>1.6020103966053001</v>
      </c>
      <c r="O67" s="36">
        <v>1.59432427462405</v>
      </c>
      <c r="P67" s="36">
        <v>1.5754673928629499</v>
      </c>
      <c r="Q67" s="36">
        <v>0.71832747909024397</v>
      </c>
      <c r="R67" s="36">
        <v>0.36949244764934702</v>
      </c>
      <c r="S67" s="36">
        <v>0.19967019512856801</v>
      </c>
      <c r="T67" s="36">
        <v>0.20538682972495101</v>
      </c>
      <c r="U67" s="36">
        <v>0.26620304077465701</v>
      </c>
      <c r="V67" s="36">
        <v>0.202124184090134</v>
      </c>
      <c r="W67" s="36">
        <v>0.73236789371322697</v>
      </c>
      <c r="X67" s="36">
        <v>0.482426149244293</v>
      </c>
      <c r="Y67" s="36">
        <v>0.36464311358790902</v>
      </c>
      <c r="Z67" s="36">
        <v>0.73236789371322697</v>
      </c>
      <c r="AA67" s="36">
        <v>2.6070505334801699</v>
      </c>
      <c r="AB67" s="36">
        <v>0</v>
      </c>
      <c r="AC67" s="36">
        <v>1.71289662080233</v>
      </c>
      <c r="AD67" s="36">
        <v>1.18570699551904</v>
      </c>
      <c r="AE67" s="36">
        <v>2.0564287673707602</v>
      </c>
      <c r="AF67" s="36">
        <v>0</v>
      </c>
      <c r="AG67" s="36">
        <v>4.5452290805211204</v>
      </c>
      <c r="AH67" s="36">
        <v>0</v>
      </c>
      <c r="AI67" s="36">
        <v>4.5452290805211204</v>
      </c>
      <c r="AJ67" s="36">
        <v>4.5452290805211204</v>
      </c>
      <c r="AK67" s="36">
        <v>0.16381808522939501</v>
      </c>
      <c r="AL67" s="36">
        <v>0.26696903085423901</v>
      </c>
      <c r="AM67" s="36">
        <v>0.21107097007994</v>
      </c>
      <c r="AN67" s="36">
        <v>0.20863886511132801</v>
      </c>
      <c r="AO67" s="36">
        <v>0.20375683751401999</v>
      </c>
      <c r="AP67" s="36">
        <v>0.636576829071551</v>
      </c>
      <c r="AQ67" s="36">
        <v>0.57661336430399401</v>
      </c>
      <c r="AR67" s="36">
        <v>0.48858001481867103</v>
      </c>
      <c r="AS67" s="36">
        <v>0.636576829071551</v>
      </c>
      <c r="AT67" s="36">
        <v>3.7534257877209898</v>
      </c>
      <c r="AU67" s="36">
        <v>0.25619140536041002</v>
      </c>
      <c r="AV67" s="36">
        <v>4.1510399058986502</v>
      </c>
      <c r="AW67" s="36">
        <v>2.6026896854443802</v>
      </c>
      <c r="AX67" s="36">
        <v>2.6026896854443802</v>
      </c>
      <c r="AY67" s="36">
        <v>3.4067486117004799</v>
      </c>
      <c r="AZ67" s="36">
        <v>3.7534257877209898</v>
      </c>
      <c r="BA67" s="36">
        <v>0.69314718055994495</v>
      </c>
      <c r="BB67" s="36">
        <v>3.2580965380214799</v>
      </c>
      <c r="BC67" s="36">
        <v>0.22314355131420999</v>
      </c>
      <c r="BD67" s="36">
        <v>0</v>
      </c>
      <c r="BE67" s="36">
        <v>0</v>
      </c>
      <c r="BF67" s="36">
        <v>7.9734968018853505E-2</v>
      </c>
      <c r="BG67" s="36">
        <v>0.433080275141138</v>
      </c>
      <c r="BH67" s="36">
        <v>0.55961578793542299</v>
      </c>
      <c r="BI67" s="36">
        <v>0.22314355131420999</v>
      </c>
      <c r="BJ67" s="36">
        <v>0</v>
      </c>
      <c r="BK67" s="36">
        <v>0.28743204119657201</v>
      </c>
      <c r="BL67" s="36">
        <v>0</v>
      </c>
      <c r="BM67" s="36">
        <v>0.22314355131420999</v>
      </c>
      <c r="BN67" s="36">
        <v>0.69314718055994495</v>
      </c>
      <c r="BO67" s="36">
        <v>0.34854196070854299</v>
      </c>
      <c r="BP67" s="36">
        <v>1.09861228866811</v>
      </c>
      <c r="BQ67" s="36">
        <v>0.69314718055994495</v>
      </c>
      <c r="BR67" s="36">
        <v>0.55961578793542299</v>
      </c>
      <c r="BS67" s="36">
        <v>0.81093021621632899</v>
      </c>
      <c r="BT67" s="36">
        <v>4.0103649484268296</v>
      </c>
      <c r="BU67" s="36">
        <v>3.4067486117004799</v>
      </c>
      <c r="BV67" s="36">
        <v>2.8716984926305398</v>
      </c>
      <c r="BW67" s="36">
        <v>3.2532772515855299</v>
      </c>
      <c r="BX67" s="36">
        <v>0.188966099512623</v>
      </c>
      <c r="BY67" s="36">
        <v>3.5376495047976602</v>
      </c>
      <c r="BZ67" s="36">
        <v>2.5945081597030799</v>
      </c>
      <c r="CA67" s="36">
        <v>4.21381506219827</v>
      </c>
      <c r="CB67" s="36">
        <v>0</v>
      </c>
      <c r="CC67" s="36">
        <v>3.9589422616831702</v>
      </c>
      <c r="CD67" s="36">
        <v>0</v>
      </c>
      <c r="CE67" s="36">
        <v>3.80499963332388</v>
      </c>
      <c r="CF67" s="36">
        <v>1.7356999565514599</v>
      </c>
      <c r="CH67" t="str">
        <f t="shared" ref="CH67:CH89" si="1">CONCATENATE("/*",A67,"*/ ",B67,C67,D67," "," 1 ")&amp;ConcatRange(E67:CF67," ")&amp;";"</f>
        <v>/*82*/ 000  1 2.9391619220656 2.22028985026722 2.62900699376176 6.44730586254121 6.24610676548156 6.70808408385307 7.58273848891441 0.997686370078149 1.52887840457568 1.6020103966053 1.59432427462405 1.57546739286295 0.718327479090244 0.369492447649347 0.199670195128568 0.205386829724951 0.266203040774657 0.202124184090134 0.732367893713227 0.482426149244293 0.364643113587909 0.732367893713227 2.60705053348017 0 1.71289662080233 1.18570699551904 2.05642876737076 0 4.54522908052112 0 4.54522908052112 4.54522908052112 0.163818085229395 0.266969030854239 0.21107097007994 0.208638865111328 0.20375683751402 0.636576829071551 0.576613364303994 0.488580014818671 0.636576829071551 3.75342578772099 0.25619140536041 4.15103990589865 2.60268968544438 2.60268968544438 3.40674861170048 3.75342578772099 0.693147180559945 3.25809653802148 0.22314355131421 0 0 7.97349680188535E-02 0.433080275141138 0.559615787935423 0.22314355131421 0 0.287432041196572 0 0.22314355131421 0.693147180559945 0.348541960708543 1.09861228866811 0.693147180559945 0.559615787935423 0.810930216216329 4.01036494842683 3.40674861170048 2.87169849263054 3.25327725158553 0.188966099512623 3.53764950479766 2.59450815970308 4.21381506219827 0 3.95894226168317 0 3.80499963332388 1.73569995655146;</v>
      </c>
    </row>
    <row r="68" spans="1:86" x14ac:dyDescent="0.25">
      <c r="A68" s="2">
        <v>101</v>
      </c>
      <c r="B68" s="2">
        <v>0</v>
      </c>
      <c r="C68" s="2">
        <v>0</v>
      </c>
      <c r="D68" s="2">
        <v>0</v>
      </c>
      <c r="E68" s="36">
        <v>2.92852352386054</v>
      </c>
      <c r="F68" s="36">
        <v>2.1815467646169902</v>
      </c>
      <c r="G68" s="36">
        <v>2.6093342281630498</v>
      </c>
      <c r="H68" s="36">
        <v>5.4510384535657002</v>
      </c>
      <c r="I68" s="36">
        <v>5.6312117818213698</v>
      </c>
      <c r="J68" s="36">
        <v>5.9763509092979303</v>
      </c>
      <c r="K68" s="36">
        <v>6.8068293603921797</v>
      </c>
      <c r="L68" s="36">
        <v>0</v>
      </c>
      <c r="M68" s="36">
        <v>1.09861228866811</v>
      </c>
      <c r="N68" s="36">
        <v>1.1515209443235099</v>
      </c>
      <c r="O68" s="36">
        <v>1.1394342831883599</v>
      </c>
      <c r="P68" s="36">
        <v>1.13011095572748</v>
      </c>
      <c r="Q68" s="36">
        <v>0.453620149995211</v>
      </c>
      <c r="R68" s="36">
        <v>0.116893751471499</v>
      </c>
      <c r="S68" s="36">
        <v>0.200488860749404</v>
      </c>
      <c r="T68" s="36">
        <v>0.188137942115395</v>
      </c>
      <c r="U68" s="36">
        <v>0.17142911562753099</v>
      </c>
      <c r="V68" s="36">
        <v>0.10436001532424299</v>
      </c>
      <c r="W68" s="36">
        <v>0.21511137961694499</v>
      </c>
      <c r="X68" s="36">
        <v>0.322083499169113</v>
      </c>
      <c r="Y68" s="36">
        <v>0.350656871613169</v>
      </c>
      <c r="Z68" s="36">
        <v>0.350656871613169</v>
      </c>
      <c r="AA68" s="36">
        <v>2.5025828348009398</v>
      </c>
      <c r="AB68" s="36">
        <v>2.0664829405154399</v>
      </c>
      <c r="AC68" s="36">
        <v>1.4924545569482801</v>
      </c>
      <c r="AD68" s="36">
        <v>2.4287771182318001</v>
      </c>
      <c r="AE68" s="36">
        <v>3.0768513248387799</v>
      </c>
      <c r="AF68" s="36">
        <v>2.6941540959101</v>
      </c>
      <c r="AG68" s="36">
        <v>4.1974575540894499</v>
      </c>
      <c r="AH68" s="36">
        <v>0</v>
      </c>
      <c r="AI68" s="36">
        <v>4.3858941462003704</v>
      </c>
      <c r="AJ68" s="36">
        <v>4.1974575540894499</v>
      </c>
      <c r="AK68" s="36">
        <v>0.20538682972495101</v>
      </c>
      <c r="AL68" s="36">
        <v>0.10345870836823</v>
      </c>
      <c r="AM68" s="36">
        <v>0.13802129789737499</v>
      </c>
      <c r="AN68" s="36">
        <v>0.144965770250186</v>
      </c>
      <c r="AO68" s="36">
        <v>0.13453089295760601</v>
      </c>
      <c r="AP68" s="36">
        <v>0.36464311358790902</v>
      </c>
      <c r="AQ68" s="36">
        <v>0.41871033485818498</v>
      </c>
      <c r="AR68" s="36">
        <v>0.34358970439007702</v>
      </c>
      <c r="AS68" s="36">
        <v>0.41871033485818498</v>
      </c>
      <c r="AT68" s="36">
        <v>3.5361069907765299</v>
      </c>
      <c r="AU68" s="36">
        <v>0.28743204119657201</v>
      </c>
      <c r="AV68" s="36">
        <v>0</v>
      </c>
      <c r="AW68" s="36">
        <v>3.9318256327243302</v>
      </c>
      <c r="AX68" s="36">
        <v>3.9318256327243302</v>
      </c>
      <c r="AY68" s="36">
        <v>3.5361069907765299</v>
      </c>
      <c r="AZ68" s="36">
        <v>3.5361069907765299</v>
      </c>
      <c r="BA68" s="36">
        <v>0.94895151411370304</v>
      </c>
      <c r="BB68" s="36">
        <v>4.0831656436306698</v>
      </c>
      <c r="BC68" s="36">
        <v>0</v>
      </c>
      <c r="BD68" s="36">
        <v>0</v>
      </c>
      <c r="BE68" s="36">
        <v>0</v>
      </c>
      <c r="BF68" s="36">
        <v>0</v>
      </c>
      <c r="BG68" s="36">
        <v>0.15443635330441899</v>
      </c>
      <c r="BH68" s="36">
        <v>0</v>
      </c>
      <c r="BI68" s="36">
        <v>0</v>
      </c>
      <c r="BJ68" s="36">
        <v>0.22314355131420999</v>
      </c>
      <c r="BK68" s="36">
        <v>7.9734968018853505E-2</v>
      </c>
      <c r="BL68" s="36">
        <v>0</v>
      </c>
      <c r="BM68" s="36">
        <v>0</v>
      </c>
      <c r="BN68" s="36">
        <v>0.22314355131420999</v>
      </c>
      <c r="BO68" s="36">
        <v>7.9734968018853505E-2</v>
      </c>
      <c r="BP68" s="36">
        <v>0</v>
      </c>
      <c r="BQ68" s="36">
        <v>0.69314718055994495</v>
      </c>
      <c r="BR68" s="36">
        <v>0.81093021621632899</v>
      </c>
      <c r="BS68" s="36">
        <v>0.55961578793542299</v>
      </c>
      <c r="BT68" s="36">
        <v>2.6026896854443802</v>
      </c>
      <c r="BU68" s="36">
        <v>4.1510399058986502</v>
      </c>
      <c r="BV68" s="36">
        <v>3.2580965380214799</v>
      </c>
      <c r="BW68" s="36">
        <v>3.6342912638295299</v>
      </c>
      <c r="BX68" s="36">
        <v>0.87171168847618796</v>
      </c>
      <c r="BY68" s="36">
        <v>4.5971178527972603</v>
      </c>
      <c r="BZ68" s="36">
        <v>0.96088161520202997</v>
      </c>
      <c r="CA68" s="36">
        <v>1.0303334479148201</v>
      </c>
      <c r="CB68" s="36">
        <v>1.45784805353757</v>
      </c>
      <c r="CC68" s="36">
        <v>0</v>
      </c>
      <c r="CD68" s="36">
        <v>2.08355395323703</v>
      </c>
      <c r="CE68" s="36">
        <v>2.5547538572260402</v>
      </c>
      <c r="CF68" s="36">
        <v>4.3669408873378304</v>
      </c>
      <c r="CH68" t="str">
        <f t="shared" si="1"/>
        <v>/*101*/ 000  1 2.92852352386054 2.18154676461699 2.60933422816305 5.4510384535657 5.63121178182137 5.97635090929793 6.80682936039218 0 1.09861228866811 1.15152094432351 1.13943428318836 1.13011095572748 0.453620149995211 0.116893751471499 0.200488860749404 0.188137942115395 0.171429115627531 0.104360015324243 0.215111379616945 0.322083499169113 0.350656871613169 0.350656871613169 2.50258283480094 2.06648294051544 1.49245455694828 2.4287771182318 3.07685132483878 2.6941540959101 4.19745755408945 0 4.38589414620037 4.19745755408945 0.205386829724951 0.10345870836823 0.138021297897375 0.144965770250186 0.134530892957606 0.364643113587909 0.418710334858185 0.343589704390077 0.418710334858185 3.53610699077653 0.287432041196572 0 3.93182563272433 3.93182563272433 3.53610699077653 3.53610699077653 0.948951514113703 4.08316564363067 0 0 0 0 0.154436353304419 0 0 0.22314355131421 7.97349680188535E-02 0 0 0.22314355131421 7.97349680188535E-02 0 0.693147180559945 0.810930216216329 0.559615787935423 2.60268968544438 4.15103990589865 3.25809653802148 3.63429126382953 0.871711688476188 4.59711785279726 0.96088161520203 1.03033344791482 1.45784805353757 0 2.08355395323703 2.55475385722604 4.36694088733783;</v>
      </c>
    </row>
    <row r="69" spans="1:86" x14ac:dyDescent="0.25">
      <c r="A69" s="2">
        <v>103</v>
      </c>
      <c r="B69" s="2">
        <v>1</v>
      </c>
      <c r="C69" s="2">
        <v>1</v>
      </c>
      <c r="D69" s="2">
        <v>1</v>
      </c>
      <c r="E69" s="36">
        <v>2.8094026953625</v>
      </c>
      <c r="F69" s="36">
        <v>2.2104698040862401</v>
      </c>
      <c r="G69" s="36">
        <v>2.4756977107026898</v>
      </c>
      <c r="H69" s="36">
        <v>6.7322107064672103</v>
      </c>
      <c r="I69" s="36">
        <v>6.4329400927391802</v>
      </c>
      <c r="J69" s="36">
        <v>5.9348941956195898</v>
      </c>
      <c r="K69" s="36">
        <v>7.5158890852151297</v>
      </c>
      <c r="L69" s="36">
        <v>0.151002873536527</v>
      </c>
      <c r="M69" s="36">
        <v>1.2455944790167599</v>
      </c>
      <c r="N69" s="36">
        <v>1.2878542883066399</v>
      </c>
      <c r="O69" s="36">
        <v>1.3150668518315201</v>
      </c>
      <c r="P69" s="36">
        <v>1.28315360220038</v>
      </c>
      <c r="Q69" s="36">
        <v>0.60212778217277696</v>
      </c>
      <c r="R69" s="36">
        <v>0.131028262406404</v>
      </c>
      <c r="S69" s="36">
        <v>0.19062035960865001</v>
      </c>
      <c r="T69" s="36">
        <v>0.116003675756306</v>
      </c>
      <c r="U69" s="36">
        <v>0.14669437915080299</v>
      </c>
      <c r="V69" s="36">
        <v>0.109750863959119</v>
      </c>
      <c r="W69" s="36">
        <v>0.24686007793152601</v>
      </c>
      <c r="X69" s="36">
        <v>0.41871033485818498</v>
      </c>
      <c r="Y69" s="36">
        <v>0.231111720963387</v>
      </c>
      <c r="Z69" s="36">
        <v>0.41871033485818498</v>
      </c>
      <c r="AA69" s="36">
        <v>2.8640277825565601</v>
      </c>
      <c r="AB69" s="36">
        <v>0</v>
      </c>
      <c r="AC69" s="36">
        <v>1.8803806608815801</v>
      </c>
      <c r="AD69" s="36">
        <v>2.2335565065836098</v>
      </c>
      <c r="AE69" s="36">
        <v>2.7006226852734101</v>
      </c>
      <c r="AF69" s="36">
        <v>1.8803806608815801</v>
      </c>
      <c r="AG69" s="36">
        <v>4.4012899008547297</v>
      </c>
      <c r="AH69" s="36">
        <v>0</v>
      </c>
      <c r="AI69" s="36">
        <v>4.4671831675031699</v>
      </c>
      <c r="AJ69" s="36">
        <v>4.4012899008547297</v>
      </c>
      <c r="AK69" s="36">
        <v>0.25309062768216201</v>
      </c>
      <c r="AL69" s="36">
        <v>0.20945022418220699</v>
      </c>
      <c r="AM69" s="36">
        <v>0.15357908792830099</v>
      </c>
      <c r="AN69" s="36">
        <v>0.20620083058389799</v>
      </c>
      <c r="AO69" s="36">
        <v>0.20782684720231701</v>
      </c>
      <c r="AP69" s="36">
        <v>0.71294980785612505</v>
      </c>
      <c r="AQ69" s="36">
        <v>0.41871033485818498</v>
      </c>
      <c r="AR69" s="36">
        <v>0.42526773540434398</v>
      </c>
      <c r="AS69" s="36">
        <v>0.71294980785612505</v>
      </c>
      <c r="AT69" s="36">
        <v>3.5361069907765299</v>
      </c>
      <c r="AU69" s="36">
        <v>0.36116484921158398</v>
      </c>
      <c r="AV69" s="36">
        <v>3.2580965380214799</v>
      </c>
      <c r="AW69" s="36">
        <v>3.6506582412937401</v>
      </c>
      <c r="AX69" s="36">
        <v>0</v>
      </c>
      <c r="AY69" s="36">
        <v>3.0834225866809799</v>
      </c>
      <c r="AZ69" s="36">
        <v>3.7534257877209898</v>
      </c>
      <c r="BA69" s="36">
        <v>0.69314718055994495</v>
      </c>
      <c r="BB69" s="36">
        <v>3.2580965380214799</v>
      </c>
      <c r="BC69" s="36">
        <v>0.31845373111853498</v>
      </c>
      <c r="BD69" s="36">
        <v>0.55961578793542299</v>
      </c>
      <c r="BE69" s="36">
        <v>0</v>
      </c>
      <c r="BF69" s="36">
        <v>0.31845373111853498</v>
      </c>
      <c r="BG69" s="36">
        <v>0.69314718055994495</v>
      </c>
      <c r="BH69" s="36">
        <v>0.22314355131420999</v>
      </c>
      <c r="BI69" s="36">
        <v>0.55961578793542299</v>
      </c>
      <c r="BJ69" s="36">
        <v>0</v>
      </c>
      <c r="BK69" s="36">
        <v>0.28743204119657201</v>
      </c>
      <c r="BL69" s="36">
        <v>0.405465108108164</v>
      </c>
      <c r="BM69" s="36">
        <v>0.55961578793542299</v>
      </c>
      <c r="BN69" s="36">
        <v>0.22314355131420999</v>
      </c>
      <c r="BO69" s="36">
        <v>0.405465108108164</v>
      </c>
      <c r="BP69" s="36">
        <v>0.405465108108164</v>
      </c>
      <c r="BQ69" s="36">
        <v>0.81093021621632899</v>
      </c>
      <c r="BR69" s="36">
        <v>0.22314355131420999</v>
      </c>
      <c r="BS69" s="36">
        <v>0.51102560376865702</v>
      </c>
      <c r="BT69" s="36">
        <v>3.7534257877209898</v>
      </c>
      <c r="BU69" s="36">
        <v>3.84658808264264</v>
      </c>
      <c r="BV69" s="36">
        <v>2.6026896854443802</v>
      </c>
      <c r="BW69" s="36">
        <v>3.2896324733190001</v>
      </c>
      <c r="BX69" s="36">
        <v>0.405465108108164</v>
      </c>
      <c r="BY69" s="36">
        <v>3.2450112984728299</v>
      </c>
      <c r="BZ69" s="36">
        <v>2.6896825437440302</v>
      </c>
      <c r="CA69" s="36">
        <v>4.3351708483886204</v>
      </c>
      <c r="CB69" s="36">
        <v>0</v>
      </c>
      <c r="CC69" s="36">
        <v>4.44087626754082</v>
      </c>
      <c r="CD69" s="36">
        <v>2.0792732906514302</v>
      </c>
      <c r="CE69" s="36">
        <v>2.1285200703396598</v>
      </c>
      <c r="CF69" s="36">
        <v>0.79358307324281996</v>
      </c>
      <c r="CH69" t="str">
        <f t="shared" si="1"/>
        <v>/*103*/ 111  1 2.8094026953625 2.21046980408624 2.47569771070269 6.73221070646721 6.43294009273918 5.93489419561959 7.51588908521513 0.151002873536527 1.24559447901676 1.28785428830664 1.31506685183152 1.28315360220038 0.602127782172777 0.131028262406404 0.19062035960865 0.116003675756306 0.146694379150803 0.109750863959119 0.246860077931526 0.418710334858185 0.231111720963387 0.418710334858185 2.86402778255656 0 1.88038066088158 2.23355650658361 2.70062268527341 1.88038066088158 4.40128990085473 0 4.46718316750317 4.40128990085473 0.253090627682162 0.209450224182207 0.153579087928301 0.206200830583898 0.207826847202317 0.712949807856125 0.418710334858185 0.425267735404344 0.712949807856125 3.53610699077653 0.361164849211584 3.25809653802148 3.65065824129374 0 3.08342258668098 3.75342578772099 0.693147180559945 3.25809653802148 0.318453731118535 0.559615787935423 0 0.318453731118535 0.693147180559945 0.22314355131421 0.559615787935423 0 0.287432041196572 0.405465108108164 0.559615787935423 0.22314355131421 0.405465108108164 0.405465108108164 0.810930216216329 0.22314355131421 0.511025603768657 3.75342578772099 3.84658808264264 2.60268968544438 3.289632473319 0.405465108108164 3.24501129847283 2.68968254374403 4.33517084838862 0 4.44087626754082 2.07927329065143 2.12852007033966 0.79358307324282;</v>
      </c>
    </row>
    <row r="70" spans="1:86" x14ac:dyDescent="0.25">
      <c r="A70" s="2">
        <v>105</v>
      </c>
      <c r="B70" s="2">
        <v>0</v>
      </c>
      <c r="C70" s="2">
        <v>0</v>
      </c>
      <c r="D70" s="2">
        <v>0</v>
      </c>
      <c r="E70" s="36">
        <v>2.6173958328340801</v>
      </c>
      <c r="F70" s="36">
        <v>2.22354188565359</v>
      </c>
      <c r="G70" s="36">
        <v>2.5862591440482898</v>
      </c>
      <c r="H70" s="36">
        <v>6.4645883036899603</v>
      </c>
      <c r="I70" s="36">
        <v>6.0473721790462802</v>
      </c>
      <c r="J70" s="36">
        <v>5.3612921657094299</v>
      </c>
      <c r="K70" s="36">
        <v>7.1514854639047396</v>
      </c>
      <c r="L70" s="36">
        <v>0</v>
      </c>
      <c r="M70" s="36">
        <v>1.29828248379668</v>
      </c>
      <c r="N70" s="36">
        <v>1.21283343275813</v>
      </c>
      <c r="O70" s="36">
        <v>1.28093384546206</v>
      </c>
      <c r="P70" s="36">
        <v>1.2646915393606399</v>
      </c>
      <c r="Q70" s="36">
        <v>0.51760260804501401</v>
      </c>
      <c r="R70" s="36">
        <v>0.111541374732907</v>
      </c>
      <c r="S70" s="36">
        <v>0.131028262406404</v>
      </c>
      <c r="T70" s="36">
        <v>9.8033740271365397E-2</v>
      </c>
      <c r="U70" s="36">
        <v>0.113328685307003</v>
      </c>
      <c r="V70" s="36">
        <v>5.7325066619269401E-2</v>
      </c>
      <c r="W70" s="36">
        <v>0.231111720963387</v>
      </c>
      <c r="X70" s="36">
        <v>0.262364264467491</v>
      </c>
      <c r="Y70" s="36">
        <v>0.198850858745165</v>
      </c>
      <c r="Z70" s="36">
        <v>0.262364264467491</v>
      </c>
      <c r="AA70" s="36">
        <v>3.1014877112198498</v>
      </c>
      <c r="AB70" s="36">
        <v>0</v>
      </c>
      <c r="AC70" s="36">
        <v>0</v>
      </c>
      <c r="AD70" s="36">
        <v>0</v>
      </c>
      <c r="AE70" s="36">
        <v>0</v>
      </c>
      <c r="AF70" s="36">
        <v>0</v>
      </c>
      <c r="AG70" s="36">
        <v>4.6151205168412597</v>
      </c>
      <c r="AH70" s="36">
        <v>0</v>
      </c>
      <c r="AI70" s="36">
        <v>4.6151205168412597</v>
      </c>
      <c r="AJ70" s="36">
        <v>4.6151205168412597</v>
      </c>
      <c r="AK70" s="36">
        <v>0.30895420772732102</v>
      </c>
      <c r="AL70" s="36">
        <v>0.24059046491793001</v>
      </c>
      <c r="AM70" s="36">
        <v>0.24216155714997201</v>
      </c>
      <c r="AN70" s="36">
        <v>0.26466929814270801</v>
      </c>
      <c r="AO70" s="36">
        <v>0.17730901497040999</v>
      </c>
      <c r="AP70" s="36">
        <v>0.53062825106217004</v>
      </c>
      <c r="AQ70" s="36">
        <v>0.55961578793542299</v>
      </c>
      <c r="AR70" s="36">
        <v>0.41871033485818498</v>
      </c>
      <c r="AS70" s="36">
        <v>0.55961578793542299</v>
      </c>
      <c r="AT70" s="36">
        <v>4.2145986164699201</v>
      </c>
      <c r="AU70" s="36">
        <v>0.28743204119657201</v>
      </c>
      <c r="AV70" s="36">
        <v>0</v>
      </c>
      <c r="AW70" s="36">
        <v>0</v>
      </c>
      <c r="AX70" s="36">
        <v>0</v>
      </c>
      <c r="AY70" s="36">
        <v>0</v>
      </c>
      <c r="AZ70" s="36">
        <v>4.2145986164699201</v>
      </c>
      <c r="BA70" s="36">
        <v>0.77334372255422201</v>
      </c>
      <c r="BB70" s="36">
        <v>2.8716984926305398</v>
      </c>
      <c r="BC70" s="36">
        <v>0.117783035656383</v>
      </c>
      <c r="BD70" s="36">
        <v>0</v>
      </c>
      <c r="BE70" s="36">
        <v>0</v>
      </c>
      <c r="BF70" s="36">
        <v>4.1141943331175199E-2</v>
      </c>
      <c r="BG70" s="36">
        <v>4.1141943331175199E-2</v>
      </c>
      <c r="BH70" s="36">
        <v>0</v>
      </c>
      <c r="BI70" s="36">
        <v>0.22314355131420999</v>
      </c>
      <c r="BJ70" s="36">
        <v>0</v>
      </c>
      <c r="BK70" s="36">
        <v>7.9734968018853505E-2</v>
      </c>
      <c r="BL70" s="36">
        <v>0</v>
      </c>
      <c r="BM70" s="36">
        <v>0</v>
      </c>
      <c r="BN70" s="36">
        <v>0.69314718055994495</v>
      </c>
      <c r="BO70" s="36">
        <v>0.28743204119657201</v>
      </c>
      <c r="BP70" s="36">
        <v>0</v>
      </c>
      <c r="BQ70" s="36">
        <v>0.69314718055994495</v>
      </c>
      <c r="BR70" s="36">
        <v>0</v>
      </c>
      <c r="BS70" s="36">
        <v>0.28743204119657201</v>
      </c>
      <c r="BT70" s="36">
        <v>3.5361069907765299</v>
      </c>
      <c r="BU70" s="36">
        <v>4.0831656436306698</v>
      </c>
      <c r="BV70" s="36">
        <v>2.2335565065836098</v>
      </c>
      <c r="BW70" s="36">
        <v>3.2500643663242199</v>
      </c>
      <c r="BX70" s="36">
        <v>0</v>
      </c>
      <c r="BY70" s="36">
        <v>3.1987547468719799</v>
      </c>
      <c r="BZ70" s="36">
        <v>2.3331142980288702</v>
      </c>
      <c r="CA70" s="36">
        <v>4.3502521295746996</v>
      </c>
      <c r="CB70" s="36">
        <v>0.78196851280023905</v>
      </c>
      <c r="CC70" s="36">
        <v>3.4352614145925999</v>
      </c>
      <c r="CD70" s="36">
        <v>1.96381773441423</v>
      </c>
      <c r="CE70" s="36">
        <v>3.6970475849203401</v>
      </c>
      <c r="CF70" s="36">
        <v>3.1707810711648499</v>
      </c>
      <c r="CH70" t="str">
        <f t="shared" si="1"/>
        <v>/*105*/ 000  1 2.61739583283408 2.22354188565359 2.58625914404829 6.46458830368996 6.04737217904628 5.36129216570943 7.15148546390474 0 1.29828248379668 1.21283343275813 1.28093384546206 1.26469153936064 0.517602608045014 0.111541374732907 0.131028262406404 9.80337402713654E-02 0.113328685307003 5.73250666192694E-02 0.231111720963387 0.262364264467491 0.198850858745165 0.262364264467491 3.10148771121985 0 0 0 0 0 4.61512051684126 0 4.61512051684126 4.61512051684126 0.308954207727321 0.24059046491793 0.242161557149972 0.264669298142708 0.17730901497041 0.53062825106217 0.559615787935423 0.418710334858185 0.559615787935423 4.21459861646992 0.287432041196572 0 0 0 0 4.21459861646992 0.773343722554222 2.87169849263054 0.117783035656383 0 0 4.11419433311752E-02 4.11419433311752E-02 0 0.22314355131421 0 7.97349680188535E-02 0 0 0.693147180559945 0.287432041196572 0 0.693147180559945 0 0.287432041196572 3.53610699077653 4.08316564363067 2.23355650658361 3.25006436632422 0 3.19875474687198 2.33311429802887 4.3502521295747 0.781968512800239 3.4352614145926 1.96381773441423 3.69704758492034 3.17078107116485;</v>
      </c>
    </row>
    <row r="71" spans="1:86" x14ac:dyDescent="0.25">
      <c r="A71" s="2">
        <v>113</v>
      </c>
      <c r="B71" s="2">
        <v>0</v>
      </c>
      <c r="C71" s="2">
        <v>0</v>
      </c>
      <c r="D71" s="2">
        <v>0</v>
      </c>
      <c r="E71" s="36">
        <v>3.0252910757955398</v>
      </c>
      <c r="F71" s="36">
        <v>2.2782924004249998</v>
      </c>
      <c r="G71" s="36">
        <v>2.44060639089142</v>
      </c>
      <c r="H71" s="36">
        <v>5.1059454739005803</v>
      </c>
      <c r="I71" s="36">
        <v>4.6249728132842698</v>
      </c>
      <c r="J71" s="36">
        <v>5.0039463059454601</v>
      </c>
      <c r="K71" s="36">
        <v>6.0258659738253098</v>
      </c>
      <c r="L71" s="36">
        <v>0</v>
      </c>
      <c r="M71" s="36">
        <v>0.782987884559735</v>
      </c>
      <c r="N71" s="36">
        <v>0.87045619553035603</v>
      </c>
      <c r="O71" s="36">
        <v>0.88087078664289498</v>
      </c>
      <c r="P71" s="36">
        <v>0.84543899090220398</v>
      </c>
      <c r="Q71" s="36">
        <v>0.195566783543975</v>
      </c>
      <c r="R71" s="36">
        <v>0.12663265093336601</v>
      </c>
      <c r="S71" s="36">
        <v>0.109750863959119</v>
      </c>
      <c r="T71" s="36">
        <v>0.20782684720231701</v>
      </c>
      <c r="U71" s="36">
        <v>0.147557564357615</v>
      </c>
      <c r="V71" s="36">
        <v>0.123985979780991</v>
      </c>
      <c r="W71" s="36">
        <v>0.16551443847757299</v>
      </c>
      <c r="X71" s="36">
        <v>0.16551443847757299</v>
      </c>
      <c r="Y71" s="36">
        <v>0.57097954658573802</v>
      </c>
      <c r="Z71" s="36">
        <v>0.57097954658573802</v>
      </c>
      <c r="AA71" s="36">
        <v>2.2375130962503298</v>
      </c>
      <c r="AB71" s="36">
        <v>0</v>
      </c>
      <c r="AC71" s="36">
        <v>3.2188758248682001</v>
      </c>
      <c r="AD71" s="36">
        <v>0</v>
      </c>
      <c r="AE71" s="36">
        <v>3.2188758248682001</v>
      </c>
      <c r="AF71" s="36">
        <v>3.0445224377234199</v>
      </c>
      <c r="AG71" s="36">
        <v>4.0430512678345503</v>
      </c>
      <c r="AH71" s="36">
        <v>0</v>
      </c>
      <c r="AI71" s="36">
        <v>4.3438054218536797</v>
      </c>
      <c r="AJ71" s="36">
        <v>4.0430512678345503</v>
      </c>
      <c r="AK71" s="36">
        <v>0.29936357722561902</v>
      </c>
      <c r="AL71" s="36">
        <v>0.26082461828189801</v>
      </c>
      <c r="AM71" s="36">
        <v>0.27002713721305999</v>
      </c>
      <c r="AN71" s="36">
        <v>0.27611543608031602</v>
      </c>
      <c r="AO71" s="36">
        <v>0.12044615307586699</v>
      </c>
      <c r="AP71" s="36">
        <v>0.350656871613169</v>
      </c>
      <c r="AQ71" s="36">
        <v>0.55961578793542299</v>
      </c>
      <c r="AR71" s="36">
        <v>0.350656871613169</v>
      </c>
      <c r="AS71" s="36">
        <v>0.55961578793542299</v>
      </c>
      <c r="AT71" s="36">
        <v>3.2580965380214799</v>
      </c>
      <c r="AU71" s="36">
        <v>0.55961578793542299</v>
      </c>
      <c r="AV71" s="36">
        <v>0</v>
      </c>
      <c r="AW71" s="36">
        <v>0</v>
      </c>
      <c r="AX71" s="36">
        <v>0</v>
      </c>
      <c r="AY71" s="36">
        <v>0</v>
      </c>
      <c r="AZ71" s="36">
        <v>4.3307333402863302</v>
      </c>
      <c r="BA71" s="36">
        <v>0.60595396885756803</v>
      </c>
      <c r="BB71" s="36">
        <v>2.8716984926305398</v>
      </c>
      <c r="BC71" s="36">
        <v>0.117783035656383</v>
      </c>
      <c r="BD71" s="36">
        <v>0.75377180237637997</v>
      </c>
      <c r="BE71" s="36">
        <v>0.55961578793542299</v>
      </c>
      <c r="BF71" s="36">
        <v>0.51102560376865702</v>
      </c>
      <c r="BG71" s="36">
        <v>0.84715499303929298</v>
      </c>
      <c r="BH71" s="36">
        <v>0</v>
      </c>
      <c r="BI71" s="36">
        <v>0</v>
      </c>
      <c r="BJ71" s="36">
        <v>0</v>
      </c>
      <c r="BK71" s="36">
        <v>0</v>
      </c>
      <c r="BL71" s="36">
        <v>0</v>
      </c>
      <c r="BM71" s="36">
        <v>0</v>
      </c>
      <c r="BN71" s="36">
        <v>0</v>
      </c>
      <c r="BO71" s="36">
        <v>0</v>
      </c>
      <c r="BP71" s="36">
        <v>0</v>
      </c>
      <c r="BQ71" s="36">
        <v>0</v>
      </c>
      <c r="BR71" s="36">
        <v>0.22314355131420999</v>
      </c>
      <c r="BS71" s="36">
        <v>7.9734968018853505E-2</v>
      </c>
      <c r="BT71" s="36">
        <v>1.64229224930505</v>
      </c>
      <c r="BU71" s="36">
        <v>4.0831656436306698</v>
      </c>
      <c r="BV71" s="36">
        <v>3.6506582412937401</v>
      </c>
      <c r="BW71" s="36">
        <v>3.8331529432703602</v>
      </c>
      <c r="BX71" s="36">
        <v>0.98095424519987695</v>
      </c>
      <c r="BY71" s="36">
        <v>1.0303334479148201</v>
      </c>
      <c r="BZ71" s="36">
        <v>1.19664602893948</v>
      </c>
      <c r="CA71" s="36">
        <v>4.5971178527972603</v>
      </c>
      <c r="CB71" s="36">
        <v>0</v>
      </c>
      <c r="CC71" s="36">
        <v>1.2602536400902</v>
      </c>
      <c r="CD71" s="36">
        <v>1.99003495400742</v>
      </c>
      <c r="CE71" s="36">
        <v>2.97176308346795</v>
      </c>
      <c r="CF71" s="36">
        <v>4.2990739955347799</v>
      </c>
      <c r="CH71" t="str">
        <f t="shared" si="1"/>
        <v>/*113*/ 000  1 3.02529107579554 2.278292400425 2.44060639089142 5.10594547390058 4.62497281328427 5.00394630594546 6.02586597382531 0 0.782987884559735 0.870456195530356 0.880870786642895 0.845438990902204 0.195566783543975 0.126632650933366 0.109750863959119 0.207826847202317 0.147557564357615 0.123985979780991 0.165514438477573 0.165514438477573 0.570979546585738 0.570979546585738 2.23751309625033 0 3.2188758248682 0 3.2188758248682 3.04452243772342 4.04305126783455 0 4.34380542185368 4.04305126783455 0.299363577225619 0.260824618281898 0.27002713721306 0.276115436080316 0.120446153075867 0.350656871613169 0.559615787935423 0.350656871613169 0.559615787935423 3.25809653802148 0.559615787935423 0 0 0 0 4.33073334028633 0.605953968857568 2.87169849263054 0.117783035656383 0.75377180237638 0.559615787935423 0.511025603768657 0.847154993039293 0 0 0 0 0 0 0 0 0 0 0.22314355131421 7.97349680188535E-02 1.64229224930505 4.08316564363067 3.65065824129374 3.83315294327036 0.980954245199877 1.03033344791482 1.19664602893948 4.59711785279726 0 1.2602536400902 1.99003495400742 2.97176308346795 4.29907399553478;</v>
      </c>
    </row>
    <row r="72" spans="1:86" x14ac:dyDescent="0.25">
      <c r="A72" s="2">
        <v>119</v>
      </c>
      <c r="B72" s="2">
        <v>0</v>
      </c>
      <c r="C72" s="2">
        <v>0</v>
      </c>
      <c r="D72" s="2">
        <v>0</v>
      </c>
      <c r="E72" s="36">
        <v>2.99573227355399</v>
      </c>
      <c r="F72" s="36">
        <v>2.2224590485147599</v>
      </c>
      <c r="G72" s="36">
        <v>2.6511270537025902</v>
      </c>
      <c r="H72" s="36">
        <v>6.6846117276679298</v>
      </c>
      <c r="I72" s="36">
        <v>6.3080984415095296</v>
      </c>
      <c r="J72" s="36">
        <v>6.1964441277945204</v>
      </c>
      <c r="K72" s="36">
        <v>7.5164333029156296</v>
      </c>
      <c r="L72" s="36">
        <v>0</v>
      </c>
      <c r="M72" s="36">
        <v>1.2914340800959301</v>
      </c>
      <c r="N72" s="36">
        <v>1.4731598941414701</v>
      </c>
      <c r="O72" s="36">
        <v>1.3578948865981899</v>
      </c>
      <c r="P72" s="36">
        <v>1.3770013142083</v>
      </c>
      <c r="Q72" s="36">
        <v>0.870874868343673</v>
      </c>
      <c r="R72" s="36">
        <v>0.35346981298978403</v>
      </c>
      <c r="S72" s="36">
        <v>0.28065745751481702</v>
      </c>
      <c r="T72" s="36">
        <v>0.279145741429495</v>
      </c>
      <c r="U72" s="36">
        <v>0.303801454331664</v>
      </c>
      <c r="V72" s="36">
        <v>0.108854404912082</v>
      </c>
      <c r="W72" s="36">
        <v>0.44468582126144601</v>
      </c>
      <c r="X72" s="36">
        <v>0.405465108108164</v>
      </c>
      <c r="Y72" s="36">
        <v>0.431782416425538</v>
      </c>
      <c r="Z72" s="36">
        <v>0.44468582126144601</v>
      </c>
      <c r="AA72" s="36">
        <v>2.2340920965487499</v>
      </c>
      <c r="AB72" s="36">
        <v>0</v>
      </c>
      <c r="AC72" s="36">
        <v>4.2040506223101604</v>
      </c>
      <c r="AD72" s="36">
        <v>3.2783515516633099</v>
      </c>
      <c r="AE72" s="36">
        <v>4.5270897185280496</v>
      </c>
      <c r="AF72" s="36">
        <v>1.1403938226830601</v>
      </c>
      <c r="AG72" s="36">
        <v>1.99918006007703</v>
      </c>
      <c r="AH72" s="36">
        <v>0</v>
      </c>
      <c r="AI72" s="36">
        <v>2.2524490235002501</v>
      </c>
      <c r="AJ72" s="36">
        <v>4.2040506223101604</v>
      </c>
      <c r="AK72" s="36">
        <v>0.156148682489931</v>
      </c>
      <c r="AL72" s="36">
        <v>0.19638881400538999</v>
      </c>
      <c r="AM72" s="36">
        <v>0.16126814759612201</v>
      </c>
      <c r="AN72" s="36">
        <v>0.17142911562753099</v>
      </c>
      <c r="AO72" s="36">
        <v>0.10436001532424299</v>
      </c>
      <c r="AP72" s="36">
        <v>0.32930374714260002</v>
      </c>
      <c r="AQ72" s="36">
        <v>0.33647223662121301</v>
      </c>
      <c r="AR72" s="36">
        <v>0.35767444427181599</v>
      </c>
      <c r="AS72" s="36">
        <v>0.35767444427181599</v>
      </c>
      <c r="AT72" s="36">
        <v>2.2335565065836098</v>
      </c>
      <c r="AU72" s="36">
        <v>0.53532309536637801</v>
      </c>
      <c r="AV72" s="36">
        <v>0</v>
      </c>
      <c r="AW72" s="36">
        <v>3.6506582412937401</v>
      </c>
      <c r="AX72" s="36">
        <v>3.2580965380214799</v>
      </c>
      <c r="AY72" s="36">
        <v>3.0834225866809799</v>
      </c>
      <c r="AZ72" s="36">
        <v>4.2743439804936996</v>
      </c>
      <c r="BA72" s="36">
        <v>0.28743204119657201</v>
      </c>
      <c r="BB72" s="36">
        <v>2.2335565065836098</v>
      </c>
      <c r="BC72" s="36">
        <v>0</v>
      </c>
      <c r="BD72" s="36">
        <v>0</v>
      </c>
      <c r="BE72" s="36">
        <v>0.22314355131420999</v>
      </c>
      <c r="BF72" s="36">
        <v>7.9734968018853505E-2</v>
      </c>
      <c r="BG72" s="36">
        <v>7.9734968018853505E-2</v>
      </c>
      <c r="BH72" s="36">
        <v>1.0116009116784801</v>
      </c>
      <c r="BI72" s="36">
        <v>1.0116009116784801</v>
      </c>
      <c r="BJ72" s="36">
        <v>0.916290731874155</v>
      </c>
      <c r="BK72" s="36">
        <v>0.98095424519987695</v>
      </c>
      <c r="BL72" s="36">
        <v>0.22314355131420999</v>
      </c>
      <c r="BM72" s="36">
        <v>0</v>
      </c>
      <c r="BN72" s="36">
        <v>0</v>
      </c>
      <c r="BO72" s="36">
        <v>7.9734968018853505E-2</v>
      </c>
      <c r="BP72" s="36">
        <v>0.55961578793542299</v>
      </c>
      <c r="BQ72" s="36">
        <v>1.0116009116784801</v>
      </c>
      <c r="BR72" s="36">
        <v>0.916290731874155</v>
      </c>
      <c r="BS72" s="36">
        <v>0.84715499303929298</v>
      </c>
      <c r="BT72" s="36">
        <v>0</v>
      </c>
      <c r="BU72" s="36">
        <v>4.6151205168412597</v>
      </c>
      <c r="BV72" s="36">
        <v>0</v>
      </c>
      <c r="BW72" s="36">
        <v>3.5892800888911802</v>
      </c>
      <c r="BX72" s="36">
        <v>0.60595396885756803</v>
      </c>
      <c r="BY72" s="36">
        <v>4.6121457997245203</v>
      </c>
      <c r="BZ72" s="36">
        <v>0.38185524246903102</v>
      </c>
      <c r="CA72" s="36">
        <v>0.262364264467491</v>
      </c>
      <c r="CB72" s="36">
        <v>1.8269856538067299</v>
      </c>
      <c r="CC72" s="36">
        <v>3.20268284172881</v>
      </c>
      <c r="CD72" s="36">
        <v>2.0515127661613599</v>
      </c>
      <c r="CE72" s="36">
        <v>3.5635837511909099</v>
      </c>
      <c r="CF72" s="36">
        <v>3.2693160828836598</v>
      </c>
      <c r="CH72" t="str">
        <f t="shared" si="1"/>
        <v>/*119*/ 000  1 2.99573227355399 2.22245904851476 2.65112705370259 6.68461172766793 6.30809844150953 6.19644412779452 7.51643330291563 0 1.29143408009593 1.47315989414147 1.35789488659819 1.3770013142083 0.870874868343673 0.353469812989784 0.280657457514817 0.279145741429495 0.303801454331664 0.108854404912082 0.444685821261446 0.405465108108164 0.431782416425538 0.444685821261446 2.23409209654875 0 4.20405062231016 3.27835155166331 4.52708971852805 1.14039382268306 1.99918006007703 0 2.25244902350025 4.20405062231016 0.156148682489931 0.19638881400539 0.161268147596122 0.171429115627531 0.104360015324243 0.3293037471426 0.336472236621213 0.357674444271816 0.357674444271816 2.23355650658361 0.535323095366378 0 3.65065824129374 3.25809653802148 3.08342258668098 4.2743439804937 0.287432041196572 2.23355650658361 0 0 0.22314355131421 7.97349680188535E-02 7.97349680188535E-02 1.01160091167848 1.01160091167848 0.916290731874155 0.980954245199877 0.22314355131421 0 0 7.97349680188535E-02 0.559615787935423 1.01160091167848 0.916290731874155 0.847154993039293 0 4.61512051684126 0 3.58928008889118 0.605953968857568 4.61214579972452 0.381855242469031 0.262364264467491 1.82698565380673 3.20268284172881 2.05151276616136 3.56358375119091 3.26931608288366;</v>
      </c>
    </row>
    <row r="73" spans="1:86" x14ac:dyDescent="0.25">
      <c r="A73" s="2">
        <v>120</v>
      </c>
      <c r="B73" s="2">
        <v>0</v>
      </c>
      <c r="C73" s="2">
        <v>0</v>
      </c>
      <c r="D73" s="2">
        <v>0</v>
      </c>
      <c r="E73" s="36">
        <v>2.7212954278522301</v>
      </c>
      <c r="F73" s="36">
        <v>2.1882959465919201</v>
      </c>
      <c r="G73" s="36">
        <v>2.5257286443082601</v>
      </c>
      <c r="H73" s="36">
        <v>7.1631723908466398</v>
      </c>
      <c r="I73" s="36">
        <v>6.8926416411720899</v>
      </c>
      <c r="J73" s="36">
        <v>6.7522703761417402</v>
      </c>
      <c r="K73" s="36">
        <v>8.0487882835342006</v>
      </c>
      <c r="L73" s="36">
        <v>0.61193712513440202</v>
      </c>
      <c r="M73" s="36">
        <v>1.85629799036563</v>
      </c>
      <c r="N73" s="36">
        <v>1.63666389868769</v>
      </c>
      <c r="O73" s="36">
        <v>1.6094379124341001</v>
      </c>
      <c r="P73" s="36">
        <v>1.7071089396075501</v>
      </c>
      <c r="Q73" s="36">
        <v>0.85356390196584997</v>
      </c>
      <c r="R73" s="36">
        <v>0.23428129572466599</v>
      </c>
      <c r="S73" s="36">
        <v>0.22234323114344101</v>
      </c>
      <c r="T73" s="36">
        <v>0.17479329037316299</v>
      </c>
      <c r="U73" s="36">
        <v>0.210260925483196</v>
      </c>
      <c r="V73" s="36">
        <v>0.12575120530556</v>
      </c>
      <c r="W73" s="36">
        <v>0.45742484703887498</v>
      </c>
      <c r="X73" s="36">
        <v>0.36464311358790902</v>
      </c>
      <c r="Y73" s="36">
        <v>0.431782416425538</v>
      </c>
      <c r="Z73" s="36">
        <v>0.45742484703887498</v>
      </c>
      <c r="AA73" s="36">
        <v>3.0094872387863298</v>
      </c>
      <c r="AB73" s="36">
        <v>1.18570699551904</v>
      </c>
      <c r="AC73" s="36">
        <v>2.9539723393057602</v>
      </c>
      <c r="AD73" s="36">
        <v>3.4192010061017299</v>
      </c>
      <c r="AE73" s="36">
        <v>3.9318256327243302</v>
      </c>
      <c r="AF73" s="36">
        <v>1.18570699551904</v>
      </c>
      <c r="AG73" s="36">
        <v>3.8862332912418398</v>
      </c>
      <c r="AH73" s="36">
        <v>0</v>
      </c>
      <c r="AI73" s="36">
        <v>3.9318256327243302</v>
      </c>
      <c r="AJ73" s="36">
        <v>3.8862332912418398</v>
      </c>
      <c r="AK73" s="36">
        <v>0.111541374732907</v>
      </c>
      <c r="AL73" s="36">
        <v>0.21107097007994</v>
      </c>
      <c r="AM73" s="36">
        <v>0.21591750622247</v>
      </c>
      <c r="AN73" s="36">
        <v>0.184818436992542</v>
      </c>
      <c r="AO73" s="36">
        <v>0.17563256864315799</v>
      </c>
      <c r="AP73" s="36">
        <v>0.24686007793152601</v>
      </c>
      <c r="AQ73" s="36">
        <v>0.52472852893498201</v>
      </c>
      <c r="AR73" s="36">
        <v>0.50681760236845197</v>
      </c>
      <c r="AS73" s="36">
        <v>0.52472852893498201</v>
      </c>
      <c r="AT73" s="36">
        <v>3.2580965380214799</v>
      </c>
      <c r="AU73" s="36">
        <v>0.405465108108164</v>
      </c>
      <c r="AV73" s="36">
        <v>3.2580965380214799</v>
      </c>
      <c r="AW73" s="36">
        <v>3.2580965380214799</v>
      </c>
      <c r="AX73" s="36">
        <v>3.2580965380214799</v>
      </c>
      <c r="AY73" s="36">
        <v>3.2580965380214799</v>
      </c>
      <c r="AZ73" s="36">
        <v>3.9318256327243302</v>
      </c>
      <c r="BA73" s="36">
        <v>0.81093021621632899</v>
      </c>
      <c r="BB73" s="36">
        <v>3.7534257877209898</v>
      </c>
      <c r="BC73" s="36">
        <v>0.81093021621632899</v>
      </c>
      <c r="BD73" s="36">
        <v>0.55961578793542299</v>
      </c>
      <c r="BE73" s="36">
        <v>0.22314355131420999</v>
      </c>
      <c r="BF73" s="36">
        <v>0.55961578793542299</v>
      </c>
      <c r="BG73" s="36">
        <v>0.81093021621632899</v>
      </c>
      <c r="BH73" s="36">
        <v>0.405465108108164</v>
      </c>
      <c r="BI73" s="36">
        <v>0.81093021621632899</v>
      </c>
      <c r="BJ73" s="36">
        <v>0.22314355131420999</v>
      </c>
      <c r="BK73" s="36">
        <v>0.51102560376865702</v>
      </c>
      <c r="BL73" s="36">
        <v>0</v>
      </c>
      <c r="BM73" s="36">
        <v>0.22314355131420999</v>
      </c>
      <c r="BN73" s="36">
        <v>0.22314355131420999</v>
      </c>
      <c r="BO73" s="36">
        <v>0.15443635330441899</v>
      </c>
      <c r="BP73" s="36">
        <v>1.0116009116784801</v>
      </c>
      <c r="BQ73" s="36">
        <v>0.81093021621632899</v>
      </c>
      <c r="BR73" s="36">
        <v>0.69314718055994495</v>
      </c>
      <c r="BS73" s="36">
        <v>0.84715499303929298</v>
      </c>
      <c r="BT73" s="36">
        <v>3.2580965380214799</v>
      </c>
      <c r="BU73" s="36">
        <v>4.3307333402863302</v>
      </c>
      <c r="BV73" s="36">
        <v>0</v>
      </c>
      <c r="BW73" s="36">
        <v>3.4605034875595599</v>
      </c>
      <c r="BX73" s="36">
        <v>0.79208712841484896</v>
      </c>
      <c r="BY73" s="36">
        <v>3.6259929010587499</v>
      </c>
      <c r="BZ73" s="36">
        <v>2.8176815836106801</v>
      </c>
      <c r="CA73" s="36">
        <v>4.16570352120391</v>
      </c>
      <c r="CB73" s="36">
        <v>3.30972118710116</v>
      </c>
      <c r="CC73" s="36">
        <v>3.8341058214611099</v>
      </c>
      <c r="CD73" s="36">
        <v>1.27512044534867</v>
      </c>
      <c r="CE73" s="36">
        <v>2.9775730783731702</v>
      </c>
      <c r="CF73" s="36">
        <v>2.0981689526576801</v>
      </c>
      <c r="CH73" t="str">
        <f t="shared" si="1"/>
        <v>/*120*/ 000  1 2.72129542785223 2.18829594659192 2.52572864430826 7.16317239084664 6.89264164117209 6.75227037614174 8.0487882835342 0.611937125134402 1.85629799036563 1.63666389868769 1.6094379124341 1.70710893960755 0.85356390196585 0.234281295724666 0.222343231143441 0.174793290373163 0.210260925483196 0.12575120530556 0.457424847038875 0.364643113587909 0.431782416425538 0.457424847038875 3.00948723878633 1.18570699551904 2.95397233930576 3.41920100610173 3.93182563272433 1.18570699551904 3.88623329124184 0 3.93182563272433 3.88623329124184 0.111541374732907 0.21107097007994 0.21591750622247 0.184818436992542 0.175632568643158 0.246860077931526 0.524728528934982 0.506817602368452 0.524728528934982 3.25809653802148 0.405465108108164 3.25809653802148 3.25809653802148 3.25809653802148 3.25809653802148 3.93182563272433 0.810930216216329 3.75342578772099 0.810930216216329 0.559615787935423 0.22314355131421 0.559615787935423 0.810930216216329 0.405465108108164 0.810930216216329 0.22314355131421 0.511025603768657 0 0.22314355131421 0.22314355131421 0.154436353304419 1.01160091167848 0.810930216216329 0.693147180559945 0.847154993039293 3.25809653802148 4.33073334028633 0 3.46050348755956 0.792087128414849 3.62599290105875 2.81768158361068 4.16570352120391 3.30972118710116 3.83410582146111 1.27512044534867 2.97757307837317 2.09816895265768;</v>
      </c>
    </row>
    <row r="74" spans="1:86" x14ac:dyDescent="0.25">
      <c r="A74" s="2">
        <v>129</v>
      </c>
      <c r="B74" s="2">
        <v>0</v>
      </c>
      <c r="C74" s="2">
        <v>0</v>
      </c>
      <c r="D74" s="2">
        <v>0</v>
      </c>
      <c r="E74" s="36">
        <v>2.8848007128467099</v>
      </c>
      <c r="F74" s="36">
        <v>2.15059873599616</v>
      </c>
      <c r="G74" s="36">
        <v>2.4203681286504302</v>
      </c>
      <c r="H74" s="36">
        <v>6.0799331950955899</v>
      </c>
      <c r="I74" s="36">
        <v>6.0112671744041597</v>
      </c>
      <c r="J74" s="36">
        <v>5.8550719222024297</v>
      </c>
      <c r="K74" s="36">
        <v>7.0833878476252998</v>
      </c>
      <c r="L74" s="36">
        <v>0</v>
      </c>
      <c r="M74" s="36">
        <v>0.85441532815606802</v>
      </c>
      <c r="N74" s="36">
        <v>0.85441532815606802</v>
      </c>
      <c r="O74" s="36">
        <v>0.68056839835308502</v>
      </c>
      <c r="P74" s="36">
        <v>0.79975691561820395</v>
      </c>
      <c r="Q74" s="36">
        <v>0.34783599527152798</v>
      </c>
      <c r="R74" s="36">
        <v>0.31481073984003399</v>
      </c>
      <c r="S74" s="36">
        <v>0.32353172534547803</v>
      </c>
      <c r="T74" s="36">
        <v>0.34003730278570898</v>
      </c>
      <c r="U74" s="36">
        <v>0.32642190076771199</v>
      </c>
      <c r="V74" s="36">
        <v>0.107957141505092</v>
      </c>
      <c r="W74" s="36">
        <v>0.47000362924573602</v>
      </c>
      <c r="X74" s="36">
        <v>0.41871033485818498</v>
      </c>
      <c r="Y74" s="36">
        <v>0.41871033485818498</v>
      </c>
      <c r="Z74" s="36">
        <v>0.47000362924573602</v>
      </c>
      <c r="AA74" s="36">
        <v>1.4295932855150399</v>
      </c>
      <c r="AB74" s="36">
        <v>0</v>
      </c>
      <c r="AC74" s="36">
        <v>1.6094379124341001</v>
      </c>
      <c r="AD74" s="36">
        <v>1.6094379124341001</v>
      </c>
      <c r="AE74" s="36">
        <v>2.19722457733622</v>
      </c>
      <c r="AF74" s="36">
        <v>1.6094379124341001</v>
      </c>
      <c r="AG74" s="36">
        <v>4.4886363697321396</v>
      </c>
      <c r="AH74" s="36">
        <v>0</v>
      </c>
      <c r="AI74" s="36">
        <v>4.5325994931532598</v>
      </c>
      <c r="AJ74" s="36">
        <v>4.4886363697321396</v>
      </c>
      <c r="AK74" s="36">
        <v>0.28593053941297503</v>
      </c>
      <c r="AL74" s="36">
        <v>0.33861280112032399</v>
      </c>
      <c r="AM74" s="36">
        <v>0.34074879338847303</v>
      </c>
      <c r="AN74" s="36">
        <v>0.32353172534547803</v>
      </c>
      <c r="AO74" s="36">
        <v>0.19309662996191301</v>
      </c>
      <c r="AP74" s="36">
        <v>0.62057648772510998</v>
      </c>
      <c r="AQ74" s="36">
        <v>0.67294447324242601</v>
      </c>
      <c r="AR74" s="36">
        <v>0.54232429082536204</v>
      </c>
      <c r="AS74" s="36">
        <v>0.67294447324242601</v>
      </c>
      <c r="AT74" s="36">
        <v>2.2335565065836098</v>
      </c>
      <c r="AU74" s="36">
        <v>0.60595396885756803</v>
      </c>
      <c r="AV74" s="36">
        <v>2.6026896854443802</v>
      </c>
      <c r="AW74" s="36">
        <v>2.6026896854443802</v>
      </c>
      <c r="AX74" s="36">
        <v>0</v>
      </c>
      <c r="AY74" s="36">
        <v>2.2335565065836098</v>
      </c>
      <c r="AZ74" s="36">
        <v>4.43477324748243</v>
      </c>
      <c r="BA74" s="36">
        <v>0.55961578793542299</v>
      </c>
      <c r="BB74" s="36">
        <v>2.8716984926305398</v>
      </c>
      <c r="BC74" s="36">
        <v>0</v>
      </c>
      <c r="BD74" s="36">
        <v>0</v>
      </c>
      <c r="BE74" s="36">
        <v>0.117783035656383</v>
      </c>
      <c r="BF74" s="36">
        <v>4.1141943331175199E-2</v>
      </c>
      <c r="BG74" s="36">
        <v>0.188966099512623</v>
      </c>
      <c r="BH74" s="36">
        <v>1.0116009116784801</v>
      </c>
      <c r="BI74" s="36">
        <v>1.0116009116784801</v>
      </c>
      <c r="BJ74" s="36">
        <v>1.0116009116784801</v>
      </c>
      <c r="BK74" s="36">
        <v>1.0116009116784801</v>
      </c>
      <c r="BL74" s="36">
        <v>0</v>
      </c>
      <c r="BM74" s="36">
        <v>0</v>
      </c>
      <c r="BN74" s="36">
        <v>0</v>
      </c>
      <c r="BO74" s="36">
        <v>0</v>
      </c>
      <c r="BP74" s="36">
        <v>0.69314718055994495</v>
      </c>
      <c r="BQ74" s="36">
        <v>0</v>
      </c>
      <c r="BR74" s="36">
        <v>0.22314355131420999</v>
      </c>
      <c r="BS74" s="36">
        <v>0.34854196070854299</v>
      </c>
      <c r="BT74" s="36">
        <v>0</v>
      </c>
      <c r="BU74" s="36">
        <v>3.6506582412937401</v>
      </c>
      <c r="BV74" s="36">
        <v>4.1510399058986502</v>
      </c>
      <c r="BW74" s="36">
        <v>4.0364505838031999</v>
      </c>
      <c r="BX74" s="36">
        <v>4.1141943331175199E-2</v>
      </c>
      <c r="BY74" s="36">
        <v>4.4427571332381204</v>
      </c>
      <c r="BZ74" s="36">
        <v>2.5289235352047701</v>
      </c>
      <c r="CA74" s="36">
        <v>2.8326837921036199</v>
      </c>
      <c r="CB74" s="36">
        <v>0</v>
      </c>
      <c r="CC74" s="36">
        <v>0</v>
      </c>
      <c r="CD74" s="36">
        <v>1.7098806955024899</v>
      </c>
      <c r="CE74" s="36">
        <v>3.7043255838261802</v>
      </c>
      <c r="CF74" s="36">
        <v>4.0403996255118004</v>
      </c>
      <c r="CH74" t="str">
        <f t="shared" si="1"/>
        <v>/*129*/ 000  1 2.88480071284671 2.15059873599616 2.42036812865043 6.07993319509559 6.01126717440416 5.85507192220243 7.0833878476253 0 0.854415328156068 0.854415328156068 0.680568398353085 0.799756915618204 0.347835995271528 0.314810739840034 0.323531725345478 0.340037302785709 0.326421900767712 0.107957141505092 0.470003629245736 0.418710334858185 0.418710334858185 0.470003629245736 1.42959328551504 0 1.6094379124341 1.6094379124341 2.19722457733622 1.6094379124341 4.48863636973214 0 4.53259949315326 4.48863636973214 0.285930539412975 0.338612801120324 0.340748793388473 0.323531725345478 0.193096629961913 0.62057648772511 0.672944473242426 0.542324290825362 0.672944473242426 2.23355650658361 0.605953968857568 2.60268968544438 2.60268968544438 0 2.23355650658361 4.43477324748243 0.559615787935423 2.87169849263054 0 0 0.117783035656383 4.11419433311752E-02 0.188966099512623 1.01160091167848 1.01160091167848 1.01160091167848 1.01160091167848 0 0 0 0 0.693147180559945 0 0.22314355131421 0.348541960708543 0 3.65065824129374 4.15103990589865 4.0364505838032 4.11419433311752E-02 4.44275713323812 2.52892353520477 2.83268379210362 0 0 1.70988069550249 3.70432558382618 4.0403996255118;</v>
      </c>
    </row>
    <row r="75" spans="1:86" x14ac:dyDescent="0.25">
      <c r="A75" s="2">
        <v>150</v>
      </c>
      <c r="B75" s="2">
        <v>0</v>
      </c>
      <c r="C75" s="2">
        <v>0</v>
      </c>
      <c r="D75" s="2">
        <v>0</v>
      </c>
      <c r="E75" s="36">
        <v>2.8959119382717802</v>
      </c>
      <c r="F75" s="36">
        <v>2.1365305086639599</v>
      </c>
      <c r="G75" s="36">
        <v>2.4336133554004502</v>
      </c>
      <c r="H75" s="36">
        <v>5.6733232671714902</v>
      </c>
      <c r="I75" s="36">
        <v>5.3890717298165001</v>
      </c>
      <c r="J75" s="36">
        <v>5.0814043649844596</v>
      </c>
      <c r="K75" s="36">
        <v>6.5057840601282297</v>
      </c>
      <c r="L75" s="36">
        <v>0</v>
      </c>
      <c r="M75" s="36">
        <v>1.0024684281152101</v>
      </c>
      <c r="N75" s="36">
        <v>1.2014696741078199</v>
      </c>
      <c r="O75" s="36">
        <v>0.88087078664289498</v>
      </c>
      <c r="P75" s="36">
        <v>1.0370914320198601</v>
      </c>
      <c r="Q75" s="36">
        <v>0.73188700887587599</v>
      </c>
      <c r="R75" s="36">
        <v>0.15871169115482101</v>
      </c>
      <c r="S75" s="36">
        <v>0.107059072293408</v>
      </c>
      <c r="T75" s="36">
        <v>0.16381808522939501</v>
      </c>
      <c r="U75" s="36">
        <v>0.14410034397375701</v>
      </c>
      <c r="V75" s="36">
        <v>8.4341148433750998E-2</v>
      </c>
      <c r="W75" s="36">
        <v>0.36464311358790902</v>
      </c>
      <c r="X75" s="36">
        <v>0.16551443847757299</v>
      </c>
      <c r="Y75" s="36">
        <v>0.24686007793152601</v>
      </c>
      <c r="Z75" s="36">
        <v>0.36464311358790902</v>
      </c>
      <c r="AA75" s="36">
        <v>2.54647200544616</v>
      </c>
      <c r="AB75" s="36">
        <v>0</v>
      </c>
      <c r="AC75" s="36">
        <v>2.5649493574615398</v>
      </c>
      <c r="AD75" s="36">
        <v>2.19722457733622</v>
      </c>
      <c r="AE75" s="36">
        <v>3.0445224377234199</v>
      </c>
      <c r="AF75" s="36">
        <v>2.8332133440562202</v>
      </c>
      <c r="AG75" s="36">
        <v>4.1743872698956404</v>
      </c>
      <c r="AH75" s="36">
        <v>0</v>
      </c>
      <c r="AI75" s="36">
        <v>4.39444915467244</v>
      </c>
      <c r="AJ75" s="36">
        <v>4.1743872698956404</v>
      </c>
      <c r="AK75" s="36">
        <v>0.17058630057553401</v>
      </c>
      <c r="AL75" s="36">
        <v>0.18979357163265601</v>
      </c>
      <c r="AM75" s="36">
        <v>0.14669437915080299</v>
      </c>
      <c r="AN75" s="36">
        <v>0.16889853646181399</v>
      </c>
      <c r="AO75" s="36">
        <v>0.12663265093336601</v>
      </c>
      <c r="AP75" s="36">
        <v>0.29266961396281999</v>
      </c>
      <c r="AQ75" s="36">
        <v>0.37156355643248301</v>
      </c>
      <c r="AR75" s="36">
        <v>0.36464311358790902</v>
      </c>
      <c r="AS75" s="36">
        <v>0.37156355643248301</v>
      </c>
      <c r="AT75" s="36">
        <v>3.7534257877209898</v>
      </c>
      <c r="AU75" s="36">
        <v>0.34854196070854299</v>
      </c>
      <c r="AV75" s="36">
        <v>0</v>
      </c>
      <c r="AW75" s="36">
        <v>3.2580965380214799</v>
      </c>
      <c r="AX75" s="36">
        <v>3.2580965380214799</v>
      </c>
      <c r="AY75" s="36">
        <v>2.8716984926305398</v>
      </c>
      <c r="AZ75" s="36">
        <v>3.7534257877209898</v>
      </c>
      <c r="BA75" s="36">
        <v>0.94895151411370304</v>
      </c>
      <c r="BB75" s="36">
        <v>4.0831656436306698</v>
      </c>
      <c r="BC75" s="36">
        <v>0</v>
      </c>
      <c r="BD75" s="36">
        <v>0</v>
      </c>
      <c r="BE75" s="36">
        <v>0</v>
      </c>
      <c r="BF75" s="36">
        <v>0</v>
      </c>
      <c r="BG75" s="36">
        <v>4.1141943331175199E-2</v>
      </c>
      <c r="BH75" s="36">
        <v>0</v>
      </c>
      <c r="BI75" s="36">
        <v>0</v>
      </c>
      <c r="BJ75" s="36">
        <v>0.22314355131420999</v>
      </c>
      <c r="BK75" s="36">
        <v>7.9734968018853505E-2</v>
      </c>
      <c r="BL75" s="36">
        <v>0.69314718055994495</v>
      </c>
      <c r="BM75" s="36">
        <v>0.916290731874155</v>
      </c>
      <c r="BN75" s="36">
        <v>0.55961578793542299</v>
      </c>
      <c r="BO75" s="36">
        <v>0.73380916227883497</v>
      </c>
      <c r="BP75" s="36">
        <v>0.22314355131420999</v>
      </c>
      <c r="BQ75" s="36">
        <v>0</v>
      </c>
      <c r="BR75" s="36">
        <v>0.81093021621632899</v>
      </c>
      <c r="BS75" s="36">
        <v>0.405465108108164</v>
      </c>
      <c r="BT75" s="36">
        <v>4.0831656436306698</v>
      </c>
      <c r="BU75" s="36">
        <v>3.5361069907765299</v>
      </c>
      <c r="BV75" s="36">
        <v>2.2335565065836098</v>
      </c>
      <c r="BW75" s="36">
        <v>3.1209101222822202</v>
      </c>
      <c r="BX75" s="36">
        <v>0.45932178089887499</v>
      </c>
      <c r="BY75" s="36">
        <v>4.1578513012555396</v>
      </c>
      <c r="BZ75" s="36">
        <v>2.8885923979960899</v>
      </c>
      <c r="CA75" s="36">
        <v>3.6393214952655901</v>
      </c>
      <c r="CB75" s="36">
        <v>0</v>
      </c>
      <c r="CC75" s="36">
        <v>4.0206413665199499</v>
      </c>
      <c r="CD75" s="36">
        <v>1.21444410430261</v>
      </c>
      <c r="CE75" s="36">
        <v>3.32654945257844</v>
      </c>
      <c r="CF75" s="36">
        <v>2.8363045366876198</v>
      </c>
      <c r="CH75" t="str">
        <f t="shared" si="1"/>
        <v>/*150*/ 000  1 2.89591193827178 2.13653050866396 2.43361335540045 5.67332326717149 5.3890717298165 5.08140436498446 6.50578406012823 0 1.00246842811521 1.20146967410782 0.880870786642895 1.03709143201986 0.731887008875876 0.158711691154821 0.107059072293408 0.163818085229395 0.144100343973757 0.084341148433751 0.364643113587909 0.165514438477573 0.246860077931526 0.364643113587909 2.54647200544616 0 2.56494935746154 2.19722457733622 3.04452243772342 2.83321334405622 4.17438726989564 0 4.39444915467244 4.17438726989564 0.170586300575534 0.189793571632656 0.146694379150803 0.168898536461814 0.126632650933366 0.29266961396282 0.371563556432483 0.364643113587909 0.371563556432483 3.75342578772099 0.348541960708543 0 3.25809653802148 3.25809653802148 2.87169849263054 3.75342578772099 0.948951514113703 4.08316564363067 0 0 0 0 4.11419433311752E-02 0 0 0.22314355131421 7.97349680188535E-02 0.693147180559945 0.916290731874155 0.559615787935423 0.733809162278835 0.22314355131421 0 0.810930216216329 0.405465108108164 4.08316564363067 3.53610699077653 2.23355650658361 3.12091012228222 0.459321780898875 4.15785130125554 2.88859239799609 3.63932149526559 0 4.02064136651995 1.21444410430261 3.32654945257844 2.83630453668762;</v>
      </c>
    </row>
    <row r="76" spans="1:86" x14ac:dyDescent="0.25">
      <c r="A76" s="2">
        <v>161</v>
      </c>
      <c r="B76" s="2">
        <v>0</v>
      </c>
      <c r="C76" s="2">
        <v>0</v>
      </c>
      <c r="D76" s="2">
        <v>0</v>
      </c>
      <c r="E76" s="36">
        <v>2.8332133440562202</v>
      </c>
      <c r="F76" s="36">
        <v>2.2213750375685</v>
      </c>
      <c r="G76" s="36">
        <v>2.49485698064117</v>
      </c>
      <c r="H76" s="36">
        <v>6.7310181004820802</v>
      </c>
      <c r="I76" s="36">
        <v>7.2145044141511399</v>
      </c>
      <c r="J76" s="36">
        <v>6.4892049313253199</v>
      </c>
      <c r="K76" s="36">
        <v>7.9561263512135003</v>
      </c>
      <c r="L76" s="36">
        <v>0.155292884406035</v>
      </c>
      <c r="M76" s="36">
        <v>1.2947271675944001</v>
      </c>
      <c r="N76" s="36">
        <v>1.5892352051165799</v>
      </c>
      <c r="O76" s="36">
        <v>1.4350845252893201</v>
      </c>
      <c r="P76" s="36">
        <v>1.44691898293633</v>
      </c>
      <c r="Q76" s="36">
        <v>0.77103371921701602</v>
      </c>
      <c r="R76" s="36">
        <v>0.20945022418220699</v>
      </c>
      <c r="S76" s="36">
        <v>0.24920108563349899</v>
      </c>
      <c r="T76" s="36">
        <v>0.213497174262404</v>
      </c>
      <c r="U76" s="36">
        <v>0.224742272677907</v>
      </c>
      <c r="V76" s="36">
        <v>0.133656384812674</v>
      </c>
      <c r="W76" s="36">
        <v>0.43825493093115497</v>
      </c>
      <c r="X76" s="36">
        <v>0.52472852893498201</v>
      </c>
      <c r="Y76" s="36">
        <v>0.41871033485818498</v>
      </c>
      <c r="Z76" s="36">
        <v>0.52472852893498201</v>
      </c>
      <c r="AA76" s="36">
        <v>2.6310971599340802</v>
      </c>
      <c r="AB76" s="36">
        <v>0</v>
      </c>
      <c r="AC76" s="36">
        <v>2.4690313006297102</v>
      </c>
      <c r="AD76" s="36">
        <v>0</v>
      </c>
      <c r="AE76" s="36">
        <v>2.4690313006297102</v>
      </c>
      <c r="AF76" s="36">
        <v>2.8458391839793702</v>
      </c>
      <c r="AG76" s="36">
        <v>4.3037001617599202</v>
      </c>
      <c r="AH76" s="36">
        <v>0</v>
      </c>
      <c r="AI76" s="36">
        <v>4.5019074684124103</v>
      </c>
      <c r="AJ76" s="36">
        <v>4.3037001617599202</v>
      </c>
      <c r="AK76" s="36">
        <v>0.24059046491793001</v>
      </c>
      <c r="AL76" s="36">
        <v>0.186479566942618</v>
      </c>
      <c r="AM76" s="36">
        <v>0.19144646457095499</v>
      </c>
      <c r="AN76" s="36">
        <v>0.20620083058389799</v>
      </c>
      <c r="AO76" s="36">
        <v>0.157003748809665</v>
      </c>
      <c r="AP76" s="36">
        <v>0.431782416425538</v>
      </c>
      <c r="AQ76" s="36">
        <v>0.37156355643248301</v>
      </c>
      <c r="AR76" s="36">
        <v>0.47000362924573602</v>
      </c>
      <c r="AS76" s="36">
        <v>0.47000362924573602</v>
      </c>
      <c r="AT76" s="36">
        <v>3.2580965380214799</v>
      </c>
      <c r="AU76" s="36">
        <v>0.377065633586466</v>
      </c>
      <c r="AV76" s="36">
        <v>2.6026896854443802</v>
      </c>
      <c r="AW76" s="36">
        <v>3.2580965380214799</v>
      </c>
      <c r="AX76" s="36">
        <v>3.9318256327243302</v>
      </c>
      <c r="AY76" s="36">
        <v>3.4067486117004799</v>
      </c>
      <c r="AZ76" s="36">
        <v>3.84658808264264</v>
      </c>
      <c r="BA76" s="36">
        <v>0.55961578793542299</v>
      </c>
      <c r="BB76" s="36">
        <v>2.8716984926305398</v>
      </c>
      <c r="BC76" s="36">
        <v>0</v>
      </c>
      <c r="BD76" s="36">
        <v>0</v>
      </c>
      <c r="BE76" s="36">
        <v>0</v>
      </c>
      <c r="BF76" s="36">
        <v>0</v>
      </c>
      <c r="BG76" s="36">
        <v>0.377065633586466</v>
      </c>
      <c r="BH76" s="36">
        <v>0.405465108108164</v>
      </c>
      <c r="BI76" s="36">
        <v>0.22314355131420999</v>
      </c>
      <c r="BJ76" s="36">
        <v>0.22314355131420999</v>
      </c>
      <c r="BK76" s="36">
        <v>0.28743204119657201</v>
      </c>
      <c r="BL76" s="36">
        <v>0.22314355131420999</v>
      </c>
      <c r="BM76" s="36">
        <v>0.55961578793542299</v>
      </c>
      <c r="BN76" s="36">
        <v>0</v>
      </c>
      <c r="BO76" s="36">
        <v>0.28743204119657201</v>
      </c>
      <c r="BP76" s="36">
        <v>0</v>
      </c>
      <c r="BQ76" s="36">
        <v>0.81093021621632899</v>
      </c>
      <c r="BR76" s="36">
        <v>0.405465108108164</v>
      </c>
      <c r="BS76" s="36">
        <v>0.45932178089887499</v>
      </c>
      <c r="BT76" s="36">
        <v>2.8716984926305398</v>
      </c>
      <c r="BU76" s="36">
        <v>4.3841119588732198</v>
      </c>
      <c r="BV76" s="36">
        <v>1.64229224930505</v>
      </c>
      <c r="BW76" s="36">
        <v>3.3644296574699402</v>
      </c>
      <c r="BX76" s="36">
        <v>0.65076146406350699</v>
      </c>
      <c r="BY76" s="36">
        <v>4.5434862532999603</v>
      </c>
      <c r="BZ76" s="36">
        <v>2.30098381162707</v>
      </c>
      <c r="CA76" s="36">
        <v>2.0771890066265399</v>
      </c>
      <c r="CB76" s="36">
        <v>2.1375053426858801</v>
      </c>
      <c r="CC76" s="36">
        <v>1.12718566119667</v>
      </c>
      <c r="CD76" s="36">
        <v>2.60429869621793</v>
      </c>
      <c r="CE76" s="36">
        <v>3.8258018300378902</v>
      </c>
      <c r="CF76" s="36">
        <v>3.52763848003611</v>
      </c>
      <c r="CH76" t="str">
        <f t="shared" si="1"/>
        <v>/*161*/ 000  1 2.83321334405622 2.2213750375685 2.49485698064117 6.73101810048208 7.21450441415114 6.48920493132532 7.9561263512135 0.155292884406035 1.2947271675944 1.58923520511658 1.43508452528932 1.44691898293633 0.771033719217016 0.209450224182207 0.249201085633499 0.213497174262404 0.224742272677907 0.133656384812674 0.438254930931155 0.524728528934982 0.418710334858185 0.524728528934982 2.63109715993408 0 2.46903130062971 0 2.46903130062971 2.84583918397937 4.30370016175992 0 4.50190746841241 4.30370016175992 0.24059046491793 0.186479566942618 0.191446464570955 0.206200830583898 0.157003748809665 0.431782416425538 0.371563556432483 0.470003629245736 0.470003629245736 3.25809653802148 0.377065633586466 2.60268968544438 3.25809653802148 3.93182563272433 3.40674861170048 3.84658808264264 0.559615787935423 2.87169849263054 0 0 0 0 0.377065633586466 0.405465108108164 0.22314355131421 0.22314355131421 0.287432041196572 0.22314355131421 0.559615787935423 0 0.287432041196572 0 0.810930216216329 0.405465108108164 0.459321780898875 2.87169849263054 4.38411195887322 1.64229224930505 3.36442965746994 0.650761464063507 4.54348625329996 2.30098381162707 2.07718900662654 2.13750534268588 1.12718566119667 2.60429869621793 3.82580183003789 3.52763848003611;</v>
      </c>
    </row>
    <row r="77" spans="1:86" x14ac:dyDescent="0.25">
      <c r="A77" s="2">
        <v>178</v>
      </c>
      <c r="B77" s="2">
        <v>0</v>
      </c>
      <c r="C77" s="2">
        <v>0</v>
      </c>
      <c r="D77" s="2">
        <v>0</v>
      </c>
      <c r="E77" s="36">
        <v>3.0252910757955398</v>
      </c>
      <c r="F77" s="36">
        <v>2.24812890719799</v>
      </c>
      <c r="G77" s="36">
        <v>2.6588599569114399</v>
      </c>
      <c r="H77" s="36">
        <v>7.5464462737460201</v>
      </c>
      <c r="I77" s="36">
        <v>7.5147997604886703</v>
      </c>
      <c r="J77" s="36">
        <v>7.3323692059290604</v>
      </c>
      <c r="K77" s="36">
        <v>8.5671255601644507</v>
      </c>
      <c r="L77" s="36">
        <v>1.06298511102496</v>
      </c>
      <c r="M77" s="36">
        <v>1.6559397460855201</v>
      </c>
      <c r="N77" s="36">
        <v>1.73165554515835</v>
      </c>
      <c r="O77" s="36">
        <v>1.7917594692280501</v>
      </c>
      <c r="P77" s="36">
        <v>1.72793180648189</v>
      </c>
      <c r="Q77" s="36">
        <v>0.95127170076940104</v>
      </c>
      <c r="R77" s="36">
        <v>0.27155269052189701</v>
      </c>
      <c r="S77" s="36">
        <v>0.27231459532065899</v>
      </c>
      <c r="T77" s="36">
        <v>0.25231392861398999</v>
      </c>
      <c r="U77" s="36">
        <v>0.26543646350446098</v>
      </c>
      <c r="V77" s="36">
        <v>0.131028262406404</v>
      </c>
      <c r="W77" s="36">
        <v>0.405465108108164</v>
      </c>
      <c r="X77" s="36">
        <v>0.55388511322643796</v>
      </c>
      <c r="Y77" s="36">
        <v>0.41871033485818498</v>
      </c>
      <c r="Z77" s="36">
        <v>0.55388511322643796</v>
      </c>
      <c r="AA77" s="36">
        <v>2.7870462073287099</v>
      </c>
      <c r="AB77" s="36">
        <v>0</v>
      </c>
      <c r="AC77" s="36">
        <v>1.32919476907932</v>
      </c>
      <c r="AD77" s="36">
        <v>3.14510010520481</v>
      </c>
      <c r="AE77" s="36">
        <v>3.2580965380214799</v>
      </c>
      <c r="AF77" s="36">
        <v>2.2335565065836098</v>
      </c>
      <c r="AG77" s="36">
        <v>4.2145986164699201</v>
      </c>
      <c r="AH77" s="36">
        <v>0</v>
      </c>
      <c r="AI77" s="36">
        <v>4.3307333402863302</v>
      </c>
      <c r="AJ77" s="36">
        <v>4.2145986164699201</v>
      </c>
      <c r="AK77" s="36">
        <v>0.19309662996191301</v>
      </c>
      <c r="AL77" s="36">
        <v>0.227135572583747</v>
      </c>
      <c r="AM77" s="36">
        <v>0.23665190133900199</v>
      </c>
      <c r="AN77" s="36">
        <v>0.21913552991667101</v>
      </c>
      <c r="AO77" s="36">
        <v>0.15443635330441899</v>
      </c>
      <c r="AP77" s="36">
        <v>0.39204208777602401</v>
      </c>
      <c r="AQ77" s="36">
        <v>0.42526773540434398</v>
      </c>
      <c r="AR77" s="36">
        <v>0.44468582126144601</v>
      </c>
      <c r="AS77" s="36">
        <v>0.44468582126144601</v>
      </c>
      <c r="AT77" s="36">
        <v>3.0834225866809799</v>
      </c>
      <c r="AU77" s="36">
        <v>0.405465108108164</v>
      </c>
      <c r="AV77" s="36">
        <v>3.2580965380214799</v>
      </c>
      <c r="AW77" s="36">
        <v>3.6506582412937401</v>
      </c>
      <c r="AX77" s="36">
        <v>3.2580965380214799</v>
      </c>
      <c r="AY77" s="36">
        <v>3.4067486117004799</v>
      </c>
      <c r="AZ77" s="36">
        <v>3.9318256327243302</v>
      </c>
      <c r="BA77" s="36">
        <v>0.69314718055994495</v>
      </c>
      <c r="BB77" s="36">
        <v>3.7534257877209898</v>
      </c>
      <c r="BC77" s="36">
        <v>0.117783035656383</v>
      </c>
      <c r="BD77" s="36">
        <v>0.55961578793542299</v>
      </c>
      <c r="BE77" s="36">
        <v>0.405465108108164</v>
      </c>
      <c r="BF77" s="36">
        <v>0.377065633586466</v>
      </c>
      <c r="BG77" s="36">
        <v>0.671923544108319</v>
      </c>
      <c r="BH77" s="36">
        <v>0.69314718055994495</v>
      </c>
      <c r="BI77" s="36">
        <v>0.51102560376865702</v>
      </c>
      <c r="BJ77" s="36">
        <v>0</v>
      </c>
      <c r="BK77" s="36">
        <v>0.435023910349709</v>
      </c>
      <c r="BL77" s="36">
        <v>0</v>
      </c>
      <c r="BM77" s="36">
        <v>0</v>
      </c>
      <c r="BN77" s="36">
        <v>0.22314355131420999</v>
      </c>
      <c r="BO77" s="36">
        <v>7.9734968018853505E-2</v>
      </c>
      <c r="BP77" s="36">
        <v>1.09861228866811</v>
      </c>
      <c r="BQ77" s="36">
        <v>1.0116009116784801</v>
      </c>
      <c r="BR77" s="36">
        <v>0.405465108108164</v>
      </c>
      <c r="BS77" s="36">
        <v>0.88252710172134596</v>
      </c>
      <c r="BT77" s="36">
        <v>3.4067486117004799</v>
      </c>
      <c r="BU77" s="36">
        <v>4.0103649484268296</v>
      </c>
      <c r="BV77" s="36">
        <v>2.8716984926305398</v>
      </c>
      <c r="BW77" s="36">
        <v>3.4927124904979299</v>
      </c>
      <c r="BX77" s="36">
        <v>0.405465108108164</v>
      </c>
      <c r="BY77" s="36">
        <v>4.0289345503356504</v>
      </c>
      <c r="BZ77" s="36">
        <v>2.6154962194915998</v>
      </c>
      <c r="CA77" s="36">
        <v>3.8242622568206399</v>
      </c>
      <c r="CB77" s="36">
        <v>1.80144008697924</v>
      </c>
      <c r="CC77" s="36">
        <v>3.5228064938771202</v>
      </c>
      <c r="CD77" s="36">
        <v>2.8072438806533899</v>
      </c>
      <c r="CE77" s="36">
        <v>3.1923800310232302</v>
      </c>
      <c r="CF77" s="36">
        <v>2.4084513175595599</v>
      </c>
      <c r="CH77" t="str">
        <f t="shared" si="1"/>
        <v>/*178*/ 000  1 3.02529107579554 2.24812890719799 2.65885995691144 7.54644627374602 7.51479976048867 7.33236920592906 8.56712556016445 1.06298511102496 1.65593974608552 1.73165554515835 1.79175946922805 1.72793180648189 0.951271700769401 0.271552690521897 0.272314595320659 0.25231392861399 0.265436463504461 0.131028262406404 0.405465108108164 0.553885113226438 0.418710334858185 0.553885113226438 2.78704620732871 0 1.32919476907932 3.14510010520481 3.25809653802148 2.23355650658361 4.21459861646992 0 4.33073334028633 4.21459861646992 0.193096629961913 0.227135572583747 0.236651901339002 0.219135529916671 0.154436353304419 0.392042087776024 0.425267735404344 0.444685821261446 0.444685821261446 3.08342258668098 0.405465108108164 3.25809653802148 3.65065824129374 3.25809653802148 3.40674861170048 3.93182563272433 0.693147180559945 3.75342578772099 0.117783035656383 0.559615787935423 0.405465108108164 0.377065633586466 0.671923544108319 0.693147180559945 0.511025603768657 0 0.435023910349709 0 0 0.22314355131421 7.97349680188535E-02 1.09861228866811 1.01160091167848 0.405465108108164 0.882527101721346 3.40674861170048 4.01036494842683 2.87169849263054 3.49271249049793 0.405465108108164 4.02893455033565 2.6154962194916 3.82426225682064 1.80144008697924 3.52280649387712 2.80724388065339 3.19238003102323 2.40845131755956;</v>
      </c>
    </row>
    <row r="78" spans="1:86" x14ac:dyDescent="0.25">
      <c r="A78" s="2">
        <v>193</v>
      </c>
      <c r="B78" s="2">
        <v>0</v>
      </c>
      <c r="C78" s="2">
        <v>0</v>
      </c>
      <c r="D78" s="2">
        <v>0</v>
      </c>
      <c r="E78" s="36">
        <v>2.8735646395797798</v>
      </c>
      <c r="F78" s="36">
        <v>2.2310890912889798</v>
      </c>
      <c r="G78" s="36">
        <v>2.5862591440482898</v>
      </c>
      <c r="H78" s="36">
        <v>7.0130157896396303</v>
      </c>
      <c r="I78" s="36">
        <v>7.0396603498620802</v>
      </c>
      <c r="J78" s="36">
        <v>7.5427435453685501</v>
      </c>
      <c r="K78" s="36">
        <v>8.3277261664614102</v>
      </c>
      <c r="L78" s="36">
        <v>1.31184017519494</v>
      </c>
      <c r="M78" s="36">
        <v>2.13025347022944</v>
      </c>
      <c r="N78" s="36">
        <v>2.1117877177190501</v>
      </c>
      <c r="O78" s="36">
        <v>2.1747517214841601</v>
      </c>
      <c r="P78" s="36">
        <v>2.1400661634962699</v>
      </c>
      <c r="Q78" s="36">
        <v>1.37573884718037</v>
      </c>
      <c r="R78" s="36">
        <v>0.38458189719174002</v>
      </c>
      <c r="S78" s="36">
        <v>0.37363038458814601</v>
      </c>
      <c r="T78" s="36">
        <v>0.19803085049913499</v>
      </c>
      <c r="U78" s="36">
        <v>0.31845373111853498</v>
      </c>
      <c r="V78" s="36">
        <v>0.24842135849847799</v>
      </c>
      <c r="W78" s="36">
        <v>0.741937344729377</v>
      </c>
      <c r="X78" s="36">
        <v>0.62057648772510998</v>
      </c>
      <c r="Y78" s="36">
        <v>0.47000362924573602</v>
      </c>
      <c r="Z78" s="36">
        <v>0.741937344729377</v>
      </c>
      <c r="AA78" s="36">
        <v>3.0442366826136098</v>
      </c>
      <c r="AB78" s="36">
        <v>1.17000228475478</v>
      </c>
      <c r="AC78" s="36">
        <v>2.0369254045767602</v>
      </c>
      <c r="AD78" s="36">
        <v>2.2914230282878498</v>
      </c>
      <c r="AE78" s="36">
        <v>2.93268597183636</v>
      </c>
      <c r="AF78" s="36">
        <v>0</v>
      </c>
      <c r="AG78" s="36">
        <v>4.4215117359504701</v>
      </c>
      <c r="AH78" s="36">
        <v>0</v>
      </c>
      <c r="AI78" s="36">
        <v>4.4215117359504701</v>
      </c>
      <c r="AJ78" s="36">
        <v>4.4215117359504701</v>
      </c>
      <c r="AK78" s="36">
        <v>0.21188035903549901</v>
      </c>
      <c r="AL78" s="36">
        <v>0.210260925483196</v>
      </c>
      <c r="AM78" s="36">
        <v>0.33718626735487001</v>
      </c>
      <c r="AN78" s="36">
        <v>0.27459683290312498</v>
      </c>
      <c r="AO78" s="36">
        <v>0.23586232372198401</v>
      </c>
      <c r="AP78" s="36">
        <v>0.431782416425538</v>
      </c>
      <c r="AQ78" s="36">
        <v>0.59332684527773405</v>
      </c>
      <c r="AR78" s="36">
        <v>0.77010822169607396</v>
      </c>
      <c r="AS78" s="36">
        <v>0.77010822169607396</v>
      </c>
      <c r="AT78" s="36">
        <v>3.7534257877209898</v>
      </c>
      <c r="AU78" s="36">
        <v>0.25619140536041002</v>
      </c>
      <c r="AV78" s="36">
        <v>3.9318256327243302</v>
      </c>
      <c r="AW78" s="36">
        <v>3.2580965380214799</v>
      </c>
      <c r="AX78" s="36">
        <v>2.6026896854443802</v>
      </c>
      <c r="AY78" s="36">
        <v>3.4067486117004799</v>
      </c>
      <c r="AZ78" s="36">
        <v>3.7534257877209898</v>
      </c>
      <c r="BA78" s="36">
        <v>0.405465108108164</v>
      </c>
      <c r="BB78" s="36">
        <v>2.8716984926305398</v>
      </c>
      <c r="BC78" s="36">
        <v>0</v>
      </c>
      <c r="BD78" s="36">
        <v>0.22314355131420999</v>
      </c>
      <c r="BE78" s="36">
        <v>0</v>
      </c>
      <c r="BF78" s="36">
        <v>7.9734968018853505E-2</v>
      </c>
      <c r="BG78" s="36">
        <v>0.28743204119657201</v>
      </c>
      <c r="BH78" s="36">
        <v>0.405465108108164</v>
      </c>
      <c r="BI78" s="36">
        <v>0</v>
      </c>
      <c r="BJ78" s="36">
        <v>0</v>
      </c>
      <c r="BK78" s="36">
        <v>0.15443635330441899</v>
      </c>
      <c r="BL78" s="36">
        <v>0.22314355131420999</v>
      </c>
      <c r="BM78" s="36">
        <v>0.22314355131420999</v>
      </c>
      <c r="BN78" s="36">
        <v>0.22314355131420999</v>
      </c>
      <c r="BO78" s="36">
        <v>0.22314355131420999</v>
      </c>
      <c r="BP78" s="36">
        <v>1.0116009116784801</v>
      </c>
      <c r="BQ78" s="36">
        <v>0.916290731874155</v>
      </c>
      <c r="BR78" s="36">
        <v>0.55961578793542299</v>
      </c>
      <c r="BS78" s="36">
        <v>0.84715499303929298</v>
      </c>
      <c r="BT78" s="36">
        <v>3.84658808264264</v>
      </c>
      <c r="BU78" s="36">
        <v>2.8716984926305398</v>
      </c>
      <c r="BV78" s="36">
        <v>3.5361069907765299</v>
      </c>
      <c r="BW78" s="36">
        <v>3.52762443143168</v>
      </c>
      <c r="BX78" s="36">
        <v>0.58333231455273904</v>
      </c>
      <c r="BY78" s="36">
        <v>4.1032217101597004</v>
      </c>
      <c r="BZ78" s="36">
        <v>2.8440950988910298</v>
      </c>
      <c r="CA78" s="36">
        <v>3.7248496979031702</v>
      </c>
      <c r="CB78" s="36">
        <v>0.74237412123339297</v>
      </c>
      <c r="CC78" s="36">
        <v>3.7378880303820901</v>
      </c>
      <c r="CD78" s="36">
        <v>3.7335106979031401</v>
      </c>
      <c r="CE78" s="36">
        <v>1.5212582134402099</v>
      </c>
      <c r="CF78" s="36">
        <v>2.24499485355437</v>
      </c>
      <c r="CH78" t="str">
        <f t="shared" si="1"/>
        <v>/*193*/ 000  1 2.87356463957978 2.23108909128898 2.58625914404829 7.01301578963963 7.03966034986208 7.54274354536855 8.32772616646141 1.31184017519494 2.13025347022944 2.11178771771905 2.17475172148416 2.14006616349627 1.37573884718037 0.38458189719174 0.373630384588146 0.198030850499135 0.318453731118535 0.248421358498478 0.741937344729377 0.62057648772511 0.470003629245736 0.741937344729377 3.04423668261361 1.17000228475478 2.03692540457676 2.29142302828785 2.93268597183636 0 4.42151173595047 0 4.42151173595047 4.42151173595047 0.211880359035499 0.210260925483196 0.33718626735487 0.274596832903125 0.235862323721984 0.431782416425538 0.593326845277734 0.770108221696074 0.770108221696074 3.75342578772099 0.25619140536041 3.93182563272433 3.25809653802148 2.60268968544438 3.40674861170048 3.75342578772099 0.405465108108164 2.87169849263054 0 0.22314355131421 0 7.97349680188535E-02 0.287432041196572 0.405465108108164 0 0 0.154436353304419 0.22314355131421 0.22314355131421 0.22314355131421 0.22314355131421 1.01160091167848 0.916290731874155 0.559615787935423 0.847154993039293 3.84658808264264 2.87169849263054 3.53610699077653 3.52762443143168 0.583332314552739 4.1032217101597 2.84409509889103 3.72484969790317 0.742374121233393 3.73788803038209 3.73351069790314 1.52125821344021 2.24499485355437;</v>
      </c>
    </row>
    <row r="79" spans="1:86" x14ac:dyDescent="0.25">
      <c r="A79" s="2">
        <v>201</v>
      </c>
      <c r="B79" s="2">
        <v>0</v>
      </c>
      <c r="C79" s="2">
        <v>0</v>
      </c>
      <c r="D79" s="2">
        <v>0</v>
      </c>
      <c r="E79" s="36">
        <v>2.8332133440562202</v>
      </c>
      <c r="F79" s="36">
        <v>2.2617630984737902</v>
      </c>
      <c r="G79" s="36">
        <v>2.5915163848462601</v>
      </c>
      <c r="H79" s="36">
        <v>7.0246490304536398</v>
      </c>
      <c r="I79" s="36">
        <v>6.9037472575846</v>
      </c>
      <c r="J79" s="36">
        <v>6.6424868013672604</v>
      </c>
      <c r="K79" s="36">
        <v>7.9672801789422003</v>
      </c>
      <c r="L79" s="36">
        <v>1.1317246401183101</v>
      </c>
      <c r="M79" s="36">
        <v>1.44691898293633</v>
      </c>
      <c r="N79" s="36">
        <v>1.4019216170055899</v>
      </c>
      <c r="O79" s="36">
        <v>1.2311014717141899</v>
      </c>
      <c r="P79" s="36">
        <v>1.36430434322828</v>
      </c>
      <c r="Q79" s="36">
        <v>0.81359333363581299</v>
      </c>
      <c r="R79" s="36">
        <v>0.29490591754110101</v>
      </c>
      <c r="S79" s="36">
        <v>0.27002713721305999</v>
      </c>
      <c r="T79" s="36">
        <v>0.288931291852213</v>
      </c>
      <c r="U79" s="36">
        <v>0.28442677973110803</v>
      </c>
      <c r="V79" s="36">
        <v>0.21107097007994</v>
      </c>
      <c r="W79" s="36">
        <v>0.47000362924573602</v>
      </c>
      <c r="X79" s="36">
        <v>0.41871033485818498</v>
      </c>
      <c r="Y79" s="36">
        <v>0.87546873735389996</v>
      </c>
      <c r="Z79" s="36">
        <v>0.87546873735389996</v>
      </c>
      <c r="AA79" s="36">
        <v>2.2863540798836302</v>
      </c>
      <c r="AB79" s="36">
        <v>0</v>
      </c>
      <c r="AC79" s="36">
        <v>3.4836679090257401</v>
      </c>
      <c r="AD79" s="36">
        <v>1.2897834607390499</v>
      </c>
      <c r="AE79" s="36">
        <v>3.5613585337861</v>
      </c>
      <c r="AF79" s="36">
        <v>1.8346593035432801</v>
      </c>
      <c r="AG79" s="36">
        <v>4.1194598497005002</v>
      </c>
      <c r="AH79" s="36">
        <v>0</v>
      </c>
      <c r="AI79" s="36">
        <v>4.2015383963242199</v>
      </c>
      <c r="AJ79" s="36">
        <v>4.1194598497005002</v>
      </c>
      <c r="AK79" s="36">
        <v>0.13453089295760601</v>
      </c>
      <c r="AL79" s="36">
        <v>0.213497174262404</v>
      </c>
      <c r="AM79" s="36">
        <v>0.26082461828189801</v>
      </c>
      <c r="AN79" s="36">
        <v>0.20130685670503501</v>
      </c>
      <c r="AO79" s="36">
        <v>0.227135572583747</v>
      </c>
      <c r="AP79" s="36">
        <v>0.70803579305369602</v>
      </c>
      <c r="AQ79" s="36">
        <v>0.67803354274989702</v>
      </c>
      <c r="AR79" s="36">
        <v>0.54232429082536204</v>
      </c>
      <c r="AS79" s="36">
        <v>0.70803579305369602</v>
      </c>
      <c r="AT79" s="36">
        <v>3.0834225866809799</v>
      </c>
      <c r="AU79" s="36">
        <v>0.34854196070854299</v>
      </c>
      <c r="AV79" s="36">
        <v>4.1510399058986502</v>
      </c>
      <c r="AW79" s="36">
        <v>3.2580965380214799</v>
      </c>
      <c r="AX79" s="36">
        <v>3.2580965380214799</v>
      </c>
      <c r="AY79" s="36">
        <v>3.6506582412937401</v>
      </c>
      <c r="AZ79" s="36">
        <v>3.7534257877209898</v>
      </c>
      <c r="BA79" s="36">
        <v>0.65076146406350699</v>
      </c>
      <c r="BB79" s="36">
        <v>3.5361069907765299</v>
      </c>
      <c r="BC79" s="36">
        <v>0.117783035656383</v>
      </c>
      <c r="BD79" s="36">
        <v>0</v>
      </c>
      <c r="BE79" s="36">
        <v>0.22314355131420999</v>
      </c>
      <c r="BF79" s="36">
        <v>0.117783035656383</v>
      </c>
      <c r="BG79" s="36">
        <v>0.28743204119657201</v>
      </c>
      <c r="BH79" s="36">
        <v>0</v>
      </c>
      <c r="BI79" s="36">
        <v>0.55961578793542299</v>
      </c>
      <c r="BJ79" s="36">
        <v>0.69314718055994495</v>
      </c>
      <c r="BK79" s="36">
        <v>0.45932178089887499</v>
      </c>
      <c r="BL79" s="36">
        <v>0</v>
      </c>
      <c r="BM79" s="36">
        <v>0.69314718055994495</v>
      </c>
      <c r="BN79" s="36">
        <v>0.22314355131420999</v>
      </c>
      <c r="BO79" s="36">
        <v>0.34854196070854299</v>
      </c>
      <c r="BP79" s="36">
        <v>1.2527629684953701</v>
      </c>
      <c r="BQ79" s="36">
        <v>0.405465108108164</v>
      </c>
      <c r="BR79" s="36">
        <v>0.55961578793542299</v>
      </c>
      <c r="BS79" s="36">
        <v>0.81093021621632899</v>
      </c>
      <c r="BT79" s="36">
        <v>0</v>
      </c>
      <c r="BU79" s="36">
        <v>4.2743439804936996</v>
      </c>
      <c r="BV79" s="36">
        <v>3.4067486117004799</v>
      </c>
      <c r="BW79" s="36">
        <v>3.81953483999298</v>
      </c>
      <c r="BX79" s="36">
        <v>0.48550781578170099</v>
      </c>
      <c r="BY79" s="36">
        <v>4.5027941013712196</v>
      </c>
      <c r="BZ79" s="36">
        <v>2.35962683336124</v>
      </c>
      <c r="CA79" s="36">
        <v>2.4622349105235801</v>
      </c>
      <c r="CB79" s="36">
        <v>2.5544643335162598</v>
      </c>
      <c r="CC79" s="36">
        <v>3.5099178637056201</v>
      </c>
      <c r="CD79" s="36">
        <v>2.53546319188189</v>
      </c>
      <c r="CE79" s="36">
        <v>3.1263993983896499</v>
      </c>
      <c r="CF79" s="36">
        <v>3.04912384925878</v>
      </c>
      <c r="CH79" t="str">
        <f t="shared" si="1"/>
        <v>/*201*/ 000  1 2.83321334405622 2.26176309847379 2.59151638484626 7.02464903045364 6.9037472575846 6.64248680136726 7.9672801789422 1.13172464011831 1.44691898293633 1.40192161700559 1.23110147171419 1.36430434322828 0.813593333635813 0.294905917541101 0.27002713721306 0.288931291852213 0.284426779731108 0.21107097007994 0.470003629245736 0.418710334858185 0.8754687373539 0.8754687373539 2.28635407988363 0 3.48366790902574 1.28978346073905 3.5613585337861 1.83465930354328 4.1194598497005 0 4.20153839632422 4.1194598497005 0.134530892957606 0.213497174262404 0.260824618281898 0.201306856705035 0.227135572583747 0.708035793053696 0.678033542749897 0.542324290825362 0.708035793053696 3.08342258668098 0.348541960708543 4.15103990589865 3.25809653802148 3.25809653802148 3.65065824129374 3.75342578772099 0.650761464063507 3.53610699077653 0.117783035656383 0 0.22314355131421 0.117783035656383 0.287432041196572 0 0.559615787935423 0.693147180559945 0.459321780898875 0 0.693147180559945 0.22314355131421 0.348541960708543 1.25276296849537 0.405465108108164 0.559615787935423 0.810930216216329 0 4.2743439804937 3.40674861170048 3.81953483999298 0.485507815781701 4.50279410137122 2.35962683336124 2.46223491052358 2.55446433351626 3.50991786370562 2.53546319188189 3.12639939838965 3.04912384925878;</v>
      </c>
    </row>
    <row r="80" spans="1:86" x14ac:dyDescent="0.25">
      <c r="A80" s="2">
        <v>202</v>
      </c>
      <c r="B80" s="2">
        <v>0</v>
      </c>
      <c r="C80" s="2">
        <v>0</v>
      </c>
      <c r="D80" s="2">
        <v>0</v>
      </c>
      <c r="E80" s="36">
        <v>2.79116510781272</v>
      </c>
      <c r="F80" s="36">
        <v>2.2027647577118299</v>
      </c>
      <c r="G80" s="36">
        <v>2.5022552881226101</v>
      </c>
      <c r="H80" s="36">
        <v>6.4599044543775301</v>
      </c>
      <c r="I80" s="36">
        <v>5.9107966440405297</v>
      </c>
      <c r="J80" s="36">
        <v>5.9162020626074296</v>
      </c>
      <c r="K80" s="36">
        <v>7.22766249872865</v>
      </c>
      <c r="L80" s="36">
        <v>0</v>
      </c>
      <c r="M80" s="36">
        <v>0.84372003903932002</v>
      </c>
      <c r="N80" s="36">
        <v>0.82198005240291405</v>
      </c>
      <c r="O80" s="36">
        <v>0.974559639998131</v>
      </c>
      <c r="P80" s="36">
        <v>0.88252710172134596</v>
      </c>
      <c r="Q80" s="36">
        <v>0.47809579914307199</v>
      </c>
      <c r="R80" s="36">
        <v>0.25773819607870901</v>
      </c>
      <c r="S80" s="36">
        <v>0.27611543608031602</v>
      </c>
      <c r="T80" s="36">
        <v>0.20701416938432601</v>
      </c>
      <c r="U80" s="36">
        <v>0.24686007793152601</v>
      </c>
      <c r="V80" s="36">
        <v>0.131028262406404</v>
      </c>
      <c r="W80" s="36">
        <v>0.405465108108164</v>
      </c>
      <c r="X80" s="36">
        <v>0.405465108108164</v>
      </c>
      <c r="Y80" s="36">
        <v>0.350656871613169</v>
      </c>
      <c r="Z80" s="36">
        <v>0.405465108108164</v>
      </c>
      <c r="AA80" s="36">
        <v>1.80038879592611</v>
      </c>
      <c r="AB80" s="36">
        <v>0</v>
      </c>
      <c r="AC80" s="36">
        <v>3.84658808264264</v>
      </c>
      <c r="AD80" s="36">
        <v>0</v>
      </c>
      <c r="AE80" s="36">
        <v>3.84658808264264</v>
      </c>
      <c r="AF80" s="36">
        <v>3.0834225866809799</v>
      </c>
      <c r="AG80" s="36">
        <v>3.5361069907765299</v>
      </c>
      <c r="AH80" s="36">
        <v>0</v>
      </c>
      <c r="AI80" s="36">
        <v>4.0103649484268296</v>
      </c>
      <c r="AJ80" s="36">
        <v>3.84658808264264</v>
      </c>
      <c r="AK80" s="36">
        <v>4.2101176018635299E-2</v>
      </c>
      <c r="AL80" s="36">
        <v>5.16432331518384E-2</v>
      </c>
      <c r="AM80" s="36">
        <v>7.2320661579626105E-2</v>
      </c>
      <c r="AN80" s="36">
        <v>5.5434706888100503E-2</v>
      </c>
      <c r="AO80" s="36">
        <v>5.3540766928029802E-2</v>
      </c>
      <c r="AP80" s="36">
        <v>0.122217632724249</v>
      </c>
      <c r="AQ80" s="36">
        <v>0.113328685307003</v>
      </c>
      <c r="AR80" s="36">
        <v>0.18232155679395501</v>
      </c>
      <c r="AS80" s="36">
        <v>0.18232155679395501</v>
      </c>
      <c r="AT80" s="36">
        <v>2.6026896854443802</v>
      </c>
      <c r="AU80" s="36">
        <v>0.15443635330441899</v>
      </c>
      <c r="AV80" s="36">
        <v>4.1510399058986502</v>
      </c>
      <c r="AW80" s="36">
        <v>4.4830025520138799</v>
      </c>
      <c r="AX80" s="36">
        <v>4.1510399058986502</v>
      </c>
      <c r="AY80" s="36">
        <v>4.2743439804936996</v>
      </c>
      <c r="AZ80" s="36">
        <v>4.2145986164699201</v>
      </c>
      <c r="BA80" s="36">
        <v>0.34854196070854299</v>
      </c>
      <c r="BB80" s="36">
        <v>2.8716984926305398</v>
      </c>
      <c r="BC80" s="36">
        <v>0</v>
      </c>
      <c r="BD80" s="36">
        <v>0</v>
      </c>
      <c r="BE80" s="36">
        <v>0</v>
      </c>
      <c r="BF80" s="36">
        <v>0</v>
      </c>
      <c r="BG80" s="36">
        <v>4.1141943331175199E-2</v>
      </c>
      <c r="BH80" s="36">
        <v>0.81093021621632899</v>
      </c>
      <c r="BI80" s="36">
        <v>0.916290731874155</v>
      </c>
      <c r="BJ80" s="36">
        <v>0.55961578793542299</v>
      </c>
      <c r="BK80" s="36">
        <v>0.77334372255422201</v>
      </c>
      <c r="BL80" s="36">
        <v>0</v>
      </c>
      <c r="BM80" s="36">
        <v>0</v>
      </c>
      <c r="BN80" s="36">
        <v>0</v>
      </c>
      <c r="BO80" s="36">
        <v>0</v>
      </c>
      <c r="BP80" s="36">
        <v>1.1786549963416499</v>
      </c>
      <c r="BQ80" s="36">
        <v>1.44691898293633</v>
      </c>
      <c r="BR80" s="36">
        <v>1.2527629684953701</v>
      </c>
      <c r="BS80" s="36">
        <v>1.2993738890891899</v>
      </c>
      <c r="BT80" s="36">
        <v>0</v>
      </c>
      <c r="BU80" s="36">
        <v>4.0103649484268296</v>
      </c>
      <c r="BV80" s="36">
        <v>3.84658808264264</v>
      </c>
      <c r="BW80" s="36">
        <v>3.8772659154701401</v>
      </c>
      <c r="BX80" s="36">
        <v>0.45932178089887499</v>
      </c>
      <c r="BY80" s="36">
        <v>4.4943950376287702</v>
      </c>
      <c r="BZ80" s="36">
        <v>2.4741826864250198</v>
      </c>
      <c r="CA80" s="36">
        <v>2.5246080166395499</v>
      </c>
      <c r="CB80" s="36">
        <v>1.9390841839301201</v>
      </c>
      <c r="CC80" s="36">
        <v>1.75126810788985</v>
      </c>
      <c r="CD80" s="36">
        <v>2.1447238338074301</v>
      </c>
      <c r="CE80" s="36">
        <v>4.2434940949921902</v>
      </c>
      <c r="CF80" s="36">
        <v>2.6458370169384802</v>
      </c>
      <c r="CH80" t="str">
        <f t="shared" si="1"/>
        <v>/*202*/ 000  1 2.79116510781272 2.20276475771183 2.50225528812261 6.45990445437753 5.91079664404053 5.91620206260743 7.22766249872865 0 0.84372003903932 0.821980052402914 0.974559639998131 0.882527101721346 0.478095799143072 0.257738196078709 0.276115436080316 0.207014169384326 0.246860077931526 0.131028262406404 0.405465108108164 0.405465108108164 0.350656871613169 0.405465108108164 1.80038879592611 0 3.84658808264264 0 3.84658808264264 3.08342258668098 3.53610699077653 0 4.01036494842683 3.84658808264264 4.21011760186353E-02 5.16432331518384E-02 7.23206615796261E-02 5.54347068881005E-02 5.35407669280298E-02 0.122217632724249 0.113328685307003 0.182321556793955 0.182321556793955 2.60268968544438 0.154436353304419 4.15103990589865 4.48300255201388 4.15103990589865 4.2743439804937 4.21459861646992 0.348541960708543 2.87169849263054 0 0 0 0 4.11419433311752E-02 0.810930216216329 0.916290731874155 0.559615787935423 0.773343722554222 0 0 0 0 1.17865499634165 1.44691898293633 1.25276296849537 1.29937388908919 0 4.01036494842683 3.84658808264264 3.87726591547014 0.459321780898875 4.49439503762877 2.47418268642502 2.52460801663955 1.93908418393012 1.75126810788985 2.14472383380743 4.24349409499219 2.64583701693848;</v>
      </c>
    </row>
    <row r="81" spans="1:86" x14ac:dyDescent="0.25">
      <c r="A81" s="2">
        <v>203</v>
      </c>
      <c r="B81" s="2">
        <v>0</v>
      </c>
      <c r="C81" s="2">
        <v>0</v>
      </c>
      <c r="D81" s="2">
        <v>0</v>
      </c>
      <c r="E81" s="36">
        <v>2.5257286443082601</v>
      </c>
      <c r="F81" s="36">
        <v>2.1435893615035901</v>
      </c>
      <c r="G81" s="36">
        <v>2.4798941079644599</v>
      </c>
      <c r="H81" s="36">
        <v>7.3198649298089702</v>
      </c>
      <c r="I81" s="36">
        <v>6.6720329454610701</v>
      </c>
      <c r="J81" s="36">
        <v>7.2640301428995304</v>
      </c>
      <c r="K81" s="36">
        <v>8.2230905511615298</v>
      </c>
      <c r="L81" s="36">
        <v>0.46750049902761698</v>
      </c>
      <c r="M81" s="36">
        <v>2.0573237364262198</v>
      </c>
      <c r="N81" s="36">
        <v>1.9740810260220101</v>
      </c>
      <c r="O81" s="36">
        <v>1.9844438130575599</v>
      </c>
      <c r="P81" s="36">
        <v>2.0059295457431601</v>
      </c>
      <c r="Q81" s="36">
        <v>0.98693557144348698</v>
      </c>
      <c r="R81" s="36">
        <v>0.350656871613169</v>
      </c>
      <c r="S81" s="36">
        <v>0.324977857195478</v>
      </c>
      <c r="T81" s="36">
        <v>0.362557607096888</v>
      </c>
      <c r="U81" s="36">
        <v>0.34642256747438099</v>
      </c>
      <c r="V81" s="36">
        <v>0.184818436992542</v>
      </c>
      <c r="W81" s="36">
        <v>0.55388511322643796</v>
      </c>
      <c r="X81" s="36">
        <v>0.51879379341516796</v>
      </c>
      <c r="Y81" s="36">
        <v>0.69314718055994495</v>
      </c>
      <c r="Z81" s="36">
        <v>0.69314718055994495</v>
      </c>
      <c r="AA81" s="36">
        <v>2.8068089731254702</v>
      </c>
      <c r="AB81" s="36">
        <v>2.2524490235002501</v>
      </c>
      <c r="AC81" s="36">
        <v>0</v>
      </c>
      <c r="AD81" s="36">
        <v>1.65918000432891</v>
      </c>
      <c r="AE81" s="36">
        <v>2.6222017839761702</v>
      </c>
      <c r="AF81" s="36">
        <v>2.4542756062344799</v>
      </c>
      <c r="AG81" s="36">
        <v>4.3515158794688604</v>
      </c>
      <c r="AH81" s="36">
        <v>0</v>
      </c>
      <c r="AI81" s="36">
        <v>4.4799923762598599</v>
      </c>
      <c r="AJ81" s="36">
        <v>4.3515158794688604</v>
      </c>
      <c r="AK81" s="36">
        <v>0.24920108563349899</v>
      </c>
      <c r="AL81" s="36">
        <v>0.29490591754110101</v>
      </c>
      <c r="AM81" s="36">
        <v>0.33504264381161902</v>
      </c>
      <c r="AN81" s="36">
        <v>0.29936357722561902</v>
      </c>
      <c r="AO81" s="36">
        <v>0.192271887647123</v>
      </c>
      <c r="AP81" s="36">
        <v>0.482426149244293</v>
      </c>
      <c r="AQ81" s="36">
        <v>0.53649337051456802</v>
      </c>
      <c r="AR81" s="36">
        <v>0.62593843086649503</v>
      </c>
      <c r="AS81" s="36">
        <v>0.62593843086649503</v>
      </c>
      <c r="AT81" s="36">
        <v>3.84658808264264</v>
      </c>
      <c r="AU81" s="36">
        <v>0.405465108108164</v>
      </c>
      <c r="AV81" s="36">
        <v>0</v>
      </c>
      <c r="AW81" s="36">
        <v>2.6026896854443802</v>
      </c>
      <c r="AX81" s="36">
        <v>0</v>
      </c>
      <c r="AY81" s="36">
        <v>1.64229224930505</v>
      </c>
      <c r="AZ81" s="36">
        <v>3.9318256327243302</v>
      </c>
      <c r="BA81" s="36">
        <v>0.916290731874155</v>
      </c>
      <c r="BB81" s="36">
        <v>3.9318256327243302</v>
      </c>
      <c r="BC81" s="36">
        <v>0.81093021621632899</v>
      </c>
      <c r="BD81" s="36">
        <v>0.31845373111853498</v>
      </c>
      <c r="BE81" s="36">
        <v>0.22314355131420999</v>
      </c>
      <c r="BF81" s="36">
        <v>0.48550781578170099</v>
      </c>
      <c r="BG81" s="36">
        <v>0.69314718055994495</v>
      </c>
      <c r="BH81" s="36">
        <v>0.405465108108164</v>
      </c>
      <c r="BI81" s="36">
        <v>0.916290731874155</v>
      </c>
      <c r="BJ81" s="36">
        <v>0.55961578793542299</v>
      </c>
      <c r="BK81" s="36">
        <v>0.65076146406350699</v>
      </c>
      <c r="BL81" s="36">
        <v>0</v>
      </c>
      <c r="BM81" s="36">
        <v>0.405465108108164</v>
      </c>
      <c r="BN81" s="36">
        <v>0.22314355131420999</v>
      </c>
      <c r="BO81" s="36">
        <v>0.22314355131420999</v>
      </c>
      <c r="BP81" s="36">
        <v>0.55961578793542299</v>
      </c>
      <c r="BQ81" s="36">
        <v>0</v>
      </c>
      <c r="BR81" s="36">
        <v>0.81093021621632899</v>
      </c>
      <c r="BS81" s="36">
        <v>0.51102560376865702</v>
      </c>
      <c r="BT81" s="36">
        <v>2.2335565065836098</v>
      </c>
      <c r="BU81" s="36">
        <v>4.3307333402863302</v>
      </c>
      <c r="BV81" s="36">
        <v>2.8716984926305398</v>
      </c>
      <c r="BW81" s="36">
        <v>3.7287009483006099</v>
      </c>
      <c r="BX81" s="36">
        <v>0.899348011143843</v>
      </c>
      <c r="BY81" s="36">
        <v>4.1240813421521896</v>
      </c>
      <c r="BZ81" s="36">
        <v>2.7429024118694199</v>
      </c>
      <c r="CA81" s="36">
        <v>3.6935933263401601</v>
      </c>
      <c r="CB81" s="36">
        <v>1.8283936024054399</v>
      </c>
      <c r="CC81" s="36">
        <v>1.78760491400259</v>
      </c>
      <c r="CD81" s="36">
        <v>2.6072857038489099</v>
      </c>
      <c r="CE81" s="36">
        <v>3.73280111729387</v>
      </c>
      <c r="CF81" s="36">
        <v>3.6228140631036099</v>
      </c>
      <c r="CH81" t="str">
        <f t="shared" si="1"/>
        <v>/*203*/ 000  1 2.52572864430826 2.14358936150359 2.47989410796446 7.31986492980897 6.67203294546107 7.26403014289953 8.22309055116153 0.467500499027617 2.05732373642622 1.97408102602201 1.98444381305756 2.00592954574316 0.986935571443487 0.350656871613169 0.324977857195478 0.362557607096888 0.346422567474381 0.184818436992542 0.553885113226438 0.518793793415168 0.693147180559945 0.693147180559945 2.80680897312547 2.25244902350025 0 1.65918000432891 2.62220178397617 2.45427560623448 4.35151587946886 0 4.47999237625986 4.35151587946886 0.249201085633499 0.294905917541101 0.335042643811619 0.299363577225619 0.192271887647123 0.482426149244293 0.536493370514568 0.625938430866495 0.625938430866495 3.84658808264264 0.405465108108164 0 2.60268968544438 0 1.64229224930505 3.93182563272433 0.916290731874155 3.93182563272433 0.810930216216329 0.318453731118535 0.22314355131421 0.485507815781701 0.693147180559945 0.405465108108164 0.916290731874155 0.559615787935423 0.650761464063507 0 0.405465108108164 0.22314355131421 0.22314355131421 0.559615787935423 0 0.810930216216329 0.511025603768657 2.23355650658361 4.33073334028633 2.87169849263054 3.72870094830061 0.899348011143843 4.12408134215219 2.74290241186942 3.69359332634016 1.82839360240544 1.78760491400259 2.60728570384891 3.73280111729387 3.62281406310361;</v>
      </c>
    </row>
    <row r="82" spans="1:86" x14ac:dyDescent="0.25">
      <c r="A82" s="2">
        <v>204</v>
      </c>
      <c r="B82" s="2">
        <v>0</v>
      </c>
      <c r="C82" s="2">
        <v>0</v>
      </c>
      <c r="D82" s="2">
        <v>0</v>
      </c>
      <c r="E82" s="36">
        <v>2.6026896854443802</v>
      </c>
      <c r="F82" s="36">
        <v>2.2071749081893901</v>
      </c>
      <c r="G82" s="36">
        <v>2.3786197792700401</v>
      </c>
      <c r="H82" s="36">
        <v>7.4821189235521199</v>
      </c>
      <c r="I82" s="36">
        <v>7.5126175446745096</v>
      </c>
      <c r="J82" s="36">
        <v>7.4506607962115403</v>
      </c>
      <c r="K82" s="36">
        <v>8.5803557663738808</v>
      </c>
      <c r="L82" s="36">
        <v>1.0145057793711101</v>
      </c>
      <c r="M82" s="36">
        <v>1.7917594692280501</v>
      </c>
      <c r="N82" s="36">
        <v>1.6795235200007901</v>
      </c>
      <c r="O82" s="36">
        <v>1.66297867936213</v>
      </c>
      <c r="P82" s="36">
        <v>1.71307694719359</v>
      </c>
      <c r="Q82" s="36">
        <v>0.93648543915967397</v>
      </c>
      <c r="R82" s="36">
        <v>0.26466929814270801</v>
      </c>
      <c r="S82" s="36">
        <v>0.316998126785834</v>
      </c>
      <c r="T82" s="36">
        <v>0.45932178089887499</v>
      </c>
      <c r="U82" s="36">
        <v>0.34995239817790602</v>
      </c>
      <c r="V82" s="36">
        <v>0.23822918873225099</v>
      </c>
      <c r="W82" s="36">
        <v>0.62057648772510998</v>
      </c>
      <c r="X82" s="36">
        <v>0.47000362924573602</v>
      </c>
      <c r="Y82" s="36">
        <v>0.65232518603969003</v>
      </c>
      <c r="Z82" s="36">
        <v>0.65232518603969003</v>
      </c>
      <c r="AA82" s="36">
        <v>2.4719058376107501</v>
      </c>
      <c r="AB82" s="36">
        <v>0</v>
      </c>
      <c r="AC82" s="36">
        <v>3.2580965380214799</v>
      </c>
      <c r="AD82" s="36">
        <v>0</v>
      </c>
      <c r="AE82" s="36">
        <v>3.2580965380214799</v>
      </c>
      <c r="AF82" s="36">
        <v>0</v>
      </c>
      <c r="AG82" s="36">
        <v>4.3307333402863302</v>
      </c>
      <c r="AH82" s="36">
        <v>0</v>
      </c>
      <c r="AI82" s="36">
        <v>4.3307333402863302</v>
      </c>
      <c r="AJ82" s="36">
        <v>4.3307333402863302</v>
      </c>
      <c r="AK82" s="36">
        <v>0.19062035960865001</v>
      </c>
      <c r="AL82" s="36">
        <v>0.184818436992542</v>
      </c>
      <c r="AM82" s="36">
        <v>0.18564934688662901</v>
      </c>
      <c r="AN82" s="36">
        <v>0.186479566942618</v>
      </c>
      <c r="AO82" s="36">
        <v>0.20294084399668999</v>
      </c>
      <c r="AP82" s="36">
        <v>0.34358970439007702</v>
      </c>
      <c r="AQ82" s="36">
        <v>0.47623417899637199</v>
      </c>
      <c r="AR82" s="36">
        <v>0.636576829071551</v>
      </c>
      <c r="AS82" s="36">
        <v>0.636576829071551</v>
      </c>
      <c r="AT82" s="36">
        <v>3.0834225866809799</v>
      </c>
      <c r="AU82" s="36">
        <v>0.22314355131420999</v>
      </c>
      <c r="AV82" s="36">
        <v>3.6506582412937401</v>
      </c>
      <c r="AW82" s="36">
        <v>4.1510399058986502</v>
      </c>
      <c r="AX82" s="36">
        <v>4.1510399058986502</v>
      </c>
      <c r="AY82" s="36">
        <v>4.0103649484268296</v>
      </c>
      <c r="AZ82" s="36">
        <v>3.9318256327243302</v>
      </c>
      <c r="BA82" s="36">
        <v>0.45932178089887499</v>
      </c>
      <c r="BB82" s="36">
        <v>3.2580965380214799</v>
      </c>
      <c r="BC82" s="36">
        <v>0.117783035656383</v>
      </c>
      <c r="BD82" s="36">
        <v>0.117783035656383</v>
      </c>
      <c r="BE82" s="36">
        <v>0.117783035656383</v>
      </c>
      <c r="BF82" s="36">
        <v>0.117783035656383</v>
      </c>
      <c r="BG82" s="36">
        <v>0.69314718055994495</v>
      </c>
      <c r="BH82" s="36">
        <v>0.55961578793542299</v>
      </c>
      <c r="BI82" s="36">
        <v>0.69314718055994495</v>
      </c>
      <c r="BJ82" s="36">
        <v>0.81093021621632899</v>
      </c>
      <c r="BK82" s="36">
        <v>0.69314718055994495</v>
      </c>
      <c r="BL82" s="36">
        <v>0.22314355131420999</v>
      </c>
      <c r="BM82" s="36">
        <v>0</v>
      </c>
      <c r="BN82" s="36">
        <v>0</v>
      </c>
      <c r="BO82" s="36">
        <v>7.9734968018853505E-2</v>
      </c>
      <c r="BP82" s="36">
        <v>1.3862943611198899</v>
      </c>
      <c r="BQ82" s="36">
        <v>1.1786549963416499</v>
      </c>
      <c r="BR82" s="36">
        <v>1.44691898293633</v>
      </c>
      <c r="BS82" s="36">
        <v>1.34364778639842</v>
      </c>
      <c r="BT82" s="36">
        <v>1.64229224930505</v>
      </c>
      <c r="BU82" s="36">
        <v>4.0103649484268296</v>
      </c>
      <c r="BV82" s="36">
        <v>3.7534257877209898</v>
      </c>
      <c r="BW82" s="36">
        <v>3.9070104636046001</v>
      </c>
      <c r="BX82" s="36">
        <v>0.65076146406350699</v>
      </c>
      <c r="BY82" s="36">
        <v>3.5662597405660299</v>
      </c>
      <c r="BZ82" s="36">
        <v>2.7271990199409699</v>
      </c>
      <c r="CA82" s="36">
        <v>4.1989447889335203</v>
      </c>
      <c r="CB82" s="36">
        <v>0</v>
      </c>
      <c r="CC82" s="36">
        <v>3.9059174477869201</v>
      </c>
      <c r="CD82" s="36">
        <v>3.1240872479254498</v>
      </c>
      <c r="CE82" s="36">
        <v>3.3306505083395699</v>
      </c>
      <c r="CF82" s="36">
        <v>1.28334639181926</v>
      </c>
      <c r="CH82" t="str">
        <f t="shared" si="1"/>
        <v>/*204*/ 000  1 2.60268968544438 2.20717490818939 2.37861977927004 7.48211892355212 7.51261754467451 7.45066079621154 8.58035576637388 1.01450577937111 1.79175946922805 1.67952352000079 1.66297867936213 1.71307694719359 0.936485439159674 0.264669298142708 0.316998126785834 0.459321780898875 0.349952398177906 0.238229188732251 0.62057648772511 0.470003629245736 0.65232518603969 0.65232518603969 2.47190583761075 0 3.25809653802148 0 3.25809653802148 0 4.33073334028633 0 4.33073334028633 4.33073334028633 0.19062035960865 0.184818436992542 0.185649346886629 0.186479566942618 0.20294084399669 0.343589704390077 0.476234178996372 0.636576829071551 0.636576829071551 3.08342258668098 0.22314355131421 3.65065824129374 4.15103990589865 4.15103990589865 4.01036494842683 3.93182563272433 0.459321780898875 3.25809653802148 0.117783035656383 0.117783035656383 0.117783035656383 0.117783035656383 0.693147180559945 0.559615787935423 0.693147180559945 0.810930216216329 0.693147180559945 0.22314355131421 0 0 7.97349680188535E-02 1.38629436111989 1.17865499634165 1.44691898293633 1.34364778639842 1.64229224930505 4.01036494842683 3.75342578772099 3.9070104636046 0.650761464063507 3.56625974056603 2.72719901994097 4.19894478893352 0 3.90591744778692 3.12408724792545 3.33065050833957 1.28334639181926;</v>
      </c>
    </row>
    <row r="83" spans="1:86" x14ac:dyDescent="0.25">
      <c r="A83" s="2">
        <v>5</v>
      </c>
      <c r="B83" s="2">
        <v>0</v>
      </c>
      <c r="C83" s="2">
        <v>0</v>
      </c>
      <c r="D83" s="2">
        <v>0</v>
      </c>
      <c r="E83" s="36">
        <v>2.8848007128467099</v>
      </c>
      <c r="F83" s="36">
        <v>2.2470723830637902</v>
      </c>
      <c r="G83" s="36">
        <v>2.5817308344235399</v>
      </c>
      <c r="H83" s="36">
        <v>6.3868793193626496</v>
      </c>
      <c r="I83" s="36">
        <v>6.5708829623395797</v>
      </c>
      <c r="J83" s="36">
        <v>6.4831073514571997</v>
      </c>
      <c r="K83" s="36">
        <v>7.5806997522245601</v>
      </c>
      <c r="L83" s="36">
        <v>5.9211859631845998E-2</v>
      </c>
      <c r="M83" s="36">
        <v>1.2383742310432699</v>
      </c>
      <c r="N83" s="36">
        <v>1.30833281965018</v>
      </c>
      <c r="O83" s="36">
        <v>1.5040773967762699</v>
      </c>
      <c r="P83" s="36">
        <v>1.3566080507495299</v>
      </c>
      <c r="Q83" s="36">
        <v>0.67345454721420905</v>
      </c>
      <c r="R83" s="36">
        <v>0.111541374732907</v>
      </c>
      <c r="S83" s="36">
        <v>0.12663265093336601</v>
      </c>
      <c r="T83" s="36">
        <v>0.169742774587095</v>
      </c>
      <c r="U83" s="36">
        <v>0.136277618292548</v>
      </c>
      <c r="V83" s="36">
        <v>7.6034686275997604E-2</v>
      </c>
      <c r="W83" s="36">
        <v>0.262364264467491</v>
      </c>
      <c r="X83" s="36">
        <v>0.29266961396281999</v>
      </c>
      <c r="Y83" s="36">
        <v>0.307484699747961</v>
      </c>
      <c r="Z83" s="36">
        <v>0.307484699747961</v>
      </c>
      <c r="AA83" s="36">
        <v>3.0317748649009202</v>
      </c>
      <c r="AB83" s="36">
        <v>1.8803806608815801</v>
      </c>
      <c r="AC83" s="36">
        <v>2.7006226852734101</v>
      </c>
      <c r="AD83" s="36">
        <v>0</v>
      </c>
      <c r="AE83" s="36">
        <v>3.0176894409060302</v>
      </c>
      <c r="AF83" s="36">
        <v>1.32919476907932</v>
      </c>
      <c r="AG83" s="36">
        <v>4.3666337700664002</v>
      </c>
      <c r="AH83" s="36">
        <v>0</v>
      </c>
      <c r="AI83" s="36">
        <v>4.4012899008547297</v>
      </c>
      <c r="AJ83" s="36">
        <v>4.3666337700664002</v>
      </c>
      <c r="AK83" s="36">
        <v>0.19967019512856801</v>
      </c>
      <c r="AL83" s="36">
        <v>0.118671529717499</v>
      </c>
      <c r="AM83" s="36">
        <v>0.10345870836823</v>
      </c>
      <c r="AN83" s="36">
        <v>0.13976194237515899</v>
      </c>
      <c r="AO83" s="36">
        <v>0.16211884947643501</v>
      </c>
      <c r="AP83" s="36">
        <v>0.52472852893498201</v>
      </c>
      <c r="AQ83" s="36">
        <v>0.41210965082683298</v>
      </c>
      <c r="AR83" s="36">
        <v>0.34358970439007702</v>
      </c>
      <c r="AS83" s="36">
        <v>0.52472852893498201</v>
      </c>
      <c r="AT83" s="36">
        <v>3.0834225866809799</v>
      </c>
      <c r="AU83" s="36">
        <v>0.188966099512623</v>
      </c>
      <c r="AV83" s="36">
        <v>3.6506582412937401</v>
      </c>
      <c r="AW83" s="36">
        <v>4.3307333402863302</v>
      </c>
      <c r="AX83" s="36">
        <v>4.1510399058986502</v>
      </c>
      <c r="AY83" s="36">
        <v>4.0831656436306698</v>
      </c>
      <c r="AZ83" s="36">
        <v>3.5361069907765299</v>
      </c>
      <c r="BA83" s="36">
        <v>0.69314718055994495</v>
      </c>
      <c r="BB83" s="36">
        <v>2.8716984926305398</v>
      </c>
      <c r="BC83" s="36">
        <v>0.405465108108164</v>
      </c>
      <c r="BD83" s="36">
        <v>0.48550781578170099</v>
      </c>
      <c r="BE83" s="36">
        <v>0.55961578793542299</v>
      </c>
      <c r="BF83" s="36">
        <v>0.48550781578170099</v>
      </c>
      <c r="BG83" s="36">
        <v>0.73380916227883497</v>
      </c>
      <c r="BH83" s="36">
        <v>0.22314355131420999</v>
      </c>
      <c r="BI83" s="36">
        <v>0</v>
      </c>
      <c r="BJ83" s="36">
        <v>0</v>
      </c>
      <c r="BK83" s="36">
        <v>7.9734968018853505E-2</v>
      </c>
      <c r="BL83" s="36">
        <v>0.81093021621632899</v>
      </c>
      <c r="BM83" s="36">
        <v>0.55961578793542299</v>
      </c>
      <c r="BN83" s="36">
        <v>0.916290731874155</v>
      </c>
      <c r="BO83" s="36">
        <v>0.77334372255422201</v>
      </c>
      <c r="BP83" s="36">
        <v>0.22314355131420999</v>
      </c>
      <c r="BQ83" s="36">
        <v>0.405465108108164</v>
      </c>
      <c r="BR83" s="36">
        <v>0.69314718055994495</v>
      </c>
      <c r="BS83" s="36">
        <v>0.45932178089887499</v>
      </c>
      <c r="BT83" s="36">
        <v>1.64229224930505</v>
      </c>
      <c r="BU83" s="36">
        <v>4.5290124221383596</v>
      </c>
      <c r="BV83" s="36">
        <v>1.64229224930505</v>
      </c>
      <c r="BW83" s="36">
        <v>3.5115454388310199</v>
      </c>
      <c r="BX83" s="36">
        <v>0.81093021621632899</v>
      </c>
      <c r="BY83" s="36">
        <v>2.3965307058365699</v>
      </c>
      <c r="BZ83" s="36">
        <v>2.0749313862019498</v>
      </c>
      <c r="CA83" s="36">
        <v>4.5110243280978599</v>
      </c>
      <c r="CB83" s="36">
        <v>2.66258782679289</v>
      </c>
      <c r="CC83" s="36">
        <v>3.8803179403293702</v>
      </c>
      <c r="CD83" s="36">
        <v>1.1082277472862101</v>
      </c>
      <c r="CE83" s="36">
        <v>0.97173000904509499</v>
      </c>
      <c r="CF83" s="36">
        <v>3.5988331735507302</v>
      </c>
      <c r="CH83" t="str">
        <f t="shared" si="1"/>
        <v>/*5*/ 000  1 2.88480071284671 2.24707238306379 2.58173083442354 6.38687931936265 6.57088296233958 6.4831073514572 7.58069975222456 0.059211859631846 1.23837423104327 1.30833281965018 1.50407739677627 1.35660805074953 0.673454547214209 0.111541374732907 0.126632650933366 0.169742774587095 0.136277618292548 7.60346862759976E-02 0.262364264467491 0.29266961396282 0.307484699747961 0.307484699747961 3.03177486490092 1.88038066088158 2.70062268527341 0 3.01768944090603 1.32919476907932 4.3666337700664 0 4.40128990085473 4.3666337700664 0.199670195128568 0.118671529717499 0.10345870836823 0.139761942375159 0.162118849476435 0.524728528934982 0.412109650826833 0.343589704390077 0.524728528934982 3.08342258668098 0.188966099512623 3.65065824129374 4.33073334028633 4.15103990589865 4.08316564363067 3.53610699077653 0.693147180559945 2.87169849263054 0.405465108108164 0.485507815781701 0.559615787935423 0.485507815781701 0.733809162278835 0.22314355131421 0 0 7.97349680188535E-02 0.810930216216329 0.559615787935423 0.916290731874155 0.773343722554222 0.22314355131421 0.405465108108164 0.693147180559945 0.459321780898875 1.64229224930505 4.52901242213836 1.64229224930505 3.51154543883102 0.810930216216329 2.39653070583657 2.07493138620195 4.51102432809786 2.66258782679289 3.88031794032937 1.10822774728621 0.971730009045095 3.59883317355073;</v>
      </c>
    </row>
    <row r="84" spans="1:86" x14ac:dyDescent="0.25">
      <c r="A84" s="2">
        <v>8</v>
      </c>
      <c r="B84" s="2">
        <v>0</v>
      </c>
      <c r="C84" s="2">
        <v>0</v>
      </c>
      <c r="D84" s="2">
        <v>0</v>
      </c>
      <c r="E84" s="36">
        <v>2.8507065015037298</v>
      </c>
      <c r="F84" s="36">
        <v>2.2321626286975</v>
      </c>
      <c r="G84" s="36">
        <v>2.6878474937846901</v>
      </c>
      <c r="H84" s="36">
        <v>5.8998973535824897</v>
      </c>
      <c r="I84" s="36">
        <v>6.12249280951439</v>
      </c>
      <c r="J84" s="36">
        <v>6.0822189103764499</v>
      </c>
      <c r="K84" s="36">
        <v>7.1364832085902501</v>
      </c>
      <c r="L84" s="36">
        <v>0</v>
      </c>
      <c r="M84" s="36">
        <v>1.3217558399823199</v>
      </c>
      <c r="N84" s="36">
        <v>1.2527629684953701</v>
      </c>
      <c r="O84" s="36">
        <v>1.4872702784598899</v>
      </c>
      <c r="P84" s="36">
        <v>1.35892316432376</v>
      </c>
      <c r="Q84" s="36">
        <v>0.57210885218288898</v>
      </c>
      <c r="R84" s="36">
        <v>0.147557564357615</v>
      </c>
      <c r="S84" s="36">
        <v>0.157003748809665</v>
      </c>
      <c r="T84" s="36">
        <v>0.116003675756306</v>
      </c>
      <c r="U84" s="36">
        <v>0.14063112973974601</v>
      </c>
      <c r="V84" s="36">
        <v>9.0754363268464103E-2</v>
      </c>
      <c r="W84" s="36">
        <v>0.322083499169113</v>
      </c>
      <c r="X84" s="36">
        <v>0.33647223662121301</v>
      </c>
      <c r="Y84" s="36">
        <v>0.262364264467491</v>
      </c>
      <c r="Z84" s="36">
        <v>0.33647223662121301</v>
      </c>
      <c r="AA84" s="36">
        <v>3.00602907903136</v>
      </c>
      <c r="AB84" s="36">
        <v>0</v>
      </c>
      <c r="AC84" s="36">
        <v>2.3393990661167599</v>
      </c>
      <c r="AD84" s="36">
        <v>1.41706601978664</v>
      </c>
      <c r="AE84" s="36">
        <v>2.6026896854443802</v>
      </c>
      <c r="AF84" s="36">
        <v>3.37159691188586</v>
      </c>
      <c r="AG84" s="36">
        <v>4.1005751119727396</v>
      </c>
      <c r="AH84" s="36">
        <v>0</v>
      </c>
      <c r="AI84" s="36">
        <v>4.4830025520138799</v>
      </c>
      <c r="AJ84" s="36">
        <v>4.1005751119727396</v>
      </c>
      <c r="AK84" s="36">
        <v>0.14583044821154001</v>
      </c>
      <c r="AL84" s="36">
        <v>0.169742774587095</v>
      </c>
      <c r="AM84" s="36">
        <v>0.16296882827813999</v>
      </c>
      <c r="AN84" s="36">
        <v>0.159564569671338</v>
      </c>
      <c r="AO84" s="36">
        <v>0.13015068446504499</v>
      </c>
      <c r="AP84" s="36">
        <v>0.262364264467491</v>
      </c>
      <c r="AQ84" s="36">
        <v>0.482426149244293</v>
      </c>
      <c r="AR84" s="36">
        <v>0.262364264467491</v>
      </c>
      <c r="AS84" s="36">
        <v>0.482426149244293</v>
      </c>
      <c r="AT84" s="36">
        <v>4.2145986164699201</v>
      </c>
      <c r="AU84" s="36">
        <v>0.15443635330441899</v>
      </c>
      <c r="AV84" s="36">
        <v>3.2580965380214799</v>
      </c>
      <c r="AW84" s="36">
        <v>2.6026896854443802</v>
      </c>
      <c r="AX84" s="36">
        <v>2.6026896854443802</v>
      </c>
      <c r="AY84" s="36">
        <v>2.8716984926305398</v>
      </c>
      <c r="AZ84" s="36">
        <v>4.2145986164699201</v>
      </c>
      <c r="BA84" s="36">
        <v>0.60595396885756803</v>
      </c>
      <c r="BB84" s="36">
        <v>2.8716984926305398</v>
      </c>
      <c r="BC84" s="36">
        <v>0.22314355131420999</v>
      </c>
      <c r="BD84" s="36">
        <v>0.22314355131420999</v>
      </c>
      <c r="BE84" s="36">
        <v>0.22314355131420999</v>
      </c>
      <c r="BF84" s="36">
        <v>0.22314355131420999</v>
      </c>
      <c r="BG84" s="36">
        <v>0.48550781578170099</v>
      </c>
      <c r="BH84" s="36">
        <v>0.22314355131420999</v>
      </c>
      <c r="BI84" s="36">
        <v>0.405465108108164</v>
      </c>
      <c r="BJ84" s="36">
        <v>0</v>
      </c>
      <c r="BK84" s="36">
        <v>0.22314355131420999</v>
      </c>
      <c r="BL84" s="36">
        <v>0.55961578793542299</v>
      </c>
      <c r="BM84" s="36">
        <v>0.55961578793542299</v>
      </c>
      <c r="BN84" s="36">
        <v>1.2527629684953701</v>
      </c>
      <c r="BO84" s="36">
        <v>0.84715499303929298</v>
      </c>
      <c r="BP84" s="36">
        <v>0.405465108108164</v>
      </c>
      <c r="BQ84" s="36">
        <v>0.55961578793542299</v>
      </c>
      <c r="BR84" s="36">
        <v>0.405465108108164</v>
      </c>
      <c r="BS84" s="36">
        <v>0.45932178089887499</v>
      </c>
      <c r="BT84" s="36">
        <v>2.8716984926305398</v>
      </c>
      <c r="BU84" s="36">
        <v>4.2145986164699201</v>
      </c>
      <c r="BV84" s="36">
        <v>2.8716984926305398</v>
      </c>
      <c r="BW84" s="36">
        <v>3.5541473409128899</v>
      </c>
      <c r="BX84" s="36">
        <v>0.75377180237637997</v>
      </c>
      <c r="BY84" s="36">
        <v>2.8801530577018299</v>
      </c>
      <c r="BZ84" s="36">
        <v>1.99931549720055</v>
      </c>
      <c r="CA84" s="36">
        <v>4.4329930006261504</v>
      </c>
      <c r="CB84" s="36">
        <v>0</v>
      </c>
      <c r="CC84" s="36">
        <v>4.5371508663742599</v>
      </c>
      <c r="CD84" s="36">
        <v>2.14893933620503</v>
      </c>
      <c r="CE84" s="36">
        <v>0</v>
      </c>
      <c r="CF84" s="36">
        <v>0</v>
      </c>
      <c r="CH84" t="str">
        <f t="shared" si="1"/>
        <v>/*8*/ 000  1 2.85070650150373 2.2321626286975 2.68784749378469 5.89989735358249 6.12249280951439 6.08221891037645 7.13648320859025 0 1.32175583998232 1.25276296849537 1.48727027845989 1.35892316432376 0.572108852182889 0.147557564357615 0.157003748809665 0.116003675756306 0.140631129739746 9.07543632684641E-02 0.322083499169113 0.336472236621213 0.262364264467491 0.336472236621213 3.00602907903136 0 2.33939906611676 1.41706601978664 2.60268968544438 3.37159691188586 4.10057511197274 0 4.48300255201388 4.10057511197274 0.14583044821154 0.169742774587095 0.16296882827814 0.159564569671338 0.130150684465045 0.262364264467491 0.482426149244293 0.262364264467491 0.482426149244293 4.21459861646992 0.154436353304419 3.25809653802148 2.60268968544438 2.60268968544438 2.87169849263054 4.21459861646992 0.605953968857568 2.87169849263054 0.22314355131421 0.22314355131421 0.22314355131421 0.22314355131421 0.485507815781701 0.22314355131421 0.405465108108164 0 0.22314355131421 0.559615787935423 0.559615787935423 1.25276296849537 0.847154993039293 0.405465108108164 0.559615787935423 0.405465108108164 0.459321780898875 2.87169849263054 4.21459861646992 2.87169849263054 3.55414734091289 0.75377180237638 2.88015305770183 1.99931549720055 4.43299300062615 0 4.53715086637426 2.14893933620503 0 0;</v>
      </c>
    </row>
    <row r="85" spans="1:86" x14ac:dyDescent="0.25">
      <c r="A85" s="2">
        <v>10</v>
      </c>
      <c r="B85" s="2">
        <v>0</v>
      </c>
      <c r="C85" s="2">
        <v>0</v>
      </c>
      <c r="D85" s="2">
        <v>0</v>
      </c>
      <c r="E85" s="36">
        <v>2.58021682959233</v>
      </c>
      <c r="F85" s="36">
        <v>2.1667653698515101</v>
      </c>
      <c r="G85" s="36">
        <v>2.6203112867942</v>
      </c>
      <c r="H85" s="36">
        <v>5.6094717951849598</v>
      </c>
      <c r="I85" s="36">
        <v>5.7268477475872004</v>
      </c>
      <c r="J85" s="36">
        <v>5.8111409929766999</v>
      </c>
      <c r="K85" s="36">
        <v>6.8156399900743301</v>
      </c>
      <c r="L85" s="36">
        <v>0</v>
      </c>
      <c r="M85" s="36">
        <v>1.4141526892482901</v>
      </c>
      <c r="N85" s="36">
        <v>1.31184017519494</v>
      </c>
      <c r="O85" s="36">
        <v>1.3545456628053101</v>
      </c>
      <c r="P85" s="36">
        <v>1.3609765531356</v>
      </c>
      <c r="Q85" s="36">
        <v>0.74146104083849596</v>
      </c>
      <c r="R85" s="36">
        <v>0.148420005118273</v>
      </c>
      <c r="S85" s="36">
        <v>0.109750863959119</v>
      </c>
      <c r="T85" s="36">
        <v>0.117783035656383</v>
      </c>
      <c r="U85" s="36">
        <v>0.123985979780991</v>
      </c>
      <c r="V85" s="36">
        <v>5.3540766928029802E-2</v>
      </c>
      <c r="W85" s="36">
        <v>0.21511137961694499</v>
      </c>
      <c r="X85" s="36">
        <v>0.17395330712343801</v>
      </c>
      <c r="Y85" s="36">
        <v>0.198850858745165</v>
      </c>
      <c r="Z85" s="36">
        <v>0.21511137961694499</v>
      </c>
      <c r="AA85" s="36">
        <v>3.1361896262492501</v>
      </c>
      <c r="AB85" s="36">
        <v>0</v>
      </c>
      <c r="AC85" s="36">
        <v>2.4941141305389101</v>
      </c>
      <c r="AD85" s="36">
        <v>2.4941141305389101</v>
      </c>
      <c r="AE85" s="36">
        <v>3.14510010520481</v>
      </c>
      <c r="AF85" s="36">
        <v>2.1290646921531602</v>
      </c>
      <c r="AG85" s="36">
        <v>4.2678776129829803</v>
      </c>
      <c r="AH85" s="36">
        <v>0</v>
      </c>
      <c r="AI85" s="36">
        <v>4.3666337700664002</v>
      </c>
      <c r="AJ85" s="36">
        <v>4.2678776129829803</v>
      </c>
      <c r="AK85" s="36">
        <v>0.16211884947643501</v>
      </c>
      <c r="AL85" s="36">
        <v>0.157003748809665</v>
      </c>
      <c r="AM85" s="36">
        <v>0.10526051065749301</v>
      </c>
      <c r="AN85" s="36">
        <v>0.17395330712343801</v>
      </c>
      <c r="AO85" s="36">
        <v>0.19474407679251199</v>
      </c>
      <c r="AP85" s="36">
        <v>0.32930374714260002</v>
      </c>
      <c r="AQ85" s="36">
        <v>0.32930374714260002</v>
      </c>
      <c r="AR85" s="36">
        <v>0.322083499169113</v>
      </c>
      <c r="AS85" s="36">
        <v>0.32930374714260002</v>
      </c>
      <c r="AT85" s="36">
        <v>3.9318256327243302</v>
      </c>
      <c r="AU85" s="36">
        <v>0.25619140536041002</v>
      </c>
      <c r="AV85" s="36">
        <v>3.6506582412937401</v>
      </c>
      <c r="AW85" s="36">
        <v>0</v>
      </c>
      <c r="AX85" s="36">
        <v>3.2580965380214799</v>
      </c>
      <c r="AY85" s="36">
        <v>3.0834225866809799</v>
      </c>
      <c r="AZ85" s="36">
        <v>3.9318256327243302</v>
      </c>
      <c r="BA85" s="36">
        <v>0.69314718055994495</v>
      </c>
      <c r="BB85" s="36">
        <v>2.2335565065836098</v>
      </c>
      <c r="BC85" s="36">
        <v>0.117783035656383</v>
      </c>
      <c r="BD85" s="36">
        <v>0</v>
      </c>
      <c r="BE85" s="36">
        <v>0.22314355131420999</v>
      </c>
      <c r="BF85" s="36">
        <v>0.117783035656383</v>
      </c>
      <c r="BG85" s="36">
        <v>0.65076146406350699</v>
      </c>
      <c r="BH85" s="36">
        <v>0.22314355131420999</v>
      </c>
      <c r="BI85" s="36">
        <v>0.22314355131420999</v>
      </c>
      <c r="BJ85" s="36">
        <v>0.55961578793542299</v>
      </c>
      <c r="BK85" s="36">
        <v>0.34854196070854299</v>
      </c>
      <c r="BL85" s="36">
        <v>0.69314718055994495</v>
      </c>
      <c r="BM85" s="36">
        <v>1.2527629684953701</v>
      </c>
      <c r="BN85" s="36">
        <v>1.1786549963416499</v>
      </c>
      <c r="BO85" s="36">
        <v>1.07055569088558</v>
      </c>
      <c r="BP85" s="36">
        <v>0</v>
      </c>
      <c r="BQ85" s="36">
        <v>0.405465108108164</v>
      </c>
      <c r="BR85" s="36">
        <v>0.55961578793542299</v>
      </c>
      <c r="BS85" s="36">
        <v>0.34854196070854299</v>
      </c>
      <c r="BT85" s="36">
        <v>4.0103649484268296</v>
      </c>
      <c r="BU85" s="36">
        <v>3.7534257877209898</v>
      </c>
      <c r="BV85" s="36">
        <v>1.64229224930505</v>
      </c>
      <c r="BW85" s="36">
        <v>3.0719059677768299</v>
      </c>
      <c r="BX85" s="36">
        <v>0.84715499303929298</v>
      </c>
      <c r="BY85" s="36">
        <v>1.42383096464862</v>
      </c>
      <c r="BZ85" s="36">
        <v>1.1477198627751399</v>
      </c>
      <c r="CA85" s="36">
        <v>4.5834050341998802</v>
      </c>
      <c r="CB85" s="36">
        <v>1.9333074031616899</v>
      </c>
      <c r="CC85" s="36">
        <v>3.9642730286147101</v>
      </c>
      <c r="CD85" s="36">
        <v>1.8880576388399799</v>
      </c>
      <c r="CE85" s="36">
        <v>0</v>
      </c>
      <c r="CF85" s="36">
        <v>3.50903189865336</v>
      </c>
      <c r="CH85" t="str">
        <f t="shared" si="1"/>
        <v>/*10*/ 000  1 2.58021682959233 2.16676536985151 2.6203112867942 5.60947179518496 5.7268477475872 5.8111409929767 6.81563999007433 0 1.41415268924829 1.31184017519494 1.35454566280531 1.3609765531356 0.741461040838496 0.148420005118273 0.109750863959119 0.117783035656383 0.123985979780991 5.35407669280298E-02 0.215111379616945 0.173953307123438 0.198850858745165 0.215111379616945 3.13618962624925 0 2.49411413053891 2.49411413053891 3.14510010520481 2.12906469215316 4.26787761298298 0 4.3666337700664 4.26787761298298 0.162118849476435 0.157003748809665 0.105260510657493 0.173953307123438 0.194744076792512 0.3293037471426 0.3293037471426 0.322083499169113 0.3293037471426 3.93182563272433 0.25619140536041 3.65065824129374 0 3.25809653802148 3.08342258668098 3.93182563272433 0.693147180559945 2.23355650658361 0.117783035656383 0 0.22314355131421 0.117783035656383 0.650761464063507 0.22314355131421 0.22314355131421 0.559615787935423 0.348541960708543 0.693147180559945 1.25276296849537 1.17865499634165 1.07055569088558 0 0.405465108108164 0.559615787935423 0.348541960708543 4.01036494842683 3.75342578772099 1.64229224930505 3.07190596777683 0.847154993039293 1.42383096464862 1.14771986277514 4.58340503419988 1.93330740316169 3.96427302861471 1.88805763883998 0 3.50903189865336;</v>
      </c>
    </row>
    <row r="86" spans="1:86" x14ac:dyDescent="0.25">
      <c r="A86" s="2">
        <v>17</v>
      </c>
      <c r="B86" s="2">
        <v>0</v>
      </c>
      <c r="C86" s="2">
        <v>0</v>
      </c>
      <c r="D86" s="2">
        <v>0</v>
      </c>
      <c r="E86" s="36">
        <v>2.7013612129514102</v>
      </c>
      <c r="F86" s="36">
        <v>2.2321626286975</v>
      </c>
      <c r="G86" s="36">
        <v>2.5376572151735299</v>
      </c>
      <c r="H86" s="36">
        <v>6.7900972355139002</v>
      </c>
      <c r="I86" s="36">
        <v>6.6682282484173996</v>
      </c>
      <c r="J86" s="36">
        <v>6.70196036600254</v>
      </c>
      <c r="K86" s="36">
        <v>7.8192344538590701</v>
      </c>
      <c r="L86" s="36">
        <v>6.9526062648610304E-2</v>
      </c>
      <c r="M86" s="36">
        <v>1.83864305512691</v>
      </c>
      <c r="N86" s="36">
        <v>1.7771533168386899</v>
      </c>
      <c r="O86" s="36">
        <v>1.6486586255873801</v>
      </c>
      <c r="P86" s="36">
        <v>1.7578579175523701</v>
      </c>
      <c r="Q86" s="36">
        <v>1.04063000612976</v>
      </c>
      <c r="R86" s="36">
        <v>0.19309662996191301</v>
      </c>
      <c r="S86" s="36">
        <v>0.21511137961694499</v>
      </c>
      <c r="T86" s="36">
        <v>0.23031775506221</v>
      </c>
      <c r="U86" s="36">
        <v>0.212689093410351</v>
      </c>
      <c r="V86" s="36">
        <v>0.143234168085908</v>
      </c>
      <c r="W86" s="36">
        <v>0.46373401623214</v>
      </c>
      <c r="X86" s="36">
        <v>0.54232429082536204</v>
      </c>
      <c r="Y86" s="36">
        <v>0.45742484703887498</v>
      </c>
      <c r="Z86" s="36">
        <v>0.54232429082536204</v>
      </c>
      <c r="AA86" s="36">
        <v>3.0555565751996601</v>
      </c>
      <c r="AB86" s="36">
        <v>0</v>
      </c>
      <c r="AC86" s="36">
        <v>2.3536583631780501</v>
      </c>
      <c r="AD86" s="36">
        <v>2.0971586624849898</v>
      </c>
      <c r="AE86" s="36">
        <v>2.8716984926305398</v>
      </c>
      <c r="AF86" s="36">
        <v>0</v>
      </c>
      <c r="AG86" s="36">
        <v>4.4061337100171096</v>
      </c>
      <c r="AH86" s="36">
        <v>1.21817152372575</v>
      </c>
      <c r="AI86" s="36">
        <v>4.43477324748243</v>
      </c>
      <c r="AJ86" s="36">
        <v>4.4061337100171096</v>
      </c>
      <c r="AK86" s="36">
        <v>0.17395330712343801</v>
      </c>
      <c r="AL86" s="36">
        <v>0.12927233570413901</v>
      </c>
      <c r="AM86" s="36">
        <v>0.181487876045377</v>
      </c>
      <c r="AN86" s="36">
        <v>0.16211884947643501</v>
      </c>
      <c r="AO86" s="36">
        <v>0.141499562273699</v>
      </c>
      <c r="AP86" s="36">
        <v>0.45107561936021701</v>
      </c>
      <c r="AQ86" s="36">
        <v>0.33647223662121301</v>
      </c>
      <c r="AR86" s="36">
        <v>0.42526773540434398</v>
      </c>
      <c r="AS86" s="36">
        <v>0.45107561936021701</v>
      </c>
      <c r="AT86" s="36">
        <v>3.7534257877209898</v>
      </c>
      <c r="AU86" s="36">
        <v>0.188966099512623</v>
      </c>
      <c r="AV86" s="36">
        <v>3.6506582412937401</v>
      </c>
      <c r="AW86" s="36">
        <v>3.6506582412937401</v>
      </c>
      <c r="AX86" s="36">
        <v>3.6506582412937401</v>
      </c>
      <c r="AY86" s="36">
        <v>3.6506582412937401</v>
      </c>
      <c r="AZ86" s="36">
        <v>3.7534257877209898</v>
      </c>
      <c r="BA86" s="36">
        <v>0.69314718055994495</v>
      </c>
      <c r="BB86" s="36">
        <v>3.2580965380214799</v>
      </c>
      <c r="BC86" s="36">
        <v>0.48550781578170099</v>
      </c>
      <c r="BD86" s="36">
        <v>0.48550781578170099</v>
      </c>
      <c r="BE86" s="36">
        <v>0.55961578793542299</v>
      </c>
      <c r="BF86" s="36">
        <v>0.51102560376865702</v>
      </c>
      <c r="BG86" s="36">
        <v>0.71392971974247399</v>
      </c>
      <c r="BH86" s="36">
        <v>0.405465108108164</v>
      </c>
      <c r="BI86" s="36">
        <v>0.22314355131420999</v>
      </c>
      <c r="BJ86" s="36">
        <v>0.55961578793542299</v>
      </c>
      <c r="BK86" s="36">
        <v>0.405465108108164</v>
      </c>
      <c r="BL86" s="36">
        <v>0.55961578793542299</v>
      </c>
      <c r="BM86" s="36">
        <v>1.09861228866811</v>
      </c>
      <c r="BN86" s="36">
        <v>0.69314718055994495</v>
      </c>
      <c r="BO86" s="36">
        <v>0.81093021621632899</v>
      </c>
      <c r="BP86" s="36">
        <v>0.69314718055994495</v>
      </c>
      <c r="BQ86" s="36">
        <v>0.81093021621632899</v>
      </c>
      <c r="BR86" s="36">
        <v>1.09861228866811</v>
      </c>
      <c r="BS86" s="36">
        <v>0.88252710172134596</v>
      </c>
      <c r="BT86" s="36">
        <v>3.2580965380214799</v>
      </c>
      <c r="BU86" s="36">
        <v>4.0831656436306698</v>
      </c>
      <c r="BV86" s="36">
        <v>2.8716984926305398</v>
      </c>
      <c r="BW86" s="36">
        <v>3.4990195552816798</v>
      </c>
      <c r="BX86" s="36">
        <v>0.34854196070854299</v>
      </c>
      <c r="BY86" s="36">
        <v>2.99167405009314</v>
      </c>
      <c r="BZ86" s="36">
        <v>1.9787921335299099</v>
      </c>
      <c r="CA86" s="36">
        <v>4.4077065645841103</v>
      </c>
      <c r="CB86" s="36">
        <v>0</v>
      </c>
      <c r="CC86" s="36">
        <v>4.6151205168412597</v>
      </c>
      <c r="CD86" s="36">
        <v>0</v>
      </c>
      <c r="CE86" s="36">
        <v>0</v>
      </c>
      <c r="CF86" s="36">
        <v>0</v>
      </c>
      <c r="CH86" t="str">
        <f t="shared" si="1"/>
        <v>/*17*/ 000  1 2.70136121295141 2.2321626286975 2.53765721517353 6.7900972355139 6.6682282484174 6.70196036600254 7.81923445385907 6.95260626486103E-02 1.83864305512691 1.77715331683869 1.64865862558738 1.75785791755237 1.04063000612976 0.193096629961913 0.215111379616945 0.23031775506221 0.212689093410351 0.143234168085908 0.46373401623214 0.542324290825362 0.457424847038875 0.542324290825362 3.05555657519966 0 2.35365836317805 2.09715866248499 2.87169849263054 0 4.40613371001711 1.21817152372575 4.43477324748243 4.40613371001711 0.173953307123438 0.129272335704139 0.181487876045377 0.162118849476435 0.141499562273699 0.451075619360217 0.336472236621213 0.425267735404344 0.451075619360217 3.75342578772099 0.188966099512623 3.65065824129374 3.65065824129374 3.65065824129374 3.65065824129374 3.75342578772099 0.693147180559945 3.25809653802148 0.485507815781701 0.485507815781701 0.559615787935423 0.511025603768657 0.713929719742474 0.405465108108164 0.22314355131421 0.559615787935423 0.405465108108164 0.559615787935423 1.09861228866811 0.693147180559945 0.810930216216329 0.693147180559945 0.810930216216329 1.09861228866811 0.882527101721346 3.25809653802148 4.08316564363067 2.87169849263054 3.49901955528168 0.348541960708543 2.99167405009314 1.97879213352991 4.40770656458411 0 4.61512051684126 0 0 0;</v>
      </c>
    </row>
    <row r="87" spans="1:86" x14ac:dyDescent="0.25">
      <c r="A87" s="2" t="s">
        <v>11</v>
      </c>
      <c r="B87" s="2">
        <v>0</v>
      </c>
      <c r="C87" s="2">
        <v>0</v>
      </c>
      <c r="D87" s="2">
        <v>0</v>
      </c>
      <c r="E87" s="36">
        <v>2.8332133440562202</v>
      </c>
      <c r="F87" s="36">
        <v>2.2049722641270502</v>
      </c>
      <c r="G87" s="36">
        <v>2.4989739069994399</v>
      </c>
      <c r="H87" s="36">
        <v>5.6489742381612098</v>
      </c>
      <c r="I87" s="36">
        <v>5.8692969131337698</v>
      </c>
      <c r="J87" s="36">
        <v>5.9532433342877802</v>
      </c>
      <c r="K87" s="36">
        <v>6.9285378181646697</v>
      </c>
      <c r="L87" s="36">
        <v>0</v>
      </c>
      <c r="M87" s="36">
        <v>0.98394938034796997</v>
      </c>
      <c r="N87" s="36">
        <v>0.98394938034796997</v>
      </c>
      <c r="O87" s="36">
        <v>1.21639532432449</v>
      </c>
      <c r="P87" s="36">
        <v>1.0674655596712701</v>
      </c>
      <c r="Q87" s="36">
        <v>0.42330502623649502</v>
      </c>
      <c r="R87" s="36">
        <v>0.20701416938432601</v>
      </c>
      <c r="S87" s="36">
        <v>0.195566783543975</v>
      </c>
      <c r="T87" s="36">
        <v>0.23348984336835399</v>
      </c>
      <c r="U87" s="36">
        <v>0.21430460264700499</v>
      </c>
      <c r="V87" s="36">
        <v>7.6034686275997604E-2</v>
      </c>
      <c r="W87" s="36">
        <v>0.262364264467491</v>
      </c>
      <c r="X87" s="36">
        <v>0.262364264467491</v>
      </c>
      <c r="Y87" s="36">
        <v>0.322083499169113</v>
      </c>
      <c r="Z87" s="36">
        <v>0.322083499169113</v>
      </c>
      <c r="AA87" s="36">
        <v>2.19399715257715</v>
      </c>
      <c r="AB87" s="36">
        <v>1.3714344982128699</v>
      </c>
      <c r="AC87" s="36">
        <v>3.9318256327243302</v>
      </c>
      <c r="AD87" s="36">
        <v>2.2848283714047901</v>
      </c>
      <c r="AE87" s="36">
        <v>4.1393975932701697</v>
      </c>
      <c r="AF87" s="36">
        <v>2.7540428049526802</v>
      </c>
      <c r="AG87" s="36">
        <v>3.1998560910309499</v>
      </c>
      <c r="AH87" s="36">
        <v>0</v>
      </c>
      <c r="AI87" s="36">
        <v>3.6695692055794402</v>
      </c>
      <c r="AJ87" s="36">
        <v>3.9318256327243302</v>
      </c>
      <c r="AK87" s="36">
        <v>6.5787740538003195E-2</v>
      </c>
      <c r="AL87" s="36">
        <v>0.14236724128692199</v>
      </c>
      <c r="AM87" s="36">
        <v>4.4016885416774301E-2</v>
      </c>
      <c r="AN87" s="36">
        <v>8.25012215117438E-2</v>
      </c>
      <c r="AO87" s="36">
        <v>0.107059072293408</v>
      </c>
      <c r="AP87" s="36">
        <v>0.16551443847757299</v>
      </c>
      <c r="AQ87" s="36">
        <v>0.45742484703887498</v>
      </c>
      <c r="AR87" s="36">
        <v>0.157003748809665</v>
      </c>
      <c r="AS87" s="36">
        <v>0.45742484703887498</v>
      </c>
      <c r="AT87" s="36">
        <v>2.2335565065836098</v>
      </c>
      <c r="AU87" s="36">
        <v>0.34854196070854299</v>
      </c>
      <c r="AV87" s="36">
        <v>3.6506582412937401</v>
      </c>
      <c r="AW87" s="36">
        <v>3.6506582412937401</v>
      </c>
      <c r="AX87" s="36">
        <v>4.3307333402863302</v>
      </c>
      <c r="AY87" s="36">
        <v>3.9318256327243302</v>
      </c>
      <c r="AZ87" s="36">
        <v>3.7534257877209898</v>
      </c>
      <c r="BA87" s="36">
        <v>0.15443635330441899</v>
      </c>
      <c r="BB87" s="36">
        <v>2.2335565065836098</v>
      </c>
      <c r="BC87" s="36">
        <v>0.117783035656383</v>
      </c>
      <c r="BD87" s="36">
        <v>0.117783035656383</v>
      </c>
      <c r="BE87" s="36">
        <v>0</v>
      </c>
      <c r="BF87" s="36">
        <v>7.9734968018853505E-2</v>
      </c>
      <c r="BG87" s="36">
        <v>7.9734968018853505E-2</v>
      </c>
      <c r="BH87" s="36">
        <v>0.81093021621632899</v>
      </c>
      <c r="BI87" s="36">
        <v>1.2527629684953701</v>
      </c>
      <c r="BJ87" s="36">
        <v>1.0116009116784801</v>
      </c>
      <c r="BK87" s="36">
        <v>1.0413362208483801</v>
      </c>
      <c r="BL87" s="36">
        <v>0</v>
      </c>
      <c r="BM87" s="36">
        <v>0</v>
      </c>
      <c r="BN87" s="36">
        <v>0</v>
      </c>
      <c r="BO87" s="36">
        <v>0</v>
      </c>
      <c r="BP87" s="36">
        <v>1.0116009116784801</v>
      </c>
      <c r="BQ87" s="36">
        <v>1.1786549963416499</v>
      </c>
      <c r="BR87" s="36">
        <v>1.2527629684953701</v>
      </c>
      <c r="BS87" s="36">
        <v>1.1527847675564999</v>
      </c>
      <c r="BT87" s="36">
        <v>0</v>
      </c>
      <c r="BU87" s="36">
        <v>4.2145986164699201</v>
      </c>
      <c r="BV87" s="36">
        <v>3.5361069907765299</v>
      </c>
      <c r="BW87" s="36">
        <v>3.8729286842870598</v>
      </c>
      <c r="BX87" s="36">
        <v>0.34854196070854299</v>
      </c>
      <c r="BY87" s="36">
        <v>3.7998392644221899</v>
      </c>
      <c r="BZ87" s="36">
        <v>2.4242716112506399</v>
      </c>
      <c r="CA87" s="36">
        <v>4.0484053302806604</v>
      </c>
      <c r="CB87" s="36">
        <v>1.33736373763651</v>
      </c>
      <c r="CC87" s="36">
        <v>0</v>
      </c>
      <c r="CD87" s="36">
        <v>3.50565861678843</v>
      </c>
      <c r="CE87" s="36">
        <v>2.0466049013192502</v>
      </c>
      <c r="CF87" s="36">
        <v>4.0800101033451996</v>
      </c>
      <c r="CH87" t="str">
        <f t="shared" si="1"/>
        <v>/*28b*/ 000  1 2.83321334405622 2.20497226412705 2.49897390699944 5.64897423816121 5.86929691313377 5.95324333428778 6.92853781816467 0 0.98394938034797 0.98394938034797 1.21639532432449 1.06746555967127 0.423305026236495 0.207014169384326 0.195566783543975 0.233489843368354 0.214304602647005 7.60346862759976E-02 0.262364264467491 0.262364264467491 0.322083499169113 0.322083499169113 2.19399715257715 1.37143449821287 3.93182563272433 2.28482837140479 4.13939759327017 2.75404280495268 3.19985609103095 0 3.66956920557944 3.93182563272433 6.57877405380032E-02 0.142367241286922 4.40168854167743E-02 8.25012215117438E-02 0.107059072293408 0.165514438477573 0.457424847038875 0.157003748809665 0.457424847038875 2.23355650658361 0.348541960708543 3.65065824129374 3.65065824129374 4.33073334028633 3.93182563272433 3.75342578772099 0.154436353304419 2.23355650658361 0.117783035656383 0.117783035656383 0 7.97349680188535E-02 7.97349680188535E-02 0.810930216216329 1.25276296849537 1.01160091167848 1.04133622084838 0 0 0 0 1.01160091167848 1.17865499634165 1.25276296849537 1.1527847675565 0 4.21459861646992 3.53610699077653 3.87292868428706 0.348541960708543 3.79983926442219 2.42427161125064 4.04840533028066 1.33736373763651 0 3.50565861678843 2.04660490131925 4.0800101033452;</v>
      </c>
    </row>
    <row r="88" spans="1:86" x14ac:dyDescent="0.25">
      <c r="A88" s="2">
        <v>24</v>
      </c>
      <c r="B88" s="2">
        <v>1</v>
      </c>
      <c r="C88" s="2">
        <v>1</v>
      </c>
      <c r="D88" s="2">
        <v>1</v>
      </c>
      <c r="E88" s="36">
        <v>2.7663191092261901</v>
      </c>
      <c r="F88" s="36">
        <v>2.1621729392772999</v>
      </c>
      <c r="G88" s="36">
        <v>2.4185887687503498</v>
      </c>
      <c r="H88" s="36">
        <v>6.7673431252653904</v>
      </c>
      <c r="I88" s="36">
        <v>6.2557500417533696</v>
      </c>
      <c r="J88" s="36">
        <v>6.1923624894748697</v>
      </c>
      <c r="K88" s="36">
        <v>7.5374300365865103</v>
      </c>
      <c r="L88" s="36">
        <v>0.63974640383282999</v>
      </c>
      <c r="M88" s="36">
        <v>1.4558204237685</v>
      </c>
      <c r="N88" s="36">
        <v>1.5475625087160101</v>
      </c>
      <c r="O88" s="36">
        <v>1.4929040961781499</v>
      </c>
      <c r="P88" s="36">
        <v>1.49939980722516</v>
      </c>
      <c r="Q88" s="36">
        <v>0.63816287222718604</v>
      </c>
      <c r="R88" s="36">
        <v>0.24686007793152601</v>
      </c>
      <c r="S88" s="36">
        <v>0.14063112973974601</v>
      </c>
      <c r="T88" s="36">
        <v>0.25773819607870901</v>
      </c>
      <c r="U88" s="36">
        <v>0.21913552991667101</v>
      </c>
      <c r="V88" s="36">
        <v>0.13889199886661899</v>
      </c>
      <c r="W88" s="36">
        <v>0.47000362924573602</v>
      </c>
      <c r="X88" s="36">
        <v>0.33647223662121301</v>
      </c>
      <c r="Y88" s="36">
        <v>0.431782416425538</v>
      </c>
      <c r="Z88" s="36">
        <v>0.47000362924573602</v>
      </c>
      <c r="AA88" s="36">
        <v>2.7222160565751099</v>
      </c>
      <c r="AB88" s="36">
        <v>1.2527629684953701</v>
      </c>
      <c r="AC88" s="36">
        <v>1.7917594692280501</v>
      </c>
      <c r="AD88" s="36">
        <v>0</v>
      </c>
      <c r="AE88" s="36">
        <v>2.1400661634962699</v>
      </c>
      <c r="AF88" s="36">
        <v>1.7917594692280501</v>
      </c>
      <c r="AG88" s="36">
        <v>4.45434729625351</v>
      </c>
      <c r="AH88" s="36">
        <v>1.2527629684953701</v>
      </c>
      <c r="AI88" s="36">
        <v>4.5379614362946397</v>
      </c>
      <c r="AJ88" s="36">
        <v>4.45434729625351</v>
      </c>
      <c r="AK88" s="36">
        <v>0.109750863959119</v>
      </c>
      <c r="AL88" s="36">
        <v>0.181487876045377</v>
      </c>
      <c r="AM88" s="36">
        <v>0.11511280710050401</v>
      </c>
      <c r="AN88" s="36">
        <v>0.136277618292548</v>
      </c>
      <c r="AO88" s="36">
        <v>0.136277618292548</v>
      </c>
      <c r="AP88" s="36">
        <v>0.27002713721305999</v>
      </c>
      <c r="AQ88" s="36">
        <v>0.36464311358790902</v>
      </c>
      <c r="AR88" s="36">
        <v>0.52472852893498201</v>
      </c>
      <c r="AS88" s="36">
        <v>0.52472852893498201</v>
      </c>
      <c r="AT88" s="36">
        <v>3.4067486117004799</v>
      </c>
      <c r="AU88" s="36">
        <v>0.28743204119657201</v>
      </c>
      <c r="AV88" s="36">
        <v>3.9318256327243302</v>
      </c>
      <c r="AW88" s="36">
        <v>0</v>
      </c>
      <c r="AX88" s="36">
        <v>4.1510399058986502</v>
      </c>
      <c r="AY88" s="36">
        <v>3.6506582412937401</v>
      </c>
      <c r="AZ88" s="36">
        <v>3.5361069907765299</v>
      </c>
      <c r="BA88" s="36">
        <v>0.81093021621632899</v>
      </c>
      <c r="BB88" s="36">
        <v>3.7534257877209898</v>
      </c>
      <c r="BC88" s="36">
        <v>0.117783035656383</v>
      </c>
      <c r="BD88" s="36">
        <v>0</v>
      </c>
      <c r="BE88" s="36">
        <v>0.31845373111853498</v>
      </c>
      <c r="BF88" s="36">
        <v>0.15443635330441899</v>
      </c>
      <c r="BG88" s="36">
        <v>0.671923544108319</v>
      </c>
      <c r="BH88" s="36">
        <v>0.81093021621632899</v>
      </c>
      <c r="BI88" s="36">
        <v>0.405465108108164</v>
      </c>
      <c r="BJ88" s="36">
        <v>0.916290731874155</v>
      </c>
      <c r="BK88" s="36">
        <v>0.73380916227883497</v>
      </c>
      <c r="BL88" s="36">
        <v>0.405465108108164</v>
      </c>
      <c r="BM88" s="36">
        <v>0.69314718055994495</v>
      </c>
      <c r="BN88" s="36">
        <v>0</v>
      </c>
      <c r="BO88" s="36">
        <v>0.405465108108164</v>
      </c>
      <c r="BP88" s="36">
        <v>1.0116009116784801</v>
      </c>
      <c r="BQ88" s="36">
        <v>0.22314355131420999</v>
      </c>
      <c r="BR88" s="36">
        <v>1.3217558399823199</v>
      </c>
      <c r="BS88" s="36">
        <v>0.94895151411370304</v>
      </c>
      <c r="BT88" s="36">
        <v>2.2335565065836098</v>
      </c>
      <c r="BU88" s="36">
        <v>4.1510399058986502</v>
      </c>
      <c r="BV88" s="36">
        <v>3.4067486117004799</v>
      </c>
      <c r="BW88" s="36">
        <v>3.6560462970187002</v>
      </c>
      <c r="BX88" s="36">
        <v>0.60595396885756803</v>
      </c>
      <c r="BY88" s="36">
        <v>2.1841393377875602</v>
      </c>
      <c r="BZ88" s="36">
        <v>2.1993334631835699</v>
      </c>
      <c r="CA88" s="36">
        <v>4.5338567669693202</v>
      </c>
      <c r="CB88" s="36">
        <v>0</v>
      </c>
      <c r="CC88" s="36">
        <v>4.1225154391193497</v>
      </c>
      <c r="CD88" s="36">
        <v>1.6333261276324</v>
      </c>
      <c r="CE88" s="36">
        <v>0</v>
      </c>
      <c r="CF88" s="36">
        <v>3.5880872422927901</v>
      </c>
      <c r="CH88" t="str">
        <f t="shared" si="1"/>
        <v>/*24*/ 111  1 2.76631910922619 2.1621729392773 2.41858876875035 6.76734312526539 6.25575004175337 6.19236248947487 7.53743003658651 0.63974640383283 1.4558204237685 1.54756250871601 1.49290409617815 1.49939980722516 0.638162872227186 0.246860077931526 0.140631129739746 0.257738196078709 0.219135529916671 0.138891998866619 0.470003629245736 0.336472236621213 0.431782416425538 0.470003629245736 2.72221605657511 1.25276296849537 1.79175946922805 0 2.14006616349627 1.79175946922805 4.45434729625351 1.25276296849537 4.53796143629464 4.45434729625351 0.109750863959119 0.181487876045377 0.115112807100504 0.136277618292548 0.136277618292548 0.27002713721306 0.364643113587909 0.524728528934982 0.524728528934982 3.40674861170048 0.287432041196572 3.93182563272433 0 4.15103990589865 3.65065824129374 3.53610699077653 0.810930216216329 3.75342578772099 0.117783035656383 0 0.318453731118535 0.154436353304419 0.671923544108319 0.810930216216329 0.405465108108164 0.916290731874155 0.733809162278835 0.405465108108164 0.693147180559945 0 0.405465108108164 1.01160091167848 0.22314355131421 1.32175583998232 0.948951514113703 2.23355650658361 4.15103990589865 3.40674861170048 3.6560462970187 0.605953968857568 2.18413933778756 2.19933346318357 4.53385676696932 0 4.12251543911935 1.6333261276324 0 3.58808724229279;</v>
      </c>
    </row>
    <row r="89" spans="1:86" x14ac:dyDescent="0.25">
      <c r="A89" s="2">
        <v>61</v>
      </c>
      <c r="B89" s="2">
        <v>0</v>
      </c>
      <c r="C89" s="2">
        <v>0</v>
      </c>
      <c r="D89" s="2">
        <v>0</v>
      </c>
      <c r="E89" s="36">
        <v>3.14415227867226</v>
      </c>
      <c r="F89" s="36">
        <v>2.2617630984737902</v>
      </c>
      <c r="G89" s="36">
        <v>2.6108048166633702</v>
      </c>
      <c r="H89" s="36">
        <v>7.53689712956617</v>
      </c>
      <c r="I89" s="36">
        <v>7.2841348061952003</v>
      </c>
      <c r="J89" s="36">
        <v>7.3479438231486904</v>
      </c>
      <c r="K89" s="36">
        <v>8.4937198352305892</v>
      </c>
      <c r="L89" s="36">
        <v>1.19285708652738E-2</v>
      </c>
      <c r="M89" s="36">
        <v>1.43817498299688</v>
      </c>
      <c r="N89" s="36">
        <v>1.7875840978175701</v>
      </c>
      <c r="O89" s="36">
        <v>2.2746998895045101</v>
      </c>
      <c r="P89" s="36">
        <v>1.8928107132977801</v>
      </c>
      <c r="Q89" s="36">
        <v>1.39599713658128</v>
      </c>
      <c r="R89" s="36">
        <v>0.29117596170603699</v>
      </c>
      <c r="S89" s="36">
        <v>0.210260925483196</v>
      </c>
      <c r="T89" s="36">
        <v>0.27838902554018802</v>
      </c>
      <c r="U89" s="36">
        <v>0.25928259793008301</v>
      </c>
      <c r="V89" s="36">
        <v>0.17142911562753099</v>
      </c>
      <c r="W89" s="36">
        <v>0.494696241836107</v>
      </c>
      <c r="X89" s="36">
        <v>0.41871033485818498</v>
      </c>
      <c r="Y89" s="36">
        <v>0.73236789371322697</v>
      </c>
      <c r="Z89" s="36">
        <v>0.73236789371322697</v>
      </c>
      <c r="AA89" s="36">
        <v>2.9970314292856099</v>
      </c>
      <c r="AB89" s="36">
        <v>1.1549926221042199</v>
      </c>
      <c r="AC89" s="36">
        <v>2.2717134293269599</v>
      </c>
      <c r="AD89" s="36">
        <v>2.2717134293269599</v>
      </c>
      <c r="AE89" s="36">
        <v>3.0235906016823901</v>
      </c>
      <c r="AF89" s="36">
        <v>0</v>
      </c>
      <c r="AG89" s="36">
        <v>4.3163274402155603</v>
      </c>
      <c r="AH89" s="36">
        <v>2.0178320600481401</v>
      </c>
      <c r="AI89" s="36">
        <v>4.3998051560255202</v>
      </c>
      <c r="AJ89" s="36">
        <v>4.3163274402155603</v>
      </c>
      <c r="AK89" s="36">
        <v>0.144965770250186</v>
      </c>
      <c r="AL89" s="36">
        <v>0.25153662581542802</v>
      </c>
      <c r="AM89" s="36">
        <v>0.116893751471499</v>
      </c>
      <c r="AN89" s="36">
        <v>0.16636153721522501</v>
      </c>
      <c r="AO89" s="36">
        <v>0.173112617708645</v>
      </c>
      <c r="AP89" s="36">
        <v>0.52472852893498201</v>
      </c>
      <c r="AQ89" s="36">
        <v>0.57661336430399401</v>
      </c>
      <c r="AR89" s="36">
        <v>0.34358970439007702</v>
      </c>
      <c r="AS89" s="36">
        <v>0.57661336430399401</v>
      </c>
      <c r="AT89" s="36">
        <v>3.2580965380214799</v>
      </c>
      <c r="AU89" s="36">
        <v>0.34854196070854299</v>
      </c>
      <c r="AV89" s="36">
        <v>3.2580965380214799</v>
      </c>
      <c r="AW89" s="36">
        <v>2.6026896854443802</v>
      </c>
      <c r="AX89" s="36">
        <v>4.1510399058986502</v>
      </c>
      <c r="AY89" s="36">
        <v>3.5361069907765299</v>
      </c>
      <c r="AZ89" s="36">
        <v>3.7534257877209898</v>
      </c>
      <c r="BA89" s="36">
        <v>1.2038727993256</v>
      </c>
      <c r="BB89" s="36">
        <v>4.2145986164699201</v>
      </c>
      <c r="BC89" s="36">
        <v>0.117783035656383</v>
      </c>
      <c r="BD89" s="36">
        <v>0.22314355131420999</v>
      </c>
      <c r="BE89" s="36">
        <v>0</v>
      </c>
      <c r="BF89" s="36">
        <v>0.117783035656383</v>
      </c>
      <c r="BG89" s="36">
        <v>0.48550781578170099</v>
      </c>
      <c r="BH89" s="36">
        <v>0.55961578793542299</v>
      </c>
      <c r="BI89" s="36">
        <v>0.22314355131420999</v>
      </c>
      <c r="BJ89" s="36">
        <v>0</v>
      </c>
      <c r="BK89" s="36">
        <v>0.28743204119657201</v>
      </c>
      <c r="BL89" s="36">
        <v>0.69314718055994495</v>
      </c>
      <c r="BM89" s="36">
        <v>1.3862943611198899</v>
      </c>
      <c r="BN89" s="36">
        <v>0.916290731874155</v>
      </c>
      <c r="BO89" s="36">
        <v>1.0413362208483801</v>
      </c>
      <c r="BP89" s="36">
        <v>0.81093021621632899</v>
      </c>
      <c r="BQ89" s="36">
        <v>0.405465108108164</v>
      </c>
      <c r="BR89" s="36">
        <v>0.55961578793542299</v>
      </c>
      <c r="BS89" s="36">
        <v>0.60595396885756803</v>
      </c>
      <c r="BT89" s="36">
        <v>3.5361069907765299</v>
      </c>
      <c r="BU89" s="36">
        <v>4.0831656436306698</v>
      </c>
      <c r="BV89" s="36">
        <v>2.2335565065836098</v>
      </c>
      <c r="BW89" s="36">
        <v>3.4067486117004799</v>
      </c>
      <c r="BX89" s="36">
        <v>0.48550781578170099</v>
      </c>
      <c r="BY89" s="36">
        <v>3.5295319608798001</v>
      </c>
      <c r="BZ89" s="36">
        <v>2.7865532625901501</v>
      </c>
      <c r="CA89" s="36">
        <v>4.21791820729928</v>
      </c>
      <c r="CB89" s="36">
        <v>2.1658494547675802</v>
      </c>
      <c r="CC89" s="36">
        <v>3.8813647573114198</v>
      </c>
      <c r="CD89" s="36">
        <v>0</v>
      </c>
      <c r="CE89" s="36">
        <v>0</v>
      </c>
      <c r="CF89" s="36">
        <v>3.8240142903167</v>
      </c>
      <c r="CH89" t="str">
        <f t="shared" si="1"/>
        <v>/*61*/ 000  1 3.14415227867226 2.26176309847379 2.61080481666337 7.53689712956617 7.2841348061952 7.34794382314869 8.49371983523059 1.19285708652738E-02 1.43817498299688 1.78758409781757 2.27469988950451 1.89281071329778 1.39599713658128 0.291175961706037 0.210260925483196 0.278389025540188 0.259282597930083 0.171429115627531 0.494696241836107 0.418710334858185 0.732367893713227 0.732367893713227 2.99703142928561 1.15499262210422 2.27171342932696 2.27171342932696 3.02359060168239 0 4.31632744021556 2.01783206004814 4.39980515602552 4.31632744021556 0.144965770250186 0.251536625815428 0.116893751471499 0.166361537215225 0.173112617708645 0.524728528934982 0.576613364303994 0.343589704390077 0.576613364303994 3.25809653802148 0.348541960708543 3.25809653802148 2.60268968544438 4.15103990589865 3.53610699077653 3.75342578772099 1.2038727993256 4.21459861646992 0.117783035656383 0.22314355131421 0 0.117783035656383 0.485507815781701 0.559615787935423 0.22314355131421 0 0.287432041196572 0.693147180559945 1.38629436111989 0.916290731874155 1.04133622084838 0.810930216216329 0.405465108108164 0.559615787935423 0.605953968857568 3.53610699077653 4.08316564363067 2.23355650658361 3.40674861170048 0.485507815781701 3.5295319608798 2.78655326259015 4.21791820729928 2.16584945476758 3.88136475731142 0 0 3.8240142903167;</v>
      </c>
    </row>
    <row r="91" spans="1:86" x14ac:dyDescent="0.25">
      <c r="E91" s="16">
        <f>MAX(E2:E89)</f>
        <v>3.2846635654062002</v>
      </c>
      <c r="AG91" s="16">
        <f>MAX(AG2:AG89)</f>
        <v>4.6151205168412597</v>
      </c>
      <c r="AY91" s="16">
        <f>MAX(AY2:AY89)</f>
        <v>4.3841119588732198</v>
      </c>
      <c r="BW91" t="s">
        <v>580</v>
      </c>
      <c r="BX91" s="16">
        <f>MAX(BX2:BX89)</f>
        <v>1.4271963524403199</v>
      </c>
    </row>
    <row r="92" spans="1:86" x14ac:dyDescent="0.25">
      <c r="E92" s="16">
        <f>MIN(E2:E89)</f>
        <v>2.4423470353691998</v>
      </c>
      <c r="AG92" s="16">
        <f>MIN(AG2:AG89)</f>
        <v>0</v>
      </c>
      <c r="AY92" s="16">
        <f>MIN(AY2:AY89)</f>
        <v>0</v>
      </c>
      <c r="BW92" t="s">
        <v>581</v>
      </c>
      <c r="BX92" s="16">
        <f>MIN(BX2:BX89)</f>
        <v>0</v>
      </c>
    </row>
    <row r="93" spans="1:86" x14ac:dyDescent="0.25">
      <c r="E93">
        <f>EXP(E91)</f>
        <v>26.699999999999903</v>
      </c>
      <c r="AG93">
        <f>EXP(AG91)</f>
        <v>101.00000000000003</v>
      </c>
      <c r="AY93">
        <f>EXP(AY91)</f>
        <v>80.167000000000002</v>
      </c>
      <c r="BX93">
        <f>EXP(BX91)</f>
        <v>4.1670000000000149</v>
      </c>
    </row>
    <row r="94" spans="1:86" x14ac:dyDescent="0.25">
      <c r="E94">
        <f>EXP(E92)</f>
        <v>11.499999999999948</v>
      </c>
      <c r="AG94">
        <f>EXP(AG92)</f>
        <v>1</v>
      </c>
      <c r="AY94">
        <f>EXP(AY92)</f>
        <v>1</v>
      </c>
      <c r="BX94">
        <f>EXP(BX92)</f>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88"/>
  <sheetViews>
    <sheetView workbookViewId="0">
      <selection sqref="A1:A88"/>
    </sheetView>
  </sheetViews>
  <sheetFormatPr defaultRowHeight="15" x14ac:dyDescent="0.25"/>
  <sheetData>
    <row r="1" spans="1:1" x14ac:dyDescent="0.25">
      <c r="A1" t="s">
        <v>636</v>
      </c>
    </row>
    <row r="2" spans="1:1" x14ac:dyDescent="0.25">
      <c r="A2" t="s">
        <v>637</v>
      </c>
    </row>
    <row r="3" spans="1:1" x14ac:dyDescent="0.25">
      <c r="A3" t="s">
        <v>638</v>
      </c>
    </row>
    <row r="4" spans="1:1" x14ac:dyDescent="0.25">
      <c r="A4" t="s">
        <v>639</v>
      </c>
    </row>
    <row r="5" spans="1:1" x14ac:dyDescent="0.25">
      <c r="A5" t="s">
        <v>640</v>
      </c>
    </row>
    <row r="6" spans="1:1" x14ac:dyDescent="0.25">
      <c r="A6" t="s">
        <v>641</v>
      </c>
    </row>
    <row r="7" spans="1:1" x14ac:dyDescent="0.25">
      <c r="A7" t="s">
        <v>642</v>
      </c>
    </row>
    <row r="8" spans="1:1" x14ac:dyDescent="0.25">
      <c r="A8" t="s">
        <v>643</v>
      </c>
    </row>
    <row r="9" spans="1:1" x14ac:dyDescent="0.25">
      <c r="A9" t="s">
        <v>644</v>
      </c>
    </row>
    <row r="10" spans="1:1" x14ac:dyDescent="0.25">
      <c r="A10" t="s">
        <v>645</v>
      </c>
    </row>
    <row r="11" spans="1:1" x14ac:dyDescent="0.25">
      <c r="A11" t="s">
        <v>646</v>
      </c>
    </row>
    <row r="12" spans="1:1" x14ac:dyDescent="0.25">
      <c r="A12" t="s">
        <v>647</v>
      </c>
    </row>
    <row r="13" spans="1:1" x14ac:dyDescent="0.25">
      <c r="A13" t="s">
        <v>648</v>
      </c>
    </row>
    <row r="14" spans="1:1" x14ac:dyDescent="0.25">
      <c r="A14" t="s">
        <v>649</v>
      </c>
    </row>
    <row r="15" spans="1:1" x14ac:dyDescent="0.25">
      <c r="A15" t="s">
        <v>650</v>
      </c>
    </row>
    <row r="16" spans="1:1" x14ac:dyDescent="0.25">
      <c r="A16" t="s">
        <v>651</v>
      </c>
    </row>
    <row r="17" spans="1:1" x14ac:dyDescent="0.25">
      <c r="A17" t="s">
        <v>652</v>
      </c>
    </row>
    <row r="18" spans="1:1" x14ac:dyDescent="0.25">
      <c r="A18" t="s">
        <v>653</v>
      </c>
    </row>
    <row r="19" spans="1:1" x14ac:dyDescent="0.25">
      <c r="A19" t="s">
        <v>654</v>
      </c>
    </row>
    <row r="20" spans="1:1" x14ac:dyDescent="0.25">
      <c r="A20" t="s">
        <v>655</v>
      </c>
    </row>
    <row r="21" spans="1:1" x14ac:dyDescent="0.25">
      <c r="A21" t="s">
        <v>656</v>
      </c>
    </row>
    <row r="22" spans="1:1" x14ac:dyDescent="0.25">
      <c r="A22" t="s">
        <v>657</v>
      </c>
    </row>
    <row r="23" spans="1:1" x14ac:dyDescent="0.25">
      <c r="A23" t="s">
        <v>658</v>
      </c>
    </row>
    <row r="24" spans="1:1" x14ac:dyDescent="0.25">
      <c r="A24" t="s">
        <v>659</v>
      </c>
    </row>
    <row r="25" spans="1:1" x14ac:dyDescent="0.25">
      <c r="A25" t="s">
        <v>660</v>
      </c>
    </row>
    <row r="26" spans="1:1" x14ac:dyDescent="0.25">
      <c r="A26" t="s">
        <v>661</v>
      </c>
    </row>
    <row r="27" spans="1:1" x14ac:dyDescent="0.25">
      <c r="A27" t="s">
        <v>662</v>
      </c>
    </row>
    <row r="28" spans="1:1" x14ac:dyDescent="0.25">
      <c r="A28" t="s">
        <v>663</v>
      </c>
    </row>
    <row r="29" spans="1:1" x14ac:dyDescent="0.25">
      <c r="A29" t="s">
        <v>664</v>
      </c>
    </row>
    <row r="30" spans="1:1" x14ac:dyDescent="0.25">
      <c r="A30" t="s">
        <v>665</v>
      </c>
    </row>
    <row r="31" spans="1:1" x14ac:dyDescent="0.25">
      <c r="A31" t="s">
        <v>666</v>
      </c>
    </row>
    <row r="32" spans="1:1" x14ac:dyDescent="0.25">
      <c r="A32" t="s">
        <v>667</v>
      </c>
    </row>
    <row r="33" spans="1:1" x14ac:dyDescent="0.25">
      <c r="A33" t="s">
        <v>668</v>
      </c>
    </row>
    <row r="34" spans="1:1" x14ac:dyDescent="0.25">
      <c r="A34" t="s">
        <v>669</v>
      </c>
    </row>
    <row r="35" spans="1:1" x14ac:dyDescent="0.25">
      <c r="A35" t="s">
        <v>670</v>
      </c>
    </row>
    <row r="36" spans="1:1" x14ac:dyDescent="0.25">
      <c r="A36" t="s">
        <v>671</v>
      </c>
    </row>
    <row r="37" spans="1:1" x14ac:dyDescent="0.25">
      <c r="A37" t="s">
        <v>672</v>
      </c>
    </row>
    <row r="38" spans="1:1" x14ac:dyDescent="0.25">
      <c r="A38" t="s">
        <v>673</v>
      </c>
    </row>
    <row r="39" spans="1:1" x14ac:dyDescent="0.25">
      <c r="A39" t="s">
        <v>674</v>
      </c>
    </row>
    <row r="40" spans="1:1" x14ac:dyDescent="0.25">
      <c r="A40" t="s">
        <v>675</v>
      </c>
    </row>
    <row r="41" spans="1:1" x14ac:dyDescent="0.25">
      <c r="A41" t="s">
        <v>676</v>
      </c>
    </row>
    <row r="42" spans="1:1" x14ac:dyDescent="0.25">
      <c r="A42" t="s">
        <v>677</v>
      </c>
    </row>
    <row r="43" spans="1:1" x14ac:dyDescent="0.25">
      <c r="A43" t="s">
        <v>678</v>
      </c>
    </row>
    <row r="44" spans="1:1" x14ac:dyDescent="0.25">
      <c r="A44" t="s">
        <v>679</v>
      </c>
    </row>
    <row r="45" spans="1:1" x14ac:dyDescent="0.25">
      <c r="A45" t="s">
        <v>680</v>
      </c>
    </row>
    <row r="46" spans="1:1" x14ac:dyDescent="0.25">
      <c r="A46" t="s">
        <v>681</v>
      </c>
    </row>
    <row r="47" spans="1:1" x14ac:dyDescent="0.25">
      <c r="A47" t="s">
        <v>682</v>
      </c>
    </row>
    <row r="48" spans="1:1" x14ac:dyDescent="0.25">
      <c r="A48" t="s">
        <v>683</v>
      </c>
    </row>
    <row r="49" spans="1:1" x14ac:dyDescent="0.25">
      <c r="A49" t="s">
        <v>684</v>
      </c>
    </row>
    <row r="50" spans="1:1" x14ac:dyDescent="0.25">
      <c r="A50" t="s">
        <v>685</v>
      </c>
    </row>
    <row r="51" spans="1:1" x14ac:dyDescent="0.25">
      <c r="A51" t="s">
        <v>686</v>
      </c>
    </row>
    <row r="52" spans="1:1" x14ac:dyDescent="0.25">
      <c r="A52" t="s">
        <v>687</v>
      </c>
    </row>
    <row r="53" spans="1:1" x14ac:dyDescent="0.25">
      <c r="A53" t="s">
        <v>688</v>
      </c>
    </row>
    <row r="54" spans="1:1" x14ac:dyDescent="0.25">
      <c r="A54" t="s">
        <v>689</v>
      </c>
    </row>
    <row r="55" spans="1:1" x14ac:dyDescent="0.25">
      <c r="A55" t="s">
        <v>690</v>
      </c>
    </row>
    <row r="56" spans="1:1" x14ac:dyDescent="0.25">
      <c r="A56" t="s">
        <v>691</v>
      </c>
    </row>
    <row r="57" spans="1:1" x14ac:dyDescent="0.25">
      <c r="A57" t="s">
        <v>692</v>
      </c>
    </row>
    <row r="58" spans="1:1" x14ac:dyDescent="0.25">
      <c r="A58" t="s">
        <v>693</v>
      </c>
    </row>
    <row r="59" spans="1:1" x14ac:dyDescent="0.25">
      <c r="A59" t="s">
        <v>694</v>
      </c>
    </row>
    <row r="60" spans="1:1" x14ac:dyDescent="0.25">
      <c r="A60" t="s">
        <v>695</v>
      </c>
    </row>
    <row r="61" spans="1:1" x14ac:dyDescent="0.25">
      <c r="A61" t="s">
        <v>696</v>
      </c>
    </row>
    <row r="62" spans="1:1" x14ac:dyDescent="0.25">
      <c r="A62" t="s">
        <v>697</v>
      </c>
    </row>
    <row r="63" spans="1:1" x14ac:dyDescent="0.25">
      <c r="A63" t="s">
        <v>698</v>
      </c>
    </row>
    <row r="64" spans="1:1" x14ac:dyDescent="0.25">
      <c r="A64" t="s">
        <v>699</v>
      </c>
    </row>
    <row r="65" spans="1:1" x14ac:dyDescent="0.25">
      <c r="A65" t="s">
        <v>700</v>
      </c>
    </row>
    <row r="66" spans="1:1" x14ac:dyDescent="0.25">
      <c r="A66" t="s">
        <v>701</v>
      </c>
    </row>
    <row r="67" spans="1:1" x14ac:dyDescent="0.25">
      <c r="A67" t="s">
        <v>702</v>
      </c>
    </row>
    <row r="68" spans="1:1" x14ac:dyDescent="0.25">
      <c r="A68" t="s">
        <v>703</v>
      </c>
    </row>
    <row r="69" spans="1:1" x14ac:dyDescent="0.25">
      <c r="A69" t="s">
        <v>704</v>
      </c>
    </row>
    <row r="70" spans="1:1" x14ac:dyDescent="0.25">
      <c r="A70" t="s">
        <v>705</v>
      </c>
    </row>
    <row r="71" spans="1:1" x14ac:dyDescent="0.25">
      <c r="A71" t="s">
        <v>706</v>
      </c>
    </row>
    <row r="72" spans="1:1" x14ac:dyDescent="0.25">
      <c r="A72" t="s">
        <v>707</v>
      </c>
    </row>
    <row r="73" spans="1:1" x14ac:dyDescent="0.25">
      <c r="A73" t="s">
        <v>708</v>
      </c>
    </row>
    <row r="74" spans="1:1" x14ac:dyDescent="0.25">
      <c r="A74" t="s">
        <v>709</v>
      </c>
    </row>
    <row r="75" spans="1:1" x14ac:dyDescent="0.25">
      <c r="A75" t="s">
        <v>710</v>
      </c>
    </row>
    <row r="76" spans="1:1" x14ac:dyDescent="0.25">
      <c r="A76" t="s">
        <v>711</v>
      </c>
    </row>
    <row r="77" spans="1:1" x14ac:dyDescent="0.25">
      <c r="A77" t="s">
        <v>712</v>
      </c>
    </row>
    <row r="78" spans="1:1" x14ac:dyDescent="0.25">
      <c r="A78" t="s">
        <v>713</v>
      </c>
    </row>
    <row r="79" spans="1:1" x14ac:dyDescent="0.25">
      <c r="A79" t="s">
        <v>714</v>
      </c>
    </row>
    <row r="80" spans="1:1" x14ac:dyDescent="0.25">
      <c r="A80" t="s">
        <v>715</v>
      </c>
    </row>
    <row r="81" spans="1:1" x14ac:dyDescent="0.25">
      <c r="A81" t="s">
        <v>716</v>
      </c>
    </row>
    <row r="82" spans="1:1" x14ac:dyDescent="0.25">
      <c r="A82" t="s">
        <v>717</v>
      </c>
    </row>
    <row r="83" spans="1:1" x14ac:dyDescent="0.25">
      <c r="A83" t="s">
        <v>718</v>
      </c>
    </row>
    <row r="84" spans="1:1" x14ac:dyDescent="0.25">
      <c r="A84" t="s">
        <v>719</v>
      </c>
    </row>
    <row r="85" spans="1:1" x14ac:dyDescent="0.25">
      <c r="A85" t="s">
        <v>720</v>
      </c>
    </row>
    <row r="86" spans="1:1" x14ac:dyDescent="0.25">
      <c r="A86" t="s">
        <v>721</v>
      </c>
    </row>
    <row r="87" spans="1:1" x14ac:dyDescent="0.25">
      <c r="A87" t="s">
        <v>722</v>
      </c>
    </row>
    <row r="88" spans="1:1" x14ac:dyDescent="0.25">
      <c r="A88" t="s">
        <v>723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H89"/>
  <sheetViews>
    <sheetView topLeftCell="BZ1" zoomScale="90" zoomScaleNormal="90" workbookViewId="0">
      <selection activeCell="CH2" sqref="CH2"/>
    </sheetView>
  </sheetViews>
  <sheetFormatPr defaultRowHeight="15" x14ac:dyDescent="0.25"/>
  <sheetData>
    <row r="1" spans="1:86" x14ac:dyDescent="0.25">
      <c r="A1" t="s">
        <v>2</v>
      </c>
      <c r="B1" s="2" t="s">
        <v>582</v>
      </c>
      <c r="C1" s="2" t="s">
        <v>583</v>
      </c>
      <c r="D1" s="2" t="s">
        <v>584</v>
      </c>
      <c r="E1" t="s">
        <v>60</v>
      </c>
      <c r="F1" t="s">
        <v>17</v>
      </c>
      <c r="G1" t="s">
        <v>59</v>
      </c>
      <c r="H1" t="s">
        <v>58</v>
      </c>
      <c r="I1" t="s">
        <v>57</v>
      </c>
      <c r="J1" t="s">
        <v>56</v>
      </c>
      <c r="K1" t="s">
        <v>55</v>
      </c>
      <c r="L1" t="s">
        <v>529</v>
      </c>
      <c r="M1" t="s">
        <v>54</v>
      </c>
      <c r="N1" t="s">
        <v>53</v>
      </c>
      <c r="O1" t="s">
        <v>52</v>
      </c>
      <c r="P1" t="s">
        <v>51</v>
      </c>
      <c r="Q1" t="s">
        <v>50</v>
      </c>
      <c r="R1" t="s">
        <v>61</v>
      </c>
      <c r="S1" t="s">
        <v>62</v>
      </c>
      <c r="T1" t="s">
        <v>63</v>
      </c>
      <c r="U1" t="s">
        <v>64</v>
      </c>
      <c r="V1" t="s">
        <v>503</v>
      </c>
      <c r="W1" t="s">
        <v>65</v>
      </c>
      <c r="X1" t="s">
        <v>66</v>
      </c>
      <c r="Y1" t="s">
        <v>67</v>
      </c>
      <c r="Z1" t="s">
        <v>32</v>
      </c>
      <c r="AA1" t="s">
        <v>530</v>
      </c>
      <c r="AB1" t="s">
        <v>68</v>
      </c>
      <c r="AC1" t="s">
        <v>69</v>
      </c>
      <c r="AD1" t="s">
        <v>252</v>
      </c>
      <c r="AE1" t="s">
        <v>70</v>
      </c>
      <c r="AF1" t="s">
        <v>253</v>
      </c>
      <c r="AG1" t="s">
        <v>254</v>
      </c>
      <c r="AH1" t="s">
        <v>255</v>
      </c>
      <c r="AI1" t="s">
        <v>71</v>
      </c>
      <c r="AJ1" t="s">
        <v>72</v>
      </c>
      <c r="AK1" t="s">
        <v>73</v>
      </c>
      <c r="AL1" t="s">
        <v>74</v>
      </c>
      <c r="AM1" t="s">
        <v>75</v>
      </c>
      <c r="AN1" t="s">
        <v>257</v>
      </c>
      <c r="AO1" t="s">
        <v>256</v>
      </c>
      <c r="AP1" t="s">
        <v>76</v>
      </c>
      <c r="AQ1" t="s">
        <v>77</v>
      </c>
      <c r="AR1" t="s">
        <v>78</v>
      </c>
      <c r="AS1" t="s">
        <v>258</v>
      </c>
      <c r="AT1" t="s">
        <v>507</v>
      </c>
      <c r="AU1" t="s">
        <v>79</v>
      </c>
      <c r="AV1" t="s">
        <v>80</v>
      </c>
      <c r="AW1" t="s">
        <v>81</v>
      </c>
      <c r="AX1" t="s">
        <v>82</v>
      </c>
      <c r="AY1" t="s">
        <v>83</v>
      </c>
      <c r="AZ1" t="s">
        <v>84</v>
      </c>
      <c r="BA1" t="s">
        <v>517</v>
      </c>
      <c r="BB1" t="s">
        <v>518</v>
      </c>
      <c r="BC1" t="s">
        <v>493</v>
      </c>
      <c r="BD1" t="s">
        <v>494</v>
      </c>
      <c r="BE1" t="s">
        <v>495</v>
      </c>
      <c r="BF1" t="s">
        <v>496</v>
      </c>
      <c r="BG1" t="s">
        <v>497</v>
      </c>
      <c r="BH1" t="s">
        <v>85</v>
      </c>
      <c r="BI1" t="s">
        <v>86</v>
      </c>
      <c r="BJ1" t="s">
        <v>87</v>
      </c>
      <c r="BK1" t="s">
        <v>88</v>
      </c>
      <c r="BL1" t="s">
        <v>89</v>
      </c>
      <c r="BM1" t="s">
        <v>90</v>
      </c>
      <c r="BN1" t="s">
        <v>91</v>
      </c>
      <c r="BO1" t="s">
        <v>92</v>
      </c>
      <c r="BP1" t="s">
        <v>93</v>
      </c>
      <c r="BQ1" t="s">
        <v>94</v>
      </c>
      <c r="BR1" t="s">
        <v>95</v>
      </c>
      <c r="BS1" t="s">
        <v>96</v>
      </c>
      <c r="BT1" t="s">
        <v>531</v>
      </c>
      <c r="BU1" t="s">
        <v>532</v>
      </c>
      <c r="BV1" t="s">
        <v>533</v>
      </c>
      <c r="BW1" t="s">
        <v>498</v>
      </c>
      <c r="BX1" t="s">
        <v>534</v>
      </c>
      <c r="BY1" t="s">
        <v>535</v>
      </c>
      <c r="BZ1" t="s">
        <v>536</v>
      </c>
      <c r="CA1" t="s">
        <v>537</v>
      </c>
      <c r="CB1" t="s">
        <v>522</v>
      </c>
      <c r="CC1" t="s">
        <v>523</v>
      </c>
      <c r="CD1" t="s">
        <v>524</v>
      </c>
      <c r="CE1" t="s">
        <v>525</v>
      </c>
      <c r="CF1" t="s">
        <v>526</v>
      </c>
    </row>
    <row r="2" spans="1:86" x14ac:dyDescent="0.25">
      <c r="A2">
        <v>1</v>
      </c>
      <c r="B2">
        <v>1</v>
      </c>
      <c r="C2">
        <v>0</v>
      </c>
      <c r="D2">
        <v>1</v>
      </c>
      <c r="E2">
        <v>2.8848007128467099</v>
      </c>
      <c r="F2">
        <v>2.1758874399480899</v>
      </c>
      <c r="G2">
        <v>2.5486636155907498</v>
      </c>
      <c r="H2">
        <v>6.28785856016178</v>
      </c>
      <c r="I2">
        <v>6.3561076606958897</v>
      </c>
      <c r="J2">
        <v>5.8636311755981003</v>
      </c>
      <c r="K2">
        <v>7.2889276945212602</v>
      </c>
      <c r="L2">
        <v>0.453620149995211</v>
      </c>
      <c r="M2">
        <v>1.33183817532383</v>
      </c>
      <c r="N2">
        <v>1.4558204237685</v>
      </c>
      <c r="O2">
        <v>1.45861502269952</v>
      </c>
      <c r="P2">
        <v>1.41706601978664</v>
      </c>
      <c r="Q2">
        <v>0.65544531337593404</v>
      </c>
      <c r="R2">
        <v>0.20130685670503501</v>
      </c>
      <c r="S2">
        <v>0.31990721974651798</v>
      </c>
      <c r="T2">
        <v>0.34642256747438099</v>
      </c>
      <c r="U2">
        <v>0.28743204119657201</v>
      </c>
      <c r="V2">
        <v>0.18730909830499401</v>
      </c>
      <c r="W2">
        <v>0.27763173659828</v>
      </c>
      <c r="X2">
        <v>0.69314718055994495</v>
      </c>
      <c r="Y2">
        <v>0.65232518603969003</v>
      </c>
      <c r="Z2">
        <v>0.69314718055994495</v>
      </c>
      <c r="AA2">
        <v>2.34122871658625</v>
      </c>
      <c r="AB2">
        <v>1.17000228475478</v>
      </c>
      <c r="AC2">
        <v>3.32024036724868</v>
      </c>
      <c r="AD2">
        <v>3.23647995881656</v>
      </c>
      <c r="AE2">
        <v>3.9951317771505099</v>
      </c>
      <c r="AF2">
        <v>1.17000228475478</v>
      </c>
      <c r="AG2">
        <v>3.7663496248808399</v>
      </c>
      <c r="AH2">
        <v>0</v>
      </c>
      <c r="AI2">
        <v>3.8164807987076599</v>
      </c>
      <c r="AJ2">
        <v>3.7663496248808399</v>
      </c>
      <c r="AK2">
        <v>0.20375683751401999</v>
      </c>
      <c r="AL2">
        <v>0.118671529717499</v>
      </c>
      <c r="AM2">
        <v>0.159564569671338</v>
      </c>
      <c r="AN2">
        <v>0.16126814759612201</v>
      </c>
      <c r="AO2">
        <v>0.167207918983906</v>
      </c>
      <c r="AP2">
        <v>0.45742484703887498</v>
      </c>
      <c r="AQ2">
        <v>0.405465108108164</v>
      </c>
      <c r="AR2">
        <v>0.51879379341516796</v>
      </c>
      <c r="AS2">
        <v>0.51879379341516796</v>
      </c>
      <c r="AT2">
        <v>3.9318256327243302</v>
      </c>
      <c r="AU2">
        <v>0.31845373111853498</v>
      </c>
      <c r="AV2">
        <v>0</v>
      </c>
      <c r="AW2">
        <v>3.9318256327243302</v>
      </c>
      <c r="AX2">
        <v>4.1510399058986502</v>
      </c>
      <c r="AY2">
        <v>3.6506582412937401</v>
      </c>
      <c r="AZ2">
        <v>3.6506582412937401</v>
      </c>
      <c r="BA2">
        <v>0.60595396885756803</v>
      </c>
      <c r="BB2">
        <v>3.2580965380214799</v>
      </c>
      <c r="BC2">
        <v>0</v>
      </c>
      <c r="BD2">
        <v>0.31845373111853498</v>
      </c>
      <c r="BE2">
        <v>0</v>
      </c>
      <c r="BF2">
        <v>0.122217632724249</v>
      </c>
      <c r="BG2">
        <v>0.26543646350446098</v>
      </c>
      <c r="BH2">
        <v>0.405465108108164</v>
      </c>
      <c r="BI2">
        <v>0.405465108108164</v>
      </c>
      <c r="BJ2">
        <v>0.28743204119657201</v>
      </c>
      <c r="BK2">
        <v>0.37500590062345601</v>
      </c>
      <c r="BL2">
        <v>0.22314355131420999</v>
      </c>
      <c r="BM2">
        <v>0.22314355131420999</v>
      </c>
      <c r="BN2">
        <v>0</v>
      </c>
      <c r="BO2">
        <v>0.167207918983906</v>
      </c>
      <c r="BP2">
        <v>0.55961578793542299</v>
      </c>
      <c r="BQ2">
        <v>1.1786549963416499</v>
      </c>
      <c r="BR2">
        <v>0.69314718055994495</v>
      </c>
      <c r="BS2">
        <v>0.86035509954385203</v>
      </c>
      <c r="BT2">
        <v>1.64229224930505</v>
      </c>
      <c r="BU2">
        <v>4.5729878452771402</v>
      </c>
      <c r="BV2">
        <v>0</v>
      </c>
      <c r="BW2">
        <v>3.6517485557757299</v>
      </c>
      <c r="BX2">
        <v>0.84715499303929298</v>
      </c>
      <c r="BY2">
        <v>4.2928948293460403</v>
      </c>
      <c r="BZ2">
        <v>2.63354214892715</v>
      </c>
      <c r="CA2">
        <v>3.3611389844161699</v>
      </c>
      <c r="CB2">
        <v>0</v>
      </c>
      <c r="CC2">
        <v>0</v>
      </c>
      <c r="CD2">
        <v>0</v>
      </c>
      <c r="CE2">
        <v>0</v>
      </c>
      <c r="CF2">
        <v>0</v>
      </c>
      <c r="CH2" t="str">
        <f>CONCATENATE("/*",A2,"*/ ",B2,C2,D2," "," 1 ")&amp;ConcatRange(E2:CF2," ")&amp;";"</f>
        <v>/*1*/ 101  1 2.88480071284671 2.17588743994809 2.54866361559075 6.28785856016178 6.35610766069589 5.8636311755981 7.28892769452126 0.453620149995211 1.33183817532383 1.4558204237685 1.45861502269952 1.41706601978664 0.655445313375934 0.201306856705035 0.319907219746518 0.346422567474381 0.287432041196572 0.187309098304994 0.27763173659828 0.693147180559945 0.65232518603969 0.693147180559945 2.34122871658625 1.17000228475478 3.32024036724868 3.23647995881656 3.99513177715051 1.17000228475478 3.76634962488084 0 3.81648079870766 3.76634962488084 0.20375683751402 0.118671529717499 0.159564569671338 0.161268147596122 0.167207918983906 0.457424847038875 0.405465108108164 0.518793793415168 0.518793793415168 3.93182563272433 0.318453731118535 0 3.93182563272433 4.15103990589865 3.65065824129374 3.65065824129374 0.605953968857568 3.25809653802148 0 0.318453731118535 0 0.122217632724249 0.265436463504461 0.405465108108164 0.405465108108164 0.287432041196572 0.375005900623456 0.22314355131421 0.22314355131421 0 0.167207918983906 0.559615787935423 1.17865499634165 0.693147180559945 0.860355099543852 1.64229224930505 4.57298784527714 0 3.65174855577573 0.847154993039293 4.29289482934604 2.63354214892715 3.36113898441617 0 0 0 0 0;</v>
      </c>
    </row>
    <row r="3" spans="1:86" x14ac:dyDescent="0.25">
      <c r="A3">
        <v>8</v>
      </c>
      <c r="B3">
        <v>0</v>
      </c>
      <c r="C3">
        <v>0</v>
      </c>
      <c r="D3">
        <v>0</v>
      </c>
      <c r="E3">
        <v>2.63188884013665</v>
      </c>
      <c r="F3">
        <v>2.2617630984737902</v>
      </c>
      <c r="G3">
        <v>2.53686638871871</v>
      </c>
      <c r="H3">
        <v>7.6657534318616998</v>
      </c>
      <c r="I3">
        <v>7.3051882153930396</v>
      </c>
      <c r="J3">
        <v>7.5016344578834104</v>
      </c>
      <c r="K3">
        <v>8.5998785580348507</v>
      </c>
      <c r="L3">
        <v>0</v>
      </c>
      <c r="M3">
        <v>2.0716613543608702</v>
      </c>
      <c r="N3">
        <v>2.0810652227959299</v>
      </c>
      <c r="O3">
        <v>2.0541237336955498</v>
      </c>
      <c r="P3">
        <v>2.0690123461893002</v>
      </c>
      <c r="Q3">
        <v>0.40212620684264999</v>
      </c>
      <c r="R3">
        <v>0.37018329396352501</v>
      </c>
      <c r="S3">
        <v>0.25619140536041002</v>
      </c>
      <c r="T3">
        <v>0.26773443464208502</v>
      </c>
      <c r="U3">
        <v>0.30821972366932898</v>
      </c>
      <c r="V3">
        <v>0.13453089295760601</v>
      </c>
      <c r="W3">
        <v>0.53062825106217004</v>
      </c>
      <c r="X3">
        <v>0.37843643572024499</v>
      </c>
      <c r="Y3">
        <v>0.431782416425538</v>
      </c>
      <c r="Z3">
        <v>0.53062825106217004</v>
      </c>
      <c r="AA3">
        <v>3.0049397543049001</v>
      </c>
      <c r="AB3">
        <v>0</v>
      </c>
      <c r="AC3">
        <v>2.0816890142203199</v>
      </c>
      <c r="AD3">
        <v>3.2410677523747</v>
      </c>
      <c r="AE3">
        <v>3.4836679090257401</v>
      </c>
      <c r="AF3">
        <v>2.27952115339549</v>
      </c>
      <c r="AG3">
        <v>4.0757561974107501</v>
      </c>
      <c r="AH3">
        <v>0</v>
      </c>
      <c r="AI3">
        <v>4.2145986164699201</v>
      </c>
      <c r="AJ3">
        <v>4.0757561974107501</v>
      </c>
      <c r="AK3">
        <v>0.22394323148477399</v>
      </c>
      <c r="AL3">
        <v>0.286681572118197</v>
      </c>
      <c r="AM3">
        <v>0.30895420772732102</v>
      </c>
      <c r="AN3">
        <v>0.26466929814270801</v>
      </c>
      <c r="AO3">
        <v>0.184818436992542</v>
      </c>
      <c r="AP3">
        <v>0.60431596685333</v>
      </c>
      <c r="AQ3">
        <v>0.55961578793542299</v>
      </c>
      <c r="AR3">
        <v>0.55961578793542299</v>
      </c>
      <c r="AS3">
        <v>0.60431596685333</v>
      </c>
      <c r="AT3">
        <v>3.0834225866809799</v>
      </c>
      <c r="AU3">
        <v>0.52827253736971103</v>
      </c>
      <c r="AV3">
        <v>3.2580965380214799</v>
      </c>
      <c r="AW3">
        <v>0</v>
      </c>
      <c r="AX3">
        <v>0</v>
      </c>
      <c r="AY3">
        <v>2.2335565065836098</v>
      </c>
      <c r="AZ3">
        <v>4.2145986164699201</v>
      </c>
      <c r="BA3">
        <v>0.51102560376865702</v>
      </c>
      <c r="BB3">
        <v>2.8716984926305398</v>
      </c>
      <c r="BC3">
        <v>0.55961578793542299</v>
      </c>
      <c r="BD3">
        <v>0</v>
      </c>
      <c r="BE3">
        <v>0.22314355131420999</v>
      </c>
      <c r="BF3">
        <v>0.28743204119657201</v>
      </c>
      <c r="BG3">
        <v>0.62860865942237398</v>
      </c>
      <c r="BH3">
        <v>1.0116009116784801</v>
      </c>
      <c r="BI3">
        <v>0</v>
      </c>
      <c r="BJ3">
        <v>0.22314355131420999</v>
      </c>
      <c r="BK3">
        <v>0.51102560376865702</v>
      </c>
      <c r="BL3">
        <v>0</v>
      </c>
      <c r="BM3">
        <v>0</v>
      </c>
      <c r="BN3">
        <v>0.22314355131420999</v>
      </c>
      <c r="BO3">
        <v>7.9734968018853505E-2</v>
      </c>
      <c r="BP3">
        <v>1.1786549963416499</v>
      </c>
      <c r="BQ3">
        <v>0.22314355131420999</v>
      </c>
      <c r="BR3">
        <v>0.81093021621632899</v>
      </c>
      <c r="BS3">
        <v>0.81093021621632899</v>
      </c>
      <c r="BT3">
        <v>1.64229224930505</v>
      </c>
      <c r="BU3">
        <v>4.0831656436306698</v>
      </c>
      <c r="BV3">
        <v>3.5361069907765299</v>
      </c>
      <c r="BW3">
        <v>3.9318256327243302</v>
      </c>
      <c r="BX3">
        <v>1.0116009116784801</v>
      </c>
      <c r="BY3">
        <v>4.3761217350184998</v>
      </c>
      <c r="BZ3">
        <v>2.52164029839965</v>
      </c>
      <c r="CA3">
        <v>3.1122255889898001</v>
      </c>
      <c r="CB3">
        <v>0</v>
      </c>
      <c r="CC3">
        <v>0</v>
      </c>
      <c r="CD3">
        <v>0</v>
      </c>
      <c r="CE3">
        <v>0</v>
      </c>
      <c r="CF3">
        <v>0</v>
      </c>
      <c r="CH3" t="str">
        <f t="shared" ref="CH3:CH66" si="0">CONCATENATE("/*",A3,"*/ ",B3,C3,D3," "," 1 ")&amp;ConcatRange(E3:CF3," ")&amp;";"</f>
        <v>/*8*/ 000  1 2.63188884013665 2.26176309847379 2.53686638871871 7.6657534318617 7.30518821539304 7.50163445788341 8.59987855803485 0 2.07166135436087 2.08106522279593 2.05412373369555 2.0690123461893 0.40212620684265 0.370183293963525 0.25619140536041 0.267734434642085 0.308219723669329 0.134530892957606 0.53062825106217 0.378436435720245 0.431782416425538 0.53062825106217 3.0049397543049 0 2.08168901422032 3.2410677523747 3.48366790902574 2.27952115339549 4.07575619741075 0 4.21459861646992 4.07575619741075 0.223943231484774 0.286681572118197 0.308954207727321 0.264669298142708 0.184818436992542 0.60431596685333 0.559615787935423 0.559615787935423 0.60431596685333 3.08342258668098 0.528272537369711 3.25809653802148 0 0 2.23355650658361 4.21459861646992 0.511025603768657 2.87169849263054 0.559615787935423 0 0.22314355131421 0.287432041196572 0.628608659422374 1.01160091167848 0 0.22314355131421 0.511025603768657 0 0 0.22314355131421 7.97349680188535E-02 1.17865499634165 0.22314355131421 0.810930216216329 0.810930216216329 1.64229224930505 4.08316564363067 3.53610699077653 3.93182563272433 1.01160091167848 4.3761217350185 2.52164029839965 3.1122255889898 0 0 0 0 0;</v>
      </c>
    </row>
    <row r="4" spans="1:86" x14ac:dyDescent="0.25">
      <c r="A4">
        <v>10</v>
      </c>
      <c r="B4">
        <v>0</v>
      </c>
      <c r="C4">
        <v>0</v>
      </c>
      <c r="D4">
        <v>1</v>
      </c>
      <c r="E4">
        <v>2.6461747973841199</v>
      </c>
      <c r="F4">
        <v>2.3418058061473301</v>
      </c>
      <c r="G4">
        <v>2.6741486494265301</v>
      </c>
      <c r="H4">
        <v>7.1785454837636999</v>
      </c>
      <c r="I4">
        <v>7.2779385729456596</v>
      </c>
      <c r="J4">
        <v>6.9735430195201404</v>
      </c>
      <c r="K4">
        <v>8.2493137462606398</v>
      </c>
      <c r="L4">
        <v>1.5873349156290201E-2</v>
      </c>
      <c r="M4">
        <v>1.6020103966053001</v>
      </c>
      <c r="N4">
        <v>1.5993875765806</v>
      </c>
      <c r="O4">
        <v>1.51798030194527</v>
      </c>
      <c r="P4">
        <v>1.57381073479095</v>
      </c>
      <c r="Q4">
        <v>0.34924742810993598</v>
      </c>
      <c r="R4">
        <v>0.433728573381024</v>
      </c>
      <c r="S4">
        <v>0.37500590062345601</v>
      </c>
      <c r="T4">
        <v>0.328584063772207</v>
      </c>
      <c r="U4">
        <v>0.37980536132758702</v>
      </c>
      <c r="V4">
        <v>0.11511280710050401</v>
      </c>
      <c r="W4">
        <v>0.53062825106217004</v>
      </c>
      <c r="X4">
        <v>0.51879379341516796</v>
      </c>
      <c r="Y4">
        <v>0.47623417899637199</v>
      </c>
      <c r="Z4">
        <v>0.53062825106217004</v>
      </c>
      <c r="AA4">
        <v>2.2276460063295498</v>
      </c>
      <c r="AB4">
        <v>0.870874868343673</v>
      </c>
      <c r="AC4">
        <v>4.0352312977295899</v>
      </c>
      <c r="AD4">
        <v>2.7006226852734101</v>
      </c>
      <c r="AE4">
        <v>4.2743439804936996</v>
      </c>
      <c r="AF4">
        <v>2.2335565065836098</v>
      </c>
      <c r="AG4">
        <v>2.9473820126129402</v>
      </c>
      <c r="AH4">
        <v>1.32919476907932</v>
      </c>
      <c r="AI4">
        <v>3.4067486117004799</v>
      </c>
      <c r="AJ4">
        <v>4.0352312977295899</v>
      </c>
      <c r="AK4">
        <v>0.22074066669789899</v>
      </c>
      <c r="AL4">
        <v>0.24529635595534299</v>
      </c>
      <c r="AM4">
        <v>0.36949244764934702</v>
      </c>
      <c r="AN4">
        <v>0.27687387373517802</v>
      </c>
      <c r="AO4">
        <v>0.17563256864315799</v>
      </c>
      <c r="AP4">
        <v>0.32930374714260002</v>
      </c>
      <c r="AQ4">
        <v>0.37843643572024499</v>
      </c>
      <c r="AR4">
        <v>0.69813472207098404</v>
      </c>
      <c r="AS4">
        <v>0.69813472207098404</v>
      </c>
      <c r="AT4">
        <v>1.64229224930505</v>
      </c>
      <c r="AU4">
        <v>0.57829733888100299</v>
      </c>
      <c r="AV4">
        <v>0</v>
      </c>
      <c r="AW4">
        <v>3.9318256327243302</v>
      </c>
      <c r="AX4">
        <v>0</v>
      </c>
      <c r="AY4">
        <v>2.8716984926305398</v>
      </c>
      <c r="AZ4">
        <v>4.3307333402863302</v>
      </c>
      <c r="BA4">
        <v>0</v>
      </c>
      <c r="BB4">
        <v>0</v>
      </c>
      <c r="BC4">
        <v>0</v>
      </c>
      <c r="BD4">
        <v>0</v>
      </c>
      <c r="BE4">
        <v>0</v>
      </c>
      <c r="BF4">
        <v>0</v>
      </c>
      <c r="BG4">
        <v>7.9734968018853505E-2</v>
      </c>
      <c r="BH4">
        <v>1.5040773967762699</v>
      </c>
      <c r="BI4">
        <v>1.09861228866811</v>
      </c>
      <c r="BJ4">
        <v>1.0116009116784801</v>
      </c>
      <c r="BK4">
        <v>1.22876297313315</v>
      </c>
      <c r="BL4">
        <v>0.81093021621632899</v>
      </c>
      <c r="BM4">
        <v>0</v>
      </c>
      <c r="BN4">
        <v>0</v>
      </c>
      <c r="BO4">
        <v>0.34854196070854299</v>
      </c>
      <c r="BP4">
        <v>1.44691898293633</v>
      </c>
      <c r="BQ4">
        <v>1.44691898293633</v>
      </c>
      <c r="BR4">
        <v>1.0116009116784801</v>
      </c>
      <c r="BS4">
        <v>1.3217558399823199</v>
      </c>
      <c r="BT4">
        <v>1.64229224930505</v>
      </c>
      <c r="BU4">
        <v>4.3307333402863302</v>
      </c>
      <c r="BV4">
        <v>3.0834225866809799</v>
      </c>
      <c r="BW4">
        <v>3.81953483999298</v>
      </c>
      <c r="BX4">
        <v>1.0560526742493099</v>
      </c>
      <c r="BY4">
        <v>4.5879935078674698</v>
      </c>
      <c r="BZ4">
        <v>1.51951320490611</v>
      </c>
      <c r="CA4">
        <v>1.30914330193148</v>
      </c>
      <c r="CB4">
        <v>0</v>
      </c>
      <c r="CC4">
        <v>0</v>
      </c>
      <c r="CD4">
        <v>0</v>
      </c>
      <c r="CE4">
        <v>0</v>
      </c>
      <c r="CF4">
        <v>0</v>
      </c>
      <c r="CH4" t="str">
        <f t="shared" si="0"/>
        <v>/*10*/ 001  1 2.64617479738412 2.34180580614733 2.67414864942653 7.1785454837637 7.27793857294566 6.97354301952014 8.24931374626064 1.58733491562902E-02 1.6020103966053 1.5993875765806 1.51798030194527 1.57381073479095 0.349247428109936 0.433728573381024 0.375005900623456 0.328584063772207 0.379805361327587 0.115112807100504 0.53062825106217 0.518793793415168 0.476234178996372 0.53062825106217 2.22764600632955 0.870874868343673 4.03523129772959 2.70062268527341 4.2743439804937 2.23355650658361 2.94738201261294 1.32919476907932 3.40674861170048 4.03523129772959 0.220740666697899 0.245296355955343 0.369492447649347 0.276873873735178 0.175632568643158 0.3293037471426 0.378436435720245 0.698134722070984 0.698134722070984 1.64229224930505 0.578297338881003 0 3.93182563272433 0 2.87169849263054 4.33073334028633 0 0 0 0 0 0 7.97349680188535E-02 1.50407739677627 1.09861228866811 1.01160091167848 1.22876297313315 0.810930216216329 0 0 0.348541960708543 1.44691898293633 1.44691898293633 1.01160091167848 1.32175583998232 1.64229224930505 4.33073334028633 3.08342258668098 3.81953483999298 1.05605267424931 4.58799350786747 1.51951320490611 1.30914330193148 0 0 0 0 0;</v>
      </c>
    </row>
    <row r="5" spans="1:86" x14ac:dyDescent="0.25">
      <c r="A5">
        <v>11</v>
      </c>
      <c r="B5">
        <v>0</v>
      </c>
      <c r="C5">
        <v>0</v>
      </c>
      <c r="D5">
        <v>0</v>
      </c>
      <c r="E5">
        <v>2.4510050981123199</v>
      </c>
      <c r="F5">
        <v>2.2460147415056499</v>
      </c>
      <c r="G5">
        <v>2.5047092770841801</v>
      </c>
      <c r="H5">
        <v>6.2085900260966298</v>
      </c>
      <c r="I5">
        <v>5.8777357817796396</v>
      </c>
      <c r="J5">
        <v>6.0567840132286204</v>
      </c>
      <c r="K5">
        <v>7.1538338015788403</v>
      </c>
      <c r="L5">
        <v>0</v>
      </c>
      <c r="M5">
        <v>1.0253244928982801</v>
      </c>
      <c r="N5">
        <v>1.0777290777516899</v>
      </c>
      <c r="O5">
        <v>1.27759494419655</v>
      </c>
      <c r="P5">
        <v>1.1326916023209701</v>
      </c>
      <c r="Q5">
        <v>0.47187687362741598</v>
      </c>
      <c r="R5">
        <v>8.7094706850933706E-2</v>
      </c>
      <c r="S5">
        <v>0.133656384812674</v>
      </c>
      <c r="T5">
        <v>8.1579986992422804E-2</v>
      </c>
      <c r="U5">
        <v>0.102556588325092</v>
      </c>
      <c r="V5">
        <v>4.2101176018635299E-2</v>
      </c>
      <c r="W5">
        <v>0.122217632724249</v>
      </c>
      <c r="X5">
        <v>0.21511137961694499</v>
      </c>
      <c r="Y5">
        <v>0.13976194237515899</v>
      </c>
      <c r="Z5">
        <v>0.21511137961694499</v>
      </c>
      <c r="AA5">
        <v>3.0206687588440202</v>
      </c>
      <c r="AB5">
        <v>1.3937663759585901</v>
      </c>
      <c r="AC5">
        <v>2.3116439374823901</v>
      </c>
      <c r="AD5">
        <v>0</v>
      </c>
      <c r="AE5">
        <v>2.5742140001235798</v>
      </c>
      <c r="AF5">
        <v>0</v>
      </c>
      <c r="AG5">
        <v>4.4872758941429698</v>
      </c>
      <c r="AH5">
        <v>0</v>
      </c>
      <c r="AI5">
        <v>4.4872758941429698</v>
      </c>
      <c r="AJ5">
        <v>4.4872758941429698</v>
      </c>
      <c r="AK5">
        <v>0.38390093019232402</v>
      </c>
      <c r="AL5">
        <v>0.19309662996191301</v>
      </c>
      <c r="AM5">
        <v>0.30968815271439598</v>
      </c>
      <c r="AN5">
        <v>0.28818194749343201</v>
      </c>
      <c r="AO5">
        <v>0.173112617708645</v>
      </c>
      <c r="AP5">
        <v>0.52472852893498201</v>
      </c>
      <c r="AQ5">
        <v>0.36464311358790902</v>
      </c>
      <c r="AR5">
        <v>0.50077528791248904</v>
      </c>
      <c r="AS5">
        <v>0.52472852893498201</v>
      </c>
      <c r="AT5">
        <v>4.43477324748243</v>
      </c>
      <c r="AU5">
        <v>0.15443635330441899</v>
      </c>
      <c r="AV5">
        <v>0</v>
      </c>
      <c r="AW5">
        <v>0</v>
      </c>
      <c r="AX5">
        <v>0</v>
      </c>
      <c r="AY5">
        <v>0</v>
      </c>
      <c r="AZ5">
        <v>4.43477324748243</v>
      </c>
      <c r="BA5">
        <v>0.45932178089887499</v>
      </c>
      <c r="BB5">
        <v>2.2335565065836098</v>
      </c>
      <c r="BC5">
        <v>0.31845373111853498</v>
      </c>
      <c r="BD5">
        <v>0.69314718055994495</v>
      </c>
      <c r="BE5">
        <v>0.405465108108164</v>
      </c>
      <c r="BF5">
        <v>0.48550781578170099</v>
      </c>
      <c r="BG5">
        <v>0.77334372255422201</v>
      </c>
      <c r="BH5">
        <v>0.405465108108164</v>
      </c>
      <c r="BI5">
        <v>0.22314355131420999</v>
      </c>
      <c r="BJ5">
        <v>0</v>
      </c>
      <c r="BK5">
        <v>0.22314355131420999</v>
      </c>
      <c r="BL5">
        <v>0.22314355131420999</v>
      </c>
      <c r="BM5">
        <v>0</v>
      </c>
      <c r="BN5">
        <v>0.55961578793542299</v>
      </c>
      <c r="BO5">
        <v>0.28743204119657201</v>
      </c>
      <c r="BP5">
        <v>0.22314355131420999</v>
      </c>
      <c r="BQ5">
        <v>0.22314355131420999</v>
      </c>
      <c r="BR5">
        <v>0</v>
      </c>
      <c r="BS5">
        <v>0.15443635330441899</v>
      </c>
      <c r="BT5">
        <v>3.7534257877209898</v>
      </c>
      <c r="BU5">
        <v>4.0831656436306698</v>
      </c>
      <c r="BV5">
        <v>0</v>
      </c>
      <c r="BW5">
        <v>3.1060654052383398</v>
      </c>
      <c r="BX5">
        <v>0.34854196070854299</v>
      </c>
      <c r="BY5">
        <v>2.4879021587677999</v>
      </c>
      <c r="BZ5">
        <v>2.37704300391206</v>
      </c>
      <c r="CA5">
        <v>4.4994095903089297</v>
      </c>
      <c r="CB5">
        <v>0</v>
      </c>
      <c r="CC5">
        <v>0</v>
      </c>
      <c r="CD5">
        <v>0</v>
      </c>
      <c r="CE5">
        <v>0</v>
      </c>
      <c r="CF5">
        <v>0</v>
      </c>
      <c r="CH5" t="str">
        <f t="shared" si="0"/>
        <v>/*11*/ 000  1 2.45100509811232 2.24601474150565 2.50470927708418 6.20859002609663 5.87773578177964 6.05678401322862 7.15383380157884 0 1.02532449289828 1.07772907775169 1.27759494419655 1.13269160232097 0.471876873627416 8.70947068509337E-02 0.133656384812674 8.15799869924228E-02 0.102556588325092 4.21011760186353E-02 0.122217632724249 0.215111379616945 0.139761942375159 0.215111379616945 3.02066875884402 1.39376637595859 2.31164393748239 0 2.57421400012358 0 4.48727589414297 0 4.48727589414297 4.48727589414297 0.383900930192324 0.193096629961913 0.309688152714396 0.288181947493432 0.173112617708645 0.524728528934982 0.364643113587909 0.500775287912489 0.524728528934982 4.43477324748243 0.154436353304419 0 0 0 0 4.43477324748243 0.459321780898875 2.23355650658361 0.318453731118535 0.693147180559945 0.405465108108164 0.485507815781701 0.773343722554222 0.405465108108164 0.22314355131421 0 0.22314355131421 0.22314355131421 0 0.559615787935423 0.287432041196572 0.22314355131421 0.22314355131421 0 0.154436353304419 3.75342578772099 4.08316564363067 0 3.10606540523834 0.348541960708543 2.4879021587678 2.37704300391206 4.49940959030893 0 0 0 0 0;</v>
      </c>
    </row>
    <row r="6" spans="1:86" x14ac:dyDescent="0.25">
      <c r="A6">
        <v>12</v>
      </c>
      <c r="B6">
        <v>0</v>
      </c>
      <c r="C6">
        <v>1</v>
      </c>
      <c r="D6">
        <v>1</v>
      </c>
      <c r="E6">
        <v>2.5416019934645502</v>
      </c>
      <c r="F6">
        <v>2.3045830956567199</v>
      </c>
      <c r="G6">
        <v>2.8051769118329299</v>
      </c>
      <c r="H6">
        <v>5.8607862234658699</v>
      </c>
      <c r="I6">
        <v>5.8289456176102101</v>
      </c>
      <c r="J6">
        <v>6.0822189103764499</v>
      </c>
      <c r="K6">
        <v>7.0273145140397801</v>
      </c>
      <c r="L6">
        <v>0.19309662996191301</v>
      </c>
      <c r="M6">
        <v>0.974559639998131</v>
      </c>
      <c r="N6">
        <v>1.1593937609279701</v>
      </c>
      <c r="O6">
        <v>1.2053718252396399</v>
      </c>
      <c r="P6">
        <v>1.1177611075068701</v>
      </c>
      <c r="Q6">
        <v>0.66577598376381297</v>
      </c>
      <c r="R6">
        <v>0.10436001532424299</v>
      </c>
      <c r="S6">
        <v>0.22394323148477399</v>
      </c>
      <c r="T6">
        <v>0.17395330712343801</v>
      </c>
      <c r="U6">
        <v>0.16889853646181399</v>
      </c>
      <c r="V6">
        <v>0.14583044821154001</v>
      </c>
      <c r="W6">
        <v>0.307484699747961</v>
      </c>
      <c r="X6">
        <v>0.46373401623214</v>
      </c>
      <c r="Y6">
        <v>0.45742484703887498</v>
      </c>
      <c r="Z6">
        <v>0.46373401623214</v>
      </c>
      <c r="AA6">
        <v>2.5026647047097001</v>
      </c>
      <c r="AB6">
        <v>0</v>
      </c>
      <c r="AC6">
        <v>3.35550242240003</v>
      </c>
      <c r="AD6">
        <v>0</v>
      </c>
      <c r="AE6">
        <v>3.35550242240003</v>
      </c>
      <c r="AF6">
        <v>1.99918006007703</v>
      </c>
      <c r="AG6">
        <v>4.2040506223101604</v>
      </c>
      <c r="AH6">
        <v>0</v>
      </c>
      <c r="AI6">
        <v>4.2951061626431803</v>
      </c>
      <c r="AJ6">
        <v>4.2040506223101604</v>
      </c>
      <c r="AK6">
        <v>0.15014265842971899</v>
      </c>
      <c r="AL6">
        <v>5.9211859631845998E-2</v>
      </c>
      <c r="AM6">
        <v>0.13015068446504499</v>
      </c>
      <c r="AN6">
        <v>0.107957141505092</v>
      </c>
      <c r="AO6">
        <v>0.17479329037316299</v>
      </c>
      <c r="AP6">
        <v>0.65752000291679402</v>
      </c>
      <c r="AQ6">
        <v>0.41871033485818498</v>
      </c>
      <c r="AR6">
        <v>0.47000362924573602</v>
      </c>
      <c r="AS6">
        <v>0.65752000291679402</v>
      </c>
      <c r="AT6">
        <v>3.7534257877209898</v>
      </c>
      <c r="AU6">
        <v>0.28743204119657201</v>
      </c>
      <c r="AV6">
        <v>0</v>
      </c>
      <c r="AW6">
        <v>3.6506582412937401</v>
      </c>
      <c r="AX6">
        <v>3.6506582412937401</v>
      </c>
      <c r="AY6">
        <v>3.2580965380214799</v>
      </c>
      <c r="AZ6">
        <v>3.7534257877209898</v>
      </c>
      <c r="BA6">
        <v>0.916290731874155</v>
      </c>
      <c r="BB6">
        <v>3.7534257877209898</v>
      </c>
      <c r="BC6">
        <v>0</v>
      </c>
      <c r="BD6">
        <v>0</v>
      </c>
      <c r="BE6">
        <v>0</v>
      </c>
      <c r="BF6">
        <v>0</v>
      </c>
      <c r="BG6">
        <v>7.9734968018853505E-2</v>
      </c>
      <c r="BH6">
        <v>0.69314718055994495</v>
      </c>
      <c r="BI6">
        <v>1.09861228866811</v>
      </c>
      <c r="BJ6">
        <v>0.405465108108164</v>
      </c>
      <c r="BK6">
        <v>0.77334372255422201</v>
      </c>
      <c r="BL6">
        <v>0.22314355131420999</v>
      </c>
      <c r="BM6">
        <v>0.22314355131420999</v>
      </c>
      <c r="BN6">
        <v>0</v>
      </c>
      <c r="BO6">
        <v>0.15443635330441899</v>
      </c>
      <c r="BP6">
        <v>0.55961578793542299</v>
      </c>
      <c r="BQ6">
        <v>1.3217558399823199</v>
      </c>
      <c r="BR6">
        <v>1.0116009116784801</v>
      </c>
      <c r="BS6">
        <v>1.0116009116784801</v>
      </c>
      <c r="BT6">
        <v>3.0834225866809799</v>
      </c>
      <c r="BU6">
        <v>3.84658808264264</v>
      </c>
      <c r="BV6">
        <v>3.5361069907765299</v>
      </c>
      <c r="BW6">
        <v>3.7917293207283902</v>
      </c>
      <c r="BX6">
        <v>0.88252710172134596</v>
      </c>
      <c r="BY6">
        <v>4.2441142308473303</v>
      </c>
      <c r="BZ6">
        <v>2.67545813650155</v>
      </c>
      <c r="CA6">
        <v>3.4752529714915701</v>
      </c>
      <c r="CB6">
        <v>0</v>
      </c>
      <c r="CC6">
        <v>0</v>
      </c>
      <c r="CD6">
        <v>0</v>
      </c>
      <c r="CE6">
        <v>0</v>
      </c>
      <c r="CF6">
        <v>0</v>
      </c>
      <c r="CH6" t="str">
        <f t="shared" si="0"/>
        <v>/*12*/ 011  1 2.54160199346455 2.30458309565672 2.80517691183293 5.86078622346587 5.82894561761021 6.08221891037645 7.02731451403978 0.193096629961913 0.974559639998131 1.15939376092797 1.20537182523964 1.11776110750687 0.665775983763813 0.104360015324243 0.223943231484774 0.173953307123438 0.168898536461814 0.14583044821154 0.307484699747961 0.46373401623214 0.457424847038875 0.46373401623214 2.5026647047097 0 3.35550242240003 0 3.35550242240003 1.99918006007703 4.20405062231016 0 4.29510616264318 4.20405062231016 0.150142658429719 0.059211859631846 0.130150684465045 0.107957141505092 0.174793290373163 0.657520002916794 0.418710334858185 0.470003629245736 0.657520002916794 3.75342578772099 0.287432041196572 0 3.65065824129374 3.65065824129374 3.25809653802148 3.75342578772099 0.916290731874155 3.75342578772099 0 0 0 0 7.97349680188535E-02 0.693147180559945 1.09861228866811 0.405465108108164 0.773343722554222 0.22314355131421 0.22314355131421 0 0.154436353304419 0.559615787935423 1.32175583998232 1.01160091167848 1.01160091167848 3.08342258668098 3.84658808264264 3.53610699077653 3.79172932072839 0.882527101721346 4.24411423084733 2.67545813650155 3.47525297149157 0 0 0 0 0;</v>
      </c>
    </row>
    <row r="7" spans="1:86" x14ac:dyDescent="0.25">
      <c r="A7">
        <v>13</v>
      </c>
      <c r="B7">
        <v>0</v>
      </c>
      <c r="C7">
        <v>0</v>
      </c>
      <c r="D7">
        <v>0</v>
      </c>
      <c r="E7">
        <v>2.8273136219290298</v>
      </c>
      <c r="F7">
        <v>2.2082744135227999</v>
      </c>
      <c r="G7">
        <v>2.3739750890807199</v>
      </c>
      <c r="H7">
        <v>6.9612960459101698</v>
      </c>
      <c r="I7">
        <v>6.4520489544372301</v>
      </c>
      <c r="J7">
        <v>6.3969296552161499</v>
      </c>
      <c r="K7">
        <v>7.7349961940227798</v>
      </c>
      <c r="L7">
        <v>0</v>
      </c>
      <c r="M7">
        <v>1.7621589994517599</v>
      </c>
      <c r="N7">
        <v>1.2202397767898101</v>
      </c>
      <c r="O7">
        <v>1.56087772181872</v>
      </c>
      <c r="P7">
        <v>1.53858617146215</v>
      </c>
      <c r="Q7">
        <v>0.91428872920348203</v>
      </c>
      <c r="R7">
        <v>0.37500590062345601</v>
      </c>
      <c r="S7">
        <v>0.28517894223366202</v>
      </c>
      <c r="T7">
        <v>0.42787870294506403</v>
      </c>
      <c r="U7">
        <v>0.36394842790523102</v>
      </c>
      <c r="V7">
        <v>0.18979357163265601</v>
      </c>
      <c r="W7">
        <v>0.57661336430399401</v>
      </c>
      <c r="X7">
        <v>0.37843643572024499</v>
      </c>
      <c r="Y7">
        <v>0.63127177684185798</v>
      </c>
      <c r="Z7">
        <v>0.63127177684185798</v>
      </c>
      <c r="AA7">
        <v>2.2328061983861298</v>
      </c>
      <c r="AB7">
        <v>0</v>
      </c>
      <c r="AC7">
        <v>3.6506582412937401</v>
      </c>
      <c r="AD7">
        <v>1.98100146886658</v>
      </c>
      <c r="AE7">
        <v>3.8010914447208601</v>
      </c>
      <c r="AF7">
        <v>1.98100146886658</v>
      </c>
      <c r="AG7">
        <v>3.9318256327243302</v>
      </c>
      <c r="AH7">
        <v>0</v>
      </c>
      <c r="AI7">
        <v>4.04742764243435</v>
      </c>
      <c r="AJ7">
        <v>3.9318256327243302</v>
      </c>
      <c r="AK7">
        <v>8.8926209194401501E-2</v>
      </c>
      <c r="AL7">
        <v>0.24998020526776901</v>
      </c>
      <c r="AM7">
        <v>0.151862349309246</v>
      </c>
      <c r="AN7">
        <v>0.155292884406035</v>
      </c>
      <c r="AO7">
        <v>0.143234168085908</v>
      </c>
      <c r="AP7">
        <v>0.25464221837358098</v>
      </c>
      <c r="AQ7">
        <v>0.35767444427181599</v>
      </c>
      <c r="AR7">
        <v>0.47000362924573602</v>
      </c>
      <c r="AS7">
        <v>0.47000362924573602</v>
      </c>
      <c r="AT7">
        <v>3.2580965380214799</v>
      </c>
      <c r="AU7">
        <v>0.25619140536041002</v>
      </c>
      <c r="AV7">
        <v>4.1510399058986502</v>
      </c>
      <c r="AW7">
        <v>2.6026896854443802</v>
      </c>
      <c r="AX7">
        <v>4.1510399058986502</v>
      </c>
      <c r="AY7">
        <v>3.84658808264264</v>
      </c>
      <c r="AZ7">
        <v>3.6506582412937401</v>
      </c>
      <c r="BA7">
        <v>0.55961578793542299</v>
      </c>
      <c r="BB7">
        <v>2.8716984926305398</v>
      </c>
      <c r="BC7">
        <v>0.55961578793542299</v>
      </c>
      <c r="BD7">
        <v>0</v>
      </c>
      <c r="BE7">
        <v>0</v>
      </c>
      <c r="BF7">
        <v>0.22314355131420999</v>
      </c>
      <c r="BG7">
        <v>0.671923544108319</v>
      </c>
      <c r="BH7">
        <v>0.22314355131420999</v>
      </c>
      <c r="BI7">
        <v>0.405465108108164</v>
      </c>
      <c r="BJ7">
        <v>0</v>
      </c>
      <c r="BK7">
        <v>0.22314355131420999</v>
      </c>
      <c r="BL7">
        <v>0</v>
      </c>
      <c r="BM7">
        <v>0</v>
      </c>
      <c r="BN7">
        <v>0</v>
      </c>
      <c r="BO7">
        <v>0</v>
      </c>
      <c r="BP7">
        <v>1.2527629684953701</v>
      </c>
      <c r="BQ7">
        <v>0</v>
      </c>
      <c r="BR7">
        <v>1.2527629684953701</v>
      </c>
      <c r="BS7">
        <v>0.98095424519987695</v>
      </c>
      <c r="BT7">
        <v>0</v>
      </c>
      <c r="BU7">
        <v>4.43477324748243</v>
      </c>
      <c r="BV7">
        <v>2.8716984926305398</v>
      </c>
      <c r="BW7">
        <v>3.8149612925850098</v>
      </c>
      <c r="BX7">
        <v>1.3104926477036101</v>
      </c>
      <c r="BY7">
        <v>3.65164476750371</v>
      </c>
      <c r="BZ7">
        <v>2.8133707159600201</v>
      </c>
      <c r="CA7">
        <v>4.1504413015739701</v>
      </c>
      <c r="CB7">
        <v>0</v>
      </c>
      <c r="CC7">
        <v>0</v>
      </c>
      <c r="CD7">
        <v>0</v>
      </c>
      <c r="CE7">
        <v>0</v>
      </c>
      <c r="CF7">
        <v>0</v>
      </c>
      <c r="CH7" t="str">
        <f t="shared" si="0"/>
        <v>/*13*/ 000  1 2.82731362192903 2.2082744135228 2.37397508908072 6.96129604591017 6.45204895443723 6.39692965521615 7.73499619402278 0 1.76215899945176 1.22023977678981 1.56087772181872 1.53858617146215 0.914288729203482 0.375005900623456 0.285178942233662 0.427878702945064 0.363948427905231 0.189793571632656 0.576613364303994 0.378436435720245 0.631271776841858 0.631271776841858 2.23280619838613 0 3.65065824129374 1.98100146886658 3.80109144472086 1.98100146886658 3.93182563272433 0 4.04742764243435 3.93182563272433 8.89262091944015E-02 0.249980205267769 0.151862349309246 0.155292884406035 0.143234168085908 0.254642218373581 0.357674444271816 0.470003629245736 0.470003629245736 3.25809653802148 0.25619140536041 4.15103990589865 2.60268968544438 4.15103990589865 3.84658808264264 3.65065824129374 0.559615787935423 2.87169849263054 0.559615787935423 0 0 0.22314355131421 0.671923544108319 0.22314355131421 0.405465108108164 0 0.22314355131421 0 0 0 0 1.25276296849537 0 1.25276296849537 0.980954245199877 0 4.43477324748243 2.87169849263054 3.81496129258501 1.31049264770361 3.65164476750371 2.81337071596002 4.15044130157397 0 0 0 0 0;</v>
      </c>
    </row>
    <row r="8" spans="1:86" x14ac:dyDescent="0.25">
      <c r="A8">
        <v>14</v>
      </c>
      <c r="B8">
        <v>0</v>
      </c>
      <c r="C8">
        <v>1</v>
      </c>
      <c r="D8">
        <v>0</v>
      </c>
      <c r="E8">
        <v>2.6672282065819499</v>
      </c>
      <c r="F8">
        <v>2.2700619012884902</v>
      </c>
      <c r="G8">
        <v>2.5525652982618201</v>
      </c>
      <c r="H8">
        <v>6.0354814325247599</v>
      </c>
      <c r="I8">
        <v>6.0637852086876096</v>
      </c>
      <c r="J8">
        <v>5.2983173665480399</v>
      </c>
      <c r="K8">
        <v>6.9527286446248704</v>
      </c>
      <c r="L8">
        <v>0.108854404912082</v>
      </c>
      <c r="M8">
        <v>1.27759494419655</v>
      </c>
      <c r="N8">
        <v>1.3384162808754301</v>
      </c>
      <c r="O8">
        <v>1.2014696741078199</v>
      </c>
      <c r="P8">
        <v>1.27396517614597</v>
      </c>
      <c r="Q8">
        <v>0.53649337051456802</v>
      </c>
      <c r="R8">
        <v>0.17058630057553401</v>
      </c>
      <c r="S8">
        <v>0.30453918951820402</v>
      </c>
      <c r="T8">
        <v>0.16126814759612201</v>
      </c>
      <c r="U8">
        <v>0.21511137961694499</v>
      </c>
      <c r="V8">
        <v>0.148420005118273</v>
      </c>
      <c r="W8">
        <v>0.307484699747961</v>
      </c>
      <c r="X8">
        <v>0.482426149244293</v>
      </c>
      <c r="Y8">
        <v>0.24686007793152601</v>
      </c>
      <c r="Z8">
        <v>0.482426149244293</v>
      </c>
      <c r="AA8">
        <v>2.4612967841488702</v>
      </c>
      <c r="AB8">
        <v>2.2717134293269599</v>
      </c>
      <c r="AC8">
        <v>1.6767226592397</v>
      </c>
      <c r="AD8">
        <v>3.5774729202895901</v>
      </c>
      <c r="AE8">
        <v>3.8882629578638102</v>
      </c>
      <c r="AF8">
        <v>3.2153897555833701</v>
      </c>
      <c r="AG8">
        <v>3.3762555713579498</v>
      </c>
      <c r="AH8">
        <v>0</v>
      </c>
      <c r="AI8">
        <v>3.9735695550796599</v>
      </c>
      <c r="AJ8">
        <v>3.5774729202895901</v>
      </c>
      <c r="AK8">
        <v>0.28442677973110803</v>
      </c>
      <c r="AL8">
        <v>0.16636153721522501</v>
      </c>
      <c r="AM8">
        <v>0.19721016928770499</v>
      </c>
      <c r="AN8">
        <v>0.217527812528574</v>
      </c>
      <c r="AO8">
        <v>0.137149838147234</v>
      </c>
      <c r="AP8">
        <v>0.55388511322643796</v>
      </c>
      <c r="AQ8">
        <v>0.42526773540434398</v>
      </c>
      <c r="AR8">
        <v>0.350656871613169</v>
      </c>
      <c r="AS8">
        <v>0.55388511322643796</v>
      </c>
      <c r="AT8">
        <v>3.4067486117004799</v>
      </c>
      <c r="AU8">
        <v>0.45932178089887499</v>
      </c>
      <c r="AV8">
        <v>0</v>
      </c>
      <c r="AW8">
        <v>3.6506582412937401</v>
      </c>
      <c r="AX8">
        <v>0</v>
      </c>
      <c r="AY8">
        <v>2.6026896854443802</v>
      </c>
      <c r="AZ8">
        <v>4.0831656436306698</v>
      </c>
      <c r="BA8">
        <v>0.55961578793542299</v>
      </c>
      <c r="BB8">
        <v>3.2580965380214799</v>
      </c>
      <c r="BC8">
        <v>0</v>
      </c>
      <c r="BD8">
        <v>0</v>
      </c>
      <c r="BE8">
        <v>0</v>
      </c>
      <c r="BF8">
        <v>0</v>
      </c>
      <c r="BG8">
        <v>0.45932178089887499</v>
      </c>
      <c r="BH8">
        <v>0</v>
      </c>
      <c r="BI8">
        <v>0.405465108108164</v>
      </c>
      <c r="BJ8">
        <v>0.405465108108164</v>
      </c>
      <c r="BK8">
        <v>0.28743204119657201</v>
      </c>
      <c r="BL8">
        <v>0.22314355131420999</v>
      </c>
      <c r="BM8">
        <v>0</v>
      </c>
      <c r="BN8">
        <v>0</v>
      </c>
      <c r="BO8">
        <v>7.9734968018853505E-2</v>
      </c>
      <c r="BP8">
        <v>0.22314355131420999</v>
      </c>
      <c r="BQ8">
        <v>1.1786549963416499</v>
      </c>
      <c r="BR8">
        <v>0</v>
      </c>
      <c r="BS8">
        <v>0.60595396885756803</v>
      </c>
      <c r="BT8">
        <v>2.6026896854443802</v>
      </c>
      <c r="BU8">
        <v>4.3307333402863302</v>
      </c>
      <c r="BV8">
        <v>2.6026896854443802</v>
      </c>
      <c r="BW8">
        <v>3.6342912638295299</v>
      </c>
      <c r="BX8">
        <v>0.45932178089887499</v>
      </c>
      <c r="BY8">
        <v>4.4150019241678304</v>
      </c>
      <c r="BZ8">
        <v>2.5731464386374099</v>
      </c>
      <c r="CA8">
        <v>2.9610373037571001</v>
      </c>
      <c r="CB8">
        <v>0</v>
      </c>
      <c r="CC8">
        <v>0</v>
      </c>
      <c r="CD8">
        <v>0</v>
      </c>
      <c r="CE8">
        <v>0</v>
      </c>
      <c r="CF8">
        <v>0</v>
      </c>
      <c r="CH8" t="str">
        <f t="shared" si="0"/>
        <v>/*14*/ 010  1 2.66722820658195 2.27006190128849 2.55256529826182 6.03548143252476 6.06378520868761 5.29831736654804 6.95272864462487 0.108854404912082 1.27759494419655 1.33841628087543 1.20146967410782 1.27396517614597 0.536493370514568 0.170586300575534 0.304539189518204 0.161268147596122 0.215111379616945 0.148420005118273 0.307484699747961 0.482426149244293 0.246860077931526 0.482426149244293 2.46129678414887 2.27171342932696 1.6767226592397 3.57747292028959 3.88826295786381 3.21538975558337 3.37625557135795 0 3.97356955507966 3.57747292028959 0.284426779731108 0.166361537215225 0.197210169287705 0.217527812528574 0.137149838147234 0.553885113226438 0.425267735404344 0.350656871613169 0.553885113226438 3.40674861170048 0.459321780898875 0 3.65065824129374 0 2.60268968544438 4.08316564363067 0.559615787935423 3.25809653802148 0 0 0 0 0.459321780898875 0 0.405465108108164 0.405465108108164 0.287432041196572 0.22314355131421 0 0 7.97349680188535E-02 0.22314355131421 1.17865499634165 0 0.605953968857568 2.60268968544438 4.33073334028633 2.60268968544438 3.63429126382953 0.459321780898875 4.41500192416783 2.57314643863741 2.9610373037571 0 0 0 0 0;</v>
      </c>
    </row>
    <row r="9" spans="1:86" x14ac:dyDescent="0.25">
      <c r="A9">
        <v>16</v>
      </c>
      <c r="B9">
        <v>0</v>
      </c>
      <c r="C9">
        <v>0</v>
      </c>
      <c r="D9">
        <v>0</v>
      </c>
      <c r="E9">
        <v>2.7472709142554899</v>
      </c>
      <c r="F9">
        <v>2.2038691200548901</v>
      </c>
      <c r="G9">
        <v>2.4466854369678002</v>
      </c>
      <c r="H9">
        <v>6.2519038831658902</v>
      </c>
      <c r="I9">
        <v>5.7807435157923299</v>
      </c>
      <c r="J9">
        <v>5.7620513827801796</v>
      </c>
      <c r="K9">
        <v>7.0553128433397498</v>
      </c>
      <c r="L9">
        <v>0</v>
      </c>
      <c r="M9">
        <v>1.0342515295077199</v>
      </c>
      <c r="N9">
        <v>0.94584953411569905</v>
      </c>
      <c r="O9">
        <v>0.79975691561820395</v>
      </c>
      <c r="P9">
        <v>0.93137636929219603</v>
      </c>
      <c r="Q9">
        <v>0.482426149244293</v>
      </c>
      <c r="R9">
        <v>0.23665190133900199</v>
      </c>
      <c r="S9">
        <v>0.26466929814270801</v>
      </c>
      <c r="T9">
        <v>0.244513577050402</v>
      </c>
      <c r="U9">
        <v>0.24842135849847799</v>
      </c>
      <c r="V9">
        <v>0.1016536537265</v>
      </c>
      <c r="W9">
        <v>0.350656871613169</v>
      </c>
      <c r="X9">
        <v>0.405465108108164</v>
      </c>
      <c r="Y9">
        <v>0.36464311358790902</v>
      </c>
      <c r="Z9">
        <v>0.405465108108164</v>
      </c>
      <c r="AA9">
        <v>1.86377000520433</v>
      </c>
      <c r="AB9">
        <v>0</v>
      </c>
      <c r="AC9">
        <v>4.1289231069085099</v>
      </c>
      <c r="AD9">
        <v>0</v>
      </c>
      <c r="AE9">
        <v>4.1289231069085099</v>
      </c>
      <c r="AF9">
        <v>1.32919476907932</v>
      </c>
      <c r="AG9">
        <v>3.6139134216240199</v>
      </c>
      <c r="AH9">
        <v>0</v>
      </c>
      <c r="AI9">
        <v>3.6861005966635001</v>
      </c>
      <c r="AJ9">
        <v>4.1289231069085099</v>
      </c>
      <c r="AK9">
        <v>0.23269776411902099</v>
      </c>
      <c r="AL9">
        <v>0.186479566942618</v>
      </c>
      <c r="AM9">
        <v>0.21672298351128699</v>
      </c>
      <c r="AN9">
        <v>0.20701416938432601</v>
      </c>
      <c r="AO9">
        <v>0.14583044821154001</v>
      </c>
      <c r="AP9">
        <v>0.47623417899637199</v>
      </c>
      <c r="AQ9">
        <v>0.431782416425538</v>
      </c>
      <c r="AR9">
        <v>0.37843643572024499</v>
      </c>
      <c r="AS9">
        <v>0.47623417899637199</v>
      </c>
      <c r="AT9">
        <v>2.6026896854443802</v>
      </c>
      <c r="AU9">
        <v>0.60595396885756803</v>
      </c>
      <c r="AV9">
        <v>2.6026896854443802</v>
      </c>
      <c r="AW9">
        <v>0</v>
      </c>
      <c r="AX9">
        <v>0</v>
      </c>
      <c r="AY9">
        <v>1.64229224930505</v>
      </c>
      <c r="AZ9">
        <v>4.43477324748243</v>
      </c>
      <c r="BA9">
        <v>0.84715499303929298</v>
      </c>
      <c r="BB9">
        <v>3.5361069907765299</v>
      </c>
      <c r="BC9">
        <v>0.117783035656383</v>
      </c>
      <c r="BD9">
        <v>0</v>
      </c>
      <c r="BE9">
        <v>0</v>
      </c>
      <c r="BF9">
        <v>4.1141943331175199E-2</v>
      </c>
      <c r="BG9">
        <v>4.1141943331175199E-2</v>
      </c>
      <c r="BH9">
        <v>0.405465108108164</v>
      </c>
      <c r="BI9">
        <v>0.22314355131420999</v>
      </c>
      <c r="BJ9">
        <v>0.405465108108164</v>
      </c>
      <c r="BK9">
        <v>0.34854196070854299</v>
      </c>
      <c r="BL9">
        <v>0</v>
      </c>
      <c r="BM9">
        <v>0</v>
      </c>
      <c r="BN9">
        <v>0</v>
      </c>
      <c r="BO9">
        <v>0</v>
      </c>
      <c r="BP9">
        <v>0.55961578793542299</v>
      </c>
      <c r="BQ9">
        <v>0.405465108108164</v>
      </c>
      <c r="BR9">
        <v>0</v>
      </c>
      <c r="BS9">
        <v>0.34854196070854299</v>
      </c>
      <c r="BT9">
        <v>3.0834225866809799</v>
      </c>
      <c r="BU9">
        <v>3.4067486117004799</v>
      </c>
      <c r="BV9">
        <v>3.9318256327243302</v>
      </c>
      <c r="BW9">
        <v>3.9194950202668499</v>
      </c>
      <c r="BX9">
        <v>0.86499743748660496</v>
      </c>
      <c r="BY9">
        <v>4.3766497048610598</v>
      </c>
      <c r="BZ9">
        <v>2.8186967211892702</v>
      </c>
      <c r="CA9">
        <v>3.1103547643906899</v>
      </c>
      <c r="CB9">
        <v>0</v>
      </c>
      <c r="CC9">
        <v>0</v>
      </c>
      <c r="CD9">
        <v>0</v>
      </c>
      <c r="CE9">
        <v>0</v>
      </c>
      <c r="CF9">
        <v>0</v>
      </c>
      <c r="CH9" t="str">
        <f t="shared" si="0"/>
        <v>/*16*/ 000  1 2.74727091425549 2.20386912005489 2.4466854369678 6.25190388316589 5.78074351579233 5.76205138278018 7.05531284333975 0 1.03425152950772 0.945849534115699 0.799756915618204 0.931376369292196 0.482426149244293 0.236651901339002 0.264669298142708 0.244513577050402 0.248421358498478 0.1016536537265 0.350656871613169 0.405465108108164 0.364643113587909 0.405465108108164 1.86377000520433 0 4.12892310690851 0 4.12892310690851 1.32919476907932 3.61391342162402 0 3.6861005966635 4.12892310690851 0.232697764119021 0.186479566942618 0.216722983511287 0.207014169384326 0.14583044821154 0.476234178996372 0.431782416425538 0.378436435720245 0.476234178996372 2.60268968544438 0.605953968857568 2.60268968544438 0 0 1.64229224930505 4.43477324748243 0.847154993039293 3.53610699077653 0.117783035656383 0 0 4.11419433311752E-02 4.11419433311752E-02 0.405465108108164 0.22314355131421 0.405465108108164 0.348541960708543 0 0 0 0 0.559615787935423 0.405465108108164 0 0.348541960708543 3.08342258668098 3.40674861170048 3.93182563272433 3.91949502026685 0.864997437486605 4.37664970486106 2.81869672118927 3.11035476439069 0 0 0 0 0;</v>
      </c>
    </row>
    <row r="10" spans="1:86" x14ac:dyDescent="0.25">
      <c r="A10">
        <v>18</v>
      </c>
      <c r="B10">
        <v>1</v>
      </c>
      <c r="C10">
        <v>0</v>
      </c>
      <c r="D10">
        <v>0</v>
      </c>
      <c r="E10">
        <v>2.8094026953625</v>
      </c>
      <c r="F10">
        <v>2.2874714551839999</v>
      </c>
      <c r="G10">
        <v>2.7278528283983898</v>
      </c>
      <c r="H10">
        <v>6.6618547405453103</v>
      </c>
      <c r="I10">
        <v>6.6066501861982196</v>
      </c>
      <c r="J10">
        <v>6.2766434893416401</v>
      </c>
      <c r="K10">
        <v>7.6265702062906602</v>
      </c>
      <c r="L10">
        <v>5.7325066619269401E-2</v>
      </c>
      <c r="M10">
        <v>1.38328985209959</v>
      </c>
      <c r="N10">
        <v>1.3185507090333699</v>
      </c>
      <c r="O10">
        <v>1.3800247481062999</v>
      </c>
      <c r="P10">
        <v>1.3609765531356</v>
      </c>
      <c r="Q10">
        <v>0.53062825106217004</v>
      </c>
      <c r="R10">
        <v>0.14063112973974601</v>
      </c>
      <c r="S10">
        <v>0.133656384812674</v>
      </c>
      <c r="T10">
        <v>0.16889853646181399</v>
      </c>
      <c r="U10">
        <v>0.147557564357615</v>
      </c>
      <c r="V10">
        <v>9.5310179804324893E-2</v>
      </c>
      <c r="W10">
        <v>0.36464311358790902</v>
      </c>
      <c r="X10">
        <v>0.36464311358790902</v>
      </c>
      <c r="Y10">
        <v>0.27763173659828</v>
      </c>
      <c r="Z10">
        <v>0.36464311358790902</v>
      </c>
      <c r="AA10">
        <v>2.9559514035421501</v>
      </c>
      <c r="AB10">
        <v>0</v>
      </c>
      <c r="AC10">
        <v>3.8901249843269299</v>
      </c>
      <c r="AD10">
        <v>1.1259031489040101</v>
      </c>
      <c r="AE10">
        <v>3.9318256327243302</v>
      </c>
      <c r="AF10">
        <v>1.64229224930505</v>
      </c>
      <c r="AG10">
        <v>3.8010914447208601</v>
      </c>
      <c r="AH10">
        <v>1.1259031489040101</v>
      </c>
      <c r="AI10">
        <v>3.9318256327243302</v>
      </c>
      <c r="AJ10">
        <v>3.8901249843269299</v>
      </c>
      <c r="AK10">
        <v>4.78373294141601E-2</v>
      </c>
      <c r="AL10">
        <v>0.12927233570413901</v>
      </c>
      <c r="AM10">
        <v>1.19285708652738E-2</v>
      </c>
      <c r="AN10">
        <v>6.3913325743652896E-2</v>
      </c>
      <c r="AO10">
        <v>0.116003675756306</v>
      </c>
      <c r="AP10">
        <v>0.22314355131420999</v>
      </c>
      <c r="AQ10">
        <v>0.47623417899637199</v>
      </c>
      <c r="AR10">
        <v>4.8790164169432E-2</v>
      </c>
      <c r="AS10">
        <v>0.47623417899637199</v>
      </c>
      <c r="AT10">
        <v>3.4067486117004799</v>
      </c>
      <c r="AU10">
        <v>0.117783035656383</v>
      </c>
      <c r="AV10">
        <v>3.9318256327243302</v>
      </c>
      <c r="AW10">
        <v>3.6506582412937401</v>
      </c>
      <c r="AX10">
        <v>4.4830025520138799</v>
      </c>
      <c r="AY10">
        <v>4.0831656436306698</v>
      </c>
      <c r="AZ10">
        <v>4.0831656436306698</v>
      </c>
      <c r="BA10">
        <v>0.51102560376865702</v>
      </c>
      <c r="BB10">
        <v>3.2580965380214799</v>
      </c>
      <c r="BC10">
        <v>0.405465108108164</v>
      </c>
      <c r="BD10">
        <v>0.117783035656383</v>
      </c>
      <c r="BE10">
        <v>0</v>
      </c>
      <c r="BF10">
        <v>0.188966099512623</v>
      </c>
      <c r="BG10">
        <v>0.377065633586466</v>
      </c>
      <c r="BH10">
        <v>0.22314355131420999</v>
      </c>
      <c r="BI10">
        <v>0</v>
      </c>
      <c r="BJ10">
        <v>0</v>
      </c>
      <c r="BK10">
        <v>7.9734968018853505E-2</v>
      </c>
      <c r="BL10">
        <v>0.81093021621632899</v>
      </c>
      <c r="BM10">
        <v>0.916290731874155</v>
      </c>
      <c r="BN10">
        <v>0</v>
      </c>
      <c r="BO10">
        <v>0.65076146406350699</v>
      </c>
      <c r="BP10">
        <v>1.2527629684953701</v>
      </c>
      <c r="BQ10">
        <v>0.916290731874155</v>
      </c>
      <c r="BR10">
        <v>1.6094379124341001</v>
      </c>
      <c r="BS10">
        <v>1.2993738890891899</v>
      </c>
      <c r="BT10">
        <v>3.0834225866809799</v>
      </c>
      <c r="BU10">
        <v>4.2743439804936996</v>
      </c>
      <c r="BV10">
        <v>2.2335565065836098</v>
      </c>
      <c r="BW10">
        <v>3.4272549159814401</v>
      </c>
      <c r="BX10">
        <v>0.96508089604358704</v>
      </c>
      <c r="BY10">
        <v>3.5339201140757899</v>
      </c>
      <c r="BZ10">
        <v>2.7338478939233499</v>
      </c>
      <c r="CA10">
        <v>4.2157063716068697</v>
      </c>
      <c r="CB10">
        <v>0</v>
      </c>
      <c r="CC10">
        <v>0</v>
      </c>
      <c r="CD10">
        <v>0</v>
      </c>
      <c r="CE10">
        <v>0</v>
      </c>
      <c r="CF10">
        <v>0</v>
      </c>
      <c r="CH10" t="str">
        <f t="shared" si="0"/>
        <v>/*18*/ 100  1 2.8094026953625 2.287471455184 2.72785282839839 6.66185474054531 6.60665018619822 6.27664348934164 7.62657020629066 5.73250666192694E-02 1.38328985209959 1.31855070903337 1.3800247481063 1.3609765531356 0.53062825106217 0.140631129739746 0.133656384812674 0.168898536461814 0.147557564357615 9.53101798043249E-02 0.364643113587909 0.364643113587909 0.27763173659828 0.364643113587909 2.95595140354215 0 3.89012498432693 1.12590314890401 3.93182563272433 1.64229224930505 3.80109144472086 1.12590314890401 3.93182563272433 3.89012498432693 4.78373294141601E-02 0.129272335704139 1.19285708652738E-02 6.39133257436529E-02 0.116003675756306 0.22314355131421 0.476234178996372 0.048790164169432 0.476234178996372 3.40674861170048 0.117783035656383 3.93182563272433 3.65065824129374 4.48300255201388 4.08316564363067 4.08316564363067 0.511025603768657 3.25809653802148 0.405465108108164 0.117783035656383 0 0.188966099512623 0.377065633586466 0.22314355131421 0 0 7.97349680188535E-02 0.810930216216329 0.916290731874155 0 0.650761464063507 1.25276296849537 0.916290731874155 1.6094379124341 1.29937388908919 3.08342258668098 4.2743439804937 2.23355650658361 3.42725491598144 0.965080896043587 3.53392011407579 2.73384789392335 4.21570637160687 0 0 0 0 0;</v>
      </c>
    </row>
    <row r="11" spans="1:86" x14ac:dyDescent="0.25">
      <c r="A11">
        <v>22</v>
      </c>
      <c r="B11">
        <v>1</v>
      </c>
      <c r="C11">
        <v>1</v>
      </c>
      <c r="D11">
        <v>1</v>
      </c>
      <c r="E11">
        <v>2.8678989020441099</v>
      </c>
      <c r="F11">
        <v>2.2192034840549901</v>
      </c>
      <c r="G11">
        <v>2.45358796653057</v>
      </c>
      <c r="H11">
        <v>5.8141305318250698</v>
      </c>
      <c r="I11">
        <v>6.3062752869480203</v>
      </c>
      <c r="J11">
        <v>5.7620513827801796</v>
      </c>
      <c r="K11">
        <v>7.0892431550275097</v>
      </c>
      <c r="L11">
        <v>1.1161247137527399</v>
      </c>
      <c r="M11">
        <v>1.0691834779773</v>
      </c>
      <c r="N11">
        <v>1.2383742310432699</v>
      </c>
      <c r="O11">
        <v>1.1593937609279701</v>
      </c>
      <c r="P11">
        <v>1.1578241482999601</v>
      </c>
      <c r="Q11">
        <v>0.37018329396352501</v>
      </c>
      <c r="R11">
        <v>0.19062035960865001</v>
      </c>
      <c r="S11">
        <v>0.22234323114344101</v>
      </c>
      <c r="T11">
        <v>0.27990188513281899</v>
      </c>
      <c r="U11">
        <v>0.231111720963387</v>
      </c>
      <c r="V11">
        <v>9.5310179804324893E-2</v>
      </c>
      <c r="W11">
        <v>0.24686007793152601</v>
      </c>
      <c r="X11">
        <v>0.41871033485818498</v>
      </c>
      <c r="Y11">
        <v>0.37843643572024499</v>
      </c>
      <c r="Z11">
        <v>0.41871033485818498</v>
      </c>
      <c r="AA11">
        <v>2.2393257533548501</v>
      </c>
      <c r="AB11">
        <v>0</v>
      </c>
      <c r="AC11">
        <v>3.1604413030310301</v>
      </c>
      <c r="AD11">
        <v>2.3680918951961698</v>
      </c>
      <c r="AE11">
        <v>3.5042953396657199</v>
      </c>
      <c r="AF11">
        <v>3.2886257430563099</v>
      </c>
      <c r="AG11">
        <v>3.7596873441244498</v>
      </c>
      <c r="AH11">
        <v>0</v>
      </c>
      <c r="AI11">
        <v>4.2303603661395401</v>
      </c>
      <c r="AJ11">
        <v>3.7596873441244498</v>
      </c>
      <c r="AK11">
        <v>0.31408054630631199</v>
      </c>
      <c r="AL11">
        <v>0.24920108563349899</v>
      </c>
      <c r="AM11">
        <v>0.17563256864315799</v>
      </c>
      <c r="AN11">
        <v>0.23744085601503401</v>
      </c>
      <c r="AO11">
        <v>0.14583044821154001</v>
      </c>
      <c r="AP11">
        <v>0.47000362924573602</v>
      </c>
      <c r="AQ11">
        <v>0.54232429082536204</v>
      </c>
      <c r="AR11">
        <v>0.307484699747961</v>
      </c>
      <c r="AS11">
        <v>0.54232429082536204</v>
      </c>
      <c r="AT11">
        <v>3.6506582412937401</v>
      </c>
      <c r="AU11">
        <v>0.377065633586466</v>
      </c>
      <c r="AV11">
        <v>0</v>
      </c>
      <c r="AW11">
        <v>2.6026896854443802</v>
      </c>
      <c r="AX11">
        <v>3.6506582412937401</v>
      </c>
      <c r="AY11">
        <v>2.8716984926305398</v>
      </c>
      <c r="AZ11">
        <v>3.84658808264264</v>
      </c>
      <c r="BA11">
        <v>0.60595396885756803</v>
      </c>
      <c r="BB11">
        <v>3.2580965380214799</v>
      </c>
      <c r="BC11">
        <v>0.31845373111853498</v>
      </c>
      <c r="BD11">
        <v>0.117783035656383</v>
      </c>
      <c r="BE11">
        <v>0</v>
      </c>
      <c r="BF11">
        <v>0.15443635330441899</v>
      </c>
      <c r="BG11">
        <v>0.22314355131420999</v>
      </c>
      <c r="BH11">
        <v>0.916290731874155</v>
      </c>
      <c r="BI11">
        <v>0.81093021621632899</v>
      </c>
      <c r="BJ11">
        <v>0.916290731874155</v>
      </c>
      <c r="BK11">
        <v>0.88252710172134596</v>
      </c>
      <c r="BL11">
        <v>0</v>
      </c>
      <c r="BM11">
        <v>0</v>
      </c>
      <c r="BN11">
        <v>0.405465108108164</v>
      </c>
      <c r="BO11">
        <v>0.15443635330441899</v>
      </c>
      <c r="BP11">
        <v>0</v>
      </c>
      <c r="BQ11">
        <v>0</v>
      </c>
      <c r="BR11">
        <v>0.405465108108164</v>
      </c>
      <c r="BS11">
        <v>0.15443635330441899</v>
      </c>
      <c r="BT11">
        <v>0</v>
      </c>
      <c r="BU11">
        <v>4.5729878452771402</v>
      </c>
      <c r="BV11">
        <v>1.64229224930505</v>
      </c>
      <c r="BW11">
        <v>3.7135720667043102</v>
      </c>
      <c r="BX11">
        <v>0.58333231455273904</v>
      </c>
      <c r="BY11">
        <v>4.5787851420433796</v>
      </c>
      <c r="BZ11">
        <v>1.3850435792182401</v>
      </c>
      <c r="CA11">
        <v>1.5269254908596399</v>
      </c>
      <c r="CB11">
        <v>0</v>
      </c>
      <c r="CC11">
        <v>0</v>
      </c>
      <c r="CD11">
        <v>0</v>
      </c>
      <c r="CE11">
        <v>0</v>
      </c>
      <c r="CF11">
        <v>0</v>
      </c>
      <c r="CH11" t="str">
        <f t="shared" si="0"/>
        <v>/*22*/ 111  1 2.86789890204411 2.21920348405499 2.45358796653057 5.81413053182507 6.30627528694802 5.76205138278018 7.08924315502751 1.11612471375274 1.0691834779773 1.23837423104327 1.15939376092797 1.15782414829996 0.370183293963525 0.19062035960865 0.222343231143441 0.279901885132819 0.231111720963387 9.53101798043249E-02 0.246860077931526 0.418710334858185 0.378436435720245 0.418710334858185 2.23932575335485 0 3.16044130303103 2.36809189519617 3.50429533966572 3.28862574305631 3.75968734412445 0 4.23036036613954 3.75968734412445 0.314080546306312 0.249201085633499 0.175632568643158 0.237440856015034 0.14583044821154 0.470003629245736 0.542324290825362 0.307484699747961 0.542324290825362 3.65065824129374 0.377065633586466 0 2.60268968544438 3.65065824129374 2.87169849263054 3.84658808264264 0.605953968857568 3.25809653802148 0.318453731118535 0.117783035656383 0 0.154436353304419 0.22314355131421 0.916290731874155 0.810930216216329 0.916290731874155 0.882527101721346 0 0 0.405465108108164 0.154436353304419 0 0 0.405465108108164 0.154436353304419 0 4.57298784527714 1.64229224930505 3.71357206670431 0.583332314552739 4.57878514204338 1.38504357921824 1.52692549085964 0 0 0 0 0;</v>
      </c>
    </row>
    <row r="12" spans="1:86" x14ac:dyDescent="0.25">
      <c r="A12">
        <v>26</v>
      </c>
      <c r="B12">
        <v>1</v>
      </c>
      <c r="C12">
        <v>0</v>
      </c>
      <c r="D12">
        <v>1</v>
      </c>
      <c r="E12">
        <v>2.9907197317304499</v>
      </c>
      <c r="F12">
        <v>2.29051251175978</v>
      </c>
      <c r="G12">
        <v>2.4492794721448501</v>
      </c>
      <c r="H12">
        <v>7.7731736804825404</v>
      </c>
      <c r="I12">
        <v>7.7981126288297897</v>
      </c>
      <c r="J12">
        <v>7.7857208965346203</v>
      </c>
      <c r="K12">
        <v>8.8840560617424593</v>
      </c>
      <c r="L12">
        <v>3.2467190137501399E-2</v>
      </c>
      <c r="M12">
        <v>1.94776556955477</v>
      </c>
      <c r="N12">
        <v>1.7791806870211899</v>
      </c>
      <c r="O12">
        <v>1.98100146886658</v>
      </c>
      <c r="P12">
        <v>1.9064265442061801</v>
      </c>
      <c r="Q12">
        <v>1.0423946086698801</v>
      </c>
      <c r="R12">
        <v>0.221542269947236</v>
      </c>
      <c r="S12">
        <v>0.29192306670903501</v>
      </c>
      <c r="T12">
        <v>0.22952315827824901</v>
      </c>
      <c r="U12">
        <v>0.247641022914597</v>
      </c>
      <c r="V12">
        <v>0.20620083058389799</v>
      </c>
      <c r="W12">
        <v>0.431782416425538</v>
      </c>
      <c r="X12">
        <v>0.916290731874155</v>
      </c>
      <c r="Y12">
        <v>0.39204208777602401</v>
      </c>
      <c r="Z12">
        <v>0.916290731874155</v>
      </c>
      <c r="AA12">
        <v>3.0612859042934302</v>
      </c>
      <c r="AB12">
        <v>0</v>
      </c>
      <c r="AC12">
        <v>3.0834225866809799</v>
      </c>
      <c r="AD12">
        <v>0</v>
      </c>
      <c r="AE12">
        <v>3.0834225866809799</v>
      </c>
      <c r="AF12">
        <v>0</v>
      </c>
      <c r="AG12">
        <v>4.3577723634978698</v>
      </c>
      <c r="AH12">
        <v>1.1259031489040101</v>
      </c>
      <c r="AI12">
        <v>4.3841119588732198</v>
      </c>
      <c r="AJ12">
        <v>4.3577723634978698</v>
      </c>
      <c r="AK12">
        <v>0.28968007511445398</v>
      </c>
      <c r="AL12">
        <v>0.38048912203798702</v>
      </c>
      <c r="AM12">
        <v>0.28593053941297503</v>
      </c>
      <c r="AN12">
        <v>0.319180739511152</v>
      </c>
      <c r="AO12">
        <v>0.288931291852213</v>
      </c>
      <c r="AP12">
        <v>0.54232429082536204</v>
      </c>
      <c r="AQ12">
        <v>0.85015092936961001</v>
      </c>
      <c r="AR12">
        <v>0.78845736036427005</v>
      </c>
      <c r="AS12">
        <v>0.85015092936961001</v>
      </c>
      <c r="AT12">
        <v>3.4067486117004799</v>
      </c>
      <c r="AU12">
        <v>0.30010459245033799</v>
      </c>
      <c r="AV12">
        <v>2.6026896854443802</v>
      </c>
      <c r="AW12">
        <v>3.2580965380214799</v>
      </c>
      <c r="AX12">
        <v>3.6506582412937401</v>
      </c>
      <c r="AY12">
        <v>3.2580965380214799</v>
      </c>
      <c r="AZ12">
        <v>3.4067486117004799</v>
      </c>
      <c r="BA12">
        <v>0.60595396885756803</v>
      </c>
      <c r="BB12">
        <v>2.8716984926305398</v>
      </c>
      <c r="BC12">
        <v>0.117783035656383</v>
      </c>
      <c r="BD12">
        <v>0.22314355131420999</v>
      </c>
      <c r="BE12">
        <v>0.117783035656383</v>
      </c>
      <c r="BF12">
        <v>0.15443635330441899</v>
      </c>
      <c r="BG12">
        <v>0.433080275141138</v>
      </c>
      <c r="BH12">
        <v>0</v>
      </c>
      <c r="BI12">
        <v>0</v>
      </c>
      <c r="BJ12">
        <v>0.405465108108164</v>
      </c>
      <c r="BK12">
        <v>0.15443635330441899</v>
      </c>
      <c r="BL12">
        <v>0.69314718055994495</v>
      </c>
      <c r="BM12">
        <v>0</v>
      </c>
      <c r="BN12">
        <v>0</v>
      </c>
      <c r="BO12">
        <v>0.28743204119657201</v>
      </c>
      <c r="BP12">
        <v>0.55961578793542299</v>
      </c>
      <c r="BQ12">
        <v>0.81093021621632899</v>
      </c>
      <c r="BR12">
        <v>0.69314718055994495</v>
      </c>
      <c r="BS12">
        <v>0.69314718055994495</v>
      </c>
      <c r="BT12">
        <v>3.9318256327243302</v>
      </c>
      <c r="BU12">
        <v>3.7534257877209898</v>
      </c>
      <c r="BV12">
        <v>2.2335565065836098</v>
      </c>
      <c r="BW12">
        <v>3.12820685795336</v>
      </c>
      <c r="BX12">
        <v>0.65076146406350699</v>
      </c>
      <c r="BY12">
        <v>3.7499039959517</v>
      </c>
      <c r="BZ12">
        <v>2.7398072327154002</v>
      </c>
      <c r="CA12">
        <v>4.0856905574417697</v>
      </c>
      <c r="CB12">
        <v>0</v>
      </c>
      <c r="CC12">
        <v>0</v>
      </c>
      <c r="CD12">
        <v>0</v>
      </c>
      <c r="CE12">
        <v>0</v>
      </c>
      <c r="CF12">
        <v>0</v>
      </c>
      <c r="CH12" t="str">
        <f t="shared" si="0"/>
        <v>/*26*/ 101  1 2.99071973173045 2.29051251175978 2.44927947214485 7.77317368048254 7.79811262882979 7.78572089653462 8.88405606174246 3.24671901375014E-02 1.94776556955477 1.77918068702119 1.98100146886658 1.90642654420618 1.04239460866988 0.221542269947236 0.291923066709035 0.229523158278249 0.247641022914597 0.206200830583898 0.431782416425538 0.916290731874155 0.392042087776024 0.916290731874155 3.06128590429343 0 3.08342258668098 0 3.08342258668098 0 4.35777236349787 1.12590314890401 4.38411195887322 4.35777236349787 0.289680075114454 0.380489122037987 0.285930539412975 0.319180739511152 0.288931291852213 0.542324290825362 0.85015092936961 0.78845736036427 0.85015092936961 3.40674861170048 0.300104592450338 2.60268968544438 3.25809653802148 3.65065824129374 3.25809653802148 3.40674861170048 0.605953968857568 2.87169849263054 0.117783035656383 0.22314355131421 0.117783035656383 0.154436353304419 0.433080275141138 0 0 0.405465108108164 0.154436353304419 0.693147180559945 0 0 0.287432041196572 0.559615787935423 0.810930216216329 0.693147180559945 0.693147180559945 3.93182563272433 3.75342578772099 2.23355650658361 3.12820685795336 0.650761464063507 3.7499039959517 2.7398072327154 4.08569055744177 0 0 0 0 0;</v>
      </c>
    </row>
    <row r="13" spans="1:86" x14ac:dyDescent="0.25">
      <c r="A13">
        <v>27</v>
      </c>
      <c r="B13">
        <v>0</v>
      </c>
      <c r="C13">
        <v>0</v>
      </c>
      <c r="D13">
        <v>0</v>
      </c>
      <c r="E13">
        <v>2.4765384001174802</v>
      </c>
      <c r="F13">
        <v>2.41591377830105</v>
      </c>
      <c r="G13">
        <v>2.6173958328340801</v>
      </c>
      <c r="H13">
        <v>7.4048875756161197</v>
      </c>
      <c r="I13">
        <v>7.54802896993501</v>
      </c>
      <c r="J13">
        <v>7.4792996377828302</v>
      </c>
      <c r="K13">
        <v>8.5773471142359803</v>
      </c>
      <c r="L13">
        <v>0</v>
      </c>
      <c r="M13">
        <v>1.5993875765806</v>
      </c>
      <c r="N13">
        <v>1.5884185452100299</v>
      </c>
      <c r="O13">
        <v>1.6654401025493899</v>
      </c>
      <c r="P13">
        <v>1.61839765380557</v>
      </c>
      <c r="Q13">
        <v>0.57154435880069598</v>
      </c>
      <c r="R13">
        <v>0.30674913516900698</v>
      </c>
      <c r="S13">
        <v>0.27155269052189701</v>
      </c>
      <c r="T13">
        <v>0.39474114474518901</v>
      </c>
      <c r="U13">
        <v>0.32930374714260002</v>
      </c>
      <c r="V13">
        <v>0.136277618292548</v>
      </c>
      <c r="W13">
        <v>0.482426149244293</v>
      </c>
      <c r="X13">
        <v>0.39204208777602401</v>
      </c>
      <c r="Y13">
        <v>0.54232429082536204</v>
      </c>
      <c r="Z13">
        <v>0.54232429082536204</v>
      </c>
      <c r="AA13">
        <v>2.4310662546425901</v>
      </c>
      <c r="AB13">
        <v>0</v>
      </c>
      <c r="AC13">
        <v>3.4067486117004799</v>
      </c>
      <c r="AD13">
        <v>1.64229224930505</v>
      </c>
      <c r="AE13">
        <v>3.5361069907765299</v>
      </c>
      <c r="AF13">
        <v>1.64229224930505</v>
      </c>
      <c r="AG13">
        <v>4.1510399058986502</v>
      </c>
      <c r="AH13">
        <v>0</v>
      </c>
      <c r="AI13">
        <v>4.2145986164699201</v>
      </c>
      <c r="AJ13">
        <v>4.1510399058986502</v>
      </c>
      <c r="AK13">
        <v>0.34854196070854299</v>
      </c>
      <c r="AL13">
        <v>0.453620149995211</v>
      </c>
      <c r="AM13">
        <v>0.195566783543975</v>
      </c>
      <c r="AN13">
        <v>0.34145977813225198</v>
      </c>
      <c r="AO13">
        <v>0.28141245943818499</v>
      </c>
      <c r="AP13">
        <v>0.76546784213957098</v>
      </c>
      <c r="AQ13">
        <v>0.90016134994427099</v>
      </c>
      <c r="AR13">
        <v>0.33647223662121301</v>
      </c>
      <c r="AS13">
        <v>0.90016134994427099</v>
      </c>
      <c r="AT13">
        <v>2.8716984926305398</v>
      </c>
      <c r="AU13">
        <v>0.538829820175588</v>
      </c>
      <c r="AV13">
        <v>2.6026896854443802</v>
      </c>
      <c r="AW13">
        <v>0</v>
      </c>
      <c r="AX13">
        <v>2.6026896854443802</v>
      </c>
      <c r="AY13">
        <v>2.2335565065836098</v>
      </c>
      <c r="AZ13">
        <v>4.1510399058986502</v>
      </c>
      <c r="BA13">
        <v>0.77334372255422201</v>
      </c>
      <c r="BB13">
        <v>3.5361069907765299</v>
      </c>
      <c r="BC13">
        <v>0.117783035656383</v>
      </c>
      <c r="BD13">
        <v>0.117783035656383</v>
      </c>
      <c r="BE13">
        <v>0.69314718055994495</v>
      </c>
      <c r="BF13">
        <v>0.34854196070854299</v>
      </c>
      <c r="BG13">
        <v>0.53532309536637801</v>
      </c>
      <c r="BH13">
        <v>0.69314718055994495</v>
      </c>
      <c r="BI13">
        <v>0.55961578793542299</v>
      </c>
      <c r="BJ13">
        <v>0.405465108108164</v>
      </c>
      <c r="BK13">
        <v>0.55961578793542299</v>
      </c>
      <c r="BL13">
        <v>0.405465108108164</v>
      </c>
      <c r="BM13">
        <v>0.81093021621632899</v>
      </c>
      <c r="BN13">
        <v>0</v>
      </c>
      <c r="BO13">
        <v>0.45932178089887499</v>
      </c>
      <c r="BP13">
        <v>0.55961578793542299</v>
      </c>
      <c r="BQ13">
        <v>0.22314355131420999</v>
      </c>
      <c r="BR13">
        <v>1.2527629684953701</v>
      </c>
      <c r="BS13">
        <v>0.77334372255422201</v>
      </c>
      <c r="BT13">
        <v>2.6026896854443802</v>
      </c>
      <c r="BU13">
        <v>4.0103649484268296</v>
      </c>
      <c r="BV13">
        <v>3.5361069907765299</v>
      </c>
      <c r="BW13">
        <v>3.7287009483006099</v>
      </c>
      <c r="BX13">
        <v>0.82942479885249298</v>
      </c>
      <c r="BY13">
        <v>3.5914044327301</v>
      </c>
      <c r="BZ13">
        <v>2.6965847229929301</v>
      </c>
      <c r="CA13">
        <v>4.1853272099339698</v>
      </c>
      <c r="CB13">
        <v>0</v>
      </c>
      <c r="CC13">
        <v>0</v>
      </c>
      <c r="CD13">
        <v>0</v>
      </c>
      <c r="CE13">
        <v>0</v>
      </c>
      <c r="CF13">
        <v>0</v>
      </c>
      <c r="CH13" t="str">
        <f t="shared" si="0"/>
        <v>/*27*/ 000  1 2.47653840011748 2.41591377830105 2.61739583283408 7.40488757561612 7.54802896993501 7.47929963778283 8.57734711423598 0 1.5993875765806 1.58841854521003 1.66544010254939 1.61839765380557 0.571544358800696 0.306749135169007 0.271552690521897 0.394741144745189 0.3293037471426 0.136277618292548 0.482426149244293 0.392042087776024 0.542324290825362 0.542324290825362 2.43106625464259 0 3.40674861170048 1.64229224930505 3.53610699077653 1.64229224930505 4.15103990589865 0 4.21459861646992 4.15103990589865 0.348541960708543 0.453620149995211 0.195566783543975 0.341459778132252 0.281412459438185 0.765467842139571 0.900161349944271 0.336472236621213 0.900161349944271 2.87169849263054 0.538829820175588 2.60268968544438 0 2.60268968544438 2.23355650658361 4.15103990589865 0.773343722554222 3.53610699077653 0.117783035656383 0.117783035656383 0.693147180559945 0.348541960708543 0.535323095366378 0.693147180559945 0.559615787935423 0.405465108108164 0.559615787935423 0.405465108108164 0.810930216216329 0 0.459321780898875 0.559615787935423 0.22314355131421 1.25276296849537 0.773343722554222 2.60268968544438 4.01036494842683 3.53610699077653 3.72870094830061 0.829424798852493 3.5914044327301 2.69658472299293 4.18532720993397 0 0 0 0 0;</v>
      </c>
    </row>
    <row r="14" spans="1:86" x14ac:dyDescent="0.25">
      <c r="A14">
        <v>29</v>
      </c>
      <c r="B14">
        <v>0</v>
      </c>
      <c r="C14">
        <v>0</v>
      </c>
      <c r="D14">
        <v>0</v>
      </c>
      <c r="E14">
        <v>2.7212954278522301</v>
      </c>
      <c r="F14">
        <v>2.34468626901268</v>
      </c>
      <c r="G14">
        <v>2.4824035195698801</v>
      </c>
      <c r="H14">
        <v>5.8141305318250698</v>
      </c>
      <c r="I14">
        <v>5.8111409929766999</v>
      </c>
      <c r="J14">
        <v>5.3844950627890897</v>
      </c>
      <c r="K14">
        <v>6.7855876450079302</v>
      </c>
      <c r="L14">
        <v>0</v>
      </c>
      <c r="M14">
        <v>0.94584953411569905</v>
      </c>
      <c r="N14">
        <v>1.01631704594128</v>
      </c>
      <c r="O14">
        <v>0.77149614697092195</v>
      </c>
      <c r="P14">
        <v>0.916290731874155</v>
      </c>
      <c r="Q14">
        <v>0.43631757159092899</v>
      </c>
      <c r="R14">
        <v>0.2390169004705</v>
      </c>
      <c r="S14">
        <v>0.14669437915080299</v>
      </c>
      <c r="T14">
        <v>0.12133228516752501</v>
      </c>
      <c r="U14">
        <v>0.167207918983906</v>
      </c>
      <c r="V14">
        <v>0.123102197133983</v>
      </c>
      <c r="W14">
        <v>0.51879379341516796</v>
      </c>
      <c r="X14">
        <v>0.24686007793152601</v>
      </c>
      <c r="Y14">
        <v>0.16551443847757299</v>
      </c>
      <c r="Z14">
        <v>0.51879379341516796</v>
      </c>
      <c r="AA14">
        <v>2.2222423403115101</v>
      </c>
      <c r="AB14">
        <v>0</v>
      </c>
      <c r="AC14">
        <v>3.00721608149528</v>
      </c>
      <c r="AD14">
        <v>0</v>
      </c>
      <c r="AE14">
        <v>3.00721608149528</v>
      </c>
      <c r="AF14">
        <v>2.1624030623941799</v>
      </c>
      <c r="AG14">
        <v>4.3051050927576497</v>
      </c>
      <c r="AH14">
        <v>0</v>
      </c>
      <c r="AI14">
        <v>4.40389819867511</v>
      </c>
      <c r="AJ14">
        <v>4.3051050927576497</v>
      </c>
      <c r="AK14">
        <v>9.0754363268464103E-2</v>
      </c>
      <c r="AL14">
        <v>9.4400675421484295E-2</v>
      </c>
      <c r="AM14">
        <v>0.17981842657583599</v>
      </c>
      <c r="AN14">
        <v>0.12133228516752501</v>
      </c>
      <c r="AO14">
        <v>0.114221144090023</v>
      </c>
      <c r="AP14">
        <v>0.24686007793152601</v>
      </c>
      <c r="AQ14">
        <v>0.27002713721305999</v>
      </c>
      <c r="AR14">
        <v>0.398776119957368</v>
      </c>
      <c r="AS14">
        <v>0.398776119957368</v>
      </c>
      <c r="AT14">
        <v>3.4067486117004799</v>
      </c>
      <c r="AU14">
        <v>0.28743204119657201</v>
      </c>
      <c r="AV14">
        <v>4.1510399058986502</v>
      </c>
      <c r="AW14">
        <v>3.9318256327243302</v>
      </c>
      <c r="AX14">
        <v>0</v>
      </c>
      <c r="AY14">
        <v>3.6506582412937401</v>
      </c>
      <c r="AZ14">
        <v>3.5361069907765299</v>
      </c>
      <c r="BA14">
        <v>1.0116009116784801</v>
      </c>
      <c r="BB14">
        <v>4.0831656436306698</v>
      </c>
      <c r="BC14">
        <v>0.31845373111853498</v>
      </c>
      <c r="BD14">
        <v>0.117783035656383</v>
      </c>
      <c r="BE14">
        <v>0</v>
      </c>
      <c r="BF14">
        <v>0.15443635330441899</v>
      </c>
      <c r="BG14">
        <v>0.188966099512623</v>
      </c>
      <c r="BH14">
        <v>0</v>
      </c>
      <c r="BI14">
        <v>0</v>
      </c>
      <c r="BJ14">
        <v>0</v>
      </c>
      <c r="BK14">
        <v>0</v>
      </c>
      <c r="BL14">
        <v>0.405465108108164</v>
      </c>
      <c r="BM14">
        <v>0</v>
      </c>
      <c r="BN14">
        <v>0.22314355131420999</v>
      </c>
      <c r="BO14">
        <v>0.22314355131420999</v>
      </c>
      <c r="BP14">
        <v>1.09861228866811</v>
      </c>
      <c r="BQ14">
        <v>0</v>
      </c>
      <c r="BR14">
        <v>0</v>
      </c>
      <c r="BS14">
        <v>0.51102560376865702</v>
      </c>
      <c r="BT14">
        <v>2.2335565065836098</v>
      </c>
      <c r="BU14">
        <v>4.3307333402863302</v>
      </c>
      <c r="BV14">
        <v>2.8716984926305398</v>
      </c>
      <c r="BW14">
        <v>3.6506582412937401</v>
      </c>
      <c r="BX14">
        <v>0.45932178089887499</v>
      </c>
      <c r="BY14">
        <v>3.9708012177969598</v>
      </c>
      <c r="BZ14">
        <v>2.67263025587095</v>
      </c>
      <c r="CA14">
        <v>3.8912691258349299</v>
      </c>
      <c r="CB14">
        <v>0</v>
      </c>
      <c r="CC14">
        <v>0</v>
      </c>
      <c r="CD14">
        <v>0</v>
      </c>
      <c r="CE14">
        <v>0</v>
      </c>
      <c r="CF14">
        <v>0</v>
      </c>
      <c r="CH14" t="str">
        <f t="shared" si="0"/>
        <v>/*29*/ 000  1 2.72129542785223 2.34468626901268 2.48240351956988 5.81413053182507 5.8111409929767 5.38449506278909 6.78558764500793 0 0.945849534115699 1.01631704594128 0.771496146970922 0.916290731874155 0.436317571590929 0.2390169004705 0.146694379150803 0.121332285167525 0.167207918983906 0.123102197133983 0.518793793415168 0.246860077931526 0.165514438477573 0.518793793415168 2.22224234031151 0 3.00721608149528 0 3.00721608149528 2.16240306239418 4.30510509275765 0 4.40389819867511 4.30510509275765 9.07543632684641E-02 9.44006754214843E-02 0.179818426575836 0.121332285167525 0.114221144090023 0.246860077931526 0.27002713721306 0.398776119957368 0.398776119957368 3.40674861170048 0.287432041196572 4.15103990589865 3.93182563272433 0 3.65065824129374 3.53610699077653 1.01160091167848 4.08316564363067 0.318453731118535 0.117783035656383 0 0.154436353304419 0.188966099512623 0 0 0 0 0.405465108108164 0 0.22314355131421 0.22314355131421 1.09861228866811 0 0 0.511025603768657 2.23355650658361 4.33073334028633 2.87169849263054 3.65065824129374 0.459321780898875 3.97080121779696 2.67263025587095 3.89126912583493 0 0 0 0 0;</v>
      </c>
    </row>
    <row r="15" spans="1:86" x14ac:dyDescent="0.25">
      <c r="A15">
        <v>32</v>
      </c>
      <c r="B15">
        <v>0</v>
      </c>
      <c r="C15">
        <v>0</v>
      </c>
      <c r="D15">
        <v>0</v>
      </c>
      <c r="E15">
        <v>2.79116510781272</v>
      </c>
      <c r="F15">
        <v>2.2321626286975</v>
      </c>
      <c r="G15">
        <v>2.4748563139345001</v>
      </c>
      <c r="H15">
        <v>5.9939614273065702</v>
      </c>
      <c r="I15">
        <v>5.9839362806871899</v>
      </c>
      <c r="J15">
        <v>6.0776422433490298</v>
      </c>
      <c r="K15">
        <v>7.1163941440934604</v>
      </c>
      <c r="L15">
        <v>0</v>
      </c>
      <c r="M15">
        <v>1.0560526742493099</v>
      </c>
      <c r="N15">
        <v>1.0342515295077199</v>
      </c>
      <c r="O15">
        <v>1.11119940417358</v>
      </c>
      <c r="P15">
        <v>1.0674655596712701</v>
      </c>
      <c r="Q15">
        <v>0.42461392694692501</v>
      </c>
      <c r="R15">
        <v>0.26082461828189801</v>
      </c>
      <c r="S15">
        <v>0.26620304077465701</v>
      </c>
      <c r="T15">
        <v>0.23744085601503401</v>
      </c>
      <c r="U15">
        <v>0.25464221837358098</v>
      </c>
      <c r="V15">
        <v>0.107957141505092</v>
      </c>
      <c r="W15">
        <v>0.405465108108164</v>
      </c>
      <c r="X15">
        <v>0.44468582126144601</v>
      </c>
      <c r="Y15">
        <v>0.322083499169113</v>
      </c>
      <c r="Z15">
        <v>0.44468582126144601</v>
      </c>
      <c r="AA15">
        <v>2.0255131996542799</v>
      </c>
      <c r="AB15">
        <v>0</v>
      </c>
      <c r="AC15">
        <v>2.8716984926305398</v>
      </c>
      <c r="AD15">
        <v>0</v>
      </c>
      <c r="AE15">
        <v>2.8716984926305398</v>
      </c>
      <c r="AF15">
        <v>3.0834225866809799</v>
      </c>
      <c r="AG15">
        <v>4.1510399058986502</v>
      </c>
      <c r="AH15">
        <v>0</v>
      </c>
      <c r="AI15">
        <v>4.43477324748243</v>
      </c>
      <c r="AJ15">
        <v>4.1510399058986502</v>
      </c>
      <c r="AK15">
        <v>0.34571510370239</v>
      </c>
      <c r="AL15">
        <v>0.38933572617828099</v>
      </c>
      <c r="AM15">
        <v>0.33647223662121301</v>
      </c>
      <c r="AN15">
        <v>0.35767444427181599</v>
      </c>
      <c r="AO15">
        <v>0.20375683751401999</v>
      </c>
      <c r="AP15">
        <v>0.68813463873640102</v>
      </c>
      <c r="AQ15">
        <v>0.667829372575655</v>
      </c>
      <c r="AR15">
        <v>0.60431596685333</v>
      </c>
      <c r="AS15">
        <v>0.68813463873640102</v>
      </c>
      <c r="AT15">
        <v>3.0834225866809799</v>
      </c>
      <c r="AU15">
        <v>0.58333231455273904</v>
      </c>
      <c r="AV15">
        <v>0</v>
      </c>
      <c r="AW15">
        <v>0</v>
      </c>
      <c r="AX15">
        <v>0</v>
      </c>
      <c r="AY15">
        <v>0</v>
      </c>
      <c r="AZ15">
        <v>4.3841119588732198</v>
      </c>
      <c r="BA15">
        <v>0.88252710172134596</v>
      </c>
      <c r="BB15">
        <v>3.7534257877209898</v>
      </c>
      <c r="BC15">
        <v>0.48550781578170099</v>
      </c>
      <c r="BD15">
        <v>0.117783035656383</v>
      </c>
      <c r="BE15">
        <v>0.31845373111853498</v>
      </c>
      <c r="BF15">
        <v>0.31845373111853498</v>
      </c>
      <c r="BG15">
        <v>0.25619140536041002</v>
      </c>
      <c r="BH15">
        <v>0.81093021621632899</v>
      </c>
      <c r="BI15">
        <v>0.69314718055994495</v>
      </c>
      <c r="BJ15">
        <v>1.09861228866811</v>
      </c>
      <c r="BK15">
        <v>0.88252710172134596</v>
      </c>
      <c r="BL15">
        <v>0.22314355131420999</v>
      </c>
      <c r="BM15">
        <v>0</v>
      </c>
      <c r="BN15">
        <v>0</v>
      </c>
      <c r="BO15">
        <v>7.9734968018853505E-2</v>
      </c>
      <c r="BP15">
        <v>0</v>
      </c>
      <c r="BQ15">
        <v>0</v>
      </c>
      <c r="BR15">
        <v>0.22314355131420999</v>
      </c>
      <c r="BS15">
        <v>7.9734968018853505E-2</v>
      </c>
      <c r="BT15">
        <v>1.64229224930505</v>
      </c>
      <c r="BU15">
        <v>3.84658808264264</v>
      </c>
      <c r="BV15">
        <v>3.9318256327243302</v>
      </c>
      <c r="BW15">
        <v>3.9440060512812001</v>
      </c>
      <c r="BX15">
        <v>0.25619140536041002</v>
      </c>
      <c r="BY15">
        <v>4.0831656436306698</v>
      </c>
      <c r="BZ15">
        <v>2.8269585293052999</v>
      </c>
      <c r="CA15">
        <v>3.7534257877209898</v>
      </c>
      <c r="CB15">
        <v>0</v>
      </c>
      <c r="CC15">
        <v>0</v>
      </c>
      <c r="CD15">
        <v>0</v>
      </c>
      <c r="CE15">
        <v>0</v>
      </c>
      <c r="CF15">
        <v>0</v>
      </c>
      <c r="CH15" t="str">
        <f t="shared" si="0"/>
        <v>/*32*/ 000  1 2.79116510781272 2.2321626286975 2.4748563139345 5.99396142730657 5.98393628068719 6.07764224334903 7.11639414409346 0 1.05605267424931 1.03425152950772 1.11119940417358 1.06746555967127 0.424613926946925 0.260824618281898 0.266203040774657 0.237440856015034 0.254642218373581 0.107957141505092 0.405465108108164 0.444685821261446 0.322083499169113 0.444685821261446 2.02551319965428 0 2.87169849263054 0 2.87169849263054 3.08342258668098 4.15103990589865 0 4.43477324748243 4.15103990589865 0.34571510370239 0.389335726178281 0.336472236621213 0.357674444271816 0.20375683751402 0.688134638736401 0.667829372575655 0.60431596685333 0.688134638736401 3.08342258668098 0.583332314552739 0 0 0 0 4.38411195887322 0.882527101721346 3.75342578772099 0.485507815781701 0.117783035656383 0.318453731118535 0.318453731118535 0.25619140536041 0.810930216216329 0.693147180559945 1.09861228866811 0.882527101721346 0.22314355131421 0 0 7.97349680188535E-02 0 0 0.22314355131421 7.97349680188535E-02 1.64229224930505 3.84658808264264 3.93182563272433 3.9440060512812 0.25619140536041 4.08316564363067 2.8269585293053 3.75342578772099 0 0 0 0 0;</v>
      </c>
    </row>
    <row r="16" spans="1:86" x14ac:dyDescent="0.25">
      <c r="A16">
        <v>34</v>
      </c>
      <c r="B16">
        <v>0</v>
      </c>
      <c r="C16">
        <v>0</v>
      </c>
      <c r="D16">
        <v>1</v>
      </c>
      <c r="E16">
        <v>2.7013612129514102</v>
      </c>
      <c r="F16">
        <v>2.2396452932201698</v>
      </c>
      <c r="G16">
        <v>2.5718485799218098</v>
      </c>
      <c r="H16">
        <v>6.9612960459101698</v>
      </c>
      <c r="I16">
        <v>6.5539334040258099</v>
      </c>
      <c r="J16">
        <v>7.25276241805319</v>
      </c>
      <c r="K16">
        <v>8.0605400465386392</v>
      </c>
      <c r="L16">
        <v>0.26466929814270801</v>
      </c>
      <c r="M16">
        <v>1.2564703732836899</v>
      </c>
      <c r="N16">
        <v>1.37371557891303</v>
      </c>
      <c r="O16">
        <v>1.6724127115954901</v>
      </c>
      <c r="P16">
        <v>1.44997313778307</v>
      </c>
      <c r="Q16">
        <v>0.890767774643069</v>
      </c>
      <c r="R16">
        <v>0.2390169004705</v>
      </c>
      <c r="S16">
        <v>0.16805358499625001</v>
      </c>
      <c r="T16">
        <v>0.37018329396352501</v>
      </c>
      <c r="U16">
        <v>0.26313319953036801</v>
      </c>
      <c r="V16">
        <v>0.167207918983906</v>
      </c>
      <c r="W16">
        <v>0.51879379341516796</v>
      </c>
      <c r="X16">
        <v>0.307484699747961</v>
      </c>
      <c r="Y16">
        <v>0.60976557162089395</v>
      </c>
      <c r="Z16">
        <v>0.60976557162089395</v>
      </c>
      <c r="AA16">
        <v>2.47274971951737</v>
      </c>
      <c r="AB16">
        <v>0</v>
      </c>
      <c r="AC16">
        <v>2.2587376932137699</v>
      </c>
      <c r="AD16">
        <v>1.9041948985578401</v>
      </c>
      <c r="AE16">
        <v>2.7269373768206902</v>
      </c>
      <c r="AF16">
        <v>1.3498896792260899</v>
      </c>
      <c r="AG16">
        <v>4.3585404815185598</v>
      </c>
      <c r="AH16">
        <v>1.9041948985578401</v>
      </c>
      <c r="AI16">
        <v>4.4626153471058396</v>
      </c>
      <c r="AJ16">
        <v>4.3585404815185598</v>
      </c>
      <c r="AK16">
        <v>0.113328685307003</v>
      </c>
      <c r="AL16">
        <v>0.12927233570413901</v>
      </c>
      <c r="AM16">
        <v>9.0754363268464103E-2</v>
      </c>
      <c r="AN16">
        <v>0.11064652008706399</v>
      </c>
      <c r="AO16">
        <v>0.12486898204586901</v>
      </c>
      <c r="AP16">
        <v>0.42526773540434398</v>
      </c>
      <c r="AQ16">
        <v>0.45107561936021701</v>
      </c>
      <c r="AR16">
        <v>0.24686007793152601</v>
      </c>
      <c r="AS16">
        <v>0.45107561936021701</v>
      </c>
      <c r="AT16">
        <v>2.8716984926305398</v>
      </c>
      <c r="AU16">
        <v>0.28743204119657201</v>
      </c>
      <c r="AV16">
        <v>3.9318256327243302</v>
      </c>
      <c r="AW16">
        <v>3.9318256327243302</v>
      </c>
      <c r="AX16">
        <v>3.9318256327243302</v>
      </c>
      <c r="AY16">
        <v>3.9318256327243302</v>
      </c>
      <c r="AZ16">
        <v>3.5361069907765299</v>
      </c>
      <c r="BA16">
        <v>0.73380916227883497</v>
      </c>
      <c r="BB16">
        <v>3.2580965380214799</v>
      </c>
      <c r="BC16">
        <v>0.22314355131420999</v>
      </c>
      <c r="BD16">
        <v>0.31845373111853498</v>
      </c>
      <c r="BE16">
        <v>0.117783035656383</v>
      </c>
      <c r="BF16">
        <v>0.22314355131420999</v>
      </c>
      <c r="BG16">
        <v>0.433080275141138</v>
      </c>
      <c r="BH16">
        <v>0</v>
      </c>
      <c r="BI16">
        <v>0.22314355131420999</v>
      </c>
      <c r="BJ16">
        <v>0.69314718055994495</v>
      </c>
      <c r="BK16">
        <v>0.34854196070854299</v>
      </c>
      <c r="BL16">
        <v>0.81093021621632899</v>
      </c>
      <c r="BM16">
        <v>0.55961578793542299</v>
      </c>
      <c r="BN16">
        <v>0.405465108108164</v>
      </c>
      <c r="BO16">
        <v>0.60595396885756803</v>
      </c>
      <c r="BP16">
        <v>0.405465108108164</v>
      </c>
      <c r="BQ16">
        <v>0.405465108108164</v>
      </c>
      <c r="BR16">
        <v>1.1786549963416499</v>
      </c>
      <c r="BS16">
        <v>0.73380916227883497</v>
      </c>
      <c r="BT16">
        <v>2.2335565065836098</v>
      </c>
      <c r="BU16">
        <v>4.1510399058986502</v>
      </c>
      <c r="BV16">
        <v>3.4067486117004799</v>
      </c>
      <c r="BW16">
        <v>3.7823014888573798</v>
      </c>
      <c r="BX16">
        <v>0.71392971974247399</v>
      </c>
      <c r="BY16">
        <v>3.3725578234529898</v>
      </c>
      <c r="BZ16">
        <v>2.65296023478425</v>
      </c>
      <c r="CA16">
        <v>4.2883613512853804</v>
      </c>
      <c r="CB16">
        <v>0</v>
      </c>
      <c r="CC16">
        <v>0</v>
      </c>
      <c r="CD16">
        <v>0</v>
      </c>
      <c r="CE16">
        <v>0</v>
      </c>
      <c r="CF16">
        <v>0</v>
      </c>
      <c r="CH16" t="str">
        <f t="shared" si="0"/>
        <v>/*34*/ 001  1 2.70136121295141 2.23964529322017 2.57184857992181 6.96129604591017 6.55393340402581 7.25276241805319 8.06054004653864 0.264669298142708 1.25647037328369 1.37371557891303 1.67241271159549 1.44997313778307 0.890767774643069 0.2390169004705 0.16805358499625 0.370183293963525 0.263133199530368 0.167207918983906 0.518793793415168 0.307484699747961 0.609765571620894 0.609765571620894 2.47274971951737 0 2.25873769321377 1.90419489855784 2.72693737682069 1.34988967922609 4.35854048151856 1.90419489855784 4.46261534710584 4.35854048151856 0.113328685307003 0.129272335704139 9.07543632684641E-02 0.110646520087064 0.124868982045869 0.425267735404344 0.451075619360217 0.246860077931526 0.451075619360217 2.87169849263054 0.287432041196572 3.93182563272433 3.93182563272433 3.93182563272433 3.93182563272433 3.53610699077653 0.733809162278835 3.25809653802148 0.22314355131421 0.318453731118535 0.117783035656383 0.22314355131421 0.433080275141138 0 0.22314355131421 0.693147180559945 0.348541960708543 0.810930216216329 0.559615787935423 0.405465108108164 0.605953968857568 0.405465108108164 0.405465108108164 1.17865499634165 0.733809162278835 2.23355650658361 4.15103990589865 3.40674861170048 3.78230148885738 0.713929719742474 3.37255782345299 2.65296023478425 4.28836135128538 0 0 0 0 0;</v>
      </c>
    </row>
    <row r="17" spans="1:86" x14ac:dyDescent="0.25">
      <c r="A17">
        <v>35</v>
      </c>
      <c r="B17">
        <v>1</v>
      </c>
      <c r="C17">
        <v>1</v>
      </c>
      <c r="D17">
        <v>1</v>
      </c>
      <c r="E17">
        <v>2.58021682959233</v>
      </c>
      <c r="F17">
        <v>2.2460147415056499</v>
      </c>
      <c r="G17">
        <v>2.5809741185342299</v>
      </c>
      <c r="H17">
        <v>7.6615270813585203</v>
      </c>
      <c r="I17">
        <v>7.4759059693673997</v>
      </c>
      <c r="J17">
        <v>7.57609734062311</v>
      </c>
      <c r="K17">
        <v>8.6723148282835396</v>
      </c>
      <c r="L17">
        <v>1.01050940711314</v>
      </c>
      <c r="M17">
        <v>2.22872324439559</v>
      </c>
      <c r="N17">
        <v>1.5918847531865099</v>
      </c>
      <c r="O17">
        <v>1.88327457806383</v>
      </c>
      <c r="P17">
        <v>1.9351380520734001</v>
      </c>
      <c r="Q17">
        <v>1.30887321415131</v>
      </c>
      <c r="R17">
        <v>0.34783599527152798</v>
      </c>
      <c r="S17">
        <v>0.28743204119657201</v>
      </c>
      <c r="T17">
        <v>0.25386672395705001</v>
      </c>
      <c r="U17">
        <v>0.29787989742822701</v>
      </c>
      <c r="V17">
        <v>0.24059046491793001</v>
      </c>
      <c r="W17">
        <v>0.916290731874155</v>
      </c>
      <c r="X17">
        <v>0.57661336430399401</v>
      </c>
      <c r="Y17">
        <v>0.45742484703887498</v>
      </c>
      <c r="Z17">
        <v>0.916290731874155</v>
      </c>
      <c r="AA17">
        <v>2.8944191118534999</v>
      </c>
      <c r="AB17">
        <v>0</v>
      </c>
      <c r="AC17">
        <v>2.6834842471569602</v>
      </c>
      <c r="AD17">
        <v>0</v>
      </c>
      <c r="AE17">
        <v>2.6834842471569602</v>
      </c>
      <c r="AF17">
        <v>2.0564287673707602</v>
      </c>
      <c r="AG17">
        <v>4.3307333402863302</v>
      </c>
      <c r="AH17">
        <v>1.71289662080233</v>
      </c>
      <c r="AI17">
        <v>4.4700832984941696</v>
      </c>
      <c r="AJ17">
        <v>4.3307333402863302</v>
      </c>
      <c r="AK17">
        <v>0.108854404912082</v>
      </c>
      <c r="AL17">
        <v>0.27155269052189701</v>
      </c>
      <c r="AM17">
        <v>0.17395330712343801</v>
      </c>
      <c r="AN17">
        <v>0.17898265552844</v>
      </c>
      <c r="AO17">
        <v>0.17395330712343801</v>
      </c>
      <c r="AP17">
        <v>0.43825493093115497</v>
      </c>
      <c r="AQ17">
        <v>0.50077528791248904</v>
      </c>
      <c r="AR17">
        <v>0.405465108108164</v>
      </c>
      <c r="AS17">
        <v>0.50077528791248904</v>
      </c>
      <c r="AT17">
        <v>3.4067486117004799</v>
      </c>
      <c r="AU17">
        <v>0.31845373111853498</v>
      </c>
      <c r="AV17">
        <v>3.6506582412937401</v>
      </c>
      <c r="AW17">
        <v>3.6506582412937401</v>
      </c>
      <c r="AX17">
        <v>3.2580965380214799</v>
      </c>
      <c r="AY17">
        <v>3.5361069907765299</v>
      </c>
      <c r="AZ17">
        <v>3.6506582412937401</v>
      </c>
      <c r="BA17">
        <v>0.77334372255422201</v>
      </c>
      <c r="BB17">
        <v>3.2580965380214799</v>
      </c>
      <c r="BC17">
        <v>0</v>
      </c>
      <c r="BD17">
        <v>0.22314355131420999</v>
      </c>
      <c r="BE17">
        <v>0</v>
      </c>
      <c r="BF17">
        <v>7.9734968018853505E-2</v>
      </c>
      <c r="BG17">
        <v>0.405465108108164</v>
      </c>
      <c r="BH17">
        <v>0.55961578793542299</v>
      </c>
      <c r="BI17">
        <v>0</v>
      </c>
      <c r="BJ17">
        <v>0.22314355131420999</v>
      </c>
      <c r="BK17">
        <v>0.28743204119657201</v>
      </c>
      <c r="BL17">
        <v>0.405465108108164</v>
      </c>
      <c r="BM17">
        <v>0.55961578793542299</v>
      </c>
      <c r="BN17">
        <v>0.916290731874155</v>
      </c>
      <c r="BO17">
        <v>0.65076146406350699</v>
      </c>
      <c r="BP17">
        <v>0.69314718055994495</v>
      </c>
      <c r="BQ17">
        <v>0.69314718055994495</v>
      </c>
      <c r="BR17">
        <v>0.22314355131420999</v>
      </c>
      <c r="BS17">
        <v>0.55961578793542299</v>
      </c>
      <c r="BT17">
        <v>3.2580965380214799</v>
      </c>
      <c r="BU17">
        <v>4.2145986164699201</v>
      </c>
      <c r="BV17">
        <v>1.64229224930505</v>
      </c>
      <c r="BW17">
        <v>3.3717685709713399</v>
      </c>
      <c r="BX17">
        <v>0.48550781578170099</v>
      </c>
      <c r="BY17">
        <v>4.2896371853805304</v>
      </c>
      <c r="BZ17">
        <v>2.7083168322196398</v>
      </c>
      <c r="CA17">
        <v>3.3693626581421401</v>
      </c>
      <c r="CB17">
        <v>0</v>
      </c>
      <c r="CC17">
        <v>0</v>
      </c>
      <c r="CD17">
        <v>0</v>
      </c>
      <c r="CE17">
        <v>0</v>
      </c>
      <c r="CF17">
        <v>0</v>
      </c>
      <c r="CH17" t="str">
        <f t="shared" si="0"/>
        <v>/*35*/ 111  1 2.58021682959233 2.24601474150565 2.58097411853423 7.66152708135852 7.4759059693674 7.57609734062311 8.67231482828354 1.01050940711314 2.22872324439559 1.59188475318651 1.88327457806383 1.9351380520734 1.30887321415131 0.347835995271528 0.287432041196572 0.25386672395705 0.297879897428227 0.24059046491793 0.916290731874155 0.576613364303994 0.457424847038875 0.916290731874155 2.8944191118535 0 2.68348424715696 0 2.68348424715696 2.05642876737076 4.33073334028633 1.71289662080233 4.47008329849417 4.33073334028633 0.108854404912082 0.271552690521897 0.173953307123438 0.17898265552844 0.173953307123438 0.438254930931155 0.500775287912489 0.405465108108164 0.500775287912489 3.40674861170048 0.318453731118535 3.65065824129374 3.65065824129374 3.25809653802148 3.53610699077653 3.65065824129374 0.773343722554222 3.25809653802148 0 0.22314355131421 0 7.97349680188535E-02 0.405465108108164 0.559615787935423 0 0.22314355131421 0.287432041196572 0.405465108108164 0.559615787935423 0.916290731874155 0.650761464063507 0.693147180559945 0.693147180559945 0.22314355131421 0.559615787935423 3.25809653802148 4.21459861646992 1.64229224930505 3.37176857097134 0.485507815781701 4.28963718538053 2.70831683221964 3.36936265814214 0 0 0 0 0;</v>
      </c>
    </row>
    <row r="18" spans="1:86" x14ac:dyDescent="0.25">
      <c r="A18">
        <v>36</v>
      </c>
      <c r="B18">
        <v>0</v>
      </c>
      <c r="C18">
        <v>0</v>
      </c>
      <c r="D18">
        <v>0</v>
      </c>
      <c r="E18">
        <v>3.0301337002713198</v>
      </c>
      <c r="F18">
        <v>2.2741856184723499</v>
      </c>
      <c r="G18">
        <v>2.5384474167160298</v>
      </c>
      <c r="H18">
        <v>5.8888779583328796</v>
      </c>
      <c r="I18">
        <v>5.6383546693337498</v>
      </c>
      <c r="J18">
        <v>5.2522734280466299</v>
      </c>
      <c r="K18">
        <v>6.7226297948554503</v>
      </c>
      <c r="L18">
        <v>0</v>
      </c>
      <c r="M18">
        <v>1.2053718252396399</v>
      </c>
      <c r="N18">
        <v>1.3578948865981899</v>
      </c>
      <c r="O18">
        <v>1.06471073699243</v>
      </c>
      <c r="P18">
        <v>1.21639532432449</v>
      </c>
      <c r="Q18">
        <v>0.64238006350629195</v>
      </c>
      <c r="R18">
        <v>0.21913552991667101</v>
      </c>
      <c r="S18">
        <v>0.242946178610389</v>
      </c>
      <c r="T18">
        <v>0.20620083058389799</v>
      </c>
      <c r="U18">
        <v>0.22394323148477399</v>
      </c>
      <c r="V18">
        <v>0.12663265093336601</v>
      </c>
      <c r="W18">
        <v>0.405465108108164</v>
      </c>
      <c r="X18">
        <v>0.482426149244293</v>
      </c>
      <c r="Y18">
        <v>0.39204208777602401</v>
      </c>
      <c r="Z18">
        <v>0.482426149244293</v>
      </c>
      <c r="AA18">
        <v>2.3492778209860301</v>
      </c>
      <c r="AB18">
        <v>0</v>
      </c>
      <c r="AC18">
        <v>2.5467070506934499</v>
      </c>
      <c r="AD18">
        <v>3.8724294227676701</v>
      </c>
      <c r="AE18">
        <v>4.0914069182347603</v>
      </c>
      <c r="AF18">
        <v>3.1998560910309499</v>
      </c>
      <c r="AG18">
        <v>2.92568527524196</v>
      </c>
      <c r="AH18">
        <v>0</v>
      </c>
      <c r="AI18">
        <v>3.7418513388800401</v>
      </c>
      <c r="AJ18">
        <v>3.8724294227676701</v>
      </c>
      <c r="AK18">
        <v>0.27990188513281899</v>
      </c>
      <c r="AL18">
        <v>0.23980399220731699</v>
      </c>
      <c r="AM18">
        <v>0.286681572118197</v>
      </c>
      <c r="AN18">
        <v>0.27155269052189701</v>
      </c>
      <c r="AO18">
        <v>0.17898265552844</v>
      </c>
      <c r="AP18">
        <v>0.494696241836107</v>
      </c>
      <c r="AQ18">
        <v>0.60431596685333</v>
      </c>
      <c r="AR18">
        <v>0.494696241836107</v>
      </c>
      <c r="AS18">
        <v>0.60431596685333</v>
      </c>
      <c r="AT18">
        <v>2.6026896854443802</v>
      </c>
      <c r="AU18">
        <v>0.58333231455273904</v>
      </c>
      <c r="AV18">
        <v>0</v>
      </c>
      <c r="AW18">
        <v>3.2580965380214799</v>
      </c>
      <c r="AX18">
        <v>0</v>
      </c>
      <c r="AY18">
        <v>2.2335565065836098</v>
      </c>
      <c r="AZ18">
        <v>4.3841119588732198</v>
      </c>
      <c r="BA18">
        <v>0.405465108108164</v>
      </c>
      <c r="BB18">
        <v>3.2580965380214799</v>
      </c>
      <c r="BC18">
        <v>0</v>
      </c>
      <c r="BD18">
        <v>0</v>
      </c>
      <c r="BE18">
        <v>0</v>
      </c>
      <c r="BF18">
        <v>0</v>
      </c>
      <c r="BG18">
        <v>0.51102560376865702</v>
      </c>
      <c r="BH18">
        <v>0.22314355131420999</v>
      </c>
      <c r="BI18">
        <v>0.405465108108164</v>
      </c>
      <c r="BJ18">
        <v>0.69314718055994495</v>
      </c>
      <c r="BK18">
        <v>0.45932178089887499</v>
      </c>
      <c r="BL18">
        <v>0.22314355131420999</v>
      </c>
      <c r="BM18">
        <v>0</v>
      </c>
      <c r="BN18">
        <v>0</v>
      </c>
      <c r="BO18">
        <v>7.9734968018853505E-2</v>
      </c>
      <c r="BP18">
        <v>0</v>
      </c>
      <c r="BQ18">
        <v>0.405465108108164</v>
      </c>
      <c r="BR18">
        <v>0</v>
      </c>
      <c r="BS18">
        <v>0.15443635330441899</v>
      </c>
      <c r="BT18">
        <v>1.64229224930505</v>
      </c>
      <c r="BU18">
        <v>4.0831656436306698</v>
      </c>
      <c r="BV18">
        <v>3.6506582412937401</v>
      </c>
      <c r="BW18">
        <v>3.8685934475008099</v>
      </c>
      <c r="BX18">
        <v>0.65076146406350699</v>
      </c>
      <c r="BY18">
        <v>4.5010755354515002</v>
      </c>
      <c r="BZ18">
        <v>2.4292177439274099</v>
      </c>
      <c r="CA18">
        <v>2.4753612369444702</v>
      </c>
      <c r="CB18">
        <v>0</v>
      </c>
      <c r="CC18">
        <v>0</v>
      </c>
      <c r="CD18">
        <v>0</v>
      </c>
      <c r="CE18">
        <v>0</v>
      </c>
      <c r="CF18">
        <v>0</v>
      </c>
      <c r="CH18" t="str">
        <f t="shared" si="0"/>
        <v>/*36*/ 000  1 3.03013370027132 2.27418561847235 2.53844741671603 5.88887795833288 5.63835466933375 5.25227342804663 6.72262979485545 0 1.20537182523964 1.35789488659819 1.06471073699243 1.21639532432449 0.642380063506292 0.219135529916671 0.242946178610389 0.206200830583898 0.223943231484774 0.126632650933366 0.405465108108164 0.482426149244293 0.392042087776024 0.482426149244293 2.34927782098603 0 2.54670705069345 3.87242942276767 4.09140691823476 3.19985609103095 2.92568527524196 0 3.74185133888004 3.87242942276767 0.279901885132819 0.239803992207317 0.286681572118197 0.271552690521897 0.17898265552844 0.494696241836107 0.60431596685333 0.494696241836107 0.60431596685333 2.60268968544438 0.583332314552739 0 3.25809653802148 0 2.23355650658361 4.38411195887322 0.405465108108164 3.25809653802148 0 0 0 0 0.511025603768657 0.22314355131421 0.405465108108164 0.693147180559945 0.459321780898875 0.22314355131421 0 0 7.97349680188535E-02 0 0.405465108108164 0 0.154436353304419 1.64229224930505 4.08316564363067 3.65065824129374 3.86859344750081 0.650761464063507 4.5010755354515 2.42921774392741 2.47536123694447 0 0 0 0 0;</v>
      </c>
    </row>
    <row r="19" spans="1:86" x14ac:dyDescent="0.25">
      <c r="A19">
        <v>38</v>
      </c>
      <c r="B19">
        <v>1</v>
      </c>
      <c r="C19">
        <v>1</v>
      </c>
      <c r="D19">
        <v>1</v>
      </c>
      <c r="E19">
        <v>2.5494451709255701</v>
      </c>
      <c r="F19">
        <v>2.2565411544926399</v>
      </c>
      <c r="G19">
        <v>2.4423470353691998</v>
      </c>
      <c r="H19">
        <v>6.7934661325800096</v>
      </c>
      <c r="I19">
        <v>6.1569789855855603</v>
      </c>
      <c r="J19">
        <v>6.2653012127377101</v>
      </c>
      <c r="K19">
        <v>7.5432733467054502</v>
      </c>
      <c r="L19">
        <v>0.76313955237997999</v>
      </c>
      <c r="M19">
        <v>1.29828248379668</v>
      </c>
      <c r="N19">
        <v>1.2014696741078199</v>
      </c>
      <c r="O19">
        <v>1.1069110914828</v>
      </c>
      <c r="P19">
        <v>1.2053718252396399</v>
      </c>
      <c r="Q19">
        <v>0.42330502623649502</v>
      </c>
      <c r="R19">
        <v>0.30232434918865098</v>
      </c>
      <c r="S19">
        <v>0.38662202030668402</v>
      </c>
      <c r="T19">
        <v>0.33002291294130598</v>
      </c>
      <c r="U19">
        <v>0.34003730278570898</v>
      </c>
      <c r="V19">
        <v>0.143234168085908</v>
      </c>
      <c r="W19">
        <v>0.44468582126144601</v>
      </c>
      <c r="X19">
        <v>0.53062825106217004</v>
      </c>
      <c r="Y19">
        <v>0.45742484703887498</v>
      </c>
      <c r="Z19">
        <v>0.53062825106217004</v>
      </c>
      <c r="AA19">
        <v>1.9130917543955801</v>
      </c>
      <c r="AB19">
        <v>0</v>
      </c>
      <c r="AC19">
        <v>3.7896971668498498</v>
      </c>
      <c r="AD19">
        <v>0</v>
      </c>
      <c r="AE19">
        <v>3.7896971668498498</v>
      </c>
      <c r="AF19">
        <v>2.99167405009314</v>
      </c>
      <c r="AG19">
        <v>3.6593991487914299</v>
      </c>
      <c r="AH19">
        <v>0</v>
      </c>
      <c r="AI19">
        <v>4.0562445541775203</v>
      </c>
      <c r="AJ19">
        <v>3.7896971668498498</v>
      </c>
      <c r="AK19">
        <v>0.20294084399668999</v>
      </c>
      <c r="AL19">
        <v>0.157003748809665</v>
      </c>
      <c r="AM19">
        <v>0.25851069515150099</v>
      </c>
      <c r="AN19">
        <v>0.213497174262404</v>
      </c>
      <c r="AO19">
        <v>0.118671529717499</v>
      </c>
      <c r="AP19">
        <v>0.30010459245033799</v>
      </c>
      <c r="AQ19">
        <v>0.25464221837358098</v>
      </c>
      <c r="AR19">
        <v>0.43825493093115497</v>
      </c>
      <c r="AS19">
        <v>0.43825493093115497</v>
      </c>
      <c r="AT19">
        <v>2.2335565065836098</v>
      </c>
      <c r="AU19">
        <v>0.60595396885756803</v>
      </c>
      <c r="AV19">
        <v>0</v>
      </c>
      <c r="AW19">
        <v>3.2580965380214799</v>
      </c>
      <c r="AX19">
        <v>0</v>
      </c>
      <c r="AY19">
        <v>2.2335565065836098</v>
      </c>
      <c r="AZ19">
        <v>4.43477324748243</v>
      </c>
      <c r="BA19">
        <v>0.28743204119657201</v>
      </c>
      <c r="BB19">
        <v>2.8716984926305398</v>
      </c>
      <c r="BC19">
        <v>0.117783035656383</v>
      </c>
      <c r="BD19">
        <v>0.117783035656383</v>
      </c>
      <c r="BE19">
        <v>0</v>
      </c>
      <c r="BF19">
        <v>7.9734968018853505E-2</v>
      </c>
      <c r="BG19">
        <v>0.34854196070854299</v>
      </c>
      <c r="BH19">
        <v>1.2527629684953701</v>
      </c>
      <c r="BI19">
        <v>1.3217558399823199</v>
      </c>
      <c r="BJ19">
        <v>0.69314718055994495</v>
      </c>
      <c r="BK19">
        <v>1.1259031489040101</v>
      </c>
      <c r="BL19">
        <v>0</v>
      </c>
      <c r="BM19">
        <v>0</v>
      </c>
      <c r="BN19">
        <v>0</v>
      </c>
      <c r="BO19">
        <v>0</v>
      </c>
      <c r="BP19">
        <v>0.55961578793542299</v>
      </c>
      <c r="BQ19">
        <v>1.09861228866811</v>
      </c>
      <c r="BR19">
        <v>0.55961578793542299</v>
      </c>
      <c r="BS19">
        <v>0.77334372255422201</v>
      </c>
      <c r="BT19">
        <v>0</v>
      </c>
      <c r="BU19">
        <v>4.3307333402863302</v>
      </c>
      <c r="BV19">
        <v>3.2580965380214799</v>
      </c>
      <c r="BW19">
        <v>3.8642393345743402</v>
      </c>
      <c r="BX19">
        <v>0.60595396885756803</v>
      </c>
      <c r="BY19">
        <v>4.56467105600814</v>
      </c>
      <c r="BZ19">
        <v>1.3457327493637701</v>
      </c>
      <c r="CA19">
        <v>1.7865794091865099</v>
      </c>
      <c r="CB19">
        <v>0</v>
      </c>
      <c r="CC19">
        <v>0</v>
      </c>
      <c r="CD19">
        <v>0</v>
      </c>
      <c r="CE19">
        <v>0</v>
      </c>
      <c r="CF19">
        <v>0</v>
      </c>
      <c r="CH19" t="str">
        <f t="shared" si="0"/>
        <v>/*38*/ 111  1 2.54944517092557 2.25654115449264 2.4423470353692 6.79346613258001 6.15697898558556 6.26530121273771 7.54327334670545 0.76313955237998 1.29828248379668 1.20146967410782 1.1069110914828 1.20537182523964 0.423305026236495 0.302324349188651 0.386622020306684 0.330022912941306 0.340037302785709 0.143234168085908 0.444685821261446 0.53062825106217 0.457424847038875 0.53062825106217 1.91309175439558 0 3.78969716684985 0 3.78969716684985 2.99167405009314 3.65939914879143 0 4.05624455417752 3.78969716684985 0.20294084399669 0.157003748809665 0.258510695151501 0.213497174262404 0.118671529717499 0.300104592450338 0.254642218373581 0.438254930931155 0.438254930931155 2.23355650658361 0.605953968857568 0 3.25809653802148 0 2.23355650658361 4.43477324748243 0.287432041196572 2.87169849263054 0.117783035656383 0.117783035656383 0 7.97349680188535E-02 0.348541960708543 1.25276296849537 1.32175583998232 0.693147180559945 1.12590314890401 0 0 0 0 0.559615787935423 1.09861228866811 0.559615787935423 0.773343722554222 0 4.33073334028633 3.25809653802148 3.86423933457434 0.605953968857568 4.56467105600814 1.34573274936377 1.78657940918651 0 0 0 0 0;</v>
      </c>
    </row>
    <row r="20" spans="1:86" x14ac:dyDescent="0.25">
      <c r="A20">
        <v>41</v>
      </c>
      <c r="B20">
        <v>0</v>
      </c>
      <c r="C20">
        <v>0</v>
      </c>
      <c r="D20">
        <v>0</v>
      </c>
      <c r="E20">
        <v>3.1223649244873601</v>
      </c>
      <c r="F20">
        <v>2.2945529212967801</v>
      </c>
      <c r="G20">
        <v>2.77570884957602</v>
      </c>
      <c r="H20">
        <v>5.5645204073226902</v>
      </c>
      <c r="I20">
        <v>5.34233425196481</v>
      </c>
      <c r="J20">
        <v>5.9712618397904604</v>
      </c>
      <c r="K20">
        <v>6.7569323892475497</v>
      </c>
      <c r="L20">
        <v>0</v>
      </c>
      <c r="M20">
        <v>1.3480731482996899</v>
      </c>
      <c r="N20">
        <v>1.1394342831883599</v>
      </c>
      <c r="O20">
        <v>1.4322232930082901</v>
      </c>
      <c r="P20">
        <v>1.3139924493644899</v>
      </c>
      <c r="Q20">
        <v>0.65648319618835405</v>
      </c>
      <c r="R20">
        <v>0.24059046491793001</v>
      </c>
      <c r="S20">
        <v>0.131028262406404</v>
      </c>
      <c r="T20">
        <v>0.29266961396281999</v>
      </c>
      <c r="U20">
        <v>0.22633844221072899</v>
      </c>
      <c r="V20">
        <v>0.135404637006203</v>
      </c>
      <c r="W20">
        <v>0.33647223662121301</v>
      </c>
      <c r="X20">
        <v>0.21511137961694499</v>
      </c>
      <c r="Y20">
        <v>0.56531380905006001</v>
      </c>
      <c r="Z20">
        <v>0.56531380905006001</v>
      </c>
      <c r="AA20">
        <v>2.4616380228486499</v>
      </c>
      <c r="AB20">
        <v>0</v>
      </c>
      <c r="AC20">
        <v>4.1108738641733096</v>
      </c>
      <c r="AD20">
        <v>0</v>
      </c>
      <c r="AE20">
        <v>4.1108738641733096</v>
      </c>
      <c r="AF20">
        <v>0</v>
      </c>
      <c r="AG20">
        <v>3.7135720667043102</v>
      </c>
      <c r="AH20">
        <v>0</v>
      </c>
      <c r="AI20">
        <v>3.7135720667043102</v>
      </c>
      <c r="AJ20">
        <v>4.1108738641733096</v>
      </c>
      <c r="AK20">
        <v>7.0458463648561398E-2</v>
      </c>
      <c r="AL20">
        <v>0.188137942115395</v>
      </c>
      <c r="AM20">
        <v>7.5107472486805493E-2</v>
      </c>
      <c r="AN20">
        <v>0.10345870836823</v>
      </c>
      <c r="AO20">
        <v>0.14669437915080299</v>
      </c>
      <c r="AP20">
        <v>0.262364264467491</v>
      </c>
      <c r="AQ20">
        <v>0.44468582126144601</v>
      </c>
      <c r="AR20">
        <v>0.45107561936021701</v>
      </c>
      <c r="AS20">
        <v>0.45107561936021701</v>
      </c>
      <c r="AT20">
        <v>2.8716984926305398</v>
      </c>
      <c r="AU20">
        <v>0.25619140536041002</v>
      </c>
      <c r="AV20">
        <v>3.9318256327243302</v>
      </c>
      <c r="AW20">
        <v>3.2580965380214799</v>
      </c>
      <c r="AX20">
        <v>4.4830025520138799</v>
      </c>
      <c r="AY20">
        <v>4.0103649484268296</v>
      </c>
      <c r="AZ20">
        <v>3.6506582412937401</v>
      </c>
      <c r="BA20">
        <v>0.55961578793542299</v>
      </c>
      <c r="BB20">
        <v>3.2580965380214799</v>
      </c>
      <c r="BC20">
        <v>0</v>
      </c>
      <c r="BD20">
        <v>0</v>
      </c>
      <c r="BE20">
        <v>0</v>
      </c>
      <c r="BF20">
        <v>0</v>
      </c>
      <c r="BG20">
        <v>0.117783035656383</v>
      </c>
      <c r="BH20">
        <v>0</v>
      </c>
      <c r="BI20">
        <v>0</v>
      </c>
      <c r="BJ20">
        <v>0</v>
      </c>
      <c r="BK20">
        <v>0</v>
      </c>
      <c r="BL20">
        <v>0</v>
      </c>
      <c r="BM20">
        <v>0</v>
      </c>
      <c r="BN20">
        <v>0</v>
      </c>
      <c r="BO20">
        <v>0</v>
      </c>
      <c r="BP20">
        <v>0.55961578793542299</v>
      </c>
      <c r="BQ20">
        <v>0.405465108108164</v>
      </c>
      <c r="BR20">
        <v>1.09861228866811</v>
      </c>
      <c r="BS20">
        <v>0.73380916227883497</v>
      </c>
      <c r="BT20">
        <v>2.2335565065836098</v>
      </c>
      <c r="BU20">
        <v>4.3307333402863302</v>
      </c>
      <c r="BV20">
        <v>2.8716984926305398</v>
      </c>
      <c r="BW20">
        <v>3.6878289024777602</v>
      </c>
      <c r="BX20">
        <v>0.99621035505002897</v>
      </c>
      <c r="BY20">
        <v>4.0691634970248396</v>
      </c>
      <c r="BZ20">
        <v>2.7493200953004302</v>
      </c>
      <c r="CA20">
        <v>3.7725770131354999</v>
      </c>
      <c r="CB20">
        <v>0</v>
      </c>
      <c r="CC20">
        <v>0</v>
      </c>
      <c r="CD20">
        <v>0</v>
      </c>
      <c r="CE20">
        <v>0</v>
      </c>
      <c r="CF20">
        <v>0</v>
      </c>
      <c r="CH20" t="str">
        <f t="shared" si="0"/>
        <v>/*41*/ 000  1 3.12236492448736 2.29455292129678 2.77570884957602 5.56452040732269 5.34233425196481 5.97126183979046 6.75693238924755 0 1.34807314829969 1.13943428318836 1.43222329300829 1.31399244936449 0.656483196188354 0.24059046491793 0.131028262406404 0.29266961396282 0.226338442210729 0.135404637006203 0.336472236621213 0.215111379616945 0.56531380905006 0.56531380905006 2.46163802284865 0 4.11087386417331 0 4.11087386417331 0 3.71357206670431 0 3.71357206670431 4.11087386417331 7.04584636485614E-02 0.188137942115395 7.51074724868055E-02 0.10345870836823 0.146694379150803 0.262364264467491 0.444685821261446 0.451075619360217 0.451075619360217 2.87169849263054 0.25619140536041 3.93182563272433 3.25809653802148 4.48300255201388 4.01036494842683 3.65065824129374 0.559615787935423 3.25809653802148 0 0 0 0 0.117783035656383 0 0 0 0 0 0 0 0 0.559615787935423 0.405465108108164 1.09861228866811 0.733809162278835 2.23355650658361 4.33073334028633 2.87169849263054 3.68782890247776 0.996210355050029 4.06916349702484 2.74932009530043 3.7725770131355 0 0 0 0 0;</v>
      </c>
    </row>
    <row r="21" spans="1:86" x14ac:dyDescent="0.25">
      <c r="A21">
        <v>48</v>
      </c>
      <c r="B21">
        <v>0</v>
      </c>
      <c r="C21">
        <v>0</v>
      </c>
      <c r="D21">
        <v>0</v>
      </c>
      <c r="E21">
        <v>2.7725887222397798</v>
      </c>
      <c r="F21">
        <v>2.2596775919827699</v>
      </c>
      <c r="G21">
        <v>2.7133693625798099</v>
      </c>
      <c r="H21">
        <v>6.5496507422338102</v>
      </c>
      <c r="I21">
        <v>6.4035741979348204</v>
      </c>
      <c r="J21">
        <v>6.4907235345025098</v>
      </c>
      <c r="K21">
        <v>7.5806997522245601</v>
      </c>
      <c r="L21">
        <v>0</v>
      </c>
      <c r="M21">
        <v>1.6219591929877699</v>
      </c>
      <c r="N21">
        <v>1.50696212084486</v>
      </c>
      <c r="O21">
        <v>1.3384162808754301</v>
      </c>
      <c r="P21">
        <v>1.49582118564713</v>
      </c>
      <c r="Q21">
        <v>0.71783979315031698</v>
      </c>
      <c r="R21">
        <v>0.16551443847757299</v>
      </c>
      <c r="S21">
        <v>0.231111720963387</v>
      </c>
      <c r="T21">
        <v>0.19803085049913499</v>
      </c>
      <c r="U21">
        <v>0.198850858745165</v>
      </c>
      <c r="V21">
        <v>0.12486898204586901</v>
      </c>
      <c r="W21">
        <v>0.36464311358790902</v>
      </c>
      <c r="X21">
        <v>0.431782416425538</v>
      </c>
      <c r="Y21">
        <v>0.50681760236845197</v>
      </c>
      <c r="Z21">
        <v>0.50681760236845197</v>
      </c>
      <c r="AA21">
        <v>2.8158277932756399</v>
      </c>
      <c r="AB21">
        <v>0</v>
      </c>
      <c r="AC21">
        <v>2.4941141305389101</v>
      </c>
      <c r="AD21">
        <v>0</v>
      </c>
      <c r="AE21">
        <v>2.4941141305389101</v>
      </c>
      <c r="AF21">
        <v>2.0369254045767602</v>
      </c>
      <c r="AG21">
        <v>4.4215117359504701</v>
      </c>
      <c r="AH21">
        <v>0</v>
      </c>
      <c r="AI21">
        <v>4.4985755758154502</v>
      </c>
      <c r="AJ21">
        <v>4.4215117359504701</v>
      </c>
      <c r="AK21">
        <v>0.244513577050402</v>
      </c>
      <c r="AL21">
        <v>0.143234168085908</v>
      </c>
      <c r="AM21">
        <v>0.24607852259670601</v>
      </c>
      <c r="AN21">
        <v>0.210260925483196</v>
      </c>
      <c r="AO21">
        <v>0.186479566942618</v>
      </c>
      <c r="AP21">
        <v>0.47623417899637199</v>
      </c>
      <c r="AQ21">
        <v>0.482426149244293</v>
      </c>
      <c r="AR21">
        <v>0.56531380905006001</v>
      </c>
      <c r="AS21">
        <v>0.56531380905006001</v>
      </c>
      <c r="AT21">
        <v>3.7534257877209898</v>
      </c>
      <c r="AU21">
        <v>0.377065633586466</v>
      </c>
      <c r="AV21">
        <v>0</v>
      </c>
      <c r="AW21">
        <v>3.2580965380214799</v>
      </c>
      <c r="AX21">
        <v>2.6026896854443802</v>
      </c>
      <c r="AY21">
        <v>2.6026896854443802</v>
      </c>
      <c r="AZ21">
        <v>3.84658808264264</v>
      </c>
      <c r="BA21">
        <v>0.98095424519987695</v>
      </c>
      <c r="BB21">
        <v>3.9318256327243302</v>
      </c>
      <c r="BC21">
        <v>0.48550781578170099</v>
      </c>
      <c r="BD21">
        <v>0.55961578793542299</v>
      </c>
      <c r="BE21">
        <v>0.117783035656383</v>
      </c>
      <c r="BF21">
        <v>0.405465108108164</v>
      </c>
      <c r="BG21">
        <v>0.15443635330441899</v>
      </c>
      <c r="BH21">
        <v>0</v>
      </c>
      <c r="BI21">
        <v>0.405465108108164</v>
      </c>
      <c r="BJ21">
        <v>0.22314355131420999</v>
      </c>
      <c r="BK21">
        <v>0.22314355131420999</v>
      </c>
      <c r="BL21">
        <v>0</v>
      </c>
      <c r="BM21">
        <v>0.22314355131420999</v>
      </c>
      <c r="BN21">
        <v>0</v>
      </c>
      <c r="BO21">
        <v>7.9734968018853505E-2</v>
      </c>
      <c r="BP21">
        <v>0.69314718055994495</v>
      </c>
      <c r="BQ21">
        <v>0.69314718055994495</v>
      </c>
      <c r="BR21">
        <v>0.22314355131420999</v>
      </c>
      <c r="BS21">
        <v>0.55961578793542299</v>
      </c>
      <c r="BT21">
        <v>2.8716984926305398</v>
      </c>
      <c r="BU21">
        <v>3.5361069907765299</v>
      </c>
      <c r="BV21">
        <v>3.9318256327243302</v>
      </c>
      <c r="BW21">
        <v>3.8421368779639802</v>
      </c>
      <c r="BX21">
        <v>0.73380916227883497</v>
      </c>
      <c r="BY21">
        <v>3.5534605670062001</v>
      </c>
      <c r="BZ21">
        <v>2.89309028158211</v>
      </c>
      <c r="CA21">
        <v>4.2056772091502204</v>
      </c>
      <c r="CB21">
        <v>0</v>
      </c>
      <c r="CC21">
        <v>0</v>
      </c>
      <c r="CD21">
        <v>0</v>
      </c>
      <c r="CE21">
        <v>0</v>
      </c>
      <c r="CF21">
        <v>0</v>
      </c>
      <c r="CH21" t="str">
        <f t="shared" si="0"/>
        <v>/*48*/ 000  1 2.77258872223978 2.25967759198277 2.71336936257981 6.54965074223381 6.40357419793482 6.49072353450251 7.58069975222456 0 1.62195919298777 1.50696212084486 1.33841628087543 1.49582118564713 0.717839793150317 0.165514438477573 0.231111720963387 0.198030850499135 0.198850858745165 0.124868982045869 0.364643113587909 0.431782416425538 0.506817602368452 0.506817602368452 2.81582779327564 0 2.49411413053891 0 2.49411413053891 2.03692540457676 4.42151173595047 0 4.49857557581545 4.42151173595047 0.244513577050402 0.143234168085908 0.246078522596706 0.210260925483196 0.186479566942618 0.476234178996372 0.482426149244293 0.56531380905006 0.56531380905006 3.75342578772099 0.377065633586466 0 3.25809653802148 2.60268968544438 2.60268968544438 3.84658808264264 0.980954245199877 3.93182563272433 0.485507815781701 0.559615787935423 0.117783035656383 0.405465108108164 0.154436353304419 0 0.405465108108164 0.22314355131421 0.22314355131421 0 0.22314355131421 0 7.97349680188535E-02 0.693147180559945 0.693147180559945 0.22314355131421 0.559615787935423 2.87169849263054 3.53610699077653 3.93182563272433 3.84213687796398 0.733809162278835 3.5534605670062 2.89309028158211 4.20567720915022 0 0 0 0 0;</v>
      </c>
    </row>
    <row r="22" spans="1:86" x14ac:dyDescent="0.25">
      <c r="A22">
        <v>57</v>
      </c>
      <c r="B22">
        <v>0</v>
      </c>
      <c r="C22">
        <v>0</v>
      </c>
      <c r="D22">
        <v>0</v>
      </c>
      <c r="E22">
        <v>2.7278528283983898</v>
      </c>
      <c r="F22">
        <v>2.1871742414827202</v>
      </c>
      <c r="G22">
        <v>2.2181159363676</v>
      </c>
      <c r="H22">
        <v>5.2417470150596399</v>
      </c>
      <c r="I22">
        <v>4.7874917427820503</v>
      </c>
      <c r="J22">
        <v>4.5849674786705696</v>
      </c>
      <c r="K22">
        <v>6.0038870671065396</v>
      </c>
      <c r="L22">
        <v>0</v>
      </c>
      <c r="M22">
        <v>0.64867269045811604</v>
      </c>
      <c r="N22">
        <v>0.70556970055850199</v>
      </c>
      <c r="O22">
        <v>0.64867269045811604</v>
      </c>
      <c r="P22">
        <v>0.667829372575655</v>
      </c>
      <c r="Q22">
        <v>0.26313319953036801</v>
      </c>
      <c r="R22">
        <v>0.20945022418220699</v>
      </c>
      <c r="S22">
        <v>0.19967019512856801</v>
      </c>
      <c r="T22">
        <v>0.17647114311577899</v>
      </c>
      <c r="U22">
        <v>0.19474407679251199</v>
      </c>
      <c r="V22">
        <v>8.0657903017454499E-2</v>
      </c>
      <c r="W22">
        <v>0.307484699747961</v>
      </c>
      <c r="X22">
        <v>0.307484699747961</v>
      </c>
      <c r="Y22">
        <v>0.262364264467491</v>
      </c>
      <c r="Z22">
        <v>0.307484699747961</v>
      </c>
      <c r="AA22">
        <v>1.68824909285839</v>
      </c>
      <c r="AB22">
        <v>0</v>
      </c>
      <c r="AC22">
        <v>4.0103649484268296</v>
      </c>
      <c r="AD22">
        <v>3.0834225866809799</v>
      </c>
      <c r="AE22">
        <v>4.3307333402863302</v>
      </c>
      <c r="AF22">
        <v>2.6026896854443802</v>
      </c>
      <c r="AG22">
        <v>2.6026896854443802</v>
      </c>
      <c r="AH22">
        <v>0</v>
      </c>
      <c r="AI22">
        <v>3.2580965380214799</v>
      </c>
      <c r="AJ22">
        <v>4.0103649484268296</v>
      </c>
      <c r="AK22">
        <v>0.111541374732907</v>
      </c>
      <c r="AL22">
        <v>0.10436001532424299</v>
      </c>
      <c r="AM22">
        <v>0.16889853646181399</v>
      </c>
      <c r="AN22">
        <v>0.12839321476839899</v>
      </c>
      <c r="AO22">
        <v>9.0754363268464103E-2</v>
      </c>
      <c r="AP22">
        <v>0.22314355131420999</v>
      </c>
      <c r="AQ22">
        <v>0.22314355131420999</v>
      </c>
      <c r="AR22">
        <v>0.31481073984003399</v>
      </c>
      <c r="AS22">
        <v>0.31481073984003399</v>
      </c>
      <c r="AT22">
        <v>2.2335565065836098</v>
      </c>
      <c r="AU22">
        <v>0.45932178089887499</v>
      </c>
      <c r="AV22">
        <v>3.6506582412937401</v>
      </c>
      <c r="AW22">
        <v>3.2580965380214799</v>
      </c>
      <c r="AX22">
        <v>3.6506582412937401</v>
      </c>
      <c r="AY22">
        <v>3.5361069907765299</v>
      </c>
      <c r="AZ22">
        <v>4.0831656436306698</v>
      </c>
      <c r="BA22">
        <v>0.34854196070854299</v>
      </c>
      <c r="BB22">
        <v>2.2335565065836098</v>
      </c>
      <c r="BC22">
        <v>0</v>
      </c>
      <c r="BD22">
        <v>0</v>
      </c>
      <c r="BE22">
        <v>0.31845373111853498</v>
      </c>
      <c r="BF22">
        <v>0.117783035656383</v>
      </c>
      <c r="BG22">
        <v>0.377065633586466</v>
      </c>
      <c r="BH22">
        <v>1.09861228866811</v>
      </c>
      <c r="BI22">
        <v>1.0116009116784801</v>
      </c>
      <c r="BJ22">
        <v>0.916290731874155</v>
      </c>
      <c r="BK22">
        <v>1.0116009116784801</v>
      </c>
      <c r="BL22">
        <v>0.22314355131420999</v>
      </c>
      <c r="BM22">
        <v>0</v>
      </c>
      <c r="BN22">
        <v>0</v>
      </c>
      <c r="BO22">
        <v>7.9734968018853505E-2</v>
      </c>
      <c r="BP22">
        <v>0</v>
      </c>
      <c r="BQ22">
        <v>0.22314355131420999</v>
      </c>
      <c r="BR22">
        <v>0.405465108108164</v>
      </c>
      <c r="BS22">
        <v>0.22314355131420999</v>
      </c>
      <c r="BT22">
        <v>1.64229224930505</v>
      </c>
      <c r="BU22">
        <v>3.84658808264264</v>
      </c>
      <c r="BV22">
        <v>3.9318256327243302</v>
      </c>
      <c r="BW22">
        <v>3.91036162610148</v>
      </c>
      <c r="BX22">
        <v>0.22314355131420999</v>
      </c>
      <c r="BY22">
        <v>4.4611381396820002</v>
      </c>
      <c r="BZ22">
        <v>2.4286008135769102</v>
      </c>
      <c r="CA22">
        <v>2.7352761873558</v>
      </c>
      <c r="CB22">
        <v>0</v>
      </c>
      <c r="CC22">
        <v>0</v>
      </c>
      <c r="CD22">
        <v>0</v>
      </c>
      <c r="CE22">
        <v>0</v>
      </c>
      <c r="CF22">
        <v>0</v>
      </c>
      <c r="CH22" t="str">
        <f t="shared" si="0"/>
        <v>/*57*/ 000  1 2.72785282839839 2.18717424148272 2.2181159363676 5.24174701505964 4.78749174278205 4.58496747867057 6.00388706710654 0 0.648672690458116 0.705569700558502 0.648672690458116 0.667829372575655 0.263133199530368 0.209450224182207 0.199670195128568 0.176471143115779 0.194744076792512 8.06579030174545E-02 0.307484699747961 0.307484699747961 0.262364264467491 0.307484699747961 1.68824909285839 0 4.01036494842683 3.08342258668098 4.33073334028633 2.60268968544438 2.60268968544438 0 3.25809653802148 4.01036494842683 0.111541374732907 0.104360015324243 0.168898536461814 0.128393214768399 9.07543632684641E-02 0.22314355131421 0.22314355131421 0.314810739840034 0.314810739840034 2.23355650658361 0.459321780898875 3.65065824129374 3.25809653802148 3.65065824129374 3.53610699077653 4.08316564363067 0.348541960708543 2.23355650658361 0 0 0.318453731118535 0.117783035656383 0.377065633586466 1.09861228866811 1.01160091167848 0.916290731874155 1.01160091167848 0.22314355131421 0 0 7.97349680188535E-02 0 0.22314355131421 0.405465108108164 0.22314355131421 1.64229224930505 3.84658808264264 3.93182563272433 3.91036162610148 0.22314355131421 4.461138139682 2.42860081357691 2.7352761873558 0 0 0 0 0;</v>
      </c>
    </row>
    <row r="23" spans="1:86" x14ac:dyDescent="0.25">
      <c r="A23">
        <v>61</v>
      </c>
      <c r="B23">
        <v>1</v>
      </c>
      <c r="C23">
        <v>0</v>
      </c>
      <c r="D23">
        <v>1</v>
      </c>
      <c r="E23">
        <v>2.8449093838194099</v>
      </c>
      <c r="F23">
        <v>2.2803394840467299</v>
      </c>
      <c r="G23">
        <v>2.5463152779166398</v>
      </c>
      <c r="H23">
        <v>5.9427993751267003</v>
      </c>
      <c r="I23">
        <v>5.1179938124167599</v>
      </c>
      <c r="J23">
        <v>5.1179938124167599</v>
      </c>
      <c r="K23">
        <v>6.5694814204143004</v>
      </c>
      <c r="L23">
        <v>0.35136084911496401</v>
      </c>
      <c r="M23">
        <v>1.29828248379668</v>
      </c>
      <c r="N23">
        <v>1.14358565431084</v>
      </c>
      <c r="O23">
        <v>1.08180517035173</v>
      </c>
      <c r="P23">
        <v>1.1786549963416499</v>
      </c>
      <c r="Q23">
        <v>0.70458155818560797</v>
      </c>
      <c r="R23">
        <v>0.25851069515150099</v>
      </c>
      <c r="S23">
        <v>8.7094706850933706E-2</v>
      </c>
      <c r="T23">
        <v>0.15357908792830099</v>
      </c>
      <c r="U23">
        <v>0.17647114311577899</v>
      </c>
      <c r="V23">
        <v>0.19062035960865001</v>
      </c>
      <c r="W23">
        <v>0.58778666490211895</v>
      </c>
      <c r="X23">
        <v>0.148420005118273</v>
      </c>
      <c r="Y23">
        <v>0.47000362924573602</v>
      </c>
      <c r="Z23">
        <v>0.58778666490211895</v>
      </c>
      <c r="AA23">
        <v>2.5406566648924902</v>
      </c>
      <c r="AB23">
        <v>0</v>
      </c>
      <c r="AC23">
        <v>2.8716984926305398</v>
      </c>
      <c r="AD23">
        <v>0</v>
      </c>
      <c r="AE23">
        <v>2.8716984926305398</v>
      </c>
      <c r="AF23">
        <v>2.2335565065836098</v>
      </c>
      <c r="AG23">
        <v>4.3307333402863302</v>
      </c>
      <c r="AH23">
        <v>0</v>
      </c>
      <c r="AI23">
        <v>4.43477324748243</v>
      </c>
      <c r="AJ23">
        <v>4.3307333402863302</v>
      </c>
      <c r="AK23">
        <v>7.8811180424289806E-2</v>
      </c>
      <c r="AL23">
        <v>0.25386672395705001</v>
      </c>
      <c r="AM23">
        <v>0.173112617708645</v>
      </c>
      <c r="AN23">
        <v>0.16466662155523401</v>
      </c>
      <c r="AO23">
        <v>0.13976194237515899</v>
      </c>
      <c r="AP23">
        <v>0.307484699747961</v>
      </c>
      <c r="AQ23">
        <v>0.42526773540434398</v>
      </c>
      <c r="AR23">
        <v>0.32930374714260002</v>
      </c>
      <c r="AS23">
        <v>0.42526773540434398</v>
      </c>
      <c r="AT23">
        <v>4.2145986164699201</v>
      </c>
      <c r="AU23">
        <v>7.9734968018853505E-2</v>
      </c>
      <c r="AV23">
        <v>3.9318256327243302</v>
      </c>
      <c r="AW23">
        <v>0</v>
      </c>
      <c r="AX23">
        <v>3.2580965380214799</v>
      </c>
      <c r="AY23">
        <v>3.2580965380214799</v>
      </c>
      <c r="AZ23">
        <v>4.2145986164699201</v>
      </c>
      <c r="BA23">
        <v>0.405465108108164</v>
      </c>
      <c r="BB23">
        <v>3.2580965380214799</v>
      </c>
      <c r="BC23">
        <v>0.31845373111853498</v>
      </c>
      <c r="BD23">
        <v>0.31845373111853498</v>
      </c>
      <c r="BE23">
        <v>0.117783035656383</v>
      </c>
      <c r="BF23">
        <v>0.25619140536041002</v>
      </c>
      <c r="BG23">
        <v>0.34854196070854299</v>
      </c>
      <c r="BH23">
        <v>0</v>
      </c>
      <c r="BI23">
        <v>0</v>
      </c>
      <c r="BJ23">
        <v>0</v>
      </c>
      <c r="BK23">
        <v>0</v>
      </c>
      <c r="BL23">
        <v>0.405465108108164</v>
      </c>
      <c r="BM23">
        <v>0.22314355131420999</v>
      </c>
      <c r="BN23">
        <v>0.55961578793542299</v>
      </c>
      <c r="BO23">
        <v>0.405465108108164</v>
      </c>
      <c r="BP23">
        <v>1.09861228866811</v>
      </c>
      <c r="BQ23">
        <v>0</v>
      </c>
      <c r="BR23">
        <v>0.22314355131420999</v>
      </c>
      <c r="BS23">
        <v>0.55961578793542299</v>
      </c>
      <c r="BT23">
        <v>3.5361069907765299</v>
      </c>
      <c r="BU23">
        <v>4.1510399058986502</v>
      </c>
      <c r="BV23">
        <v>1.64229224930505</v>
      </c>
      <c r="BW23">
        <v>3.2818506240295902</v>
      </c>
      <c r="BX23">
        <v>0.28743204119657201</v>
      </c>
      <c r="BY23">
        <v>2.4141264677269501</v>
      </c>
      <c r="BZ23">
        <v>2.1064485471663601</v>
      </c>
      <c r="CA23">
        <v>4.5088795256698004</v>
      </c>
      <c r="CB23">
        <v>0</v>
      </c>
      <c r="CC23">
        <v>0</v>
      </c>
      <c r="CD23">
        <v>0</v>
      </c>
      <c r="CE23">
        <v>0</v>
      </c>
      <c r="CF23">
        <v>0</v>
      </c>
      <c r="CH23" t="str">
        <f t="shared" si="0"/>
        <v>/*61*/ 101  1 2.84490938381941 2.28033948404673 2.54631527791664 5.9427993751267 5.11799381241676 5.11799381241676 6.5694814204143 0.351360849114964 1.29828248379668 1.14358565431084 1.08180517035173 1.17865499634165 0.704581558185608 0.258510695151501 8.70947068509337E-02 0.153579087928301 0.176471143115779 0.19062035960865 0.587786664902119 0.148420005118273 0.470003629245736 0.587786664902119 2.54065666489249 0 2.87169849263054 0 2.87169849263054 2.23355650658361 4.33073334028633 0 4.43477324748243 4.33073334028633 7.88111804242898E-02 0.25386672395705 0.173112617708645 0.164666621555234 0.139761942375159 0.307484699747961 0.425267735404344 0.3293037471426 0.425267735404344 4.21459861646992 7.97349680188535E-02 3.93182563272433 0 3.25809653802148 3.25809653802148 4.21459861646992 0.405465108108164 3.25809653802148 0.318453731118535 0.318453731118535 0.117783035656383 0.25619140536041 0.348541960708543 0 0 0 0 0.405465108108164 0.22314355131421 0.559615787935423 0.405465108108164 1.09861228866811 0 0.22314355131421 0.559615787935423 3.53610699077653 4.15103990589865 1.64229224930505 3.28185062402959 0.287432041196572 2.41412646772695 2.10644854716636 4.5088795256698 0 0 0 0 0;</v>
      </c>
    </row>
    <row r="24" spans="1:86" x14ac:dyDescent="0.25">
      <c r="A24">
        <v>75</v>
      </c>
      <c r="B24">
        <v>0</v>
      </c>
      <c r="C24">
        <v>0</v>
      </c>
      <c r="D24">
        <v>0</v>
      </c>
      <c r="E24">
        <v>2.8390784635086099</v>
      </c>
      <c r="F24">
        <v>2.20055236742889</v>
      </c>
      <c r="G24">
        <v>2.5384474167160298</v>
      </c>
      <c r="H24">
        <v>5.8260001073804499</v>
      </c>
      <c r="I24">
        <v>5.4722706736714803</v>
      </c>
      <c r="J24">
        <v>5.7397929121792304</v>
      </c>
      <c r="K24">
        <v>6.7867169506050802</v>
      </c>
      <c r="L24">
        <v>0</v>
      </c>
      <c r="M24">
        <v>0.95088537663865402</v>
      </c>
      <c r="N24">
        <v>0.92147725856145501</v>
      </c>
      <c r="O24">
        <v>1.09861228866811</v>
      </c>
      <c r="P24">
        <v>0.993251773010283</v>
      </c>
      <c r="Q24">
        <v>0.405465108108164</v>
      </c>
      <c r="R24">
        <v>0.24529635595534299</v>
      </c>
      <c r="S24">
        <v>0.20375683751401999</v>
      </c>
      <c r="T24">
        <v>0.31481073984003399</v>
      </c>
      <c r="U24">
        <v>0.255417111864505</v>
      </c>
      <c r="V24">
        <v>0.117783035656383</v>
      </c>
      <c r="W24">
        <v>0.405465108108164</v>
      </c>
      <c r="X24">
        <v>0.405465108108164</v>
      </c>
      <c r="Y24">
        <v>0.405465108108164</v>
      </c>
      <c r="Z24">
        <v>0.405465108108164</v>
      </c>
      <c r="AA24">
        <v>1.92234903893166</v>
      </c>
      <c r="AB24">
        <v>0</v>
      </c>
      <c r="AC24">
        <v>3.0834225866809799</v>
      </c>
      <c r="AD24">
        <v>0</v>
      </c>
      <c r="AE24">
        <v>3.0834225866809799</v>
      </c>
      <c r="AF24">
        <v>0</v>
      </c>
      <c r="AG24">
        <v>4.3841119588732198</v>
      </c>
      <c r="AH24">
        <v>0</v>
      </c>
      <c r="AI24">
        <v>4.3841119588732198</v>
      </c>
      <c r="AJ24">
        <v>4.3841119588732198</v>
      </c>
      <c r="AK24">
        <v>0.36394842790523102</v>
      </c>
      <c r="AL24">
        <v>0.41078426958576397</v>
      </c>
      <c r="AM24">
        <v>0.23822918873225099</v>
      </c>
      <c r="AN24">
        <v>0.34003730278570898</v>
      </c>
      <c r="AO24">
        <v>0.23031775506221</v>
      </c>
      <c r="AP24">
        <v>0.58221561985266401</v>
      </c>
      <c r="AQ24">
        <v>0.67294447324242601</v>
      </c>
      <c r="AR24">
        <v>0.45742484703887498</v>
      </c>
      <c r="AS24">
        <v>0.67294447324242601</v>
      </c>
      <c r="AT24">
        <v>2.6026896854443802</v>
      </c>
      <c r="AU24">
        <v>0.58333231455273904</v>
      </c>
      <c r="AV24">
        <v>0</v>
      </c>
      <c r="AW24">
        <v>0</v>
      </c>
      <c r="AX24">
        <v>3.2580965380214799</v>
      </c>
      <c r="AY24">
        <v>2.2335565065836098</v>
      </c>
      <c r="AZ24">
        <v>4.3841119588732198</v>
      </c>
      <c r="BA24">
        <v>0.84715499303929298</v>
      </c>
      <c r="BB24">
        <v>3.5361069907765299</v>
      </c>
      <c r="BC24">
        <v>0</v>
      </c>
      <c r="BD24">
        <v>0</v>
      </c>
      <c r="BE24">
        <v>0.55961578793542299</v>
      </c>
      <c r="BF24">
        <v>0.22314355131420999</v>
      </c>
      <c r="BG24">
        <v>0.48550781578170099</v>
      </c>
      <c r="BH24">
        <v>0.405465108108164</v>
      </c>
      <c r="BI24">
        <v>0.22314355131420999</v>
      </c>
      <c r="BJ24">
        <v>0.22314355131420999</v>
      </c>
      <c r="BK24">
        <v>0.28743204119657201</v>
      </c>
      <c r="BL24">
        <v>0</v>
      </c>
      <c r="BM24">
        <v>0</v>
      </c>
      <c r="BN24">
        <v>0</v>
      </c>
      <c r="BO24">
        <v>0</v>
      </c>
      <c r="BP24">
        <v>0.22314355131420999</v>
      </c>
      <c r="BQ24">
        <v>0.405465108108164</v>
      </c>
      <c r="BR24">
        <v>0.22314355131420999</v>
      </c>
      <c r="BS24">
        <v>0.28743204119657201</v>
      </c>
      <c r="BT24">
        <v>0</v>
      </c>
      <c r="BU24">
        <v>4.5729878452771402</v>
      </c>
      <c r="BV24">
        <v>1.64229224930505</v>
      </c>
      <c r="BW24">
        <v>3.7534257877209898</v>
      </c>
      <c r="BX24">
        <v>0.188966099512623</v>
      </c>
      <c r="BY24">
        <v>4.5948470856650196</v>
      </c>
      <c r="BZ24">
        <v>1.2803781355283399</v>
      </c>
      <c r="CA24">
        <v>1.1075720300395799</v>
      </c>
      <c r="CB24">
        <v>0</v>
      </c>
      <c r="CC24">
        <v>0</v>
      </c>
      <c r="CD24">
        <v>0</v>
      </c>
      <c r="CE24">
        <v>0</v>
      </c>
      <c r="CF24">
        <v>0</v>
      </c>
      <c r="CH24" t="str">
        <f t="shared" si="0"/>
        <v>/*75*/ 000  1 2.83907846350861 2.20055236742889 2.53844741671603 5.82600010738045 5.47227067367148 5.73979291217923 6.78671695060508 0 0.950885376638654 0.921477258561455 1.09861228866811 0.993251773010283 0.405465108108164 0.245296355955343 0.20375683751402 0.314810739840034 0.255417111864505 0.117783035656383 0.405465108108164 0.405465108108164 0.405465108108164 0.405465108108164 1.92234903893166 0 3.08342258668098 0 3.08342258668098 0 4.38411195887322 0 4.38411195887322 4.38411195887322 0.363948427905231 0.410784269585764 0.238229188732251 0.340037302785709 0.23031775506221 0.582215619852664 0.672944473242426 0.457424847038875 0.672944473242426 2.60268968544438 0.583332314552739 0 0 3.25809653802148 2.23355650658361 4.38411195887322 0.847154993039293 3.53610699077653 0 0 0.559615787935423 0.22314355131421 0.485507815781701 0.405465108108164 0.22314355131421 0.22314355131421 0.287432041196572 0 0 0 0 0.22314355131421 0.405465108108164 0.22314355131421 0.287432041196572 0 4.57298784527714 1.64229224930505 3.75342578772099 0.188966099512623 4.59484708566502 1.28037813552834 1.10757203003958 0 0 0 0 0;</v>
      </c>
    </row>
    <row r="25" spans="1:86" x14ac:dyDescent="0.25">
      <c r="A25">
        <v>84</v>
      </c>
      <c r="B25">
        <v>0</v>
      </c>
      <c r="C25">
        <v>0</v>
      </c>
      <c r="D25">
        <v>0</v>
      </c>
      <c r="E25">
        <v>2.8094026953625</v>
      </c>
      <c r="F25">
        <v>2.1961128484835299</v>
      </c>
      <c r="G25">
        <v>2.44408465526775</v>
      </c>
      <c r="H25">
        <v>4.8121843553724197</v>
      </c>
      <c r="I25">
        <v>4.95582705760126</v>
      </c>
      <c r="J25">
        <v>5.1239639794032596</v>
      </c>
      <c r="K25">
        <v>6.0661080901037501</v>
      </c>
      <c r="L25">
        <v>0</v>
      </c>
      <c r="M25">
        <v>1.06471073699243</v>
      </c>
      <c r="N25">
        <v>1.17495585525544</v>
      </c>
      <c r="O25">
        <v>1.1672050801337199</v>
      </c>
      <c r="P25">
        <v>1.1368710007852001</v>
      </c>
      <c r="Q25">
        <v>0.30453918951820402</v>
      </c>
      <c r="R25">
        <v>0.21913552991667101</v>
      </c>
      <c r="S25">
        <v>0.136277618292548</v>
      </c>
      <c r="T25">
        <v>0.1016536537265</v>
      </c>
      <c r="U25">
        <v>0.151862349309246</v>
      </c>
      <c r="V25">
        <v>9.3490343087339001E-2</v>
      </c>
      <c r="W25">
        <v>0.39204208777602401</v>
      </c>
      <c r="X25">
        <v>0.231111720963387</v>
      </c>
      <c r="Y25">
        <v>0.18232155679395501</v>
      </c>
      <c r="Z25">
        <v>0.39204208777602401</v>
      </c>
      <c r="AA25">
        <v>2.6339729977058899</v>
      </c>
      <c r="AB25">
        <v>0</v>
      </c>
      <c r="AC25">
        <v>4.2004148259491698</v>
      </c>
      <c r="AD25">
        <v>2.89828481138803</v>
      </c>
      <c r="AE25">
        <v>4.4291129671938201</v>
      </c>
      <c r="AF25">
        <v>0</v>
      </c>
      <c r="AG25">
        <v>2.89828481138803</v>
      </c>
      <c r="AH25">
        <v>0</v>
      </c>
      <c r="AI25">
        <v>2.89828481138803</v>
      </c>
      <c r="AJ25">
        <v>4.2004148259491698</v>
      </c>
      <c r="AK25">
        <v>0.17898265552844</v>
      </c>
      <c r="AL25">
        <v>0.15357908792830099</v>
      </c>
      <c r="AM25">
        <v>0.24842135849847799</v>
      </c>
      <c r="AN25">
        <v>0.18979357163265601</v>
      </c>
      <c r="AO25">
        <v>0.118671529717499</v>
      </c>
      <c r="AP25">
        <v>0.44468582126144601</v>
      </c>
      <c r="AQ25">
        <v>0.322083499169113</v>
      </c>
      <c r="AR25">
        <v>0.37843643572024499</v>
      </c>
      <c r="AS25">
        <v>0.44468582126144601</v>
      </c>
      <c r="AT25">
        <v>2.2335565065836098</v>
      </c>
      <c r="AU25">
        <v>0.55961578793542299</v>
      </c>
      <c r="AV25">
        <v>3.2580965380214799</v>
      </c>
      <c r="AW25">
        <v>3.2580965380214799</v>
      </c>
      <c r="AX25">
        <v>0</v>
      </c>
      <c r="AY25">
        <v>2.8716984926305398</v>
      </c>
      <c r="AZ25">
        <v>4.3307333402863302</v>
      </c>
      <c r="BA25">
        <v>0.22314355131420999</v>
      </c>
      <c r="BB25">
        <v>2.2335565065836098</v>
      </c>
      <c r="BC25">
        <v>0.69314718055994495</v>
      </c>
      <c r="BD25">
        <v>0.405465108108164</v>
      </c>
      <c r="BE25">
        <v>0.62860865942237398</v>
      </c>
      <c r="BF25">
        <v>0.58333231455273904</v>
      </c>
      <c r="BG25">
        <v>1.0413362208483801</v>
      </c>
      <c r="BH25">
        <v>0.69314718055994495</v>
      </c>
      <c r="BI25">
        <v>0.405465108108164</v>
      </c>
      <c r="BJ25">
        <v>0.22314355131420999</v>
      </c>
      <c r="BK25">
        <v>0.45932178089887499</v>
      </c>
      <c r="BL25">
        <v>0.405465108108164</v>
      </c>
      <c r="BM25">
        <v>0</v>
      </c>
      <c r="BN25">
        <v>0</v>
      </c>
      <c r="BO25">
        <v>0.15443635330441899</v>
      </c>
      <c r="BP25">
        <v>0.69314718055994495</v>
      </c>
      <c r="BQ25">
        <v>0.22314355131420999</v>
      </c>
      <c r="BR25">
        <v>0.22314355131420999</v>
      </c>
      <c r="BS25">
        <v>0.405465108108164</v>
      </c>
      <c r="BT25">
        <v>3.0834225866809799</v>
      </c>
      <c r="BU25">
        <v>3.9318256327243302</v>
      </c>
      <c r="BV25">
        <v>3.4067486117004799</v>
      </c>
      <c r="BW25">
        <v>3.6287843795626</v>
      </c>
      <c r="BX25">
        <v>0.58333231455273904</v>
      </c>
      <c r="BY25">
        <v>3.5965722608287498</v>
      </c>
      <c r="BZ25">
        <v>2.6856000722646201</v>
      </c>
      <c r="CA25">
        <v>4.18246227144492</v>
      </c>
      <c r="CB25">
        <v>0</v>
      </c>
      <c r="CC25">
        <v>0</v>
      </c>
      <c r="CD25">
        <v>0</v>
      </c>
      <c r="CE25">
        <v>0</v>
      </c>
      <c r="CF25">
        <v>0</v>
      </c>
      <c r="CH25" t="str">
        <f t="shared" si="0"/>
        <v>/*84*/ 000  1 2.8094026953625 2.19611284848353 2.44408465526775 4.81218435537242 4.95582705760126 5.12396397940326 6.06610809010375 0 1.06471073699243 1.17495585525544 1.16720508013372 1.1368710007852 0.304539189518204 0.219135529916671 0.136277618292548 0.1016536537265 0.151862349309246 0.093490343087339 0.392042087776024 0.231111720963387 0.182321556793955 0.392042087776024 2.63397299770589 0 4.20041482594917 2.89828481138803 4.42911296719382 0 2.89828481138803 0 2.89828481138803 4.20041482594917 0.17898265552844 0.153579087928301 0.248421358498478 0.189793571632656 0.118671529717499 0.444685821261446 0.322083499169113 0.378436435720245 0.444685821261446 2.23355650658361 0.559615787935423 3.25809653802148 3.25809653802148 0 2.87169849263054 4.33073334028633 0.22314355131421 2.23355650658361 0.693147180559945 0.405465108108164 0.628608659422374 0.583332314552739 1.04133622084838 0.693147180559945 0.405465108108164 0.22314355131421 0.459321780898875 0.405465108108164 0 0 0.154436353304419 0.693147180559945 0.22314355131421 0.22314355131421 0.405465108108164 3.08342258668098 3.93182563272433 3.40674861170048 3.6287843795626 0.583332314552739 3.59657226082875 2.68560007226462 4.18246227144492 0 0 0 0 0;</v>
      </c>
    </row>
    <row r="26" spans="1:86" x14ac:dyDescent="0.25">
      <c r="A26">
        <v>85</v>
      </c>
      <c r="B26">
        <v>1</v>
      </c>
      <c r="C26">
        <v>1</v>
      </c>
      <c r="D26">
        <v>1</v>
      </c>
      <c r="E26">
        <v>2.8273136219290298</v>
      </c>
      <c r="F26">
        <v>2.20937271127187</v>
      </c>
      <c r="G26">
        <v>2.5478814489493899</v>
      </c>
      <c r="H26">
        <v>6.8564619845945902</v>
      </c>
      <c r="I26">
        <v>6.1964441277945204</v>
      </c>
      <c r="J26">
        <v>6.0591231955818001</v>
      </c>
      <c r="K26">
        <v>7.5320881435417197</v>
      </c>
      <c r="L26">
        <v>1.43864959145382</v>
      </c>
      <c r="M26">
        <v>1.3514440836841399</v>
      </c>
      <c r="N26">
        <v>1.52060669872748</v>
      </c>
      <c r="O26">
        <v>1.6568938535904001</v>
      </c>
      <c r="P26">
        <v>1.51072193949494</v>
      </c>
      <c r="Q26">
        <v>0.72947910980733599</v>
      </c>
      <c r="R26">
        <v>0.30232434918865098</v>
      </c>
      <c r="S26">
        <v>0.213497174262404</v>
      </c>
      <c r="T26">
        <v>0.15272108701766399</v>
      </c>
      <c r="U26">
        <v>0.221542269947236</v>
      </c>
      <c r="V26">
        <v>0.148420005118273</v>
      </c>
      <c r="W26">
        <v>0.51879379341516796</v>
      </c>
      <c r="X26">
        <v>0.431782416425538</v>
      </c>
      <c r="Y26">
        <v>0.262364264467491</v>
      </c>
      <c r="Z26">
        <v>0.51879379341516796</v>
      </c>
      <c r="AA26">
        <v>2.7236610486163602</v>
      </c>
      <c r="AB26">
        <v>0</v>
      </c>
      <c r="AC26">
        <v>0</v>
      </c>
      <c r="AD26">
        <v>0</v>
      </c>
      <c r="AE26">
        <v>0</v>
      </c>
      <c r="AF26">
        <v>1.9041948985578401</v>
      </c>
      <c r="AG26">
        <v>4.5568828953565603</v>
      </c>
      <c r="AH26">
        <v>0</v>
      </c>
      <c r="AI26">
        <v>4.6151205168412597</v>
      </c>
      <c r="AJ26">
        <v>4.5568828953565603</v>
      </c>
      <c r="AK26">
        <v>0.21430460264700499</v>
      </c>
      <c r="AL26">
        <v>0.155292884406035</v>
      </c>
      <c r="AM26">
        <v>0.24137631957527</v>
      </c>
      <c r="AN26">
        <v>0.18564934688662901</v>
      </c>
      <c r="AO26">
        <v>0.16636153721522501</v>
      </c>
      <c r="AP26">
        <v>0.431782416425538</v>
      </c>
      <c r="AQ26">
        <v>0.39204208777602401</v>
      </c>
      <c r="AR26">
        <v>0.51282362642866397</v>
      </c>
      <c r="AS26">
        <v>0.51282362642866397</v>
      </c>
      <c r="AT26">
        <v>4.0103649484268296</v>
      </c>
      <c r="AU26">
        <v>0.122217632724249</v>
      </c>
      <c r="AV26">
        <v>3.6506582412937401</v>
      </c>
      <c r="AW26">
        <v>3.9318256327243302</v>
      </c>
      <c r="AX26">
        <v>0</v>
      </c>
      <c r="AY26">
        <v>3.4067486117004799</v>
      </c>
      <c r="AZ26">
        <v>4.0103649484268296</v>
      </c>
      <c r="BA26">
        <v>0.69314718055994495</v>
      </c>
      <c r="BB26">
        <v>3.5361069907765299</v>
      </c>
      <c r="BC26">
        <v>0.22314355131420999</v>
      </c>
      <c r="BD26">
        <v>0.22314355131420999</v>
      </c>
      <c r="BE26">
        <v>0.133656384812674</v>
      </c>
      <c r="BF26">
        <v>0.19638881400538999</v>
      </c>
      <c r="BG26">
        <v>0.50198667509878603</v>
      </c>
      <c r="BH26">
        <v>0.69314718055994495</v>
      </c>
      <c r="BI26">
        <v>0.405465108108164</v>
      </c>
      <c r="BJ26">
        <v>0.55961578793542299</v>
      </c>
      <c r="BK26">
        <v>0.55961578793542299</v>
      </c>
      <c r="BL26">
        <v>0.69314718055994495</v>
      </c>
      <c r="BM26">
        <v>0.22314355131420999</v>
      </c>
      <c r="BN26">
        <v>0.69314718055994495</v>
      </c>
      <c r="BO26">
        <v>0.55961578793542299</v>
      </c>
      <c r="BP26">
        <v>0.916290731874155</v>
      </c>
      <c r="BQ26">
        <v>0.405465108108164</v>
      </c>
      <c r="BR26">
        <v>0</v>
      </c>
      <c r="BS26">
        <v>0.51102560376865702</v>
      </c>
      <c r="BT26">
        <v>3.5361069907765299</v>
      </c>
      <c r="BU26">
        <v>3.9318256327243302</v>
      </c>
      <c r="BV26">
        <v>2.8716984926305398</v>
      </c>
      <c r="BW26">
        <v>3.4473491476832998</v>
      </c>
      <c r="BX26">
        <v>0.48550781578170099</v>
      </c>
      <c r="BY26">
        <v>2.2944521097638599</v>
      </c>
      <c r="BZ26">
        <v>1.7465877505813301</v>
      </c>
      <c r="CA26">
        <v>4.5226686244762897</v>
      </c>
      <c r="CB26">
        <v>0</v>
      </c>
      <c r="CC26">
        <v>0</v>
      </c>
      <c r="CD26">
        <v>0</v>
      </c>
      <c r="CE26">
        <v>0</v>
      </c>
      <c r="CF26">
        <v>0</v>
      </c>
      <c r="CH26" t="str">
        <f t="shared" si="0"/>
        <v>/*85*/ 111  1 2.82731362192903 2.20937271127187 2.54788144894939 6.85646198459459 6.19644412779452 6.0591231955818 7.53208814354172 1.43864959145382 1.35144408368414 1.52060669872748 1.6568938535904 1.51072193949494 0.729479109807336 0.302324349188651 0.213497174262404 0.152721087017664 0.221542269947236 0.148420005118273 0.518793793415168 0.431782416425538 0.262364264467491 0.518793793415168 2.72366104861636 0 0 0 0 1.90419489855784 4.55688289535656 0 4.61512051684126 4.55688289535656 0.214304602647005 0.155292884406035 0.24137631957527 0.185649346886629 0.166361537215225 0.431782416425538 0.392042087776024 0.512823626428664 0.512823626428664 4.01036494842683 0.122217632724249 3.65065824129374 3.93182563272433 0 3.40674861170048 4.01036494842683 0.693147180559945 3.53610699077653 0.22314355131421 0.22314355131421 0.133656384812674 0.19638881400539 0.501986675098786 0.693147180559945 0.405465108108164 0.559615787935423 0.559615787935423 0.693147180559945 0.22314355131421 0.693147180559945 0.559615787935423 0.916290731874155 0.405465108108164 0 0.511025603768657 3.53610699077653 3.93182563272433 2.87169849263054 3.4473491476833 0.485507815781701 2.29445210976386 1.74658775058133 4.52266862447629 0 0 0 0 0;</v>
      </c>
    </row>
    <row r="27" spans="1:86" x14ac:dyDescent="0.25">
      <c r="A27">
        <v>86</v>
      </c>
      <c r="B27">
        <v>1</v>
      </c>
      <c r="C27">
        <v>1</v>
      </c>
      <c r="D27">
        <v>1</v>
      </c>
      <c r="E27">
        <v>2.8094026953625</v>
      </c>
      <c r="F27">
        <v>2.2396452932201698</v>
      </c>
      <c r="G27">
        <v>2.5305171610400499</v>
      </c>
      <c r="H27">
        <v>6.1070228877422501</v>
      </c>
      <c r="I27">
        <v>6.1654178542314204</v>
      </c>
      <c r="J27">
        <v>6.3026189757449096</v>
      </c>
      <c r="K27">
        <v>7.2923371761738798</v>
      </c>
      <c r="L27">
        <v>0.452348694007015</v>
      </c>
      <c r="M27">
        <v>1.3015531326648</v>
      </c>
      <c r="N27">
        <v>1.42021257932335</v>
      </c>
      <c r="O27">
        <v>1.3252165116112999</v>
      </c>
      <c r="P27">
        <v>1.3501489144835399</v>
      </c>
      <c r="Q27">
        <v>0.60976557162089395</v>
      </c>
      <c r="R27">
        <v>0.20130685670503501</v>
      </c>
      <c r="S27">
        <v>0.22314355131420999</v>
      </c>
      <c r="T27">
        <v>0.180653499693258</v>
      </c>
      <c r="U27">
        <v>0.202124184090134</v>
      </c>
      <c r="V27">
        <v>0.11511280710050401</v>
      </c>
      <c r="W27">
        <v>0.431782416425538</v>
      </c>
      <c r="X27">
        <v>0.44468582126144601</v>
      </c>
      <c r="Y27">
        <v>0.36464311358790902</v>
      </c>
      <c r="Z27">
        <v>0.44468582126144601</v>
      </c>
      <c r="AA27">
        <v>2.6234359487123</v>
      </c>
      <c r="AB27">
        <v>1.4662601427577699</v>
      </c>
      <c r="AC27">
        <v>0</v>
      </c>
      <c r="AD27">
        <v>2.0369254045767602</v>
      </c>
      <c r="AE27">
        <v>2.3978952727983698</v>
      </c>
      <c r="AF27">
        <v>0</v>
      </c>
      <c r="AG27">
        <v>4.5108595065168497</v>
      </c>
      <c r="AH27">
        <v>0</v>
      </c>
      <c r="AI27">
        <v>4.5108595065168497</v>
      </c>
      <c r="AJ27">
        <v>4.5108595065168497</v>
      </c>
      <c r="AK27">
        <v>0.22793206804600699</v>
      </c>
      <c r="AL27">
        <v>0.212689093410351</v>
      </c>
      <c r="AM27">
        <v>0.184818436992542</v>
      </c>
      <c r="AN27">
        <v>0.20863886511132801</v>
      </c>
      <c r="AO27">
        <v>0.20375683751401999</v>
      </c>
      <c r="AP27">
        <v>0.54232429082536204</v>
      </c>
      <c r="AQ27">
        <v>0.65232518603969003</v>
      </c>
      <c r="AR27">
        <v>0.37843643572024499</v>
      </c>
      <c r="AS27">
        <v>0.65232518603969003</v>
      </c>
      <c r="AT27">
        <v>3.6506582412937401</v>
      </c>
      <c r="AU27">
        <v>0.28743204119657201</v>
      </c>
      <c r="AV27">
        <v>3.6506582412937401</v>
      </c>
      <c r="AW27">
        <v>3.6506582412937401</v>
      </c>
      <c r="AX27">
        <v>2.6026896854443802</v>
      </c>
      <c r="AY27">
        <v>3.4067486117004799</v>
      </c>
      <c r="AZ27">
        <v>3.6506582412937401</v>
      </c>
      <c r="BA27">
        <v>1.0116009116784801</v>
      </c>
      <c r="BB27">
        <v>4.0831656436306698</v>
      </c>
      <c r="BC27">
        <v>0</v>
      </c>
      <c r="BD27">
        <v>0</v>
      </c>
      <c r="BE27">
        <v>0</v>
      </c>
      <c r="BF27">
        <v>0</v>
      </c>
      <c r="BG27">
        <v>0.31845373111853498</v>
      </c>
      <c r="BH27">
        <v>0</v>
      </c>
      <c r="BI27">
        <v>0</v>
      </c>
      <c r="BJ27">
        <v>0</v>
      </c>
      <c r="BK27">
        <v>0</v>
      </c>
      <c r="BL27">
        <v>0.22314355131420999</v>
      </c>
      <c r="BM27">
        <v>0</v>
      </c>
      <c r="BN27">
        <v>0.69314718055994495</v>
      </c>
      <c r="BO27">
        <v>0.34854196070854299</v>
      </c>
      <c r="BP27">
        <v>0.55961578793542299</v>
      </c>
      <c r="BQ27">
        <v>0.405465108108164</v>
      </c>
      <c r="BR27">
        <v>0.55961578793542299</v>
      </c>
      <c r="BS27">
        <v>0.51102560376865702</v>
      </c>
      <c r="BT27">
        <v>3.5361069907765299</v>
      </c>
      <c r="BU27">
        <v>4.0103649484268296</v>
      </c>
      <c r="BV27">
        <v>2.6026896854443802</v>
      </c>
      <c r="BW27">
        <v>3.4067486117004799</v>
      </c>
      <c r="BX27">
        <v>0.98095424519987695</v>
      </c>
      <c r="BY27">
        <v>4.1784405825751998</v>
      </c>
      <c r="BZ27">
        <v>2.8350352128566998</v>
      </c>
      <c r="CA27">
        <v>3.6037572006971001</v>
      </c>
      <c r="CB27">
        <v>0</v>
      </c>
      <c r="CC27">
        <v>0</v>
      </c>
      <c r="CD27">
        <v>0</v>
      </c>
      <c r="CE27">
        <v>0</v>
      </c>
      <c r="CF27">
        <v>0</v>
      </c>
      <c r="CH27" t="str">
        <f t="shared" si="0"/>
        <v>/*86*/ 111  1 2.8094026953625 2.23964529322017 2.53051716104005 6.10702288774225 6.16541785423142 6.30261897574491 7.29233717617388 0.452348694007015 1.3015531326648 1.42021257932335 1.3252165116113 1.35014891448354 0.609765571620894 0.201306856705035 0.22314355131421 0.180653499693258 0.202124184090134 0.115112807100504 0.431782416425538 0.444685821261446 0.364643113587909 0.444685821261446 2.6234359487123 1.46626014275777 0 2.03692540457676 2.39789527279837 0 4.51085950651685 0 4.51085950651685 4.51085950651685 0.227932068046007 0.212689093410351 0.184818436992542 0.208638865111328 0.20375683751402 0.542324290825362 0.65232518603969 0.378436435720245 0.65232518603969 3.65065824129374 0.287432041196572 3.65065824129374 3.65065824129374 2.60268968544438 3.40674861170048 3.65065824129374 1.01160091167848 4.08316564363067 0 0 0 0 0.318453731118535 0 0 0 0 0.22314355131421 0 0.693147180559945 0.348541960708543 0.559615787935423 0.405465108108164 0.559615787935423 0.511025603768657 3.53610699077653 4.01036494842683 2.60268968544438 3.40674861170048 0.980954245199877 4.1784405825752 2.8350352128567 3.6037572006971 0 0 0 0 0;</v>
      </c>
    </row>
    <row r="28" spans="1:86" x14ac:dyDescent="0.25">
      <c r="A28">
        <v>93</v>
      </c>
      <c r="B28">
        <v>0</v>
      </c>
      <c r="C28">
        <v>0</v>
      </c>
      <c r="D28">
        <v>0</v>
      </c>
      <c r="E28">
        <v>2.81540871942271</v>
      </c>
      <c r="F28">
        <v>2.2554934854602</v>
      </c>
      <c r="G28">
        <v>2.5360749363623998</v>
      </c>
      <c r="H28">
        <v>6.0913098820776996</v>
      </c>
      <c r="I28">
        <v>5.7397929121792304</v>
      </c>
      <c r="J28">
        <v>6.1923624894748697</v>
      </c>
      <c r="K28">
        <v>7.1228666585990803</v>
      </c>
      <c r="L28">
        <v>0</v>
      </c>
      <c r="M28">
        <v>0.87546873735389996</v>
      </c>
      <c r="N28">
        <v>0.94117844738193401</v>
      </c>
      <c r="O28">
        <v>1.0777290777516899</v>
      </c>
      <c r="P28">
        <v>0.96812388051417197</v>
      </c>
      <c r="Q28">
        <v>0.55847227723334403</v>
      </c>
      <c r="R28">
        <v>0.11511280710050401</v>
      </c>
      <c r="S28">
        <v>0.122217632724249</v>
      </c>
      <c r="T28">
        <v>0.23744085601503401</v>
      </c>
      <c r="U28">
        <v>0.16126814759612201</v>
      </c>
      <c r="V28">
        <v>0.135404637006203</v>
      </c>
      <c r="W28">
        <v>0.24686007793152601</v>
      </c>
      <c r="X28">
        <v>0.18232155679395501</v>
      </c>
      <c r="Y28">
        <v>0.51879379341516796</v>
      </c>
      <c r="Z28">
        <v>0.51879379341516796</v>
      </c>
      <c r="AA28">
        <v>2.33447128185637</v>
      </c>
      <c r="AB28">
        <v>0</v>
      </c>
      <c r="AC28">
        <v>2.7609588567576102</v>
      </c>
      <c r="AD28">
        <v>2.1290646921531602</v>
      </c>
      <c r="AE28">
        <v>3.14510010520481</v>
      </c>
      <c r="AF28">
        <v>2.4941141305389101</v>
      </c>
      <c r="AG28">
        <v>4.2145986164699201</v>
      </c>
      <c r="AH28">
        <v>0</v>
      </c>
      <c r="AI28">
        <v>4.3666337700664002</v>
      </c>
      <c r="AJ28">
        <v>4.2145986164699201</v>
      </c>
      <c r="AK28">
        <v>0.20782684720231701</v>
      </c>
      <c r="AL28">
        <v>0.13015068446504499</v>
      </c>
      <c r="AM28">
        <v>0.137149838147234</v>
      </c>
      <c r="AN28">
        <v>0.157003748809665</v>
      </c>
      <c r="AO28">
        <v>0.149281702715754</v>
      </c>
      <c r="AP28">
        <v>0.405465108108164</v>
      </c>
      <c r="AQ28">
        <v>0.231111720963387</v>
      </c>
      <c r="AR28">
        <v>0.44468582126144601</v>
      </c>
      <c r="AS28">
        <v>0.44468582126144601</v>
      </c>
      <c r="AT28">
        <v>3.4067486117004799</v>
      </c>
      <c r="AU28">
        <v>0.377065633586466</v>
      </c>
      <c r="AV28">
        <v>0</v>
      </c>
      <c r="AW28">
        <v>3.2580965380214799</v>
      </c>
      <c r="AX28">
        <v>3.9318256327243302</v>
      </c>
      <c r="AY28">
        <v>3.2580965380214799</v>
      </c>
      <c r="AZ28">
        <v>3.84658808264264</v>
      </c>
      <c r="BA28">
        <v>0.84715499303929298</v>
      </c>
      <c r="BB28">
        <v>3.9318256327243302</v>
      </c>
      <c r="BC28">
        <v>0</v>
      </c>
      <c r="BD28">
        <v>0.117783035656383</v>
      </c>
      <c r="BE28">
        <v>0</v>
      </c>
      <c r="BF28">
        <v>4.1141943331175199E-2</v>
      </c>
      <c r="BG28">
        <v>0.433080275141138</v>
      </c>
      <c r="BH28">
        <v>0</v>
      </c>
      <c r="BI28">
        <v>0</v>
      </c>
      <c r="BJ28">
        <v>0.405465108108164</v>
      </c>
      <c r="BK28">
        <v>0.15443635330441899</v>
      </c>
      <c r="BL28">
        <v>0</v>
      </c>
      <c r="BM28">
        <v>0</v>
      </c>
      <c r="BN28">
        <v>0</v>
      </c>
      <c r="BO28">
        <v>0</v>
      </c>
      <c r="BP28">
        <v>0</v>
      </c>
      <c r="BQ28">
        <v>0</v>
      </c>
      <c r="BR28">
        <v>0.916290731874155</v>
      </c>
      <c r="BS28">
        <v>0.405465108108164</v>
      </c>
      <c r="BT28">
        <v>3.6506582412937401</v>
      </c>
      <c r="BU28">
        <v>4.1510399058986502</v>
      </c>
      <c r="BV28">
        <v>0</v>
      </c>
      <c r="BW28">
        <v>3.1832486472250499</v>
      </c>
      <c r="BX28">
        <v>4.4016885416774301E-2</v>
      </c>
      <c r="BY28">
        <v>3.56837709945879</v>
      </c>
      <c r="BZ28">
        <v>2.7124405494035</v>
      </c>
      <c r="CA28">
        <v>4.1978182990316597</v>
      </c>
      <c r="CB28">
        <v>0</v>
      </c>
      <c r="CC28">
        <v>0</v>
      </c>
      <c r="CD28">
        <v>0</v>
      </c>
      <c r="CE28">
        <v>0</v>
      </c>
      <c r="CF28">
        <v>0</v>
      </c>
      <c r="CH28" t="str">
        <f t="shared" si="0"/>
        <v>/*93*/ 000  1 2.81540871942271 2.2554934854602 2.5360749363624 6.0913098820777 5.73979291217923 6.19236248947487 7.12286665859908 0 0.8754687373539 0.941178447381934 1.07772907775169 0.968123880514172 0.558472277233344 0.115112807100504 0.122217632724249 0.237440856015034 0.161268147596122 0.135404637006203 0.246860077931526 0.182321556793955 0.518793793415168 0.518793793415168 2.33447128185637 0 2.76095885675761 2.12906469215316 3.14510010520481 2.49411413053891 4.21459861646992 0 4.3666337700664 4.21459861646992 0.207826847202317 0.130150684465045 0.137149838147234 0.157003748809665 0.149281702715754 0.405465108108164 0.231111720963387 0.444685821261446 0.444685821261446 3.40674861170048 0.377065633586466 0 3.25809653802148 3.93182563272433 3.25809653802148 3.84658808264264 0.847154993039293 3.93182563272433 0 0.117783035656383 0 4.11419433311752E-02 0.433080275141138 0 0 0.405465108108164 0.154436353304419 0 0 0 0 0 0 0.916290731874155 0.405465108108164 3.65065824129374 4.15103990589865 0 3.18324864722505 4.40168854167743E-02 3.56837709945879 2.7124405494035 4.19781829903166 0 0 0 0 0;</v>
      </c>
    </row>
    <row r="29" spans="1:86" x14ac:dyDescent="0.25">
      <c r="A29">
        <v>96</v>
      </c>
      <c r="B29">
        <v>0</v>
      </c>
      <c r="C29">
        <v>0</v>
      </c>
      <c r="D29">
        <v>0</v>
      </c>
      <c r="E29">
        <v>2.9231615807191602</v>
      </c>
      <c r="F29">
        <v>2.24812890719799</v>
      </c>
      <c r="G29">
        <v>2.2834022735772699</v>
      </c>
      <c r="H29">
        <v>7.6718267978787802</v>
      </c>
      <c r="I29">
        <v>7.3011478058560302</v>
      </c>
      <c r="J29">
        <v>6.8772960714974296</v>
      </c>
      <c r="K29">
        <v>8.4331591958062297</v>
      </c>
      <c r="L29">
        <v>0</v>
      </c>
      <c r="M29">
        <v>1.8082887711792699</v>
      </c>
      <c r="N29">
        <v>1.7535382564078601</v>
      </c>
      <c r="O29">
        <v>1.72952939269192</v>
      </c>
      <c r="P29">
        <v>1.76438827243192</v>
      </c>
      <c r="Q29">
        <v>0.79840769121743804</v>
      </c>
      <c r="R29">
        <v>0.29639401305380197</v>
      </c>
      <c r="S29">
        <v>0.19803085049913499</v>
      </c>
      <c r="T29">
        <v>0.24607852259670601</v>
      </c>
      <c r="U29">
        <v>0.247641022914597</v>
      </c>
      <c r="V29">
        <v>0.136277618292548</v>
      </c>
      <c r="W29">
        <v>0.60976557162089395</v>
      </c>
      <c r="X29">
        <v>0.32930374714260002</v>
      </c>
      <c r="Y29">
        <v>0.350656871613169</v>
      </c>
      <c r="Z29">
        <v>0.60976557162089395</v>
      </c>
      <c r="AA29">
        <v>2.9021356248164101</v>
      </c>
      <c r="AB29">
        <v>0</v>
      </c>
      <c r="AC29">
        <v>3.0031546593696299</v>
      </c>
      <c r="AD29">
        <v>1.1403938226830601</v>
      </c>
      <c r="AE29">
        <v>3.1035547560827399</v>
      </c>
      <c r="AF29">
        <v>0</v>
      </c>
      <c r="AG29">
        <v>4.3237087253493698</v>
      </c>
      <c r="AH29">
        <v>1.65918000432891</v>
      </c>
      <c r="AI29">
        <v>4.3785581263475297</v>
      </c>
      <c r="AJ29">
        <v>4.3237087253493698</v>
      </c>
      <c r="AK29">
        <v>0.231111720963387</v>
      </c>
      <c r="AL29">
        <v>0.30453918951820402</v>
      </c>
      <c r="AM29">
        <v>0.24373018492259799</v>
      </c>
      <c r="AN29">
        <v>0.25619140536041002</v>
      </c>
      <c r="AO29">
        <v>0.210260925483196</v>
      </c>
      <c r="AP29">
        <v>0.636576829071551</v>
      </c>
      <c r="AQ29">
        <v>0.636576829071551</v>
      </c>
      <c r="AR29">
        <v>0.42526773540434398</v>
      </c>
      <c r="AS29">
        <v>0.636576829071551</v>
      </c>
      <c r="AT29">
        <v>3.5361069907765299</v>
      </c>
      <c r="AU29">
        <v>0.377065633586466</v>
      </c>
      <c r="AV29">
        <v>3.6506582412937401</v>
      </c>
      <c r="AW29">
        <v>3.2580965380214799</v>
      </c>
      <c r="AX29">
        <v>0</v>
      </c>
      <c r="AY29">
        <v>3.0834225866809799</v>
      </c>
      <c r="AZ29">
        <v>3.84658808264264</v>
      </c>
      <c r="BA29">
        <v>0.69314718055994495</v>
      </c>
      <c r="BB29">
        <v>3.7534257877209898</v>
      </c>
      <c r="BC29">
        <v>0</v>
      </c>
      <c r="BD29">
        <v>0</v>
      </c>
      <c r="BE29">
        <v>0.62860865942237398</v>
      </c>
      <c r="BF29">
        <v>0.25619140536041002</v>
      </c>
      <c r="BG29">
        <v>0.48550781578170099</v>
      </c>
      <c r="BH29">
        <v>0</v>
      </c>
      <c r="BI29">
        <v>0</v>
      </c>
      <c r="BJ29">
        <v>0</v>
      </c>
      <c r="BK29">
        <v>0</v>
      </c>
      <c r="BL29">
        <v>0.22314355131420999</v>
      </c>
      <c r="BM29">
        <v>0.405465108108164</v>
      </c>
      <c r="BN29">
        <v>0.22314355131420999</v>
      </c>
      <c r="BO29">
        <v>0.28743204119657201</v>
      </c>
      <c r="BP29">
        <v>0.405465108108164</v>
      </c>
      <c r="BQ29">
        <v>0</v>
      </c>
      <c r="BR29">
        <v>0.405465108108164</v>
      </c>
      <c r="BS29">
        <v>0.28743204119657201</v>
      </c>
      <c r="BT29">
        <v>2.2335565065836098</v>
      </c>
      <c r="BU29">
        <v>4.2145986164699201</v>
      </c>
      <c r="BV29">
        <v>3.2580965380214799</v>
      </c>
      <c r="BW29">
        <v>3.7727609380946401</v>
      </c>
      <c r="BX29">
        <v>1.0267581849001299</v>
      </c>
      <c r="BY29">
        <v>3.7139378534547101</v>
      </c>
      <c r="BZ29">
        <v>2.7461805764634799</v>
      </c>
      <c r="CA29">
        <v>4.1106279322952002</v>
      </c>
      <c r="CB29">
        <v>0</v>
      </c>
      <c r="CC29">
        <v>0</v>
      </c>
      <c r="CD29">
        <v>0</v>
      </c>
      <c r="CE29">
        <v>0</v>
      </c>
      <c r="CF29">
        <v>0</v>
      </c>
      <c r="CH29" t="str">
        <f t="shared" si="0"/>
        <v>/*96*/ 000  1 2.92316158071916 2.24812890719799 2.28340227357727 7.67182679787878 7.30114780585603 6.87729607149743 8.43315919580623 0 1.80828877117927 1.75353825640786 1.72952939269192 1.76438827243192 0.798407691217438 0.296394013053802 0.198030850499135 0.246078522596706 0.247641022914597 0.136277618292548 0.609765571620894 0.3293037471426 0.350656871613169 0.609765571620894 2.90213562481641 0 3.00315465936963 1.14039382268306 3.10355475608274 0 4.32370872534937 1.65918000432891 4.37855812634753 4.32370872534937 0.231111720963387 0.304539189518204 0.243730184922598 0.25619140536041 0.210260925483196 0.636576829071551 0.636576829071551 0.425267735404344 0.636576829071551 3.53610699077653 0.377065633586466 3.65065824129374 3.25809653802148 0 3.08342258668098 3.84658808264264 0.693147180559945 3.75342578772099 0 0 0.628608659422374 0.25619140536041 0.485507815781701 0 0 0 0 0.22314355131421 0.405465108108164 0.22314355131421 0.287432041196572 0.405465108108164 0 0.405465108108164 0.287432041196572 2.23355650658361 4.21459861646992 3.25809653802148 3.77276093809464 1.02675818490013 3.71393785345471 2.74618057646348 4.1106279322952 0 0 0 0 0;</v>
      </c>
    </row>
    <row r="30" spans="1:86" x14ac:dyDescent="0.25">
      <c r="A30">
        <v>108</v>
      </c>
      <c r="B30">
        <v>0</v>
      </c>
      <c r="C30">
        <v>0</v>
      </c>
      <c r="D30">
        <v>0</v>
      </c>
      <c r="E30">
        <v>2.92852352386054</v>
      </c>
      <c r="F30">
        <v>2.1938856760707002</v>
      </c>
      <c r="G30">
        <v>2.5855058483441198</v>
      </c>
      <c r="H30">
        <v>6.9819346771563904</v>
      </c>
      <c r="I30">
        <v>6.6039438246004698</v>
      </c>
      <c r="J30">
        <v>6.2383246250395104</v>
      </c>
      <c r="K30">
        <v>7.7514753180214599</v>
      </c>
      <c r="L30">
        <v>0</v>
      </c>
      <c r="M30">
        <v>1.4872702784598899</v>
      </c>
      <c r="N30">
        <v>1.27759494419655</v>
      </c>
      <c r="O30">
        <v>1.3578948865981899</v>
      </c>
      <c r="P30">
        <v>1.3780101415321899</v>
      </c>
      <c r="Q30">
        <v>0.72464584761931605</v>
      </c>
      <c r="R30">
        <v>0.26390154378637798</v>
      </c>
      <c r="S30">
        <v>0.3974329364109</v>
      </c>
      <c r="T30">
        <v>0.25773819607870901</v>
      </c>
      <c r="U30">
        <v>0.307484699747961</v>
      </c>
      <c r="V30">
        <v>0.24920108563349899</v>
      </c>
      <c r="W30">
        <v>0.832909122935104</v>
      </c>
      <c r="X30">
        <v>0.78845736036427005</v>
      </c>
      <c r="Y30">
        <v>0.57661336430399401</v>
      </c>
      <c r="Z30">
        <v>0.832909122935104</v>
      </c>
      <c r="AA30">
        <v>2.2242991745955001</v>
      </c>
      <c r="AB30">
        <v>0</v>
      </c>
      <c r="AC30">
        <v>2.2091531482014899</v>
      </c>
      <c r="AD30">
        <v>1.30914330193148</v>
      </c>
      <c r="AE30">
        <v>2.4690313006297102</v>
      </c>
      <c r="AF30">
        <v>2.2091531482014899</v>
      </c>
      <c r="AG30">
        <v>4.4077065645841103</v>
      </c>
      <c r="AH30">
        <v>0</v>
      </c>
      <c r="AI30">
        <v>4.5019074684124103</v>
      </c>
      <c r="AJ30">
        <v>4.4077065645841103</v>
      </c>
      <c r="AK30">
        <v>0.27687387373517802</v>
      </c>
      <c r="AL30">
        <v>0.186479566942618</v>
      </c>
      <c r="AM30">
        <v>0.23980399220731699</v>
      </c>
      <c r="AN30">
        <v>0.231111720963387</v>
      </c>
      <c r="AO30">
        <v>0.21913552991667101</v>
      </c>
      <c r="AP30">
        <v>0.60976557162089395</v>
      </c>
      <c r="AQ30">
        <v>0.51282362642866397</v>
      </c>
      <c r="AR30">
        <v>0.69813472207098404</v>
      </c>
      <c r="AS30">
        <v>0.69813472207098404</v>
      </c>
      <c r="AT30">
        <v>3.2580965380214799</v>
      </c>
      <c r="AU30">
        <v>0.33002291294130598</v>
      </c>
      <c r="AV30">
        <v>2.6026896854443802</v>
      </c>
      <c r="AW30">
        <v>3.9318256327243302</v>
      </c>
      <c r="AX30">
        <v>3.6506582412937401</v>
      </c>
      <c r="AY30">
        <v>3.5361069907765299</v>
      </c>
      <c r="AZ30">
        <v>3.6506582412937401</v>
      </c>
      <c r="BA30">
        <v>0.88252710172134596</v>
      </c>
      <c r="BB30">
        <v>3.7534257877209898</v>
      </c>
      <c r="BC30">
        <v>0</v>
      </c>
      <c r="BD30">
        <v>0.22314355131420999</v>
      </c>
      <c r="BE30">
        <v>0</v>
      </c>
      <c r="BF30">
        <v>7.9734968018853505E-2</v>
      </c>
      <c r="BG30">
        <v>4.1141943331175199E-2</v>
      </c>
      <c r="BH30">
        <v>0.81093021621632899</v>
      </c>
      <c r="BI30">
        <v>1.0116009116784801</v>
      </c>
      <c r="BJ30">
        <v>0.22314355131420999</v>
      </c>
      <c r="BK30">
        <v>0.73380916227883497</v>
      </c>
      <c r="BL30">
        <v>0.22314355131420999</v>
      </c>
      <c r="BM30">
        <v>0</v>
      </c>
      <c r="BN30">
        <v>0</v>
      </c>
      <c r="BO30">
        <v>7.9734968018853505E-2</v>
      </c>
      <c r="BP30">
        <v>0.405465108108164</v>
      </c>
      <c r="BQ30">
        <v>1.0116009116784801</v>
      </c>
      <c r="BR30">
        <v>0.405465108108164</v>
      </c>
      <c r="BS30">
        <v>0.65076146406350699</v>
      </c>
      <c r="BT30">
        <v>2.8716984926305398</v>
      </c>
      <c r="BU30">
        <v>4.3841119588732198</v>
      </c>
      <c r="BV30">
        <v>1.64229224930505</v>
      </c>
      <c r="BW30">
        <v>3.5421759749217299</v>
      </c>
      <c r="BX30">
        <v>0.65076146406350699</v>
      </c>
      <c r="BY30">
        <v>4.6151205168412597</v>
      </c>
      <c r="BZ30">
        <v>0</v>
      </c>
      <c r="CA30">
        <v>0</v>
      </c>
      <c r="CB30">
        <v>0</v>
      </c>
      <c r="CC30">
        <v>0</v>
      </c>
      <c r="CD30">
        <v>0</v>
      </c>
      <c r="CE30">
        <v>0</v>
      </c>
      <c r="CF30">
        <v>0</v>
      </c>
      <c r="CH30" t="str">
        <f t="shared" si="0"/>
        <v>/*108*/ 000  1 2.92852352386054 2.1938856760707 2.58550584834412 6.98193467715639 6.60394382460047 6.23832462503951 7.75147531802146 0 1.48727027845989 1.27759494419655 1.35789488659819 1.37801014153219 0.724645847619316 0.263901543786378 0.3974329364109 0.257738196078709 0.307484699747961 0.249201085633499 0.832909122935104 0.78845736036427 0.576613364303994 0.832909122935104 2.2242991745955 0 2.20915314820149 1.30914330193148 2.46903130062971 2.20915314820149 4.40770656458411 0 4.50190746841241 4.40770656458411 0.276873873735178 0.186479566942618 0.239803992207317 0.231111720963387 0.219135529916671 0.609765571620894 0.512823626428664 0.698134722070984 0.698134722070984 3.25809653802148 0.330022912941306 2.60268968544438 3.93182563272433 3.65065824129374 3.53610699077653 3.65065824129374 0.882527101721346 3.75342578772099 0 0.22314355131421 0 7.97349680188535E-02 4.11419433311752E-02 0.810930216216329 1.01160091167848 0.22314355131421 0.733809162278835 0.22314355131421 0 0 7.97349680188535E-02 0.405465108108164 1.01160091167848 0.405465108108164 0.650761464063507 2.87169849263054 4.38411195887322 1.64229224930505 3.54217597492173 0.650761464063507 4.61512051684126 0 0 0 0 0 0 0;</v>
      </c>
    </row>
    <row r="31" spans="1:86" x14ac:dyDescent="0.25">
      <c r="A31">
        <v>109</v>
      </c>
      <c r="B31">
        <v>1</v>
      </c>
      <c r="C31">
        <v>0</v>
      </c>
      <c r="D31">
        <v>0</v>
      </c>
      <c r="E31">
        <v>2.68102152871429</v>
      </c>
      <c r="F31">
        <v>2.2975725511705001</v>
      </c>
      <c r="G31">
        <v>2.51446545202954</v>
      </c>
      <c r="H31">
        <v>6.8373328146855901</v>
      </c>
      <c r="I31">
        <v>5.5683445037611001</v>
      </c>
      <c r="J31">
        <v>5.5721540321777603</v>
      </c>
      <c r="K31">
        <v>7.2827611796055898</v>
      </c>
      <c r="L31">
        <v>0.60157998703445503</v>
      </c>
      <c r="M31">
        <v>1.5581446180465499</v>
      </c>
      <c r="N31">
        <v>1.67485105098233</v>
      </c>
      <c r="O31">
        <v>1.4410192608091399</v>
      </c>
      <c r="P31">
        <v>1.5625559265339699</v>
      </c>
      <c r="Q31">
        <v>0.877549903557725</v>
      </c>
      <c r="R31">
        <v>0.24607852259670601</v>
      </c>
      <c r="S31">
        <v>0.131028262406404</v>
      </c>
      <c r="T31">
        <v>0.24137631957527</v>
      </c>
      <c r="U31">
        <v>0.20620083058389799</v>
      </c>
      <c r="V31">
        <v>0.17563256864315799</v>
      </c>
      <c r="W31">
        <v>0.58778666490211895</v>
      </c>
      <c r="X31">
        <v>0.21511137961694499</v>
      </c>
      <c r="Y31">
        <v>0.50681760236845197</v>
      </c>
      <c r="Z31">
        <v>0.58778666490211895</v>
      </c>
      <c r="AA31">
        <v>2.8589957499805201</v>
      </c>
      <c r="AB31">
        <v>0</v>
      </c>
      <c r="AC31">
        <v>0</v>
      </c>
      <c r="AD31">
        <v>0</v>
      </c>
      <c r="AE31">
        <v>0</v>
      </c>
      <c r="AF31">
        <v>1.5197319993496099</v>
      </c>
      <c r="AG31">
        <v>4.54177234735812</v>
      </c>
      <c r="AH31">
        <v>1.5197319993496099</v>
      </c>
      <c r="AI31">
        <v>4.6151205168412597</v>
      </c>
      <c r="AJ31">
        <v>4.54177234735812</v>
      </c>
      <c r="AK31">
        <v>0.27383666562972803</v>
      </c>
      <c r="AL31">
        <v>0.17730901497040999</v>
      </c>
      <c r="AM31">
        <v>0.198850858745165</v>
      </c>
      <c r="AN31">
        <v>0.212689093410351</v>
      </c>
      <c r="AO31">
        <v>0.17647114311577899</v>
      </c>
      <c r="AP31">
        <v>0.53649337051456802</v>
      </c>
      <c r="AQ31">
        <v>0.37156355643248301</v>
      </c>
      <c r="AR31">
        <v>0.494696241836107</v>
      </c>
      <c r="AS31">
        <v>0.53649337051456802</v>
      </c>
      <c r="AT31">
        <v>3.5361069907765299</v>
      </c>
      <c r="AU31">
        <v>0.405465108108164</v>
      </c>
      <c r="AV31">
        <v>2.6026896854443802</v>
      </c>
      <c r="AW31">
        <v>2.6026896854443802</v>
      </c>
      <c r="AX31">
        <v>3.2580965380214799</v>
      </c>
      <c r="AY31">
        <v>2.8716984926305398</v>
      </c>
      <c r="AZ31">
        <v>3.9318256327243302</v>
      </c>
      <c r="BA31">
        <v>0.73380916227883497</v>
      </c>
      <c r="BB31">
        <v>3.2580965380214799</v>
      </c>
      <c r="BC31">
        <v>0</v>
      </c>
      <c r="BD31">
        <v>0</v>
      </c>
      <c r="BE31">
        <v>0</v>
      </c>
      <c r="BF31">
        <v>0</v>
      </c>
      <c r="BG31">
        <v>0.22314355131420999</v>
      </c>
      <c r="BH31">
        <v>0.22314355131420999</v>
      </c>
      <c r="BI31">
        <v>0</v>
      </c>
      <c r="BJ31">
        <v>0</v>
      </c>
      <c r="BK31">
        <v>7.9734968018853505E-2</v>
      </c>
      <c r="BL31">
        <v>0.55961578793542299</v>
      </c>
      <c r="BM31">
        <v>0.22314355131420999</v>
      </c>
      <c r="BN31">
        <v>0</v>
      </c>
      <c r="BO31">
        <v>0.28743204119657201</v>
      </c>
      <c r="BP31">
        <v>0.69314718055994495</v>
      </c>
      <c r="BQ31">
        <v>0</v>
      </c>
      <c r="BR31">
        <v>0.55961578793542299</v>
      </c>
      <c r="BS31">
        <v>0.45932178089887499</v>
      </c>
      <c r="BT31">
        <v>3.6506582412937401</v>
      </c>
      <c r="BU31">
        <v>3.7534257877209898</v>
      </c>
      <c r="BV31">
        <v>3.0834225866809799</v>
      </c>
      <c r="BW31">
        <v>3.5421759749217299</v>
      </c>
      <c r="BX31">
        <v>0.48550781578170099</v>
      </c>
      <c r="BY31">
        <v>3.9959596603006999</v>
      </c>
      <c r="BZ31">
        <v>2.6304489550786601</v>
      </c>
      <c r="CA31">
        <v>3.8632948393367901</v>
      </c>
      <c r="CB31">
        <v>0</v>
      </c>
      <c r="CC31">
        <v>0</v>
      </c>
      <c r="CD31">
        <v>0</v>
      </c>
      <c r="CE31">
        <v>0</v>
      </c>
      <c r="CF31">
        <v>0</v>
      </c>
      <c r="CH31" t="str">
        <f t="shared" si="0"/>
        <v>/*109*/ 100  1 2.68102152871429 2.2975725511705 2.51446545202954 6.83733281468559 5.5683445037611 5.57215403217776 7.28276117960559 0.601579987034455 1.55814461804655 1.67485105098233 1.44101926080914 1.56255592653397 0.877549903557725 0.246078522596706 0.131028262406404 0.24137631957527 0.206200830583898 0.175632568643158 0.587786664902119 0.215111379616945 0.506817602368452 0.587786664902119 2.85899574998052 0 0 0 0 1.51973199934961 4.54177234735812 1.51973199934961 4.61512051684126 4.54177234735812 0.273836665629728 0.17730901497041 0.198850858745165 0.212689093410351 0.176471143115779 0.536493370514568 0.371563556432483 0.494696241836107 0.536493370514568 3.53610699077653 0.405465108108164 2.60268968544438 2.60268968544438 3.25809653802148 2.87169849263054 3.93182563272433 0.733809162278835 3.25809653802148 0 0 0 0 0.22314355131421 0.22314355131421 0 0 7.97349680188535E-02 0.559615787935423 0.22314355131421 0 0.287432041196572 0.693147180559945 0 0.559615787935423 0.459321780898875 3.65065824129374 3.75342578772099 3.08342258668098 3.54217597492173 0.485507815781701 3.9959596603007 2.63044895507866 3.86329483933679 0 0 0 0 0;</v>
      </c>
    </row>
    <row r="32" spans="1:86" x14ac:dyDescent="0.25">
      <c r="A32">
        <v>117</v>
      </c>
      <c r="B32">
        <v>1</v>
      </c>
      <c r="C32">
        <v>1</v>
      </c>
      <c r="D32">
        <v>1</v>
      </c>
      <c r="E32">
        <v>2.5952547069568701</v>
      </c>
      <c r="F32">
        <v>2.1792868766495501</v>
      </c>
      <c r="G32">
        <v>2.56955412384829</v>
      </c>
      <c r="H32">
        <v>6.94601399109923</v>
      </c>
      <c r="I32">
        <v>6.3868793193626496</v>
      </c>
      <c r="J32">
        <v>6.1758672701057602</v>
      </c>
      <c r="K32">
        <v>7.6553906448261504</v>
      </c>
      <c r="L32">
        <v>1.29280751802643</v>
      </c>
      <c r="M32">
        <v>1.5993875765806</v>
      </c>
      <c r="N32">
        <v>1.4929040961781499</v>
      </c>
      <c r="O32">
        <v>1.42623596821284</v>
      </c>
      <c r="P32">
        <v>1.50873320831247</v>
      </c>
      <c r="Q32">
        <v>0.66987855362059101</v>
      </c>
      <c r="R32">
        <v>0.25386672395705001</v>
      </c>
      <c r="S32">
        <v>0.20863886511132801</v>
      </c>
      <c r="T32">
        <v>0.18564934688662901</v>
      </c>
      <c r="U32">
        <v>0.21591750622247</v>
      </c>
      <c r="V32">
        <v>0.12927233570413901</v>
      </c>
      <c r="W32">
        <v>0.53062825106217004</v>
      </c>
      <c r="X32">
        <v>0.39204208777602401</v>
      </c>
      <c r="Y32">
        <v>0.37843643572024499</v>
      </c>
      <c r="Z32">
        <v>0.53062825106217004</v>
      </c>
      <c r="AA32">
        <v>2.74900018743116</v>
      </c>
      <c r="AB32">
        <v>0</v>
      </c>
      <c r="AC32">
        <v>2.5798379699552898</v>
      </c>
      <c r="AD32">
        <v>2.3754637384066202</v>
      </c>
      <c r="AE32">
        <v>3.1333615085420301</v>
      </c>
      <c r="AF32">
        <v>0</v>
      </c>
      <c r="AG32">
        <v>4.3063732381976898</v>
      </c>
      <c r="AH32">
        <v>1.77121656799673</v>
      </c>
      <c r="AI32">
        <v>4.3700679133540898</v>
      </c>
      <c r="AJ32">
        <v>4.3063732381976898</v>
      </c>
      <c r="AK32">
        <v>0.117783035656383</v>
      </c>
      <c r="AL32">
        <v>0.23507212217948401</v>
      </c>
      <c r="AM32">
        <v>0.151862349309246</v>
      </c>
      <c r="AN32">
        <v>0.172271220940453</v>
      </c>
      <c r="AO32">
        <v>0.15357908792830099</v>
      </c>
      <c r="AP32">
        <v>0.47000362924573602</v>
      </c>
      <c r="AQ32">
        <v>0.41871033485818498</v>
      </c>
      <c r="AR32">
        <v>0.25464221837358098</v>
      </c>
      <c r="AS32">
        <v>0.47000362924573602</v>
      </c>
      <c r="AT32">
        <v>3.4067486117004799</v>
      </c>
      <c r="AU32">
        <v>0.28743204119657201</v>
      </c>
      <c r="AV32">
        <v>4.1510399058986502</v>
      </c>
      <c r="AW32">
        <v>3.2580965380214799</v>
      </c>
      <c r="AX32">
        <v>3.2580965380214799</v>
      </c>
      <c r="AY32">
        <v>3.6506582412937401</v>
      </c>
      <c r="AZ32">
        <v>3.5361069907765299</v>
      </c>
      <c r="BA32">
        <v>0.81093021621632899</v>
      </c>
      <c r="BB32">
        <v>3.5361069907765299</v>
      </c>
      <c r="BC32">
        <v>0</v>
      </c>
      <c r="BD32">
        <v>0.117783035656383</v>
      </c>
      <c r="BE32">
        <v>0.117783035656383</v>
      </c>
      <c r="BF32">
        <v>7.9734968018853505E-2</v>
      </c>
      <c r="BG32">
        <v>0.45932178089887499</v>
      </c>
      <c r="BH32">
        <v>0.22314355131420999</v>
      </c>
      <c r="BI32">
        <v>0.22314355131420999</v>
      </c>
      <c r="BJ32">
        <v>0.405465108108164</v>
      </c>
      <c r="BK32">
        <v>0.28743204119657201</v>
      </c>
      <c r="BL32">
        <v>0.22314355131420999</v>
      </c>
      <c r="BM32">
        <v>0.22314355131420999</v>
      </c>
      <c r="BN32">
        <v>0.55961578793542299</v>
      </c>
      <c r="BO32">
        <v>0.34854196070854299</v>
      </c>
      <c r="BP32">
        <v>0.55961578793542299</v>
      </c>
      <c r="BQ32">
        <v>0.55961578793542299</v>
      </c>
      <c r="BR32">
        <v>0.55961578793542299</v>
      </c>
      <c r="BS32">
        <v>0.55961578793542299</v>
      </c>
      <c r="BT32">
        <v>3.6506582412937401</v>
      </c>
      <c r="BU32">
        <v>3.9318256327243302</v>
      </c>
      <c r="BV32">
        <v>2.6026896854443802</v>
      </c>
      <c r="BW32">
        <v>3.3644296574699402</v>
      </c>
      <c r="BX32">
        <v>0.25619140536041002</v>
      </c>
      <c r="BY32">
        <v>4.2243342738253604</v>
      </c>
      <c r="BZ32">
        <v>2.4874035299865902</v>
      </c>
      <c r="CA32">
        <v>3.5166369327616498</v>
      </c>
      <c r="CB32">
        <v>0</v>
      </c>
      <c r="CC32">
        <v>0</v>
      </c>
      <c r="CD32">
        <v>0</v>
      </c>
      <c r="CE32">
        <v>0</v>
      </c>
      <c r="CF32">
        <v>0</v>
      </c>
      <c r="CH32" t="str">
        <f t="shared" si="0"/>
        <v>/*117*/ 111  1 2.59525470695687 2.17928687664955 2.56955412384829 6.94601399109923 6.38687931936265 6.17586727010576 7.65539064482615 1.29280751802643 1.5993875765806 1.49290409617815 1.42623596821284 1.50873320831247 0.669878553620591 0.25386672395705 0.208638865111328 0.185649346886629 0.21591750622247 0.129272335704139 0.53062825106217 0.392042087776024 0.378436435720245 0.53062825106217 2.74900018743116 0 2.57983796995529 2.37546373840662 3.13336150854203 0 4.30637323819769 1.77121656799673 4.37006791335409 4.30637323819769 0.117783035656383 0.235072122179484 0.151862349309246 0.172271220940453 0.153579087928301 0.470003629245736 0.418710334858185 0.254642218373581 0.470003629245736 3.40674861170048 0.287432041196572 4.15103990589865 3.25809653802148 3.25809653802148 3.65065824129374 3.53610699077653 0.810930216216329 3.53610699077653 0 0.117783035656383 0.117783035656383 7.97349680188535E-02 0.459321780898875 0.22314355131421 0.22314355131421 0.405465108108164 0.287432041196572 0.22314355131421 0.22314355131421 0.559615787935423 0.348541960708543 0.559615787935423 0.559615787935423 0.559615787935423 0.559615787935423 3.65065824129374 3.93182563272433 2.60268968544438 3.36442965746994 0.25619140536041 4.22433427382536 2.48740352998659 3.51663693276165 0 0 0 0 0;</v>
      </c>
    </row>
    <row r="33" spans="1:86" x14ac:dyDescent="0.25">
      <c r="A33">
        <v>118</v>
      </c>
      <c r="B33">
        <v>0</v>
      </c>
      <c r="C33">
        <v>0</v>
      </c>
      <c r="D33">
        <v>0</v>
      </c>
      <c r="E33">
        <v>3.0445224377234199</v>
      </c>
      <c r="F33">
        <v>2.2512917986065002</v>
      </c>
      <c r="G33">
        <v>2.5824869781268598</v>
      </c>
      <c r="H33">
        <v>7.1884127364969501</v>
      </c>
      <c r="I33">
        <v>7.15305163493748</v>
      </c>
      <c r="J33">
        <v>7.1180162044653299</v>
      </c>
      <c r="K33">
        <v>8.2516639236055909</v>
      </c>
      <c r="L33">
        <v>0</v>
      </c>
      <c r="M33">
        <v>1.88524981231539</v>
      </c>
      <c r="N33">
        <v>1.8504999642506601</v>
      </c>
      <c r="O33">
        <v>1.8504999642506601</v>
      </c>
      <c r="P33">
        <v>1.86221793287662</v>
      </c>
      <c r="Q33">
        <v>0.60322247303195797</v>
      </c>
      <c r="R33">
        <v>0.33002291294130598</v>
      </c>
      <c r="S33">
        <v>0.27687387373517802</v>
      </c>
      <c r="T33">
        <v>0.29490591754110101</v>
      </c>
      <c r="U33">
        <v>0.30010459245033799</v>
      </c>
      <c r="V33">
        <v>0.116893751471499</v>
      </c>
      <c r="W33">
        <v>0.482426149244293</v>
      </c>
      <c r="X33">
        <v>0.44468582126144601</v>
      </c>
      <c r="Y33">
        <v>0.46373401623214</v>
      </c>
      <c r="Z33">
        <v>0.482426149244293</v>
      </c>
      <c r="AA33">
        <v>2.8043296080238398</v>
      </c>
      <c r="AB33">
        <v>1.1549926221042199</v>
      </c>
      <c r="AC33">
        <v>2.4740142086215799</v>
      </c>
      <c r="AD33">
        <v>2.2717134293269599</v>
      </c>
      <c r="AE33">
        <v>3.1240815119816499</v>
      </c>
      <c r="AF33">
        <v>1.1549926221042199</v>
      </c>
      <c r="AG33">
        <v>4.3449346541606904</v>
      </c>
      <c r="AH33">
        <v>0</v>
      </c>
      <c r="AI33">
        <v>4.3727462043872203</v>
      </c>
      <c r="AJ33">
        <v>4.3449346541606904</v>
      </c>
      <c r="AK33">
        <v>0.244513577050402</v>
      </c>
      <c r="AL33">
        <v>0.38048912203798702</v>
      </c>
      <c r="AM33">
        <v>0.29192306670903501</v>
      </c>
      <c r="AN33">
        <v>0.30821972366932898</v>
      </c>
      <c r="AO33">
        <v>0.21672298351128699</v>
      </c>
      <c r="AP33">
        <v>0.47000362924573602</v>
      </c>
      <c r="AQ33">
        <v>0.71294980785612505</v>
      </c>
      <c r="AR33">
        <v>0.64710324205853897</v>
      </c>
      <c r="AS33">
        <v>0.71294980785612505</v>
      </c>
      <c r="AT33">
        <v>2.8716984926305398</v>
      </c>
      <c r="AU33">
        <v>0.57267302709207102</v>
      </c>
      <c r="AV33">
        <v>0</v>
      </c>
      <c r="AW33">
        <v>0</v>
      </c>
      <c r="AX33">
        <v>2.6026896854443802</v>
      </c>
      <c r="AY33">
        <v>1.64229224930505</v>
      </c>
      <c r="AZ33">
        <v>4.2743439804936996</v>
      </c>
      <c r="BA33">
        <v>0.741937344729377</v>
      </c>
      <c r="BB33">
        <v>2.2335565065836098</v>
      </c>
      <c r="BC33">
        <v>0</v>
      </c>
      <c r="BD33">
        <v>0.48550781578170099</v>
      </c>
      <c r="BE33">
        <v>0.25153662581542802</v>
      </c>
      <c r="BF33">
        <v>0.27611543608031602</v>
      </c>
      <c r="BG33">
        <v>0.36116484921158398</v>
      </c>
      <c r="BH33">
        <v>0</v>
      </c>
      <c r="BI33">
        <v>0</v>
      </c>
      <c r="BJ33">
        <v>0</v>
      </c>
      <c r="BK33">
        <v>0</v>
      </c>
      <c r="BL33">
        <v>0</v>
      </c>
      <c r="BM33">
        <v>0</v>
      </c>
      <c r="BN33">
        <v>0</v>
      </c>
      <c r="BO33">
        <v>0</v>
      </c>
      <c r="BP33">
        <v>0.916290731874155</v>
      </c>
      <c r="BQ33">
        <v>0.405465108108164</v>
      </c>
      <c r="BR33">
        <v>0</v>
      </c>
      <c r="BS33">
        <v>0.51102560376865702</v>
      </c>
      <c r="BT33">
        <v>0</v>
      </c>
      <c r="BU33">
        <v>3.84658808264264</v>
      </c>
      <c r="BV33">
        <v>3.9318256327243302</v>
      </c>
      <c r="BW33">
        <v>3.94874058836331</v>
      </c>
      <c r="BX33">
        <v>0.77334372255422201</v>
      </c>
      <c r="BY33">
        <v>3.6747298185094901</v>
      </c>
      <c r="BZ33">
        <v>2.75098196848572</v>
      </c>
      <c r="CA33">
        <v>4.1361580650355103</v>
      </c>
      <c r="CB33">
        <v>0</v>
      </c>
      <c r="CC33">
        <v>0</v>
      </c>
      <c r="CD33">
        <v>0</v>
      </c>
      <c r="CE33">
        <v>0</v>
      </c>
      <c r="CF33">
        <v>0</v>
      </c>
      <c r="CH33" t="str">
        <f t="shared" si="0"/>
        <v>/*118*/ 000  1 3.04452243772342 2.2512917986065 2.58248697812686 7.18841273649695 7.15305163493748 7.11801620446533 8.25166392360559 0 1.88524981231539 1.85049996425066 1.85049996425066 1.86221793287662 0.603222473031958 0.330022912941306 0.276873873735178 0.294905917541101 0.300104592450338 0.116893751471499 0.482426149244293 0.444685821261446 0.46373401623214 0.482426149244293 2.80432960802384 1.15499262210422 2.47401420862158 2.27171342932696 3.12408151198165 1.15499262210422 4.34493465416069 0 4.37274620438722 4.34493465416069 0.244513577050402 0.380489122037987 0.291923066709035 0.308219723669329 0.216722983511287 0.470003629245736 0.712949807856125 0.647103242058539 0.712949807856125 2.87169849263054 0.572673027092071 0 0 2.60268968544438 1.64229224930505 4.2743439804937 0.741937344729377 2.23355650658361 0 0.485507815781701 0.251536625815428 0.276115436080316 0.361164849211584 0 0 0 0 0 0 0 0 0.916290731874155 0.405465108108164 0 0.511025603768657 0 3.84658808264264 3.93182563272433 3.94874058836331 0.773343722554222 3.67472981850949 2.75098196848572 4.13615806503551 0 0 0 0 0;</v>
      </c>
    </row>
    <row r="34" spans="1:86" x14ac:dyDescent="0.25">
      <c r="A34">
        <v>123</v>
      </c>
      <c r="B34">
        <v>1</v>
      </c>
      <c r="C34">
        <v>1</v>
      </c>
      <c r="D34">
        <v>1</v>
      </c>
      <c r="E34">
        <v>2.7278528283983898</v>
      </c>
      <c r="F34">
        <v>2.4168062370840699</v>
      </c>
      <c r="G34">
        <v>2.3655598921554302</v>
      </c>
      <c r="H34">
        <v>6.9948499858330697</v>
      </c>
      <c r="I34">
        <v>6.8351845861473004</v>
      </c>
      <c r="J34">
        <v>7.1585139973293197</v>
      </c>
      <c r="K34">
        <v>8.1028891346408702</v>
      </c>
      <c r="L34">
        <v>0.28292075535007</v>
      </c>
      <c r="M34">
        <v>1.69799808941358</v>
      </c>
      <c r="N34">
        <v>1.6559397460855201</v>
      </c>
      <c r="O34">
        <v>1.7339537871316699</v>
      </c>
      <c r="P34">
        <v>1.6963492844234001</v>
      </c>
      <c r="Q34">
        <v>0.90138011913840099</v>
      </c>
      <c r="R34">
        <v>0.30010459245033799</v>
      </c>
      <c r="S34">
        <v>0.16889853646181399</v>
      </c>
      <c r="T34">
        <v>0.319180739511152</v>
      </c>
      <c r="U34">
        <v>0.26620304077465701</v>
      </c>
      <c r="V34">
        <v>0.172271220940453</v>
      </c>
      <c r="W34">
        <v>0.58778666490211895</v>
      </c>
      <c r="X34">
        <v>0.29266961396281999</v>
      </c>
      <c r="Y34">
        <v>0.56531380905006001</v>
      </c>
      <c r="Z34">
        <v>0.58778666490211895</v>
      </c>
      <c r="AA34">
        <v>2.7461164019086701</v>
      </c>
      <c r="AB34">
        <v>0</v>
      </c>
      <c r="AC34">
        <v>1.18570699551904</v>
      </c>
      <c r="AD34">
        <v>1.71289662080233</v>
      </c>
      <c r="AE34">
        <v>2.0564287673707602</v>
      </c>
      <c r="AF34">
        <v>1.18570699551904</v>
      </c>
      <c r="AG34">
        <v>4.5207989571019302</v>
      </c>
      <c r="AH34">
        <v>0</v>
      </c>
      <c r="AI34">
        <v>4.5452290805211204</v>
      </c>
      <c r="AJ34">
        <v>4.5207989571019302</v>
      </c>
      <c r="AK34">
        <v>0.16636153721522501</v>
      </c>
      <c r="AL34">
        <v>0.30158497762077202</v>
      </c>
      <c r="AM34">
        <v>0.167207918983906</v>
      </c>
      <c r="AN34">
        <v>0.21107097007994</v>
      </c>
      <c r="AO34">
        <v>0.19638881400538999</v>
      </c>
      <c r="AP34">
        <v>0.41210965082683298</v>
      </c>
      <c r="AQ34">
        <v>0.80647586586694897</v>
      </c>
      <c r="AR34">
        <v>0.29266961396281999</v>
      </c>
      <c r="AS34">
        <v>0.80647586586694897</v>
      </c>
      <c r="AT34">
        <v>3.4067486117004799</v>
      </c>
      <c r="AU34">
        <v>0.42002525943949398</v>
      </c>
      <c r="AV34">
        <v>2.6026896854443802</v>
      </c>
      <c r="AW34">
        <v>3.2580965380214799</v>
      </c>
      <c r="AX34">
        <v>2.6026896854443802</v>
      </c>
      <c r="AY34">
        <v>2.8716984926305398</v>
      </c>
      <c r="AZ34">
        <v>3.9318256327243302</v>
      </c>
      <c r="BA34">
        <v>1.0116009116784801</v>
      </c>
      <c r="BB34">
        <v>4.2145986164699201</v>
      </c>
      <c r="BC34">
        <v>0</v>
      </c>
      <c r="BD34">
        <v>0.31845373111853498</v>
      </c>
      <c r="BE34">
        <v>0.22314355131420999</v>
      </c>
      <c r="BF34">
        <v>0.188966099512623</v>
      </c>
      <c r="BG34">
        <v>0.48550781578170099</v>
      </c>
      <c r="BH34">
        <v>0</v>
      </c>
      <c r="BI34">
        <v>0</v>
      </c>
      <c r="BJ34">
        <v>0.55961578793542299</v>
      </c>
      <c r="BK34">
        <v>0.22314355131420999</v>
      </c>
      <c r="BL34">
        <v>0.405465108108164</v>
      </c>
      <c r="BM34">
        <v>0</v>
      </c>
      <c r="BN34">
        <v>0</v>
      </c>
      <c r="BO34">
        <v>0.15443635330441899</v>
      </c>
      <c r="BP34">
        <v>0.22314355131420999</v>
      </c>
      <c r="BQ34">
        <v>0</v>
      </c>
      <c r="BR34">
        <v>0.55961578793542299</v>
      </c>
      <c r="BS34">
        <v>0.28743204119657201</v>
      </c>
      <c r="BT34">
        <v>3.4067486117004799</v>
      </c>
      <c r="BU34">
        <v>3.9318256327243302</v>
      </c>
      <c r="BV34">
        <v>3.0834225866809799</v>
      </c>
      <c r="BW34">
        <v>3.5660053559634002</v>
      </c>
      <c r="BX34">
        <v>0.73380916227883497</v>
      </c>
      <c r="BY34">
        <v>2.5020914745420999</v>
      </c>
      <c r="BZ34">
        <v>2.10657020906809</v>
      </c>
      <c r="CA34">
        <v>4.4974958844800002</v>
      </c>
      <c r="CB34">
        <v>0</v>
      </c>
      <c r="CC34">
        <v>0</v>
      </c>
      <c r="CD34">
        <v>0</v>
      </c>
      <c r="CE34">
        <v>0</v>
      </c>
      <c r="CF34">
        <v>0</v>
      </c>
      <c r="CH34" t="str">
        <f t="shared" si="0"/>
        <v>/*123*/ 111  1 2.72785282839839 2.41680623708407 2.36555989215543 6.99484998583307 6.8351845861473 7.15851399732932 8.10288913464087 0.28292075535007 1.69799808941358 1.65593974608552 1.73395378713167 1.6963492844234 0.901380119138401 0.300104592450338 0.168898536461814 0.319180739511152 0.266203040774657 0.172271220940453 0.587786664902119 0.29266961396282 0.56531380905006 0.587786664902119 2.74611640190867 0 1.18570699551904 1.71289662080233 2.05642876737076 1.18570699551904 4.52079895710193 0 4.54522908052112 4.52079895710193 0.166361537215225 0.301584977620772 0.167207918983906 0.21107097007994 0.19638881400539 0.412109650826833 0.806475865866949 0.29266961396282 0.806475865866949 3.40674861170048 0.420025259439494 2.60268968544438 3.25809653802148 2.60268968544438 2.87169849263054 3.93182563272433 1.01160091167848 4.21459861646992 0 0.318453731118535 0.22314355131421 0.188966099512623 0.485507815781701 0 0 0.559615787935423 0.22314355131421 0.405465108108164 0 0 0.154436353304419 0.22314355131421 0 0.559615787935423 0.287432041196572 3.40674861170048 3.93182563272433 3.08342258668098 3.5660053559634 0.733809162278835 2.5020914745421 2.10657020906809 4.49749588448 0 0 0 0 0;</v>
      </c>
    </row>
    <row r="35" spans="1:86" x14ac:dyDescent="0.25">
      <c r="A35">
        <v>128</v>
      </c>
      <c r="B35">
        <v>0</v>
      </c>
      <c r="C35">
        <v>0</v>
      </c>
      <c r="D35">
        <v>0</v>
      </c>
      <c r="E35">
        <v>2.81540871942271</v>
      </c>
      <c r="F35">
        <v>2.1610215286722601</v>
      </c>
      <c r="G35">
        <v>2.4882344398806699</v>
      </c>
      <c r="H35">
        <v>6.4645883036899603</v>
      </c>
      <c r="I35">
        <v>5.8888779583328796</v>
      </c>
      <c r="J35">
        <v>5.3844950627890897</v>
      </c>
      <c r="K35">
        <v>7.1057861294812703</v>
      </c>
      <c r="L35">
        <v>0</v>
      </c>
      <c r="M35">
        <v>1.47887354241298</v>
      </c>
      <c r="N35">
        <v>1.5234441992671199</v>
      </c>
      <c r="O35">
        <v>1.2635615957375901</v>
      </c>
      <c r="P35">
        <v>1.4281558152148099</v>
      </c>
      <c r="Q35">
        <v>0.58165680452658197</v>
      </c>
      <c r="R35">
        <v>0.324977857195478</v>
      </c>
      <c r="S35">
        <v>0.19474407679251199</v>
      </c>
      <c r="T35">
        <v>0.28517894223366202</v>
      </c>
      <c r="U35">
        <v>0.26159473768846198</v>
      </c>
      <c r="V35">
        <v>0.12663265093336601</v>
      </c>
      <c r="W35">
        <v>0.494696241836107</v>
      </c>
      <c r="X35">
        <v>0.307484699747961</v>
      </c>
      <c r="Y35">
        <v>0.36464311358790902</v>
      </c>
      <c r="Z35">
        <v>0.494696241836107</v>
      </c>
      <c r="AA35">
        <v>2.4508326694542499</v>
      </c>
      <c r="AB35">
        <v>2.2091531482014899</v>
      </c>
      <c r="AC35">
        <v>4.1457028544972401</v>
      </c>
      <c r="AD35">
        <v>2.6751137008559498</v>
      </c>
      <c r="AE35">
        <v>4.4401068457504103</v>
      </c>
      <c r="AF35">
        <v>2.4690313006297102</v>
      </c>
      <c r="AG35">
        <v>1.8570789353487001</v>
      </c>
      <c r="AH35">
        <v>0</v>
      </c>
      <c r="AI35">
        <v>2.8458391839793702</v>
      </c>
      <c r="AJ35">
        <v>4.1457028544972401</v>
      </c>
      <c r="AK35">
        <v>1.4214201630952601</v>
      </c>
      <c r="AL35">
        <v>0.250758718347183</v>
      </c>
      <c r="AM35">
        <v>0.29639401305380197</v>
      </c>
      <c r="AN35">
        <v>0.79930737638833604</v>
      </c>
      <c r="AO35">
        <v>1.92832791201007</v>
      </c>
      <c r="AP35">
        <v>3.6109179126442199</v>
      </c>
      <c r="AQ35">
        <v>0.43825493093115497</v>
      </c>
      <c r="AR35">
        <v>0.58221561985266401</v>
      </c>
      <c r="AS35">
        <v>3.6109179126442199</v>
      </c>
      <c r="AT35">
        <v>1.64229224930505</v>
      </c>
      <c r="AU35">
        <v>0.58333231455273904</v>
      </c>
      <c r="AV35">
        <v>3.9318256327243302</v>
      </c>
      <c r="AW35">
        <v>0</v>
      </c>
      <c r="AX35">
        <v>0</v>
      </c>
      <c r="AY35">
        <v>2.8716984926305398</v>
      </c>
      <c r="AZ35">
        <v>4.3841119588732198</v>
      </c>
      <c r="BA35">
        <v>0.28743204119657201</v>
      </c>
      <c r="BB35">
        <v>2.2335565065836098</v>
      </c>
      <c r="BC35">
        <v>0.48550781578170099</v>
      </c>
      <c r="BD35">
        <v>0</v>
      </c>
      <c r="BE35">
        <v>0</v>
      </c>
      <c r="BF35">
        <v>0.188966099512623</v>
      </c>
      <c r="BG35">
        <v>0.53532309536637801</v>
      </c>
      <c r="BH35">
        <v>0.22314355131420999</v>
      </c>
      <c r="BI35">
        <v>0.22314355131420999</v>
      </c>
      <c r="BJ35">
        <v>0</v>
      </c>
      <c r="BK35">
        <v>0.15443635330441899</v>
      </c>
      <c r="BL35">
        <v>0</v>
      </c>
      <c r="BM35">
        <v>0</v>
      </c>
      <c r="BN35">
        <v>0</v>
      </c>
      <c r="BO35">
        <v>0</v>
      </c>
      <c r="BP35">
        <v>1.6094379124341001</v>
      </c>
      <c r="BQ35">
        <v>0.22314355131420999</v>
      </c>
      <c r="BR35">
        <v>0.22314355131420999</v>
      </c>
      <c r="BS35">
        <v>0.916290731874155</v>
      </c>
      <c r="BT35">
        <v>3.5361069907765299</v>
      </c>
      <c r="BU35">
        <v>3.9318256327243302</v>
      </c>
      <c r="BV35">
        <v>2.8716984926305398</v>
      </c>
      <c r="BW35">
        <v>3.3644296574699402</v>
      </c>
      <c r="BX35">
        <v>0.81093021621632899</v>
      </c>
      <c r="BY35">
        <v>3.9824628295740099</v>
      </c>
      <c r="BZ35">
        <v>2.8733386253399198</v>
      </c>
      <c r="CA35">
        <v>3.8784869042086898</v>
      </c>
      <c r="CB35">
        <v>0</v>
      </c>
      <c r="CC35">
        <v>0</v>
      </c>
      <c r="CD35">
        <v>0</v>
      </c>
      <c r="CE35">
        <v>0</v>
      </c>
      <c r="CF35">
        <v>0</v>
      </c>
      <c r="CH35" t="str">
        <f t="shared" si="0"/>
        <v>/*128*/ 000  1 2.81540871942271 2.16102152867226 2.48823443988067 6.46458830368996 5.88887795833288 5.38449506278909 7.10578612948127 0 1.47887354241298 1.52344419926712 1.26356159573759 1.42815581521481 0.581656804526582 0.324977857195478 0.194744076792512 0.285178942233662 0.261594737688462 0.126632650933366 0.494696241836107 0.307484699747961 0.364643113587909 0.494696241836107 2.45083266945425 2.20915314820149 4.14570285449724 2.67511370085595 4.44010684575041 2.46903130062971 1.8570789353487 0 2.84583918397937 4.14570285449724 1.42142016309526 0.250758718347183 0.296394013053802 0.799307376388336 1.92832791201007 3.61091791264422 0.438254930931155 0.582215619852664 3.61091791264422 1.64229224930505 0.583332314552739 3.93182563272433 0 0 2.87169849263054 4.38411195887322 0.287432041196572 2.23355650658361 0.485507815781701 0 0 0.188966099512623 0.535323095366378 0.22314355131421 0.22314355131421 0 0.154436353304419 0 0 0 0 1.6094379124341 0.22314355131421 0.22314355131421 0.916290731874155 3.53610699077653 3.93182563272433 2.87169849263054 3.36442965746994 0.810930216216329 3.98246282957401 2.87333862533992 3.87848690420869 0 0 0 0 0;</v>
      </c>
    </row>
    <row r="36" spans="1:86" x14ac:dyDescent="0.25">
      <c r="A36">
        <v>130</v>
      </c>
      <c r="B36">
        <v>1</v>
      </c>
      <c r="C36">
        <v>1</v>
      </c>
      <c r="D36">
        <v>1</v>
      </c>
      <c r="E36">
        <v>2.50143595173921</v>
      </c>
      <c r="F36">
        <v>2.16332302566054</v>
      </c>
      <c r="G36">
        <v>2.1282317058492701</v>
      </c>
      <c r="H36">
        <v>6.0088131854425901</v>
      </c>
      <c r="I36">
        <v>6.4831073514571997</v>
      </c>
      <c r="J36">
        <v>6.2747620212419397</v>
      </c>
      <c r="K36">
        <v>7.3714892952142801</v>
      </c>
      <c r="L36">
        <v>0.39944703578260099</v>
      </c>
      <c r="M36">
        <v>1.45278410238872</v>
      </c>
      <c r="N36">
        <v>1.2053718252396399</v>
      </c>
      <c r="O36">
        <v>1.42623596821284</v>
      </c>
      <c r="P36">
        <v>1.3673663512343699</v>
      </c>
      <c r="Q36">
        <v>0.96088161520202997</v>
      </c>
      <c r="R36">
        <v>0.24920108563349899</v>
      </c>
      <c r="S36">
        <v>0.157003748809665</v>
      </c>
      <c r="T36">
        <v>0.33932530560361901</v>
      </c>
      <c r="U36">
        <v>0.25153662581542802</v>
      </c>
      <c r="V36">
        <v>0.181487876045377</v>
      </c>
      <c r="W36">
        <v>0.45742484703887498</v>
      </c>
      <c r="X36">
        <v>0.322083499169113</v>
      </c>
      <c r="Y36">
        <v>0.57661336430399401</v>
      </c>
      <c r="Z36">
        <v>0.57661336430399401</v>
      </c>
      <c r="AA36">
        <v>2.4190339056372898</v>
      </c>
      <c r="AB36">
        <v>0</v>
      </c>
      <c r="AC36">
        <v>3.8489980050066999</v>
      </c>
      <c r="AD36">
        <v>0</v>
      </c>
      <c r="AE36">
        <v>3.8489980050066999</v>
      </c>
      <c r="AF36">
        <v>0</v>
      </c>
      <c r="AG36">
        <v>4.0083145217460698</v>
      </c>
      <c r="AH36">
        <v>0</v>
      </c>
      <c r="AI36">
        <v>4.0083145217460698</v>
      </c>
      <c r="AJ36">
        <v>4.0083145217460698</v>
      </c>
      <c r="AK36">
        <v>3.0529205034822801E-2</v>
      </c>
      <c r="AL36">
        <v>0.10074990310014301</v>
      </c>
      <c r="AM36">
        <v>6.5787740538003195E-2</v>
      </c>
      <c r="AN36">
        <v>6.4850972319616298E-2</v>
      </c>
      <c r="AO36">
        <v>0.10436001532424299</v>
      </c>
      <c r="AP36">
        <v>0.13976194237515899</v>
      </c>
      <c r="AQ36">
        <v>0.28517894223366202</v>
      </c>
      <c r="AR36">
        <v>0.37843643572024499</v>
      </c>
      <c r="AS36">
        <v>0.37843643572024499</v>
      </c>
      <c r="AT36">
        <v>2.8716984926305398</v>
      </c>
      <c r="AU36">
        <v>0.188966099512623</v>
      </c>
      <c r="AV36">
        <v>4.4830025520138799</v>
      </c>
      <c r="AW36">
        <v>3.6506582412937401</v>
      </c>
      <c r="AX36">
        <v>4.1510399058986502</v>
      </c>
      <c r="AY36">
        <v>4.1510399058986502</v>
      </c>
      <c r="AZ36">
        <v>3.7534257877209898</v>
      </c>
      <c r="BA36">
        <v>0.84715499303929298</v>
      </c>
      <c r="BB36">
        <v>3.7534257877209898</v>
      </c>
      <c r="BC36">
        <v>0.22314355131420999</v>
      </c>
      <c r="BD36">
        <v>0.405465108108164</v>
      </c>
      <c r="BE36">
        <v>0.69314718055994495</v>
      </c>
      <c r="BF36">
        <v>0.45932178089887499</v>
      </c>
      <c r="BG36">
        <v>0.58333231455273904</v>
      </c>
      <c r="BH36">
        <v>0</v>
      </c>
      <c r="BI36">
        <v>0</v>
      </c>
      <c r="BJ36">
        <v>0</v>
      </c>
      <c r="BK36">
        <v>0</v>
      </c>
      <c r="BL36">
        <v>1.5040773967762699</v>
      </c>
      <c r="BM36">
        <v>0.405465108108164</v>
      </c>
      <c r="BN36">
        <v>0.81093021621632899</v>
      </c>
      <c r="BO36">
        <v>1.0116009116784801</v>
      </c>
      <c r="BP36">
        <v>0.51102560376865702</v>
      </c>
      <c r="BQ36">
        <v>0.405465108108164</v>
      </c>
      <c r="BR36">
        <v>1.09861228866811</v>
      </c>
      <c r="BS36">
        <v>0.73764242044649697</v>
      </c>
      <c r="BT36">
        <v>2.8716984926305398</v>
      </c>
      <c r="BU36">
        <v>4.2743439804936996</v>
      </c>
      <c r="BV36">
        <v>2.6026896854443802</v>
      </c>
      <c r="BW36">
        <v>3.4990195552816798</v>
      </c>
      <c r="BX36">
        <v>0.34854196070854299</v>
      </c>
      <c r="BY36">
        <v>2.30348468823688</v>
      </c>
      <c r="BZ36">
        <v>1.81319474994812</v>
      </c>
      <c r="CA36">
        <v>4.5216907461767999</v>
      </c>
      <c r="CB36">
        <v>0</v>
      </c>
      <c r="CC36">
        <v>0</v>
      </c>
      <c r="CD36">
        <v>0</v>
      </c>
      <c r="CE36">
        <v>0</v>
      </c>
      <c r="CF36">
        <v>0</v>
      </c>
      <c r="CH36" t="str">
        <f t="shared" si="0"/>
        <v>/*130*/ 111  1 2.50143595173921 2.16332302566054 2.12823170584927 6.00881318544259 6.4831073514572 6.27476202124194 7.37148929521428 0.399447035782601 1.45278410238872 1.20537182523964 1.42623596821284 1.36736635123437 0.96088161520203 0.249201085633499 0.157003748809665 0.339325305603619 0.251536625815428 0.181487876045377 0.457424847038875 0.322083499169113 0.576613364303994 0.576613364303994 2.41903390563729 0 3.8489980050067 0 3.8489980050067 0 4.00831452174607 0 4.00831452174607 4.00831452174607 3.05292050348228E-02 0.100749903100143 6.57877405380032E-02 6.48509723196163E-02 0.104360015324243 0.139761942375159 0.285178942233662 0.378436435720245 0.378436435720245 2.87169849263054 0.188966099512623 4.48300255201388 3.65065824129374 4.15103990589865 4.15103990589865 3.75342578772099 0.847154993039293 3.75342578772099 0.22314355131421 0.405465108108164 0.693147180559945 0.459321780898875 0.583332314552739 0 0 0 0 1.50407739677627 0.405465108108164 0.810930216216329 1.01160091167848 0.511025603768657 0.405465108108164 1.09861228866811 0.737642420446497 2.87169849263054 4.2743439804937 2.60268968544438 3.49901955528168 0.348541960708543 2.30348468823688 1.81319474994812 4.5216907461768 0 0 0 0 0;</v>
      </c>
    </row>
    <row r="37" spans="1:86" x14ac:dyDescent="0.25">
      <c r="A37">
        <v>135</v>
      </c>
      <c r="B37">
        <v>0</v>
      </c>
      <c r="C37">
        <v>0</v>
      </c>
      <c r="D37">
        <v>0</v>
      </c>
      <c r="E37">
        <v>2.7408400239252</v>
      </c>
      <c r="F37">
        <v>2.17247640764703</v>
      </c>
      <c r="G37">
        <v>2.42480272571829</v>
      </c>
      <c r="H37">
        <v>6.5482191027623697</v>
      </c>
      <c r="I37">
        <v>6.4425401664682003</v>
      </c>
      <c r="J37">
        <v>5.5909869805108601</v>
      </c>
      <c r="K37">
        <v>7.3727463664043302</v>
      </c>
      <c r="L37">
        <v>0</v>
      </c>
      <c r="M37">
        <v>0.85993199820477095</v>
      </c>
      <c r="N37">
        <v>0.88583152438944601</v>
      </c>
      <c r="O37">
        <v>0.89117803105908</v>
      </c>
      <c r="P37">
        <v>0.87879652744657499</v>
      </c>
      <c r="Q37">
        <v>0.35767444427181599</v>
      </c>
      <c r="R37">
        <v>0.21993842036526101</v>
      </c>
      <c r="S37">
        <v>0.213497174262404</v>
      </c>
      <c r="T37">
        <v>0.15871169115482101</v>
      </c>
      <c r="U37">
        <v>0.19803085049913499</v>
      </c>
      <c r="V37">
        <v>0.107957141505092</v>
      </c>
      <c r="W37">
        <v>0.44468582126144601</v>
      </c>
      <c r="X37">
        <v>0.322083499169113</v>
      </c>
      <c r="Y37">
        <v>0.21511137961694499</v>
      </c>
      <c r="Z37">
        <v>0.44468582126144601</v>
      </c>
      <c r="AA37">
        <v>2.00700524841512</v>
      </c>
      <c r="AB37">
        <v>0</v>
      </c>
      <c r="AC37">
        <v>4.3524304567338703</v>
      </c>
      <c r="AD37">
        <v>0</v>
      </c>
      <c r="AE37">
        <v>4.3524304567338703</v>
      </c>
      <c r="AF37">
        <v>1.4662601427577699</v>
      </c>
      <c r="AG37">
        <v>3.0445224377234199</v>
      </c>
      <c r="AH37">
        <v>0</v>
      </c>
      <c r="AI37">
        <v>3.19183345375632</v>
      </c>
      <c r="AJ37">
        <v>4.3524304567338703</v>
      </c>
      <c r="AK37">
        <v>0.23822918873225099</v>
      </c>
      <c r="AL37">
        <v>0.143234168085908</v>
      </c>
      <c r="AM37">
        <v>0.17395330712343801</v>
      </c>
      <c r="AN37">
        <v>0.180653499693258</v>
      </c>
      <c r="AO37">
        <v>0.15443635330441899</v>
      </c>
      <c r="AP37">
        <v>0.64185388617239503</v>
      </c>
      <c r="AQ37">
        <v>0.21511137961694499</v>
      </c>
      <c r="AR37">
        <v>0.350656871613169</v>
      </c>
      <c r="AS37">
        <v>0.64185388617239503</v>
      </c>
      <c r="AT37">
        <v>3.0834225866809799</v>
      </c>
      <c r="AU37">
        <v>0.34854196070854299</v>
      </c>
      <c r="AV37">
        <v>3.6506582412937401</v>
      </c>
      <c r="AW37">
        <v>4.1510399058986502</v>
      </c>
      <c r="AX37">
        <v>2.6026896854443802</v>
      </c>
      <c r="AY37">
        <v>3.6506582412937401</v>
      </c>
      <c r="AZ37">
        <v>3.7534257877209898</v>
      </c>
      <c r="BA37">
        <v>0.45932178089887499</v>
      </c>
      <c r="BB37">
        <v>3.2580965380214799</v>
      </c>
      <c r="BC37">
        <v>0.31845373111853498</v>
      </c>
      <c r="BD37">
        <v>0</v>
      </c>
      <c r="BE37">
        <v>0.22314355131420999</v>
      </c>
      <c r="BF37">
        <v>0.188966099512623</v>
      </c>
      <c r="BG37">
        <v>0.377065633586466</v>
      </c>
      <c r="BH37">
        <v>0.81093021621632899</v>
      </c>
      <c r="BI37">
        <v>0.81093021621632899</v>
      </c>
      <c r="BJ37">
        <v>0.55961578793542299</v>
      </c>
      <c r="BK37">
        <v>0.73380916227883497</v>
      </c>
      <c r="BL37">
        <v>0</v>
      </c>
      <c r="BM37">
        <v>0</v>
      </c>
      <c r="BN37">
        <v>0</v>
      </c>
      <c r="BO37">
        <v>0</v>
      </c>
      <c r="BP37">
        <v>0.81093021621632899</v>
      </c>
      <c r="BQ37">
        <v>0.405465108108164</v>
      </c>
      <c r="BR37">
        <v>0</v>
      </c>
      <c r="BS37">
        <v>0.45932178089887499</v>
      </c>
      <c r="BT37">
        <v>0</v>
      </c>
      <c r="BU37">
        <v>4.2145986164699201</v>
      </c>
      <c r="BV37">
        <v>3.5361069907765299</v>
      </c>
      <c r="BW37">
        <v>3.7775311517085002</v>
      </c>
      <c r="BX37">
        <v>0.45932178089887499</v>
      </c>
      <c r="BY37">
        <v>4.55539153342494</v>
      </c>
      <c r="BZ37">
        <v>1.8581712347473101</v>
      </c>
      <c r="CA37">
        <v>1.92512418129548</v>
      </c>
      <c r="CB37">
        <v>0</v>
      </c>
      <c r="CC37">
        <v>0</v>
      </c>
      <c r="CD37">
        <v>0</v>
      </c>
      <c r="CE37">
        <v>0</v>
      </c>
      <c r="CF37">
        <v>0</v>
      </c>
      <c r="CH37" t="str">
        <f t="shared" si="0"/>
        <v>/*135*/ 000  1 2.7408400239252 2.17247640764703 2.42480272571829 6.54821910276237 6.4425401664682 5.59098698051086 7.37274636640433 0 0.859931998204771 0.885831524389446 0.89117803105908 0.878796527446575 0.357674444271816 0.219938420365261 0.213497174262404 0.158711691154821 0.198030850499135 0.107957141505092 0.444685821261446 0.322083499169113 0.215111379616945 0.444685821261446 2.00700524841512 0 4.35243045673387 0 4.35243045673387 1.46626014275777 3.04452243772342 0 3.19183345375632 4.35243045673387 0.238229188732251 0.143234168085908 0.173953307123438 0.180653499693258 0.154436353304419 0.641853886172395 0.215111379616945 0.350656871613169 0.641853886172395 3.08342258668098 0.348541960708543 3.65065824129374 4.15103990589865 2.60268968544438 3.65065824129374 3.75342578772099 0.459321780898875 3.25809653802148 0.318453731118535 0 0.22314355131421 0.188966099512623 0.377065633586466 0.810930216216329 0.810930216216329 0.559615787935423 0.733809162278835 0 0 0 0 0.810930216216329 0.405465108108164 0 0.459321780898875 0 4.21459861646992 3.53610699077653 3.7775311517085 0.459321780898875 4.55539153342494 1.85817123474731 1.92512418129548 0 0 0 0 0;</v>
      </c>
    </row>
    <row r="38" spans="1:86" x14ac:dyDescent="0.25">
      <c r="A38">
        <v>149</v>
      </c>
      <c r="B38">
        <v>1</v>
      </c>
      <c r="C38">
        <v>1</v>
      </c>
      <c r="D38">
        <v>1</v>
      </c>
      <c r="E38">
        <v>2.6461747973841199</v>
      </c>
      <c r="F38">
        <v>2.2104698040862401</v>
      </c>
      <c r="G38">
        <v>2.5273273656719502</v>
      </c>
      <c r="H38">
        <v>7.6866213349446202</v>
      </c>
      <c r="I38">
        <v>7.6801756404365902</v>
      </c>
      <c r="J38">
        <v>6.9985096422505997</v>
      </c>
      <c r="K38">
        <v>8.6009827171459197</v>
      </c>
      <c r="L38">
        <v>1.1016077976479099</v>
      </c>
      <c r="M38">
        <v>1.72508533596006</v>
      </c>
      <c r="N38">
        <v>1.6712853157601799</v>
      </c>
      <c r="O38">
        <v>2.12453440305074</v>
      </c>
      <c r="P38">
        <v>1.86144099242886</v>
      </c>
      <c r="Q38">
        <v>1.0684966647634899</v>
      </c>
      <c r="R38">
        <v>0.25851069515150099</v>
      </c>
      <c r="S38">
        <v>0.20945022418220699</v>
      </c>
      <c r="T38">
        <v>0.50198667509878603</v>
      </c>
      <c r="U38">
        <v>0.33361100434018098</v>
      </c>
      <c r="V38">
        <v>0.23031775506221</v>
      </c>
      <c r="W38">
        <v>0.51879379341516796</v>
      </c>
      <c r="X38">
        <v>0.50681760236845197</v>
      </c>
      <c r="Y38">
        <v>0.68309684470644405</v>
      </c>
      <c r="Z38">
        <v>0.68309684470644405</v>
      </c>
      <c r="AA38">
        <v>2.69036133823113</v>
      </c>
      <c r="AB38">
        <v>1.1549926221042199</v>
      </c>
      <c r="AC38">
        <v>3.4479219218350199</v>
      </c>
      <c r="AD38">
        <v>0</v>
      </c>
      <c r="AE38">
        <v>3.5147938882447001</v>
      </c>
      <c r="AF38">
        <v>0</v>
      </c>
      <c r="AG38">
        <v>4.1929372275591899</v>
      </c>
      <c r="AH38">
        <v>1.1549926221042199</v>
      </c>
      <c r="AI38">
        <v>4.2252412370238703</v>
      </c>
      <c r="AJ38">
        <v>4.1929372275591899</v>
      </c>
      <c r="AK38">
        <v>0.30084505897806202</v>
      </c>
      <c r="AL38">
        <v>0.27079020478156302</v>
      </c>
      <c r="AM38">
        <v>2.2739486969489301E-2</v>
      </c>
      <c r="AN38">
        <v>0.20375683751401999</v>
      </c>
      <c r="AO38">
        <v>0.24529635595534299</v>
      </c>
      <c r="AP38">
        <v>0.70309751141311305</v>
      </c>
      <c r="AQ38">
        <v>0.61518563909023305</v>
      </c>
      <c r="AR38">
        <v>6.7658648473814906E-2</v>
      </c>
      <c r="AS38">
        <v>0.70309751141311305</v>
      </c>
      <c r="AT38">
        <v>3.5361069907765299</v>
      </c>
      <c r="AU38">
        <v>0.122217632724249</v>
      </c>
      <c r="AV38">
        <v>3.6506582412937401</v>
      </c>
      <c r="AW38">
        <v>2.6026896854443802</v>
      </c>
      <c r="AX38">
        <v>4.6151205168412597</v>
      </c>
      <c r="AY38">
        <v>3.9318256327243302</v>
      </c>
      <c r="AZ38">
        <v>3.7534257877209898</v>
      </c>
      <c r="BA38">
        <v>0.34854196070854299</v>
      </c>
      <c r="BB38">
        <v>2.2335565065836098</v>
      </c>
      <c r="BC38">
        <v>0.405465108108164</v>
      </c>
      <c r="BD38">
        <v>0.22314355131420999</v>
      </c>
      <c r="BE38">
        <v>0</v>
      </c>
      <c r="BF38">
        <v>0.22314355131420999</v>
      </c>
      <c r="BG38">
        <v>0.73380916227883497</v>
      </c>
      <c r="BH38">
        <v>0.55961578793542299</v>
      </c>
      <c r="BI38">
        <v>0</v>
      </c>
      <c r="BJ38">
        <v>0.81093021621632899</v>
      </c>
      <c r="BK38">
        <v>0.51102560376865702</v>
      </c>
      <c r="BL38">
        <v>0.405465108108164</v>
      </c>
      <c r="BM38">
        <v>0</v>
      </c>
      <c r="BN38">
        <v>0.405465108108164</v>
      </c>
      <c r="BO38">
        <v>0.28743204119657201</v>
      </c>
      <c r="BP38">
        <v>1.09861228866811</v>
      </c>
      <c r="BQ38">
        <v>0</v>
      </c>
      <c r="BR38">
        <v>1.44691898293633</v>
      </c>
      <c r="BS38">
        <v>1.0116009116784801</v>
      </c>
      <c r="BT38">
        <v>2.8716984926305398</v>
      </c>
      <c r="BU38">
        <v>4.2145986164699201</v>
      </c>
      <c r="BV38">
        <v>2.8716984926305398</v>
      </c>
      <c r="BW38">
        <v>3.6560462970187002</v>
      </c>
      <c r="BX38">
        <v>0.377065633586466</v>
      </c>
      <c r="BY38">
        <v>4.0028504253886403</v>
      </c>
      <c r="BZ38">
        <v>2.5647185615994501</v>
      </c>
      <c r="CA38">
        <v>3.8553679942715702</v>
      </c>
      <c r="CB38">
        <v>0</v>
      </c>
      <c r="CC38">
        <v>0</v>
      </c>
      <c r="CD38">
        <v>0</v>
      </c>
      <c r="CE38">
        <v>0</v>
      </c>
      <c r="CF38">
        <v>0</v>
      </c>
      <c r="CH38" t="str">
        <f t="shared" si="0"/>
        <v>/*149*/ 111  1 2.64617479738412 2.21046980408624 2.52732736567195 7.68662133494462 7.68017564043659 6.9985096422506 8.60098271714592 1.10160779764791 1.72508533596006 1.67128531576018 2.12453440305074 1.86144099242886 1.06849666476349 0.258510695151501 0.209450224182207 0.501986675098786 0.333611004340181 0.23031775506221 0.518793793415168 0.506817602368452 0.683096844706444 0.683096844706444 2.69036133823113 1.15499262210422 3.44792192183502 0 3.5147938882447 0 4.19293722755919 1.15499262210422 4.22524123702387 4.19293722755919 0.300845058978062 0.270790204781563 2.27394869694893E-02 0.20375683751402 0.245296355955343 0.703097511413113 0.615185639090233 6.76586484738149E-02 0.703097511413113 3.53610699077653 0.122217632724249 3.65065824129374 2.60268968544438 4.61512051684126 3.93182563272433 3.75342578772099 0.348541960708543 2.23355650658361 0.405465108108164 0.22314355131421 0 0.22314355131421 0.733809162278835 0.559615787935423 0 0.810930216216329 0.511025603768657 0.405465108108164 0 0.405465108108164 0.287432041196572 1.09861228866811 0 1.44691898293633 1.01160091167848 2.87169849263054 4.21459861646992 2.87169849263054 3.6560462970187 0.377065633586466 4.00285042538864 2.56471856159945 3.85536799427157 0 0 0 0 0;</v>
      </c>
    </row>
    <row r="39" spans="1:86" x14ac:dyDescent="0.25">
      <c r="A39">
        <v>154</v>
      </c>
      <c r="B39">
        <v>1</v>
      </c>
      <c r="C39">
        <v>1</v>
      </c>
      <c r="D39">
        <v>1</v>
      </c>
      <c r="E39">
        <v>2.7972813348301502</v>
      </c>
      <c r="F39">
        <v>2.2449559801574099</v>
      </c>
      <c r="G39">
        <v>2.72915916431245</v>
      </c>
      <c r="H39">
        <v>7.3740018593501597</v>
      </c>
      <c r="I39">
        <v>7.3198649298089702</v>
      </c>
      <c r="J39">
        <v>7.29573507274928</v>
      </c>
      <c r="K39">
        <v>8.4285805330596304</v>
      </c>
      <c r="L39">
        <v>0.65803800344637697</v>
      </c>
      <c r="M39">
        <v>1.6389967146756399</v>
      </c>
      <c r="N39">
        <v>1.47590651980958</v>
      </c>
      <c r="O39">
        <v>1.6559397460855201</v>
      </c>
      <c r="P39">
        <v>1.5935117618838399</v>
      </c>
      <c r="Q39">
        <v>1.02926221053332</v>
      </c>
      <c r="R39">
        <v>0.298622012490115</v>
      </c>
      <c r="S39">
        <v>0.20701416938432601</v>
      </c>
      <c r="T39">
        <v>0.30158497762077202</v>
      </c>
      <c r="U39">
        <v>0.27079020478156302</v>
      </c>
      <c r="V39">
        <v>0.20130685670503501</v>
      </c>
      <c r="W39">
        <v>0.55388511322643796</v>
      </c>
      <c r="X39">
        <v>0.45742484703887498</v>
      </c>
      <c r="Y39">
        <v>0.69314718055994495</v>
      </c>
      <c r="Z39">
        <v>0.69314718055994495</v>
      </c>
      <c r="AA39">
        <v>2.6111721261257199</v>
      </c>
      <c r="AB39">
        <v>0</v>
      </c>
      <c r="AC39">
        <v>1.30914330193148</v>
      </c>
      <c r="AD39">
        <v>0</v>
      </c>
      <c r="AE39">
        <v>1.30914330193148</v>
      </c>
      <c r="AF39">
        <v>0</v>
      </c>
      <c r="AG39">
        <v>4.5601205174343704</v>
      </c>
      <c r="AH39">
        <v>1.30914330193148</v>
      </c>
      <c r="AI39">
        <v>4.5879935078674698</v>
      </c>
      <c r="AJ39">
        <v>4.5601205174343704</v>
      </c>
      <c r="AK39">
        <v>0.144965770250186</v>
      </c>
      <c r="AL39">
        <v>0.27155269052189701</v>
      </c>
      <c r="AM39">
        <v>0.22234323114344101</v>
      </c>
      <c r="AN39">
        <v>0.20782684720231701</v>
      </c>
      <c r="AO39">
        <v>0.23269776411902099</v>
      </c>
      <c r="AP39">
        <v>0.67803354274989702</v>
      </c>
      <c r="AQ39">
        <v>0.55388511322643796</v>
      </c>
      <c r="AR39">
        <v>0.58778666490211895</v>
      </c>
      <c r="AS39">
        <v>0.67803354274989702</v>
      </c>
      <c r="AT39">
        <v>3.7534257877209898</v>
      </c>
      <c r="AU39">
        <v>0.188966099512623</v>
      </c>
      <c r="AV39">
        <v>3.9318256327243302</v>
      </c>
      <c r="AW39">
        <v>2.6026896854443802</v>
      </c>
      <c r="AX39">
        <v>3.9318256327243302</v>
      </c>
      <c r="AY39">
        <v>3.6506582412937401</v>
      </c>
      <c r="AZ39">
        <v>3.7534257877209898</v>
      </c>
      <c r="BA39">
        <v>0.55961578793542299</v>
      </c>
      <c r="BB39">
        <v>2.2335565065836098</v>
      </c>
      <c r="BC39">
        <v>0</v>
      </c>
      <c r="BD39">
        <v>0</v>
      </c>
      <c r="BE39">
        <v>0</v>
      </c>
      <c r="BF39">
        <v>0</v>
      </c>
      <c r="BG39">
        <v>0.188966099512623</v>
      </c>
      <c r="BH39">
        <v>0</v>
      </c>
      <c r="BI39">
        <v>0.81093021621632899</v>
      </c>
      <c r="BJ39">
        <v>1.0116009116784801</v>
      </c>
      <c r="BK39">
        <v>0.69314718055994495</v>
      </c>
      <c r="BL39">
        <v>0.22314355131420999</v>
      </c>
      <c r="BM39">
        <v>0.22314355131420999</v>
      </c>
      <c r="BN39">
        <v>0.55961578793542299</v>
      </c>
      <c r="BO39">
        <v>0.34854196070854299</v>
      </c>
      <c r="BP39">
        <v>1.1786549963416499</v>
      </c>
      <c r="BQ39">
        <v>0.55961578793542299</v>
      </c>
      <c r="BR39">
        <v>0.916290731874155</v>
      </c>
      <c r="BS39">
        <v>0.916290731874155</v>
      </c>
      <c r="BT39">
        <v>2.8716984926305398</v>
      </c>
      <c r="BU39">
        <v>4.1510399058986502</v>
      </c>
      <c r="BV39">
        <v>3.0834225866809799</v>
      </c>
      <c r="BW39">
        <v>3.6826098411003398</v>
      </c>
      <c r="BX39">
        <v>0.22314355131420999</v>
      </c>
      <c r="BY39">
        <v>4.5036688806559901</v>
      </c>
      <c r="BZ39">
        <v>2.4631721576419898</v>
      </c>
      <c r="CA39">
        <v>2.4554778390971901</v>
      </c>
      <c r="CB39">
        <v>0</v>
      </c>
      <c r="CC39">
        <v>0</v>
      </c>
      <c r="CD39">
        <v>0</v>
      </c>
      <c r="CE39">
        <v>0</v>
      </c>
      <c r="CF39">
        <v>0</v>
      </c>
      <c r="CH39" t="str">
        <f t="shared" si="0"/>
        <v>/*154*/ 111  1 2.79728133483015 2.24495598015741 2.72915916431245 7.37400185935016 7.31986492980897 7.29573507274928 8.42858053305963 0.658038003446377 1.63899671467564 1.47590651980958 1.65593974608552 1.59351176188384 1.02926221053332 0.298622012490115 0.207014169384326 0.301584977620772 0.270790204781563 0.201306856705035 0.553885113226438 0.457424847038875 0.693147180559945 0.693147180559945 2.61117212612572 0 1.30914330193148 0 1.30914330193148 0 4.56012051743437 1.30914330193148 4.58799350786747 4.56012051743437 0.144965770250186 0.271552690521897 0.222343231143441 0.207826847202317 0.232697764119021 0.678033542749897 0.553885113226438 0.587786664902119 0.678033542749897 3.75342578772099 0.188966099512623 3.93182563272433 2.60268968544438 3.93182563272433 3.65065824129374 3.75342578772099 0.559615787935423 2.23355650658361 0 0 0 0 0.188966099512623 0 0.810930216216329 1.01160091167848 0.693147180559945 0.22314355131421 0.22314355131421 0.559615787935423 0.348541960708543 1.17865499634165 0.559615787935423 0.916290731874155 0.916290731874155 2.87169849263054 4.15103990589865 3.08342258668098 3.68260984110034 0.22314355131421 4.50366888065599 2.46317215764199 2.45547783909719 0 0 0 0 0;</v>
      </c>
    </row>
    <row r="40" spans="1:86" x14ac:dyDescent="0.25">
      <c r="A40">
        <v>156</v>
      </c>
      <c r="B40">
        <v>1</v>
      </c>
      <c r="C40">
        <v>1</v>
      </c>
      <c r="D40">
        <v>1</v>
      </c>
      <c r="E40">
        <v>2.4423470353691998</v>
      </c>
      <c r="F40">
        <v>2.2385797630181301</v>
      </c>
      <c r="G40">
        <v>2.6567569067146599</v>
      </c>
      <c r="H40">
        <v>6.0958245624322203</v>
      </c>
      <c r="I40">
        <v>5.8833223884882804</v>
      </c>
      <c r="J40">
        <v>6.0822189103764499</v>
      </c>
      <c r="K40">
        <v>7.1220598816291396</v>
      </c>
      <c r="L40">
        <v>0.29192306670903501</v>
      </c>
      <c r="M40">
        <v>1.68639895357023</v>
      </c>
      <c r="N40">
        <v>1.4141526892482901</v>
      </c>
      <c r="O40">
        <v>1.2493285060467301</v>
      </c>
      <c r="P40">
        <v>1.4662601427577699</v>
      </c>
      <c r="Q40">
        <v>0.90381321036304296</v>
      </c>
      <c r="R40">
        <v>0.20945022418220699</v>
      </c>
      <c r="S40">
        <v>0.17647114311577899</v>
      </c>
      <c r="T40">
        <v>0.14236724128692199</v>
      </c>
      <c r="U40">
        <v>0.17981842657583599</v>
      </c>
      <c r="V40">
        <v>0.113328685307003</v>
      </c>
      <c r="W40">
        <v>0.431782416425538</v>
      </c>
      <c r="X40">
        <v>0.41871033485818498</v>
      </c>
      <c r="Y40">
        <v>0.262364264467491</v>
      </c>
      <c r="Z40">
        <v>0.431782416425538</v>
      </c>
      <c r="AA40">
        <v>2.8859174075467799</v>
      </c>
      <c r="AB40">
        <v>1.2527629684953701</v>
      </c>
      <c r="AC40">
        <v>1.7917594692280501</v>
      </c>
      <c r="AD40">
        <v>2.1400661634962699</v>
      </c>
      <c r="AE40">
        <v>2.7725887222397798</v>
      </c>
      <c r="AF40">
        <v>1.2527629684953701</v>
      </c>
      <c r="AG40">
        <v>4.42484663185681</v>
      </c>
      <c r="AH40">
        <v>0</v>
      </c>
      <c r="AI40">
        <v>4.45434729625351</v>
      </c>
      <c r="AJ40">
        <v>4.42484663185681</v>
      </c>
      <c r="AK40">
        <v>0.17981842657583599</v>
      </c>
      <c r="AL40">
        <v>0.24216155714997201</v>
      </c>
      <c r="AM40">
        <v>0.26543646350446098</v>
      </c>
      <c r="AN40">
        <v>0.23665190133900199</v>
      </c>
      <c r="AO40">
        <v>0.17814618538347399</v>
      </c>
      <c r="AP40">
        <v>0.350656871613169</v>
      </c>
      <c r="AQ40">
        <v>0.44468582126144601</v>
      </c>
      <c r="AR40">
        <v>0.58778666490211895</v>
      </c>
      <c r="AS40">
        <v>0.58778666490211895</v>
      </c>
      <c r="AT40">
        <v>4.1510399058986502</v>
      </c>
      <c r="AU40">
        <v>0.22314355131420999</v>
      </c>
      <c r="AV40">
        <v>3.2580965380214799</v>
      </c>
      <c r="AW40">
        <v>2.6026896854443802</v>
      </c>
      <c r="AX40">
        <v>0</v>
      </c>
      <c r="AY40">
        <v>2.6026896854443802</v>
      </c>
      <c r="AZ40">
        <v>4.1510399058986502</v>
      </c>
      <c r="BA40">
        <v>0.60595396885756803</v>
      </c>
      <c r="BB40">
        <v>2.8716984926305398</v>
      </c>
      <c r="BC40">
        <v>0.81093021621632899</v>
      </c>
      <c r="BD40">
        <v>0</v>
      </c>
      <c r="BE40">
        <v>0.55961578793542299</v>
      </c>
      <c r="BF40">
        <v>0.51102560376865702</v>
      </c>
      <c r="BG40">
        <v>0.73380916227883497</v>
      </c>
      <c r="BH40">
        <v>0</v>
      </c>
      <c r="BI40">
        <v>0.22314355131420999</v>
      </c>
      <c r="BJ40">
        <v>0</v>
      </c>
      <c r="BK40">
        <v>7.9734968018853505E-2</v>
      </c>
      <c r="BL40">
        <v>0.22314355131420999</v>
      </c>
      <c r="BM40">
        <v>0.69314718055994495</v>
      </c>
      <c r="BN40">
        <v>0.69314718055994495</v>
      </c>
      <c r="BO40">
        <v>0.55961578793542299</v>
      </c>
      <c r="BP40">
        <v>0.55961578793542299</v>
      </c>
      <c r="BQ40">
        <v>0.22314355131420999</v>
      </c>
      <c r="BR40">
        <v>0.69314718055994495</v>
      </c>
      <c r="BS40">
        <v>0.51102560376865702</v>
      </c>
      <c r="BT40">
        <v>3.4067486117004799</v>
      </c>
      <c r="BU40">
        <v>3.9318256327243302</v>
      </c>
      <c r="BV40">
        <v>3.0834225866809799</v>
      </c>
      <c r="BW40">
        <v>3.4339872044851498</v>
      </c>
      <c r="BX40">
        <v>0.45932178089887499</v>
      </c>
      <c r="BY40">
        <v>1.32919476907932</v>
      </c>
      <c r="BZ40">
        <v>1.15404699555621</v>
      </c>
      <c r="CA40">
        <v>4.58723022285543</v>
      </c>
      <c r="CB40">
        <v>0</v>
      </c>
      <c r="CC40">
        <v>0</v>
      </c>
      <c r="CD40">
        <v>0</v>
      </c>
      <c r="CE40">
        <v>0</v>
      </c>
      <c r="CF40">
        <v>0</v>
      </c>
      <c r="CH40" t="str">
        <f t="shared" si="0"/>
        <v>/*156*/ 111  1 2.4423470353692 2.23857976301813 2.65675690671466 6.09582456243222 5.88332238848828 6.08221891037645 7.12205988162914 0.291923066709035 1.68639895357023 1.41415268924829 1.24932850604673 1.46626014275777 0.903813210363043 0.209450224182207 0.176471143115779 0.142367241286922 0.179818426575836 0.113328685307003 0.431782416425538 0.418710334858185 0.262364264467491 0.431782416425538 2.88591740754678 1.25276296849537 1.79175946922805 2.14006616349627 2.77258872223978 1.25276296849537 4.42484663185681 0 4.45434729625351 4.42484663185681 0.179818426575836 0.242161557149972 0.265436463504461 0.236651901339002 0.178146185383474 0.350656871613169 0.444685821261446 0.587786664902119 0.587786664902119 4.15103990589865 0.22314355131421 3.25809653802148 2.60268968544438 0 2.60268968544438 4.15103990589865 0.605953968857568 2.87169849263054 0.810930216216329 0 0.559615787935423 0.511025603768657 0.733809162278835 0 0.22314355131421 0 7.97349680188535E-02 0.22314355131421 0.693147180559945 0.693147180559945 0.559615787935423 0.559615787935423 0.22314355131421 0.693147180559945 0.511025603768657 3.40674861170048 3.93182563272433 3.08342258668098 3.43398720448515 0.459321780898875 1.32919476907932 1.15404699555621 4.58723022285543 0 0 0 0 0;</v>
      </c>
    </row>
    <row r="41" spans="1:86" x14ac:dyDescent="0.25">
      <c r="A41">
        <v>157</v>
      </c>
      <c r="B41">
        <v>1</v>
      </c>
      <c r="C41">
        <v>1</v>
      </c>
      <c r="D41">
        <v>1</v>
      </c>
      <c r="E41">
        <v>2.7600099400329201</v>
      </c>
      <c r="F41">
        <v>2.2192034840549901</v>
      </c>
      <c r="G41">
        <v>2.4680995314716201</v>
      </c>
      <c r="H41">
        <v>7.13966033596492</v>
      </c>
      <c r="I41">
        <v>7.1412451223504902</v>
      </c>
      <c r="J41">
        <v>6.6908422774185601</v>
      </c>
      <c r="K41">
        <v>8.1098262760184792</v>
      </c>
      <c r="L41">
        <v>1.35273757759105</v>
      </c>
      <c r="M41">
        <v>2.1575593209437902</v>
      </c>
      <c r="N41">
        <v>1.90210752639692</v>
      </c>
      <c r="O41">
        <v>1.5867832218692901</v>
      </c>
      <c r="P41">
        <v>1.9089497366394601</v>
      </c>
      <c r="Q41">
        <v>1.2047724844965</v>
      </c>
      <c r="R41">
        <v>0.30821972366932898</v>
      </c>
      <c r="S41">
        <v>0.30084505897806202</v>
      </c>
      <c r="T41">
        <v>0.45995329339223401</v>
      </c>
      <c r="U41">
        <v>0.35907206853845403</v>
      </c>
      <c r="V41">
        <v>0.16889853646181399</v>
      </c>
      <c r="W41">
        <v>0.47000362924573602</v>
      </c>
      <c r="X41">
        <v>0.50077528791248904</v>
      </c>
      <c r="Y41">
        <v>0.58778666490211895</v>
      </c>
      <c r="Z41">
        <v>0.58778666490211895</v>
      </c>
      <c r="AA41">
        <v>2.6601196673446599</v>
      </c>
      <c r="AB41">
        <v>0</v>
      </c>
      <c r="AC41">
        <v>3.84658808264264</v>
      </c>
      <c r="AD41">
        <v>0</v>
      </c>
      <c r="AE41">
        <v>3.84658808264264</v>
      </c>
      <c r="AF41">
        <v>0</v>
      </c>
      <c r="AG41">
        <v>3.9318256327243302</v>
      </c>
      <c r="AH41">
        <v>1.64229224930505</v>
      </c>
      <c r="AI41">
        <v>4.0103649484268296</v>
      </c>
      <c r="AJ41">
        <v>3.9318256327243302</v>
      </c>
      <c r="AK41">
        <v>0.21672298351128699</v>
      </c>
      <c r="AL41">
        <v>0.17814618538347399</v>
      </c>
      <c r="AM41">
        <v>9.3490343087339001E-2</v>
      </c>
      <c r="AN41">
        <v>0.16381808522939501</v>
      </c>
      <c r="AO41">
        <v>0.18315454309784701</v>
      </c>
      <c r="AP41">
        <v>0.741937344729377</v>
      </c>
      <c r="AQ41">
        <v>0.322083499169113</v>
      </c>
      <c r="AR41">
        <v>0.157003748809665</v>
      </c>
      <c r="AS41">
        <v>0.741937344729377</v>
      </c>
      <c r="AT41">
        <v>2.2335565065836098</v>
      </c>
      <c r="AU41">
        <v>0.42002525943949398</v>
      </c>
      <c r="AV41">
        <v>2.6026896854443802</v>
      </c>
      <c r="AW41">
        <v>2.6026896854443802</v>
      </c>
      <c r="AX41">
        <v>4.4830025520138799</v>
      </c>
      <c r="AY41">
        <v>3.6506582412937401</v>
      </c>
      <c r="AZ41">
        <v>3.9318256327243302</v>
      </c>
      <c r="BA41">
        <v>0.51102560376865702</v>
      </c>
      <c r="BB41">
        <v>3.2580965380214799</v>
      </c>
      <c r="BC41">
        <v>0</v>
      </c>
      <c r="BD41">
        <v>0.22314355131420999</v>
      </c>
      <c r="BE41">
        <v>0</v>
      </c>
      <c r="BF41">
        <v>7.9734968018853505E-2</v>
      </c>
      <c r="BG41">
        <v>0.25619140536041002</v>
      </c>
      <c r="BH41">
        <v>0.22314355131420999</v>
      </c>
      <c r="BI41">
        <v>0.405465108108164</v>
      </c>
      <c r="BJ41">
        <v>0.69314718055994495</v>
      </c>
      <c r="BK41">
        <v>0.45932178089887499</v>
      </c>
      <c r="BL41">
        <v>0.69314718055994495</v>
      </c>
      <c r="BM41">
        <v>0.81093021621632899</v>
      </c>
      <c r="BN41">
        <v>0</v>
      </c>
      <c r="BO41">
        <v>0.55961578793542299</v>
      </c>
      <c r="BP41">
        <v>0.81093021621632899</v>
      </c>
      <c r="BQ41">
        <v>0.69314718055994495</v>
      </c>
      <c r="BR41">
        <v>1.0116009116784801</v>
      </c>
      <c r="BS41">
        <v>0.84715499303929298</v>
      </c>
      <c r="BT41">
        <v>3.0834225866809799</v>
      </c>
      <c r="BU41">
        <v>4.0831656436306698</v>
      </c>
      <c r="BV41">
        <v>3.0834225866809799</v>
      </c>
      <c r="BW41">
        <v>3.6506582412937401</v>
      </c>
      <c r="BX41">
        <v>0.34854196070854299</v>
      </c>
      <c r="BY41">
        <v>4.1876071926817904</v>
      </c>
      <c r="BZ41">
        <v>2.8232818365552999</v>
      </c>
      <c r="CA41">
        <v>3.58726192473494</v>
      </c>
      <c r="CB41">
        <v>0</v>
      </c>
      <c r="CC41">
        <v>0</v>
      </c>
      <c r="CD41">
        <v>0</v>
      </c>
      <c r="CE41">
        <v>0</v>
      </c>
      <c r="CF41">
        <v>0</v>
      </c>
      <c r="CH41" t="str">
        <f t="shared" si="0"/>
        <v>/*157*/ 111  1 2.76000994003292 2.21920348405499 2.46809953147162 7.13966033596492 7.14124512235049 6.69084227741856 8.10982627601848 1.35273757759105 2.15755932094379 1.90210752639692 1.58678322186929 1.90894973663946 1.2047724844965 0.308219723669329 0.300845058978062 0.459953293392234 0.359072068538454 0.168898536461814 0.470003629245736 0.500775287912489 0.587786664902119 0.587786664902119 2.66011966734466 0 3.84658808264264 0 3.84658808264264 0 3.93182563272433 1.64229224930505 4.01036494842683 3.93182563272433 0.216722983511287 0.178146185383474 0.093490343087339 0.163818085229395 0.183154543097847 0.741937344729377 0.322083499169113 0.157003748809665 0.741937344729377 2.23355650658361 0.420025259439494 2.60268968544438 2.60268968544438 4.48300255201388 3.65065824129374 3.93182563272433 0.511025603768657 3.25809653802148 0 0.22314355131421 0 7.97349680188535E-02 0.25619140536041 0.22314355131421 0.405465108108164 0.693147180559945 0.459321780898875 0.693147180559945 0.810930216216329 0 0.559615787935423 0.810930216216329 0.693147180559945 1.01160091167848 0.847154993039293 3.08342258668098 4.08316564363067 3.08342258668098 3.65065824129374 0.348541960708543 4.18760719268179 2.8232818365553 3.58726192473494 0 0 0 0 0;</v>
      </c>
    </row>
    <row r="42" spans="1:86" x14ac:dyDescent="0.25">
      <c r="A42">
        <v>163</v>
      </c>
      <c r="B42">
        <v>1</v>
      </c>
      <c r="C42">
        <v>1</v>
      </c>
      <c r="D42">
        <v>1</v>
      </c>
      <c r="E42">
        <v>2.8332133440562202</v>
      </c>
      <c r="F42">
        <v>2.2512917986065002</v>
      </c>
      <c r="G42">
        <v>2.4239173781615699</v>
      </c>
      <c r="H42">
        <v>6.4232469635335203</v>
      </c>
      <c r="I42">
        <v>6.3153580015223296</v>
      </c>
      <c r="J42">
        <v>5.9989365619466799</v>
      </c>
      <c r="K42">
        <v>7.35883089834235</v>
      </c>
      <c r="L42">
        <v>1.2264189931557701</v>
      </c>
      <c r="M42">
        <v>1.6268848260378199</v>
      </c>
      <c r="N42">
        <v>1.7116334247487699</v>
      </c>
      <c r="O42">
        <v>1.68880346781484</v>
      </c>
      <c r="P42">
        <v>1.6763486177167299</v>
      </c>
      <c r="Q42">
        <v>0.90300283754721999</v>
      </c>
      <c r="R42">
        <v>0.26159473768846198</v>
      </c>
      <c r="S42">
        <v>0.116003675756306</v>
      </c>
      <c r="T42">
        <v>0.28743204119657201</v>
      </c>
      <c r="U42">
        <v>0.221542269947236</v>
      </c>
      <c r="V42">
        <v>0.18564934688662901</v>
      </c>
      <c r="W42">
        <v>0.63127177684185798</v>
      </c>
      <c r="X42">
        <v>0.231111720963387</v>
      </c>
      <c r="Y42">
        <v>0.59883650108870401</v>
      </c>
      <c r="Z42">
        <v>0.63127177684185798</v>
      </c>
      <c r="AA42">
        <v>2.9207392945125599</v>
      </c>
      <c r="AB42">
        <v>0</v>
      </c>
      <c r="AC42">
        <v>2.2914230282878498</v>
      </c>
      <c r="AD42">
        <v>0</v>
      </c>
      <c r="AE42">
        <v>2.2914230282878498</v>
      </c>
      <c r="AF42">
        <v>1.17000228475478</v>
      </c>
      <c r="AG42">
        <v>4.4985755758154502</v>
      </c>
      <c r="AH42">
        <v>0</v>
      </c>
      <c r="AI42">
        <v>4.5229943715257299</v>
      </c>
      <c r="AJ42">
        <v>4.4985755758154502</v>
      </c>
      <c r="AK42">
        <v>8.8010877322713399E-2</v>
      </c>
      <c r="AL42">
        <v>0.18315454309784701</v>
      </c>
      <c r="AM42">
        <v>0.11064652008706399</v>
      </c>
      <c r="AN42">
        <v>0.12663265093336601</v>
      </c>
      <c r="AO42">
        <v>0.12575120530556</v>
      </c>
      <c r="AP42">
        <v>0.385262400790645</v>
      </c>
      <c r="AQ42">
        <v>0.35767444427181599</v>
      </c>
      <c r="AR42">
        <v>0.350656871613169</v>
      </c>
      <c r="AS42">
        <v>0.385262400790645</v>
      </c>
      <c r="AT42">
        <v>3.2580965380214799</v>
      </c>
      <c r="AU42">
        <v>0.31845373111853498</v>
      </c>
      <c r="AV42">
        <v>4.1510399058986502</v>
      </c>
      <c r="AW42">
        <v>0</v>
      </c>
      <c r="AX42">
        <v>3.9318256327243302</v>
      </c>
      <c r="AY42">
        <v>3.6506582412937401</v>
      </c>
      <c r="AZ42">
        <v>3.6506582412937401</v>
      </c>
      <c r="BA42">
        <v>1.07055569088558</v>
      </c>
      <c r="BB42">
        <v>4.0831656436306698</v>
      </c>
      <c r="BC42">
        <v>0</v>
      </c>
      <c r="BD42">
        <v>0.31845373111853498</v>
      </c>
      <c r="BE42">
        <v>0</v>
      </c>
      <c r="BF42">
        <v>0.117783035656383</v>
      </c>
      <c r="BG42">
        <v>0.405465108108164</v>
      </c>
      <c r="BH42">
        <v>0</v>
      </c>
      <c r="BI42">
        <v>0</v>
      </c>
      <c r="BJ42">
        <v>0</v>
      </c>
      <c r="BK42">
        <v>0</v>
      </c>
      <c r="BL42">
        <v>0.55961578793542299</v>
      </c>
      <c r="BM42">
        <v>0.69314718055994495</v>
      </c>
      <c r="BN42">
        <v>0.22314355131420999</v>
      </c>
      <c r="BO42">
        <v>0.51102560376865702</v>
      </c>
      <c r="BP42">
        <v>0.916290731874155</v>
      </c>
      <c r="BQ42">
        <v>0.405465108108164</v>
      </c>
      <c r="BR42">
        <v>1.3217558399823199</v>
      </c>
      <c r="BS42">
        <v>0.94895151411370304</v>
      </c>
      <c r="BT42">
        <v>3.2580965380214799</v>
      </c>
      <c r="BU42">
        <v>4.0103649484268296</v>
      </c>
      <c r="BV42">
        <v>3.0834225866809799</v>
      </c>
      <c r="BW42">
        <v>3.5177351979101101</v>
      </c>
      <c r="BX42">
        <v>0.405465108108164</v>
      </c>
      <c r="BY42">
        <v>3.3386479920013099</v>
      </c>
      <c r="BZ42">
        <v>2.66514270009093</v>
      </c>
      <c r="CA42">
        <v>4.3016161510457298</v>
      </c>
      <c r="CB42">
        <v>0</v>
      </c>
      <c r="CC42">
        <v>0</v>
      </c>
      <c r="CD42">
        <v>0</v>
      </c>
      <c r="CE42">
        <v>0</v>
      </c>
      <c r="CF42">
        <v>0</v>
      </c>
      <c r="CH42" t="str">
        <f t="shared" si="0"/>
        <v>/*163*/ 111  1 2.83321334405622 2.2512917986065 2.42391737816157 6.42324696353352 6.31535800152233 5.99893656194668 7.35883089834235 1.22641899315577 1.62688482603782 1.71163342474877 1.68880346781484 1.67634861771673 0.90300283754722 0.261594737688462 0.116003675756306 0.287432041196572 0.221542269947236 0.185649346886629 0.631271776841858 0.231111720963387 0.598836501088704 0.631271776841858 2.92073929451256 0 2.29142302828785 0 2.29142302828785 1.17000228475478 4.49857557581545 0 4.52299437152573 4.49857557581545 8.80108773227134E-02 0.183154543097847 0.110646520087064 0.126632650933366 0.12575120530556 0.385262400790645 0.357674444271816 0.350656871613169 0.385262400790645 3.25809653802148 0.318453731118535 4.15103990589865 0 3.93182563272433 3.65065824129374 3.65065824129374 1.07055569088558 4.08316564363067 0 0.318453731118535 0 0.117783035656383 0.405465108108164 0 0 0 0 0.559615787935423 0.693147180559945 0.22314355131421 0.511025603768657 0.916290731874155 0.405465108108164 1.32175583998232 0.948951514113703 3.25809653802148 4.01036494842683 3.08342258668098 3.51773519791011 0.405465108108164 3.33864799200131 2.66514270009093 4.30161615104573 0 0 0 0 0;</v>
      </c>
    </row>
    <row r="43" spans="1:86" x14ac:dyDescent="0.25">
      <c r="A43">
        <v>170</v>
      </c>
      <c r="B43">
        <v>0</v>
      </c>
      <c r="C43">
        <v>0</v>
      </c>
      <c r="D43">
        <v>0</v>
      </c>
      <c r="E43">
        <v>2.7472709142554899</v>
      </c>
      <c r="F43">
        <v>2.2834022735772699</v>
      </c>
      <c r="G43">
        <v>2.2935443483419</v>
      </c>
      <c r="H43">
        <v>5.3844950627890897</v>
      </c>
      <c r="I43">
        <v>4.8598124043616702</v>
      </c>
      <c r="J43">
        <v>5.3981627015177498</v>
      </c>
      <c r="K43">
        <v>6.3385940782031804</v>
      </c>
      <c r="L43">
        <v>0</v>
      </c>
      <c r="M43">
        <v>1.0473189942805601</v>
      </c>
      <c r="N43">
        <v>0.993251773010283</v>
      </c>
      <c r="O43">
        <v>1.09460426727057</v>
      </c>
      <c r="P43">
        <v>1.0459144996676599</v>
      </c>
      <c r="Q43">
        <v>0.586674936049429</v>
      </c>
      <c r="R43">
        <v>0.131028262406404</v>
      </c>
      <c r="S43">
        <v>0.111541374732907</v>
      </c>
      <c r="T43">
        <v>8.8926209194401501E-2</v>
      </c>
      <c r="U43">
        <v>0.11064652008706399</v>
      </c>
      <c r="V43">
        <v>6.9526062648610304E-2</v>
      </c>
      <c r="W43">
        <v>0.262364264467491</v>
      </c>
      <c r="X43">
        <v>0.21511137961694499</v>
      </c>
      <c r="Y43">
        <v>0.148420005118273</v>
      </c>
      <c r="Z43">
        <v>0.262364264467491</v>
      </c>
      <c r="AA43">
        <v>2.8226281058096401</v>
      </c>
      <c r="AB43">
        <v>0</v>
      </c>
      <c r="AC43">
        <v>3.5361069907765299</v>
      </c>
      <c r="AD43">
        <v>0</v>
      </c>
      <c r="AE43">
        <v>3.5361069907765299</v>
      </c>
      <c r="AF43">
        <v>0</v>
      </c>
      <c r="AG43">
        <v>4.2145986164699201</v>
      </c>
      <c r="AH43">
        <v>0</v>
      </c>
      <c r="AI43">
        <v>4.2145986164699201</v>
      </c>
      <c r="AJ43">
        <v>4.2145986164699201</v>
      </c>
      <c r="AK43">
        <v>8.7094706850933706E-2</v>
      </c>
      <c r="AL43">
        <v>7.2320661579626105E-2</v>
      </c>
      <c r="AM43">
        <v>9.1667188525823895E-2</v>
      </c>
      <c r="AN43">
        <v>8.4341148433750998E-2</v>
      </c>
      <c r="AO43">
        <v>8.4341148433750998E-2</v>
      </c>
      <c r="AP43">
        <v>0.25464221837358098</v>
      </c>
      <c r="AQ43">
        <v>0.20701416938432601</v>
      </c>
      <c r="AR43">
        <v>0.22314355131420999</v>
      </c>
      <c r="AS43">
        <v>0.25464221837358098</v>
      </c>
      <c r="AT43">
        <v>0</v>
      </c>
      <c r="AU43">
        <v>0.377065633586466</v>
      </c>
      <c r="AV43">
        <v>4.3307333402863302</v>
      </c>
      <c r="AW43">
        <v>3.9318256327243302</v>
      </c>
      <c r="AX43">
        <v>3.6506582412937401</v>
      </c>
      <c r="AY43">
        <v>4.0103649484268296</v>
      </c>
      <c r="AZ43">
        <v>4.0103649484268296</v>
      </c>
      <c r="BA43">
        <v>0.60595396885756803</v>
      </c>
      <c r="BB43">
        <v>3.5361069907765299</v>
      </c>
      <c r="BC43">
        <v>0.405465108108164</v>
      </c>
      <c r="BD43">
        <v>0.48550781578170099</v>
      </c>
      <c r="BE43">
        <v>0.405465108108164</v>
      </c>
      <c r="BF43">
        <v>0.433080275141138</v>
      </c>
      <c r="BG43">
        <v>0.405465108108164</v>
      </c>
      <c r="BH43">
        <v>0.22314355131420999</v>
      </c>
      <c r="BI43">
        <v>0</v>
      </c>
      <c r="BJ43">
        <v>0</v>
      </c>
      <c r="BK43">
        <v>7.9734968018853505E-2</v>
      </c>
      <c r="BL43">
        <v>0.405465108108164</v>
      </c>
      <c r="BM43">
        <v>0.81093021621632899</v>
      </c>
      <c r="BN43">
        <v>0.55961578793542299</v>
      </c>
      <c r="BO43">
        <v>0.60595396885756803</v>
      </c>
      <c r="BP43">
        <v>0.55961578793542299</v>
      </c>
      <c r="BQ43">
        <v>0.405465108108164</v>
      </c>
      <c r="BR43">
        <v>0.405465108108164</v>
      </c>
      <c r="BS43">
        <v>0.45932178089887499</v>
      </c>
      <c r="BT43">
        <v>3.5361069907765299</v>
      </c>
      <c r="BU43">
        <v>4.1510399058986502</v>
      </c>
      <c r="BV43">
        <v>1.64229224930505</v>
      </c>
      <c r="BW43">
        <v>3.30505352110925</v>
      </c>
      <c r="BX43">
        <v>0.48550781578170099</v>
      </c>
      <c r="BY43">
        <v>1.7056567701746399</v>
      </c>
      <c r="BZ43">
        <v>1.4922297115285601</v>
      </c>
      <c r="CA43">
        <v>4.5694911935310696</v>
      </c>
      <c r="CB43">
        <v>0</v>
      </c>
      <c r="CC43">
        <v>0</v>
      </c>
      <c r="CD43">
        <v>0</v>
      </c>
      <c r="CE43">
        <v>0</v>
      </c>
      <c r="CF43">
        <v>0</v>
      </c>
      <c r="CH43" t="str">
        <f t="shared" si="0"/>
        <v>/*170*/ 000  1 2.74727091425549 2.28340227357727 2.2935443483419 5.38449506278909 4.85981240436167 5.39816270151775 6.33859407820318 0 1.04731899428056 0.993251773010283 1.09460426727057 1.04591449966766 0.586674936049429 0.131028262406404 0.111541374732907 8.89262091944015E-02 0.110646520087064 6.95260626486103E-02 0.262364264467491 0.215111379616945 0.148420005118273 0.262364264467491 2.82262810580964 0 3.53610699077653 0 3.53610699077653 0 4.21459861646992 0 4.21459861646992 4.21459861646992 8.70947068509337E-02 7.23206615796261E-02 9.16671885258239E-02 0.084341148433751 0.084341148433751 0.254642218373581 0.207014169384326 0.22314355131421 0.254642218373581 0 0.377065633586466 4.33073334028633 3.93182563272433 3.65065824129374 4.01036494842683 4.01036494842683 0.605953968857568 3.53610699077653 0.405465108108164 0.485507815781701 0.405465108108164 0.433080275141138 0.405465108108164 0.22314355131421 0 0 7.97349680188535E-02 0.405465108108164 0.810930216216329 0.559615787935423 0.605953968857568 0.559615787935423 0.405465108108164 0.405465108108164 0.459321780898875 3.53610699077653 4.15103990589865 1.64229224930505 3.30505352110925 0.485507815781701 1.70565677017464 1.49222971152856 4.56949119353107 0 0 0 0 0;</v>
      </c>
    </row>
    <row r="44" spans="1:86" x14ac:dyDescent="0.25">
      <c r="A44" t="s">
        <v>4</v>
      </c>
      <c r="B44">
        <v>1</v>
      </c>
      <c r="C44">
        <v>1</v>
      </c>
      <c r="D44">
        <v>1</v>
      </c>
      <c r="E44">
        <v>2.58021682959233</v>
      </c>
      <c r="F44">
        <v>2.2267833795777601</v>
      </c>
      <c r="G44">
        <v>2.5494451709255701</v>
      </c>
      <c r="H44">
        <v>6.2690962837062596</v>
      </c>
      <c r="I44">
        <v>6.0258659738253098</v>
      </c>
      <c r="J44">
        <v>6.3750248198281003</v>
      </c>
      <c r="K44">
        <v>7.3310603052186298</v>
      </c>
      <c r="L44">
        <v>0.57997848245430705</v>
      </c>
      <c r="M44">
        <v>1.0473189942805601</v>
      </c>
      <c r="N44">
        <v>1.0473189942805601</v>
      </c>
      <c r="O44">
        <v>1.6120345382813701</v>
      </c>
      <c r="P44">
        <v>1.27284566861231</v>
      </c>
      <c r="Q44">
        <v>0.84844006496598101</v>
      </c>
      <c r="R44">
        <v>0.2390169004705</v>
      </c>
      <c r="S44">
        <v>0.15272108701766399</v>
      </c>
      <c r="T44">
        <v>0.45488999143568698</v>
      </c>
      <c r="U44">
        <v>0.29192306670903501</v>
      </c>
      <c r="V44">
        <v>0.18979357163265601</v>
      </c>
      <c r="W44">
        <v>0.405465108108164</v>
      </c>
      <c r="X44">
        <v>0.231111720963387</v>
      </c>
      <c r="Y44">
        <v>0.57661336430399401</v>
      </c>
      <c r="Z44">
        <v>0.57661336430399401</v>
      </c>
      <c r="AA44">
        <v>2.1488509930520001</v>
      </c>
      <c r="AB44">
        <v>0</v>
      </c>
      <c r="AC44">
        <v>3.8010914447208601</v>
      </c>
      <c r="AD44">
        <v>2.9831534913471298</v>
      </c>
      <c r="AE44">
        <v>4.1510399058986502</v>
      </c>
      <c r="AF44">
        <v>2.3393990661167599</v>
      </c>
      <c r="AG44">
        <v>3.37159691188586</v>
      </c>
      <c r="AH44">
        <v>0</v>
      </c>
      <c r="AI44">
        <v>3.6506582412937401</v>
      </c>
      <c r="AJ44">
        <v>3.8010914447208601</v>
      </c>
      <c r="AK44">
        <v>0.27763173659828</v>
      </c>
      <c r="AL44">
        <v>0.44211842575619997</v>
      </c>
      <c r="AM44">
        <v>4.8790164169432E-2</v>
      </c>
      <c r="AN44">
        <v>0.26849925303500699</v>
      </c>
      <c r="AO44">
        <v>0.25928259793008301</v>
      </c>
      <c r="AP44">
        <v>0.741937344729377</v>
      </c>
      <c r="AQ44">
        <v>0.636576829071551</v>
      </c>
      <c r="AR44">
        <v>8.6177696241052398E-2</v>
      </c>
      <c r="AS44">
        <v>0.741937344729377</v>
      </c>
      <c r="AT44">
        <v>3.2580965380214799</v>
      </c>
      <c r="AU44">
        <v>0.34854196070854299</v>
      </c>
      <c r="AV44">
        <v>0</v>
      </c>
      <c r="AW44">
        <v>0</v>
      </c>
      <c r="AX44">
        <v>4.6151205168412597</v>
      </c>
      <c r="AY44">
        <v>3.5361069907765299</v>
      </c>
      <c r="AZ44">
        <v>3.7534257877209898</v>
      </c>
      <c r="BA44">
        <v>0.34854196070854299</v>
      </c>
      <c r="BB44">
        <v>2.2335565065836098</v>
      </c>
      <c r="BC44">
        <v>0</v>
      </c>
      <c r="BD44">
        <v>0</v>
      </c>
      <c r="BE44">
        <v>0.22314355131420999</v>
      </c>
      <c r="BF44">
        <v>7.9734968018853505E-2</v>
      </c>
      <c r="BG44">
        <v>0.117783035656383</v>
      </c>
      <c r="BH44">
        <v>0.22314355131420999</v>
      </c>
      <c r="BI44">
        <v>0.81093021621632899</v>
      </c>
      <c r="BJ44">
        <v>0.22314355131420999</v>
      </c>
      <c r="BK44">
        <v>0.45932178089887499</v>
      </c>
      <c r="BL44">
        <v>0</v>
      </c>
      <c r="BM44">
        <v>0</v>
      </c>
      <c r="BN44">
        <v>0</v>
      </c>
      <c r="BO44">
        <v>0</v>
      </c>
      <c r="BP44">
        <v>0.55961578793542299</v>
      </c>
      <c r="BQ44">
        <v>0.22314355131420999</v>
      </c>
      <c r="BR44">
        <v>1.5581446180465499</v>
      </c>
      <c r="BS44">
        <v>0.94895151411370304</v>
      </c>
      <c r="BT44">
        <v>2.2335565065836098</v>
      </c>
      <c r="BU44">
        <v>4.2145986164699201</v>
      </c>
      <c r="BV44">
        <v>3.0834225866809799</v>
      </c>
      <c r="BW44">
        <v>3.6590901253031798</v>
      </c>
      <c r="BX44">
        <v>0</v>
      </c>
      <c r="BY44">
        <v>4.6151205168412597</v>
      </c>
      <c r="BZ44">
        <v>0</v>
      </c>
      <c r="CA44">
        <v>0</v>
      </c>
      <c r="CB44">
        <v>0</v>
      </c>
      <c r="CC44">
        <v>0</v>
      </c>
      <c r="CD44">
        <v>0</v>
      </c>
      <c r="CE44">
        <v>0</v>
      </c>
      <c r="CF44">
        <v>0</v>
      </c>
      <c r="CH44" t="str">
        <f t="shared" si="0"/>
        <v>/*14b*/ 111  1 2.58021682959233 2.22678337957776 2.54944517092557 6.26909628370626 6.02586597382531 6.3750248198281 7.33106030521863 0.579978482454307 1.04731899428056 1.04731899428056 1.61203453828137 1.27284566861231 0.848440064965981 0.2390169004705 0.152721087017664 0.454889991435687 0.291923066709035 0.189793571632656 0.405465108108164 0.231111720963387 0.576613364303994 0.576613364303994 2.148850993052 0 3.80109144472086 2.98315349134713 4.15103990589865 2.33939906611676 3.37159691188586 0 3.65065824129374 3.80109144472086 0.27763173659828 0.4421184257562 0.048790164169432 0.268499253035007 0.259282597930083 0.741937344729377 0.636576829071551 8.61776962410524E-02 0.741937344729377 3.25809653802148 0.348541960708543 0 0 4.61512051684126 3.53610699077653 3.75342578772099 0.348541960708543 2.23355650658361 0 0 0.22314355131421 7.97349680188535E-02 0.117783035656383 0.22314355131421 0.810930216216329 0.22314355131421 0.459321780898875 0 0 0 0 0.559615787935423 0.22314355131421 1.55814461804655 0.948951514113703 2.23355650658361 4.21459861646992 3.08342258668098 3.65909012530318 0 4.61512051684126 0 0 0 0 0 0 0;</v>
      </c>
    </row>
    <row r="45" spans="1:86" x14ac:dyDescent="0.25">
      <c r="A45" t="s">
        <v>5</v>
      </c>
      <c r="B45">
        <v>0</v>
      </c>
      <c r="C45">
        <v>0</v>
      </c>
      <c r="D45">
        <v>0</v>
      </c>
      <c r="E45">
        <v>2.94968833505258</v>
      </c>
      <c r="F45">
        <v>2.26488322581003</v>
      </c>
      <c r="G45">
        <v>2.57718192589717</v>
      </c>
      <c r="H45">
        <v>6.0935697700451401</v>
      </c>
      <c r="I45">
        <v>6.2225762680713697</v>
      </c>
      <c r="J45">
        <v>6.0520891689244198</v>
      </c>
      <c r="K45">
        <v>7.2225660188221701</v>
      </c>
      <c r="L45">
        <v>0</v>
      </c>
      <c r="M45">
        <v>1.10293626014816</v>
      </c>
      <c r="N45">
        <v>1.1275236321625299</v>
      </c>
      <c r="O45">
        <v>1.0473189942805601</v>
      </c>
      <c r="P45">
        <v>1.09292950553261</v>
      </c>
      <c r="Q45">
        <v>0.250758718347183</v>
      </c>
      <c r="R45">
        <v>0.19967019512856801</v>
      </c>
      <c r="S45">
        <v>0.279145741429495</v>
      </c>
      <c r="T45">
        <v>0.34358970439007702</v>
      </c>
      <c r="U45">
        <v>0.26466929814270801</v>
      </c>
      <c r="V45">
        <v>0.114221144090023</v>
      </c>
      <c r="W45">
        <v>0.322083499169113</v>
      </c>
      <c r="X45">
        <v>0.39204208777602401</v>
      </c>
      <c r="Y45">
        <v>0.41871033485818498</v>
      </c>
      <c r="Z45">
        <v>0.41871033485818498</v>
      </c>
      <c r="AA45">
        <v>2.0198242248613298</v>
      </c>
      <c r="AB45">
        <v>0</v>
      </c>
      <c r="AC45">
        <v>2.82072391005426</v>
      </c>
      <c r="AD45">
        <v>1.2897834607390499</v>
      </c>
      <c r="AE45">
        <v>2.9663549548433101</v>
      </c>
      <c r="AF45">
        <v>2.82072391005426</v>
      </c>
      <c r="AG45">
        <v>4.2015383963242199</v>
      </c>
      <c r="AH45">
        <v>0</v>
      </c>
      <c r="AI45">
        <v>4.4137554109150203</v>
      </c>
      <c r="AJ45">
        <v>4.2015383963242199</v>
      </c>
      <c r="AK45">
        <v>0.32135859881116502</v>
      </c>
      <c r="AL45">
        <v>0.227135572583747</v>
      </c>
      <c r="AM45">
        <v>0.28065745751481702</v>
      </c>
      <c r="AN45">
        <v>0.27002713721305999</v>
      </c>
      <c r="AO45">
        <v>0.17981842657583599</v>
      </c>
      <c r="AP45">
        <v>0.57097954658573802</v>
      </c>
      <c r="AQ45">
        <v>0.45742484703887498</v>
      </c>
      <c r="AR45">
        <v>0.60431596685333</v>
      </c>
      <c r="AS45">
        <v>0.60431596685333</v>
      </c>
      <c r="AT45">
        <v>2.2335565065836098</v>
      </c>
      <c r="AU45">
        <v>0.64867269045811604</v>
      </c>
      <c r="AV45">
        <v>0</v>
      </c>
      <c r="AW45">
        <v>0</v>
      </c>
      <c r="AX45">
        <v>0</v>
      </c>
      <c r="AY45">
        <v>0</v>
      </c>
      <c r="AZ45">
        <v>4.4830025520138799</v>
      </c>
      <c r="BA45">
        <v>0.77334372255422201</v>
      </c>
      <c r="BB45">
        <v>3.2580965380214799</v>
      </c>
      <c r="BC45">
        <v>0</v>
      </c>
      <c r="BD45">
        <v>0</v>
      </c>
      <c r="BE45">
        <v>0</v>
      </c>
      <c r="BF45">
        <v>0</v>
      </c>
      <c r="BG45">
        <v>0.15443635330441899</v>
      </c>
      <c r="BH45">
        <v>0.69314718055994495</v>
      </c>
      <c r="BI45">
        <v>0.69314718055994495</v>
      </c>
      <c r="BJ45">
        <v>0.69314718055994495</v>
      </c>
      <c r="BK45">
        <v>0.69314718055994495</v>
      </c>
      <c r="BL45">
        <v>0.22314355131420999</v>
      </c>
      <c r="BM45">
        <v>0</v>
      </c>
      <c r="BN45">
        <v>0.405465108108164</v>
      </c>
      <c r="BO45">
        <v>0.22314355131420999</v>
      </c>
      <c r="BP45">
        <v>0.405465108108164</v>
      </c>
      <c r="BQ45">
        <v>0.405465108108164</v>
      </c>
      <c r="BR45">
        <v>0.22314355131420999</v>
      </c>
      <c r="BS45">
        <v>0.34854196070854299</v>
      </c>
      <c r="BT45">
        <v>0</v>
      </c>
      <c r="BU45">
        <v>4.5290124221383596</v>
      </c>
      <c r="BV45">
        <v>2.2335565065836098</v>
      </c>
      <c r="BW45">
        <v>3.7084859837528499</v>
      </c>
      <c r="BX45">
        <v>0.34854196070854299</v>
      </c>
      <c r="BY45">
        <v>4.5426882153667698</v>
      </c>
      <c r="BZ45">
        <v>1.95854428687288</v>
      </c>
      <c r="CA45">
        <v>2.0865412787950599</v>
      </c>
      <c r="CB45">
        <v>0</v>
      </c>
      <c r="CC45">
        <v>0</v>
      </c>
      <c r="CD45">
        <v>0</v>
      </c>
      <c r="CE45">
        <v>0</v>
      </c>
      <c r="CF45">
        <v>0</v>
      </c>
      <c r="CH45" t="str">
        <f t="shared" si="0"/>
        <v>/*32b*/ 000  1 2.94968833505258 2.26488322581003 2.57718192589717 6.09356977004514 6.22257626807137 6.05208916892442 7.22256601882217 0 1.10293626014816 1.12752363216253 1.04731899428056 1.09292950553261 0.250758718347183 0.199670195128568 0.279145741429495 0.343589704390077 0.264669298142708 0.114221144090023 0.322083499169113 0.392042087776024 0.418710334858185 0.418710334858185 2.01982422486133 0 2.82072391005426 1.28978346073905 2.96635495484331 2.82072391005426 4.20153839632422 0 4.41375541091502 4.20153839632422 0.321358598811165 0.227135572583747 0.280657457514817 0.27002713721306 0.179818426575836 0.570979546585738 0.457424847038875 0.60431596685333 0.60431596685333 2.23355650658361 0.648672690458116 0 0 0 0 4.48300255201388 0.773343722554222 3.25809653802148 0 0 0 0 0.154436353304419 0.693147180559945 0.693147180559945 0.693147180559945 0.693147180559945 0.22314355131421 0 0.405465108108164 0.22314355131421 0.405465108108164 0.405465108108164 0.22314355131421 0.348541960708543 0 4.52901242213836 2.23355650658361 3.70848598375285 0.348541960708543 4.54268821536677 1.95854428687288 2.08654127879506 0 0 0 0 0;</v>
      </c>
    </row>
    <row r="46" spans="1:86" x14ac:dyDescent="0.25">
      <c r="A46" t="s">
        <v>6</v>
      </c>
      <c r="B46">
        <v>0</v>
      </c>
      <c r="C46">
        <v>0</v>
      </c>
      <c r="D46">
        <v>0</v>
      </c>
      <c r="E46">
        <v>2.9177707320842798</v>
      </c>
      <c r="F46">
        <v>2.1961128484835299</v>
      </c>
      <c r="G46">
        <v>2.49155119250667</v>
      </c>
      <c r="H46">
        <v>6.0426328336823802</v>
      </c>
      <c r="I46">
        <v>6.3526293963195704</v>
      </c>
      <c r="J46">
        <v>6.9334230257307103</v>
      </c>
      <c r="K46">
        <v>7.6103576183128396</v>
      </c>
      <c r="L46">
        <v>0</v>
      </c>
      <c r="M46">
        <v>1.2202397767898101</v>
      </c>
      <c r="N46">
        <v>1.4141526892482901</v>
      </c>
      <c r="O46">
        <v>1.50961757715189</v>
      </c>
      <c r="P46">
        <v>1.3882923637825599</v>
      </c>
      <c r="Q46">
        <v>0.56871710218176796</v>
      </c>
      <c r="R46">
        <v>0.17479329037316299</v>
      </c>
      <c r="S46">
        <v>0.28141245943818499</v>
      </c>
      <c r="T46">
        <v>0.44404459007564001</v>
      </c>
      <c r="U46">
        <v>0.31042155942126998</v>
      </c>
      <c r="V46">
        <v>0.19803085049913499</v>
      </c>
      <c r="W46">
        <v>0.37843643572024499</v>
      </c>
      <c r="X46">
        <v>0.482426149244293</v>
      </c>
      <c r="Y46">
        <v>0.59883650108870401</v>
      </c>
      <c r="Z46">
        <v>0.59883650108870401</v>
      </c>
      <c r="AA46">
        <v>2.22516394602546</v>
      </c>
      <c r="AB46">
        <v>0</v>
      </c>
      <c r="AC46">
        <v>4.3710288804643396</v>
      </c>
      <c r="AD46">
        <v>1.41706601978664</v>
      </c>
      <c r="AE46">
        <v>4.4097633896454802</v>
      </c>
      <c r="AF46">
        <v>0</v>
      </c>
      <c r="AG46">
        <v>2.9831534913471298</v>
      </c>
      <c r="AH46">
        <v>0</v>
      </c>
      <c r="AI46">
        <v>2.9831534913471298</v>
      </c>
      <c r="AJ46">
        <v>4.3710288804643396</v>
      </c>
      <c r="AK46">
        <v>0.12839321476839899</v>
      </c>
      <c r="AL46">
        <v>0.14410034397375701</v>
      </c>
      <c r="AM46">
        <v>2.7615167032973401E-2</v>
      </c>
      <c r="AN46">
        <v>9.8939947854903607E-2</v>
      </c>
      <c r="AO46">
        <v>0.151002873536527</v>
      </c>
      <c r="AP46">
        <v>0.27763173659828</v>
      </c>
      <c r="AQ46">
        <v>0.57661336430399401</v>
      </c>
      <c r="AR46">
        <v>8.6177696241052398E-2</v>
      </c>
      <c r="AS46">
        <v>0.57661336430399401</v>
      </c>
      <c r="AT46">
        <v>2.6026896854443802</v>
      </c>
      <c r="AU46">
        <v>0.25619140536041002</v>
      </c>
      <c r="AV46">
        <v>2.6026896854443802</v>
      </c>
      <c r="AW46">
        <v>4.1510399058986502</v>
      </c>
      <c r="AX46">
        <v>4.6151205168412597</v>
      </c>
      <c r="AY46">
        <v>4.0831656436306698</v>
      </c>
      <c r="AZ46">
        <v>3.84658808264264</v>
      </c>
      <c r="BA46">
        <v>0.15443635330441899</v>
      </c>
      <c r="BB46">
        <v>2.2335565065836098</v>
      </c>
      <c r="BC46">
        <v>0.31845373111853498</v>
      </c>
      <c r="BD46">
        <v>0.48550781578170099</v>
      </c>
      <c r="BE46">
        <v>0.22314355131420999</v>
      </c>
      <c r="BF46">
        <v>0.34854196070854299</v>
      </c>
      <c r="BG46">
        <v>0.671923544108319</v>
      </c>
      <c r="BH46">
        <v>0</v>
      </c>
      <c r="BI46">
        <v>0.22314355131420999</v>
      </c>
      <c r="BJ46">
        <v>0</v>
      </c>
      <c r="BK46">
        <v>7.9734968018853505E-2</v>
      </c>
      <c r="BL46">
        <v>0</v>
      </c>
      <c r="BM46">
        <v>0</v>
      </c>
      <c r="BN46">
        <v>0</v>
      </c>
      <c r="BO46">
        <v>0</v>
      </c>
      <c r="BP46">
        <v>0.916290731874155</v>
      </c>
      <c r="BQ46">
        <v>1.1786549963416499</v>
      </c>
      <c r="BR46">
        <v>1.6094379124341001</v>
      </c>
      <c r="BS46">
        <v>1.27620043832282</v>
      </c>
      <c r="BT46">
        <v>2.2335565065836098</v>
      </c>
      <c r="BU46">
        <v>4.4830025520138799</v>
      </c>
      <c r="BV46">
        <v>1.64229224930505</v>
      </c>
      <c r="BW46">
        <v>3.6720638611853702</v>
      </c>
      <c r="BX46">
        <v>1.4271963524403199</v>
      </c>
      <c r="BY46">
        <v>4.12043457198184</v>
      </c>
      <c r="BZ46">
        <v>2.8286145505023099</v>
      </c>
      <c r="CA46">
        <v>3.6991762595913</v>
      </c>
      <c r="CB46">
        <v>0</v>
      </c>
      <c r="CC46">
        <v>0</v>
      </c>
      <c r="CD46">
        <v>0</v>
      </c>
      <c r="CE46">
        <v>0</v>
      </c>
      <c r="CF46">
        <v>0</v>
      </c>
      <c r="CH46" t="str">
        <f t="shared" si="0"/>
        <v>/*57b*/ 000  1 2.91777073208428 2.19611284848353 2.49155119250667 6.04263283368238 6.35262939631957 6.93342302573071 7.61035761831284 0 1.22023977678981 1.41415268924829 1.50961757715189 1.38829236378256 0.568717102181768 0.174793290373163 0.281412459438185 0.44404459007564 0.31042155942127 0.198030850499135 0.378436435720245 0.482426149244293 0.598836501088704 0.598836501088704 2.22516394602546 0 4.37102888046434 1.41706601978664 4.40976338964548 0 2.98315349134713 0 2.98315349134713 4.37102888046434 0.128393214768399 0.144100343973757 2.76151670329734E-02 9.89399478549036E-02 0.151002873536527 0.27763173659828 0.576613364303994 8.61776962410524E-02 0.576613364303994 2.60268968544438 0.25619140536041 2.60268968544438 4.15103990589865 4.61512051684126 4.08316564363067 3.84658808264264 0.154436353304419 2.23355650658361 0.318453731118535 0.485507815781701 0.22314355131421 0.348541960708543 0.671923544108319 0 0.22314355131421 0 7.97349680188535E-02 0 0 0 0 0.916290731874155 1.17865499634165 1.6094379124341 1.27620043832282 2.23355650658361 4.48300255201388 1.64229224930505 3.67206386118537 1.42719635244032 4.12043457198184 2.82861455050231 3.6991762595913 0 0 0 0 0;</v>
      </c>
    </row>
    <row r="47" spans="1:86" x14ac:dyDescent="0.25">
      <c r="A47" t="s">
        <v>7</v>
      </c>
      <c r="B47">
        <v>1</v>
      </c>
      <c r="C47">
        <v>1</v>
      </c>
      <c r="D47">
        <v>1</v>
      </c>
      <c r="E47">
        <v>2.6741486494265301</v>
      </c>
      <c r="F47">
        <v>2.2502386126218399</v>
      </c>
      <c r="G47">
        <v>2.6137395216309698</v>
      </c>
      <c r="H47">
        <v>6.2402758451707703</v>
      </c>
      <c r="I47">
        <v>6.0707377280024897</v>
      </c>
      <c r="J47">
        <v>5.9964520886190202</v>
      </c>
      <c r="K47">
        <v>7.2048925102046697</v>
      </c>
      <c r="L47">
        <v>1.17248213723457</v>
      </c>
      <c r="M47">
        <v>1.74711071755917</v>
      </c>
      <c r="N47">
        <v>1.6389967146756399</v>
      </c>
      <c r="O47">
        <v>1.7897574665573801</v>
      </c>
      <c r="P47">
        <v>1.7272209480904801</v>
      </c>
      <c r="Q47">
        <v>0.89812676124648405</v>
      </c>
      <c r="R47">
        <v>0.19309662996191301</v>
      </c>
      <c r="S47">
        <v>0.12751332029896001</v>
      </c>
      <c r="T47">
        <v>0.151862349309246</v>
      </c>
      <c r="U47">
        <v>0.15785808461558001</v>
      </c>
      <c r="V47">
        <v>0.117783035656383</v>
      </c>
      <c r="W47">
        <v>0.405465108108164</v>
      </c>
      <c r="X47">
        <v>0.27763173659828</v>
      </c>
      <c r="Y47">
        <v>0.48858001481867103</v>
      </c>
      <c r="Z47">
        <v>0.48858001481867103</v>
      </c>
      <c r="AA47">
        <v>3.3332396884789302</v>
      </c>
      <c r="AB47">
        <v>1.54841321059633</v>
      </c>
      <c r="AC47">
        <v>0</v>
      </c>
      <c r="AD47">
        <v>0</v>
      </c>
      <c r="AE47">
        <v>1.54841321059633</v>
      </c>
      <c r="AF47">
        <v>0</v>
      </c>
      <c r="AG47">
        <v>4.4564961486063499</v>
      </c>
      <c r="AH47">
        <v>2.4941141305389101</v>
      </c>
      <c r="AI47">
        <v>4.5777578783777502</v>
      </c>
      <c r="AJ47">
        <v>4.4564961486063499</v>
      </c>
      <c r="AK47">
        <v>0.172271220940453</v>
      </c>
      <c r="AL47">
        <v>0.22633844221072899</v>
      </c>
      <c r="AM47">
        <v>0.28141245943818499</v>
      </c>
      <c r="AN47">
        <v>0.22554067591393101</v>
      </c>
      <c r="AO47">
        <v>0.227135572583747</v>
      </c>
      <c r="AP47">
        <v>0.33647223662121301</v>
      </c>
      <c r="AQ47">
        <v>0.56531380905006001</v>
      </c>
      <c r="AR47">
        <v>0.71294980785612505</v>
      </c>
      <c r="AS47">
        <v>0.71294980785612505</v>
      </c>
      <c r="AT47">
        <v>3.84658808264264</v>
      </c>
      <c r="AU47">
        <v>0.25619140536041002</v>
      </c>
      <c r="AV47">
        <v>3.2580965380214799</v>
      </c>
      <c r="AW47">
        <v>3.2580965380214799</v>
      </c>
      <c r="AX47">
        <v>3.2580965380214799</v>
      </c>
      <c r="AY47">
        <v>3.2580965380214799</v>
      </c>
      <c r="AZ47">
        <v>3.84658808264264</v>
      </c>
      <c r="BA47">
        <v>0.60595396885756803</v>
      </c>
      <c r="BB47">
        <v>0</v>
      </c>
      <c r="BC47">
        <v>0</v>
      </c>
      <c r="BD47">
        <v>0</v>
      </c>
      <c r="BE47">
        <v>0</v>
      </c>
      <c r="BF47">
        <v>0</v>
      </c>
      <c r="BG47">
        <v>0.25619140536041002</v>
      </c>
      <c r="BH47">
        <v>0</v>
      </c>
      <c r="BI47">
        <v>0</v>
      </c>
      <c r="BJ47">
        <v>0</v>
      </c>
      <c r="BK47">
        <v>0</v>
      </c>
      <c r="BL47">
        <v>0.81093021621632899</v>
      </c>
      <c r="BM47">
        <v>1.2993738890891899</v>
      </c>
      <c r="BN47">
        <v>1.2527629684953701</v>
      </c>
      <c r="BO47">
        <v>1.1284946631499799</v>
      </c>
      <c r="BP47">
        <v>0.69314718055994495</v>
      </c>
      <c r="BQ47">
        <v>0.405465108108164</v>
      </c>
      <c r="BR47">
        <v>0</v>
      </c>
      <c r="BS47">
        <v>0.435023910349709</v>
      </c>
      <c r="BT47">
        <v>3.84658808264264</v>
      </c>
      <c r="BU47">
        <v>3.84658808264264</v>
      </c>
      <c r="BV47">
        <v>2.2335565065836098</v>
      </c>
      <c r="BW47">
        <v>3.2818506240295902</v>
      </c>
      <c r="BX47">
        <v>0</v>
      </c>
      <c r="BY47">
        <v>3.4659233852238001</v>
      </c>
      <c r="BZ47">
        <v>2.6330392572896999</v>
      </c>
      <c r="CA47">
        <v>4.2484095240899702</v>
      </c>
      <c r="CB47">
        <v>0</v>
      </c>
      <c r="CC47">
        <v>0</v>
      </c>
      <c r="CD47">
        <v>0</v>
      </c>
      <c r="CE47">
        <v>0</v>
      </c>
      <c r="CF47">
        <v>0</v>
      </c>
      <c r="CH47" t="str">
        <f t="shared" si="0"/>
        <v>/*201_NCT*/ 111  1 2.67414864942653 2.25023861262184 2.61373952163097 6.24027584517077 6.07073772800249 5.99645208861902 7.20489251020467 1.17248213723457 1.74711071755917 1.63899671467564 1.78975746655738 1.72722094809048 0.898126761246484 0.193096629961913 0.12751332029896 0.151862349309246 0.15785808461558 0.117783035656383 0.405465108108164 0.27763173659828 0.488580014818671 0.488580014818671 3.33323968847893 1.54841321059633 0 0 1.54841321059633 0 4.45649614860635 2.49411413053891 4.57775787837775 4.45649614860635 0.172271220940453 0.226338442210729 0.281412459438185 0.225540675913931 0.227135572583747 0.336472236621213 0.56531380905006 0.712949807856125 0.712949807856125 3.84658808264264 0.25619140536041 3.25809653802148 3.25809653802148 3.25809653802148 3.25809653802148 3.84658808264264 0.605953968857568 0 0 0 0 0 0.25619140536041 0 0 0 0 0.810930216216329 1.29937388908919 1.25276296849537 1.12849466314998 0.693147180559945 0.405465108108164 0 0.435023910349709 3.84658808264264 3.84658808264264 2.23355650658361 3.28185062402959 0 3.4659233852238 2.6330392572897 4.24840952408997 0 0 0 0 0;</v>
      </c>
    </row>
    <row r="48" spans="1:86" x14ac:dyDescent="0.25">
      <c r="A48" t="s">
        <v>8</v>
      </c>
      <c r="B48">
        <v>1</v>
      </c>
      <c r="C48">
        <v>1</v>
      </c>
      <c r="D48">
        <v>1</v>
      </c>
      <c r="E48">
        <v>2.75366071235426</v>
      </c>
      <c r="F48">
        <v>2.25444471766611</v>
      </c>
      <c r="G48">
        <v>2.4890646599366599</v>
      </c>
      <c r="H48">
        <v>6.5087691369716802</v>
      </c>
      <c r="I48">
        <v>5.9427993751267003</v>
      </c>
      <c r="J48">
        <v>5.9427993751267003</v>
      </c>
      <c r="K48">
        <v>7.2661287795564498</v>
      </c>
      <c r="L48">
        <v>1.0750024230289801</v>
      </c>
      <c r="M48">
        <v>1.50696212084486</v>
      </c>
      <c r="N48">
        <v>1.3384162808754301</v>
      </c>
      <c r="O48">
        <v>1.1709329502477399</v>
      </c>
      <c r="P48">
        <v>1.3480731482996899</v>
      </c>
      <c r="Q48">
        <v>0.65803800344637697</v>
      </c>
      <c r="R48">
        <v>0.24529635595534299</v>
      </c>
      <c r="S48">
        <v>0.144965770250186</v>
      </c>
      <c r="T48">
        <v>0.15014265842971899</v>
      </c>
      <c r="U48">
        <v>0.183986836113016</v>
      </c>
      <c r="V48">
        <v>0.10526051065749301</v>
      </c>
      <c r="W48">
        <v>0.39204208777602401</v>
      </c>
      <c r="X48">
        <v>0.24686007793152601</v>
      </c>
      <c r="Y48">
        <v>0.198850858745165</v>
      </c>
      <c r="Z48">
        <v>0.39204208777602401</v>
      </c>
      <c r="AA48">
        <v>2.7133030473836599</v>
      </c>
      <c r="AB48">
        <v>0</v>
      </c>
      <c r="AC48">
        <v>2.3116439374823901</v>
      </c>
      <c r="AD48">
        <v>1.3937663759585901</v>
      </c>
      <c r="AE48">
        <v>2.5742140001235798</v>
      </c>
      <c r="AF48">
        <v>0</v>
      </c>
      <c r="AG48">
        <v>4.4872758941429698</v>
      </c>
      <c r="AH48">
        <v>0</v>
      </c>
      <c r="AI48">
        <v>4.4872758941429698</v>
      </c>
      <c r="AJ48">
        <v>4.4872758941429698</v>
      </c>
      <c r="AK48">
        <v>0.26696903085423901</v>
      </c>
      <c r="AL48">
        <v>0.433728573381024</v>
      </c>
      <c r="AM48">
        <v>0.54696467038186403</v>
      </c>
      <c r="AN48">
        <v>0.41409443480621899</v>
      </c>
      <c r="AO48">
        <v>0.27535642276114403</v>
      </c>
      <c r="AP48">
        <v>0.57661336430399401</v>
      </c>
      <c r="AQ48">
        <v>0.65232518603969003</v>
      </c>
      <c r="AR48">
        <v>0.80200158547202705</v>
      </c>
      <c r="AS48">
        <v>0.80200158547202705</v>
      </c>
      <c r="AT48">
        <v>4.2145986164699201</v>
      </c>
      <c r="AU48">
        <v>0.26543646350446098</v>
      </c>
      <c r="AV48">
        <v>0</v>
      </c>
      <c r="AW48">
        <v>0</v>
      </c>
      <c r="AX48">
        <v>0</v>
      </c>
      <c r="AY48">
        <v>0</v>
      </c>
      <c r="AZ48">
        <v>4.2145986164699201</v>
      </c>
      <c r="BA48">
        <v>1.0116009116784801</v>
      </c>
      <c r="BB48">
        <v>3.9318256327243302</v>
      </c>
      <c r="BC48">
        <v>0</v>
      </c>
      <c r="BD48">
        <v>0.22314355131420999</v>
      </c>
      <c r="BE48">
        <v>0.405465108108164</v>
      </c>
      <c r="BF48">
        <v>0.22314355131420999</v>
      </c>
      <c r="BG48">
        <v>0.25619140536041002</v>
      </c>
      <c r="BH48">
        <v>0.22314355131420999</v>
      </c>
      <c r="BI48">
        <v>0</v>
      </c>
      <c r="BJ48">
        <v>0</v>
      </c>
      <c r="BK48">
        <v>7.9734968018853505E-2</v>
      </c>
      <c r="BL48">
        <v>0</v>
      </c>
      <c r="BM48">
        <v>0</v>
      </c>
      <c r="BN48">
        <v>0.22314355131420999</v>
      </c>
      <c r="BO48">
        <v>7.9734968018853505E-2</v>
      </c>
      <c r="BP48">
        <v>0.81093021621632899</v>
      </c>
      <c r="BQ48">
        <v>0</v>
      </c>
      <c r="BR48">
        <v>0</v>
      </c>
      <c r="BS48">
        <v>0.34854196070854299</v>
      </c>
      <c r="BT48">
        <v>3.9318256327243302</v>
      </c>
      <c r="BU48">
        <v>3.84658808264264</v>
      </c>
      <c r="BV48">
        <v>1.64229224930505</v>
      </c>
      <c r="BW48">
        <v>3.2419280683983498</v>
      </c>
      <c r="BX48">
        <v>0.30010459245033799</v>
      </c>
      <c r="BY48">
        <v>3.5150913833382198</v>
      </c>
      <c r="BZ48">
        <v>2.6989421820714798</v>
      </c>
      <c r="CA48">
        <v>4.2250950082633301</v>
      </c>
      <c r="CB48">
        <v>0</v>
      </c>
      <c r="CC48">
        <v>0</v>
      </c>
      <c r="CD48">
        <v>0</v>
      </c>
      <c r="CE48">
        <v>0</v>
      </c>
      <c r="CF48">
        <v>0</v>
      </c>
      <c r="CH48" t="str">
        <f t="shared" si="0"/>
        <v>/*202_CWT*/ 111  1 2.75366071235426 2.25444471766611 2.48906465993666 6.50876913697168 5.9427993751267 5.9427993751267 7.26612877955645 1.07500242302898 1.50696212084486 1.33841628087543 1.17093295024774 1.34807314829969 0.658038003446377 0.245296355955343 0.144965770250186 0.150142658429719 0.183986836113016 0.105260510657493 0.392042087776024 0.246860077931526 0.198850858745165 0.392042087776024 2.71330304738366 0 2.31164393748239 1.39376637595859 2.57421400012358 0 4.48727589414297 0 4.48727589414297 4.48727589414297 0.266969030854239 0.433728573381024 0.546964670381864 0.414094434806219 0.275356422761144 0.576613364303994 0.65232518603969 0.802001585472027 0.802001585472027 4.21459861646992 0.265436463504461 0 0 0 0 4.21459861646992 1.01160091167848 3.93182563272433 0 0.22314355131421 0.405465108108164 0.22314355131421 0.25619140536041 0.22314355131421 0 0 7.97349680188535E-02 0 0 0.22314355131421 7.97349680188535E-02 0.810930216216329 0 0 0.348541960708543 3.93182563272433 3.84658808264264 1.64229224930505 3.24192806839835 0.300104592450338 3.51509138333822 2.69894218207148 4.22509500826333 0 0 0 0 0;</v>
      </c>
    </row>
    <row r="49" spans="1:86" x14ac:dyDescent="0.25">
      <c r="A49">
        <v>1</v>
      </c>
      <c r="B49">
        <v>1</v>
      </c>
      <c r="C49">
        <v>1</v>
      </c>
      <c r="D49">
        <v>1</v>
      </c>
      <c r="E49">
        <v>2.6741486494265301</v>
      </c>
      <c r="F49">
        <v>2.25758772706331</v>
      </c>
      <c r="G49">
        <v>2.4078456036515399</v>
      </c>
      <c r="H49">
        <v>7.69666708152646</v>
      </c>
      <c r="I49">
        <v>6.9782137426307003</v>
      </c>
      <c r="J49">
        <v>7.0335064842876998</v>
      </c>
      <c r="K49">
        <v>8.3907225273622892</v>
      </c>
      <c r="L49">
        <v>0.28292075535007</v>
      </c>
      <c r="M49">
        <v>1.9003148757824</v>
      </c>
      <c r="N49">
        <v>1.9351380520734001</v>
      </c>
      <c r="O49">
        <v>1.99809590222588</v>
      </c>
      <c r="P49">
        <v>1.9453385571563599</v>
      </c>
      <c r="Q49">
        <v>0.78618204652713497</v>
      </c>
      <c r="R49">
        <v>0.28216689176367099</v>
      </c>
      <c r="S49">
        <v>0.35276731910771503</v>
      </c>
      <c r="T49">
        <v>0.202124184090134</v>
      </c>
      <c r="U49">
        <v>0.28065745751481702</v>
      </c>
      <c r="V49">
        <v>0.14583044821154001</v>
      </c>
      <c r="W49">
        <v>0.46373401623214</v>
      </c>
      <c r="X49">
        <v>0.63127177684185798</v>
      </c>
      <c r="Y49">
        <v>0.39204208777602401</v>
      </c>
      <c r="Z49">
        <v>0.63127177684185798</v>
      </c>
      <c r="AA49">
        <v>2.9695936159443002</v>
      </c>
      <c r="AB49">
        <v>0</v>
      </c>
      <c r="AC49">
        <v>3.0834225866809799</v>
      </c>
      <c r="AD49">
        <v>1.64229224930505</v>
      </c>
      <c r="AE49">
        <v>3.2580965380214799</v>
      </c>
      <c r="AF49">
        <v>2.2335565065836098</v>
      </c>
      <c r="AG49">
        <v>4.1833165160243597</v>
      </c>
      <c r="AH49">
        <v>1.1259031489040101</v>
      </c>
      <c r="AI49">
        <v>4.3307333402863302</v>
      </c>
      <c r="AJ49">
        <v>4.1833165160243597</v>
      </c>
      <c r="AK49">
        <v>0.27307592006241899</v>
      </c>
      <c r="AL49">
        <v>0.17981842657583599</v>
      </c>
      <c r="AM49">
        <v>0.25851069515150099</v>
      </c>
      <c r="AN49">
        <v>0.23507212217948401</v>
      </c>
      <c r="AO49">
        <v>0.15785808461558001</v>
      </c>
      <c r="AP49">
        <v>0.44468582126144601</v>
      </c>
      <c r="AQ49">
        <v>0.42526773540434398</v>
      </c>
      <c r="AR49">
        <v>0.61518563909023305</v>
      </c>
      <c r="AS49">
        <v>0.61518563909023305</v>
      </c>
      <c r="AT49">
        <v>3.4067486117004799</v>
      </c>
      <c r="AU49">
        <v>0.45932178089887499</v>
      </c>
      <c r="AV49">
        <v>0</v>
      </c>
      <c r="AW49">
        <v>3.6506582412937401</v>
      </c>
      <c r="AX49">
        <v>0</v>
      </c>
      <c r="AY49">
        <v>2.6026896854443802</v>
      </c>
      <c r="AZ49">
        <v>4.0831656436306698</v>
      </c>
      <c r="BA49">
        <v>0.405465108108164</v>
      </c>
      <c r="BB49">
        <v>2.2335565065836098</v>
      </c>
      <c r="BC49">
        <v>0.48550781578170099</v>
      </c>
      <c r="BD49">
        <v>0.22314355131420999</v>
      </c>
      <c r="BE49">
        <v>0.69314718055994495</v>
      </c>
      <c r="BF49">
        <v>0.48550781578170099</v>
      </c>
      <c r="BG49">
        <v>0.62860865942237398</v>
      </c>
      <c r="BH49">
        <v>0</v>
      </c>
      <c r="BI49">
        <v>0</v>
      </c>
      <c r="BJ49">
        <v>0.405465108108164</v>
      </c>
      <c r="BK49">
        <v>0.15443635330441899</v>
      </c>
      <c r="BL49">
        <v>0.916290731874155</v>
      </c>
      <c r="BM49">
        <v>0</v>
      </c>
      <c r="BN49">
        <v>0.22314355131420999</v>
      </c>
      <c r="BO49">
        <v>0.45932178089887499</v>
      </c>
      <c r="BP49">
        <v>0.55961578793542299</v>
      </c>
      <c r="BQ49">
        <v>0.916290731874155</v>
      </c>
      <c r="BR49">
        <v>0.405465108108164</v>
      </c>
      <c r="BS49">
        <v>0.65076146406350699</v>
      </c>
      <c r="BT49">
        <v>2.2335565065836098</v>
      </c>
      <c r="BU49">
        <v>4.2743439804936996</v>
      </c>
      <c r="BV49">
        <v>3.0834225866809799</v>
      </c>
      <c r="BW49">
        <v>3.7386691186164498</v>
      </c>
      <c r="BX49">
        <v>0.65076146406350699</v>
      </c>
      <c r="BY49">
        <v>3.0214000203025702</v>
      </c>
      <c r="BZ49">
        <v>2.5555204291159899</v>
      </c>
      <c r="CA49">
        <v>4.4003575913586097</v>
      </c>
      <c r="CB49">
        <v>0</v>
      </c>
      <c r="CC49">
        <v>0</v>
      </c>
      <c r="CD49">
        <v>0</v>
      </c>
      <c r="CE49">
        <v>0</v>
      </c>
      <c r="CF49">
        <v>0</v>
      </c>
      <c r="CH49" t="str">
        <f t="shared" si="0"/>
        <v>/*1*/ 111  1 2.67414864942653 2.25758772706331 2.40784560365154 7.69666708152646 6.9782137426307 7.0335064842877 8.39072252736229 0.28292075535007 1.9003148757824 1.9351380520734 1.99809590222588 1.94533855715636 0.786182046527135 0.282166891763671 0.352767319107715 0.202124184090134 0.280657457514817 0.14583044821154 0.46373401623214 0.631271776841858 0.392042087776024 0.631271776841858 2.9695936159443 0 3.08342258668098 1.64229224930505 3.25809653802148 2.23355650658361 4.18331651602436 1.12590314890401 4.33073334028633 4.18331651602436 0.273075920062419 0.179818426575836 0.258510695151501 0.235072122179484 0.15785808461558 0.444685821261446 0.425267735404344 0.615185639090233 0.615185639090233 3.40674861170048 0.459321780898875 0 3.65065824129374 0 2.60268968544438 4.08316564363067 0.405465108108164 2.23355650658361 0.485507815781701 0.22314355131421 0.693147180559945 0.485507815781701 0.628608659422374 0 0 0.405465108108164 0.154436353304419 0.916290731874155 0 0.22314355131421 0.459321780898875 0.559615787935423 0.916290731874155 0.405465108108164 0.650761464063507 2.23355650658361 4.2743439804937 3.08342258668098 3.73866911861645 0.650761464063507 3.02140002030257 2.55552042911599 4.40035759135861 0 0 0 0 0;</v>
      </c>
    </row>
    <row r="50" spans="1:86" x14ac:dyDescent="0.25">
      <c r="A50">
        <v>4</v>
      </c>
      <c r="B50">
        <v>1</v>
      </c>
      <c r="C50">
        <v>1</v>
      </c>
      <c r="D50">
        <v>1</v>
      </c>
      <c r="E50">
        <v>2.6672282065819499</v>
      </c>
      <c r="F50">
        <v>2.2417729535972901</v>
      </c>
      <c r="G50">
        <v>2.46555392127219</v>
      </c>
      <c r="H50">
        <v>6.7855876450079302</v>
      </c>
      <c r="I50">
        <v>6.4488893941468604</v>
      </c>
      <c r="J50">
        <v>6.0185932144962297</v>
      </c>
      <c r="K50">
        <v>7.5632005923580703</v>
      </c>
      <c r="L50">
        <v>1.2053718252396399</v>
      </c>
      <c r="M50">
        <v>1.4440914598461101</v>
      </c>
      <c r="N50">
        <v>1.1593937609279701</v>
      </c>
      <c r="O50">
        <v>1.0206507471984001</v>
      </c>
      <c r="P50">
        <v>1.2237754316221201</v>
      </c>
      <c r="Q50">
        <v>0.69614268953974401</v>
      </c>
      <c r="R50">
        <v>0.12927233570413901</v>
      </c>
      <c r="S50">
        <v>0.20130685670503501</v>
      </c>
      <c r="T50">
        <v>0.12663265093336601</v>
      </c>
      <c r="U50">
        <v>0.15357908792830099</v>
      </c>
      <c r="V50">
        <v>8.8926209194401501E-2</v>
      </c>
      <c r="W50">
        <v>0.231111720963387</v>
      </c>
      <c r="X50">
        <v>0.405465108108164</v>
      </c>
      <c r="Y50">
        <v>0.231111720963387</v>
      </c>
      <c r="Z50">
        <v>0.405465108108164</v>
      </c>
      <c r="AA50">
        <v>2.73650807391869</v>
      </c>
      <c r="AB50">
        <v>0</v>
      </c>
      <c r="AC50">
        <v>2.5200324517633699</v>
      </c>
      <c r="AD50">
        <v>0</v>
      </c>
      <c r="AE50">
        <v>2.5200324517633699</v>
      </c>
      <c r="AF50">
        <v>0</v>
      </c>
      <c r="AG50">
        <v>4.4950316068771698</v>
      </c>
      <c r="AH50">
        <v>0</v>
      </c>
      <c r="AI50">
        <v>4.4950316068771698</v>
      </c>
      <c r="AJ50">
        <v>4.4950316068771698</v>
      </c>
      <c r="AK50">
        <v>0.33361100434018098</v>
      </c>
      <c r="AL50">
        <v>0.29639401305380197</v>
      </c>
      <c r="AM50">
        <v>0.23190505698278299</v>
      </c>
      <c r="AN50">
        <v>0.28968007511445398</v>
      </c>
      <c r="AO50">
        <v>0.23822918873225099</v>
      </c>
      <c r="AP50">
        <v>0.65752000291679402</v>
      </c>
      <c r="AQ50">
        <v>0.54232429082536204</v>
      </c>
      <c r="AR50">
        <v>0.55961578793542299</v>
      </c>
      <c r="AS50">
        <v>0.65752000291679402</v>
      </c>
      <c r="AT50">
        <v>3.9318256327243302</v>
      </c>
      <c r="AU50">
        <v>0.405465108108164</v>
      </c>
      <c r="AV50">
        <v>0</v>
      </c>
      <c r="AW50">
        <v>0</v>
      </c>
      <c r="AX50">
        <v>0</v>
      </c>
      <c r="AY50">
        <v>0</v>
      </c>
      <c r="AZ50">
        <v>3.9318256327243302</v>
      </c>
      <c r="BA50">
        <v>1.0413362208483801</v>
      </c>
      <c r="BB50">
        <v>4.0831656436306698</v>
      </c>
      <c r="BC50">
        <v>0.31845373111853498</v>
      </c>
      <c r="BD50">
        <v>0.117783035656383</v>
      </c>
      <c r="BE50">
        <v>0</v>
      </c>
      <c r="BF50">
        <v>0.15443635330441899</v>
      </c>
      <c r="BG50">
        <v>0.22314355131420999</v>
      </c>
      <c r="BH50">
        <v>0</v>
      </c>
      <c r="BI50">
        <v>0.55961578793542299</v>
      </c>
      <c r="BJ50">
        <v>0.405465108108164</v>
      </c>
      <c r="BK50">
        <v>0.34854196070854299</v>
      </c>
      <c r="BL50">
        <v>0.69314718055994495</v>
      </c>
      <c r="BM50">
        <v>0.22314355131420999</v>
      </c>
      <c r="BN50">
        <v>0.22314355131420999</v>
      </c>
      <c r="BO50">
        <v>0.405465108108164</v>
      </c>
      <c r="BP50">
        <v>0.22314355131420999</v>
      </c>
      <c r="BQ50">
        <v>0.69314718055994495</v>
      </c>
      <c r="BR50">
        <v>0</v>
      </c>
      <c r="BS50">
        <v>0.34854196070854299</v>
      </c>
      <c r="BT50">
        <v>2.6026896854443802</v>
      </c>
      <c r="BU50">
        <v>4.2743439804936996</v>
      </c>
      <c r="BV50">
        <v>2.8716984926305398</v>
      </c>
      <c r="BW50">
        <v>3.7135720667043102</v>
      </c>
      <c r="BX50">
        <v>0.15443635330441899</v>
      </c>
      <c r="BY50">
        <v>3.8432301139438598</v>
      </c>
      <c r="BZ50">
        <v>2.83779108548541</v>
      </c>
      <c r="CA50">
        <v>4.0132068107624601</v>
      </c>
      <c r="CB50">
        <v>0</v>
      </c>
      <c r="CC50">
        <v>0</v>
      </c>
      <c r="CD50">
        <v>0</v>
      </c>
      <c r="CE50">
        <v>0</v>
      </c>
      <c r="CF50">
        <v>0</v>
      </c>
      <c r="CH50" t="str">
        <f t="shared" si="0"/>
        <v>/*4*/ 111  1 2.66722820658195 2.24177295359729 2.46555392127219 6.78558764500793 6.44888939414686 6.01859321449623 7.56320059235807 1.20537182523964 1.44409145984611 1.15939376092797 1.0206507471984 1.22377543162212 0.696142689539744 0.129272335704139 0.201306856705035 0.126632650933366 0.153579087928301 8.89262091944015E-02 0.231111720963387 0.405465108108164 0.231111720963387 0.405465108108164 2.73650807391869 0 2.52003245176337 0 2.52003245176337 0 4.49503160687717 0 4.49503160687717 4.49503160687717 0.333611004340181 0.296394013053802 0.231905056982783 0.289680075114454 0.238229188732251 0.657520002916794 0.542324290825362 0.559615787935423 0.657520002916794 3.93182563272433 0.405465108108164 0 0 0 0 3.93182563272433 1.04133622084838 4.08316564363067 0.318453731118535 0.117783035656383 0 0.154436353304419 0.22314355131421 0 0.559615787935423 0.405465108108164 0.348541960708543 0.693147180559945 0.22314355131421 0.22314355131421 0.405465108108164 0.22314355131421 0.693147180559945 0 0.348541960708543 2.60268968544438 4.2743439804937 2.87169849263054 3.71357206670431 0.154436353304419 3.84323011394386 2.83779108548541 4.01320681076246 0 0 0 0 0;</v>
      </c>
    </row>
    <row r="51" spans="1:86" x14ac:dyDescent="0.25">
      <c r="A51">
        <v>17</v>
      </c>
      <c r="B51">
        <v>0</v>
      </c>
      <c r="C51">
        <v>0</v>
      </c>
      <c r="D51">
        <v>1</v>
      </c>
      <c r="E51">
        <v>2.8959119382717802</v>
      </c>
      <c r="F51">
        <v>2.2874714551839999</v>
      </c>
      <c r="G51">
        <v>2.4300984132930101</v>
      </c>
      <c r="H51">
        <v>5.3181199938442196</v>
      </c>
      <c r="I51">
        <v>5.5645204073226902</v>
      </c>
      <c r="J51">
        <v>6.1114673395026804</v>
      </c>
      <c r="K51">
        <v>6.8178305714541496</v>
      </c>
      <c r="L51">
        <v>6.3913325743652896E-2</v>
      </c>
      <c r="M51">
        <v>1.11939482785064</v>
      </c>
      <c r="N51">
        <v>1.08180517035173</v>
      </c>
      <c r="O51">
        <v>1.2581768583394499</v>
      </c>
      <c r="P51">
        <v>1.15593735528738</v>
      </c>
      <c r="Q51">
        <v>0.42853038103916102</v>
      </c>
      <c r="R51">
        <v>0.23031775506221</v>
      </c>
      <c r="S51">
        <v>0.27231459532065899</v>
      </c>
      <c r="T51">
        <v>0.32786386208461299</v>
      </c>
      <c r="U51">
        <v>0.27535642276114403</v>
      </c>
      <c r="V51">
        <v>0.118671529717499</v>
      </c>
      <c r="W51">
        <v>0.307484699747961</v>
      </c>
      <c r="X51">
        <v>0.36464311358790902</v>
      </c>
      <c r="Y51">
        <v>0.55388511322643796</v>
      </c>
      <c r="Z51">
        <v>0.55388511322643796</v>
      </c>
      <c r="AA51">
        <v>2.0621682130093801</v>
      </c>
      <c r="AB51">
        <v>0</v>
      </c>
      <c r="AC51">
        <v>3.3672958299864701</v>
      </c>
      <c r="AD51">
        <v>0</v>
      </c>
      <c r="AE51">
        <v>3.3672958299864701</v>
      </c>
      <c r="AF51">
        <v>0</v>
      </c>
      <c r="AG51">
        <v>4.2904594411483901</v>
      </c>
      <c r="AH51">
        <v>0</v>
      </c>
      <c r="AI51">
        <v>4.2904594411483901</v>
      </c>
      <c r="AJ51">
        <v>4.2904594411483901</v>
      </c>
      <c r="AK51">
        <v>0.40413088509502798</v>
      </c>
      <c r="AL51">
        <v>0.45805755822733502</v>
      </c>
      <c r="AM51">
        <v>0.33002291294130598</v>
      </c>
      <c r="AN51">
        <v>0.40011750178156902</v>
      </c>
      <c r="AO51">
        <v>0.19474407679251199</v>
      </c>
      <c r="AP51">
        <v>0.58221561985266401</v>
      </c>
      <c r="AQ51">
        <v>0.71783979315031698</v>
      </c>
      <c r="AR51">
        <v>0.57661336430399401</v>
      </c>
      <c r="AS51">
        <v>0.71783979315031698</v>
      </c>
      <c r="AT51">
        <v>1.64229224930505</v>
      </c>
      <c r="AU51">
        <v>0.64867269045811604</v>
      </c>
      <c r="AV51">
        <v>0</v>
      </c>
      <c r="AW51">
        <v>0</v>
      </c>
      <c r="AX51">
        <v>2.6026896854443802</v>
      </c>
      <c r="AY51">
        <v>1.64229224930505</v>
      </c>
      <c r="AZ51">
        <v>4.4830025520138799</v>
      </c>
      <c r="BA51">
        <v>0.65076146406350699</v>
      </c>
      <c r="BB51">
        <v>2.8716984926305398</v>
      </c>
      <c r="BC51">
        <v>0.117783035656383</v>
      </c>
      <c r="BD51">
        <v>0</v>
      </c>
      <c r="BE51">
        <v>0</v>
      </c>
      <c r="BF51">
        <v>4.1141943331175199E-2</v>
      </c>
      <c r="BG51">
        <v>0.48550781578170099</v>
      </c>
      <c r="BH51">
        <v>0.916290731874155</v>
      </c>
      <c r="BI51">
        <v>0.81093021621632899</v>
      </c>
      <c r="BJ51">
        <v>0.81093021621632899</v>
      </c>
      <c r="BK51">
        <v>0.84715499303929298</v>
      </c>
      <c r="BL51">
        <v>0</v>
      </c>
      <c r="BM51">
        <v>0</v>
      </c>
      <c r="BN51">
        <v>0</v>
      </c>
      <c r="BO51">
        <v>0</v>
      </c>
      <c r="BP51">
        <v>0</v>
      </c>
      <c r="BQ51">
        <v>0</v>
      </c>
      <c r="BR51">
        <v>0.22314355131420999</v>
      </c>
      <c r="BS51">
        <v>7.9734968018853505E-2</v>
      </c>
      <c r="BT51">
        <v>0</v>
      </c>
      <c r="BU51">
        <v>4.0103649484268296</v>
      </c>
      <c r="BV51">
        <v>3.84658808264264</v>
      </c>
      <c r="BW51">
        <v>3.9639890734527499</v>
      </c>
      <c r="BX51">
        <v>0.15443635330441899</v>
      </c>
      <c r="BY51">
        <v>4.4131860969229804</v>
      </c>
      <c r="BZ51">
        <v>2.5706255251905401</v>
      </c>
      <c r="CA51">
        <v>2.9687720919712102</v>
      </c>
      <c r="CB51">
        <v>0</v>
      </c>
      <c r="CC51">
        <v>0</v>
      </c>
      <c r="CD51">
        <v>0</v>
      </c>
      <c r="CE51">
        <v>0</v>
      </c>
      <c r="CF51">
        <v>0</v>
      </c>
      <c r="CH51" t="str">
        <f t="shared" si="0"/>
        <v>/*17*/ 001  1 2.89591193827178 2.287471455184 2.43009841329301 5.31811999384422 5.56452040732269 6.11146733950268 6.81783057145415 6.39133257436529E-02 1.11939482785064 1.08180517035173 1.25817685833945 1.15593735528738 0.428530381039161 0.23031775506221 0.272314595320659 0.327863862084613 0.275356422761144 0.118671529717499 0.307484699747961 0.364643113587909 0.553885113226438 0.553885113226438 2.06216821300938 0 3.36729582998647 0 3.36729582998647 0 4.29045944114839 0 4.29045944114839 4.29045944114839 0.404130885095028 0.458057558227335 0.330022912941306 0.400117501781569 0.194744076792512 0.582215619852664 0.717839793150317 0.576613364303994 0.717839793150317 1.64229224930505 0.648672690458116 0 0 2.60268968544438 1.64229224930505 4.48300255201388 0.650761464063507 2.87169849263054 0.117783035656383 0 0 4.11419433311752E-02 0.485507815781701 0.916290731874155 0.810930216216329 0.810930216216329 0.847154993039293 0 0 0 0 0 0 0.22314355131421 7.97349680188535E-02 0 4.01036494842683 3.84658808264264 3.96398907345275 0.154436353304419 4.41318609692298 2.57062552519054 2.96877209197121 0 0 0 0 0;</v>
      </c>
    </row>
    <row r="52" spans="1:86" x14ac:dyDescent="0.25">
      <c r="A52">
        <v>20</v>
      </c>
      <c r="B52">
        <v>1</v>
      </c>
      <c r="C52">
        <v>1</v>
      </c>
      <c r="D52">
        <v>1</v>
      </c>
      <c r="E52">
        <v>2.6672282065819499</v>
      </c>
      <c r="F52">
        <v>2.28238238567653</v>
      </c>
      <c r="G52">
        <v>2.6397713603489201</v>
      </c>
      <c r="H52">
        <v>7.5948843872165197</v>
      </c>
      <c r="I52">
        <v>7.2896105214511699</v>
      </c>
      <c r="J52">
        <v>6.9707300781435304</v>
      </c>
      <c r="K52">
        <v>8.4153819252695499</v>
      </c>
      <c r="L52">
        <v>0.67141268841393897</v>
      </c>
      <c r="M52">
        <v>1.6841742585481201</v>
      </c>
      <c r="N52">
        <v>1.76438827243192</v>
      </c>
      <c r="O52">
        <v>1.5969603909229899</v>
      </c>
      <c r="P52">
        <v>1.6841742585481201</v>
      </c>
      <c r="Q52">
        <v>0.782987884559735</v>
      </c>
      <c r="R52">
        <v>0.22793206804600699</v>
      </c>
      <c r="S52">
        <v>0.18730909830499401</v>
      </c>
      <c r="T52">
        <v>0.19144646457095499</v>
      </c>
      <c r="U52">
        <v>0.20294084399668999</v>
      </c>
      <c r="V52">
        <v>0.107957141505092</v>
      </c>
      <c r="W52">
        <v>0.44468582126144601</v>
      </c>
      <c r="X52">
        <v>0.33647223662121301</v>
      </c>
      <c r="Y52">
        <v>0.27763173659828</v>
      </c>
      <c r="Z52">
        <v>0.44468582126144601</v>
      </c>
      <c r="AA52">
        <v>3.0204248861443599</v>
      </c>
      <c r="AB52">
        <v>0</v>
      </c>
      <c r="AC52">
        <v>2.6421240509860402</v>
      </c>
      <c r="AD52">
        <v>0</v>
      </c>
      <c r="AE52">
        <v>2.6421240509860402</v>
      </c>
      <c r="AF52">
        <v>2.2717134293269599</v>
      </c>
      <c r="AG52">
        <v>4.3163274402155603</v>
      </c>
      <c r="AH52">
        <v>1.6767226592397</v>
      </c>
      <c r="AI52">
        <v>4.4768480586929202</v>
      </c>
      <c r="AJ52">
        <v>4.3163274402155603</v>
      </c>
      <c r="AK52">
        <v>0.19309662996191301</v>
      </c>
      <c r="AL52">
        <v>0.15443635330441899</v>
      </c>
      <c r="AM52">
        <v>0.17814618538347399</v>
      </c>
      <c r="AN52">
        <v>0.17563256864315799</v>
      </c>
      <c r="AO52">
        <v>0.151002873536527</v>
      </c>
      <c r="AP52">
        <v>0.47623417899637199</v>
      </c>
      <c r="AQ52">
        <v>0.398776119957368</v>
      </c>
      <c r="AR52">
        <v>0.37843643572024499</v>
      </c>
      <c r="AS52">
        <v>0.47623417899637199</v>
      </c>
      <c r="AT52">
        <v>4.0103649484268296</v>
      </c>
      <c r="AU52">
        <v>0.15443635330441899</v>
      </c>
      <c r="AV52">
        <v>3.2580965380214799</v>
      </c>
      <c r="AW52">
        <v>3.6506582412937401</v>
      </c>
      <c r="AX52">
        <v>3.2580965380214799</v>
      </c>
      <c r="AY52">
        <v>3.4067486117004799</v>
      </c>
      <c r="AZ52">
        <v>4.0103649484268296</v>
      </c>
      <c r="BA52">
        <v>0.60595396885756803</v>
      </c>
      <c r="BB52">
        <v>3.2580965380214799</v>
      </c>
      <c r="BC52">
        <v>0.117783035656383</v>
      </c>
      <c r="BD52">
        <v>0.22314355131420999</v>
      </c>
      <c r="BE52">
        <v>0.22314355131420999</v>
      </c>
      <c r="BF52">
        <v>0.188966099512623</v>
      </c>
      <c r="BG52">
        <v>0.55961578793542299</v>
      </c>
      <c r="BH52">
        <v>0</v>
      </c>
      <c r="BI52">
        <v>0</v>
      </c>
      <c r="BJ52">
        <v>0</v>
      </c>
      <c r="BK52">
        <v>0</v>
      </c>
      <c r="BL52">
        <v>0.69314718055994495</v>
      </c>
      <c r="BM52">
        <v>1.0116009116784801</v>
      </c>
      <c r="BN52">
        <v>0.405465108108164</v>
      </c>
      <c r="BO52">
        <v>0.73380916227883497</v>
      </c>
      <c r="BP52">
        <v>0.55961578793542299</v>
      </c>
      <c r="BQ52">
        <v>0.55961578793542299</v>
      </c>
      <c r="BR52">
        <v>0.55961578793542299</v>
      </c>
      <c r="BS52">
        <v>0.55961578793542299</v>
      </c>
      <c r="BT52">
        <v>2.6026896854443802</v>
      </c>
      <c r="BU52">
        <v>4.3841119588732198</v>
      </c>
      <c r="BV52">
        <v>2.2335565065836098</v>
      </c>
      <c r="BW52">
        <v>3.5421759749217299</v>
      </c>
      <c r="BX52">
        <v>0.53532309536637801</v>
      </c>
      <c r="BY52">
        <v>2.0234001507962098</v>
      </c>
      <c r="BZ52">
        <v>1.74989526512936</v>
      </c>
      <c r="CA52">
        <v>4.5479223563859703</v>
      </c>
      <c r="CB52">
        <v>0</v>
      </c>
      <c r="CC52">
        <v>0</v>
      </c>
      <c r="CD52">
        <v>0</v>
      </c>
      <c r="CE52">
        <v>0</v>
      </c>
      <c r="CF52">
        <v>0</v>
      </c>
      <c r="CH52" t="str">
        <f t="shared" si="0"/>
        <v>/*20*/ 111  1 2.66722820658195 2.28238238567653 2.63977136034892 7.59488438721652 7.28961052145117 6.97073007814353 8.41538192526955 0.671412688413939 1.68417425854812 1.76438827243192 1.59696039092299 1.68417425854812 0.782987884559735 0.227932068046007 0.187309098304994 0.191446464570955 0.20294084399669 0.107957141505092 0.444685821261446 0.336472236621213 0.27763173659828 0.444685821261446 3.02042488614436 0 2.64212405098604 0 2.64212405098604 2.27171342932696 4.31632744021556 1.6767226592397 4.47684805869292 4.31632744021556 0.193096629961913 0.154436353304419 0.178146185383474 0.175632568643158 0.151002873536527 0.476234178996372 0.398776119957368 0.378436435720245 0.476234178996372 4.01036494842683 0.154436353304419 3.25809653802148 3.65065824129374 3.25809653802148 3.40674861170048 4.01036494842683 0.605953968857568 3.25809653802148 0.117783035656383 0.22314355131421 0.22314355131421 0.188966099512623 0.559615787935423 0 0 0 0 0.693147180559945 1.01160091167848 0.405465108108164 0.733809162278835 0.559615787935423 0.559615787935423 0.559615787935423 0.559615787935423 2.60268968544438 4.38411195887322 2.23355650658361 3.54217597492173 0.535323095366378 2.02340015079621 1.74989526512936 4.54792235638597 0 0 0 0 0;</v>
      </c>
    </row>
    <row r="53" spans="1:86" x14ac:dyDescent="0.25">
      <c r="A53">
        <v>25</v>
      </c>
      <c r="B53">
        <v>0</v>
      </c>
      <c r="C53">
        <v>0</v>
      </c>
      <c r="D53">
        <v>0</v>
      </c>
      <c r="E53">
        <v>2.81540871942271</v>
      </c>
      <c r="F53">
        <v>2.2104698040862401</v>
      </c>
      <c r="G53">
        <v>2.5392369943330499</v>
      </c>
      <c r="H53">
        <v>6.0707377280024897</v>
      </c>
      <c r="I53">
        <v>5.6835797673386796</v>
      </c>
      <c r="J53">
        <v>5.3981627015177498</v>
      </c>
      <c r="K53">
        <v>6.8522425690518798</v>
      </c>
      <c r="L53">
        <v>0</v>
      </c>
      <c r="M53">
        <v>0.71196893480053303</v>
      </c>
      <c r="N53">
        <v>0.65492596773974798</v>
      </c>
      <c r="O53">
        <v>0.667829372575655</v>
      </c>
      <c r="P53">
        <v>0.67854102817058304</v>
      </c>
      <c r="Q53">
        <v>0.24137631957527</v>
      </c>
      <c r="R53">
        <v>0.20945022418220699</v>
      </c>
      <c r="S53">
        <v>0.16381808522939501</v>
      </c>
      <c r="T53">
        <v>0.198850858745165</v>
      </c>
      <c r="U53">
        <v>0.19062035960865001</v>
      </c>
      <c r="V53">
        <v>9.7126710730722807E-2</v>
      </c>
      <c r="W53">
        <v>0.42526773540434398</v>
      </c>
      <c r="X53">
        <v>0.27763173659828</v>
      </c>
      <c r="Y53">
        <v>0.307484699747961</v>
      </c>
      <c r="Z53">
        <v>0.42526773540434398</v>
      </c>
      <c r="AA53">
        <v>1.72686532931006</v>
      </c>
      <c r="AB53">
        <v>0</v>
      </c>
      <c r="AC53">
        <v>2.6026896854443802</v>
      </c>
      <c r="AD53">
        <v>0</v>
      </c>
      <c r="AE53">
        <v>2.6026896854443802</v>
      </c>
      <c r="AF53">
        <v>2.2335565065836098</v>
      </c>
      <c r="AG53">
        <v>4.3841119588732198</v>
      </c>
      <c r="AH53">
        <v>0</v>
      </c>
      <c r="AI53">
        <v>4.4830025520138799</v>
      </c>
      <c r="AJ53">
        <v>4.3841119588732198</v>
      </c>
      <c r="AK53">
        <v>0.26466929814270801</v>
      </c>
      <c r="AL53">
        <v>0.34642256747438099</v>
      </c>
      <c r="AM53">
        <v>0.23507212217948401</v>
      </c>
      <c r="AN53">
        <v>0.28292075535007</v>
      </c>
      <c r="AO53">
        <v>0.17479329037316299</v>
      </c>
      <c r="AP53">
        <v>0.51282362642866397</v>
      </c>
      <c r="AQ53">
        <v>0.65752000291679402</v>
      </c>
      <c r="AR53">
        <v>0.307484699747961</v>
      </c>
      <c r="AS53">
        <v>0.65752000291679402</v>
      </c>
      <c r="AT53">
        <v>3.0834225866809799</v>
      </c>
      <c r="AU53">
        <v>0.53532309536637801</v>
      </c>
      <c r="AV53">
        <v>3.2580965380214799</v>
      </c>
      <c r="AW53">
        <v>0</v>
      </c>
      <c r="AX53">
        <v>0</v>
      </c>
      <c r="AY53">
        <v>2.2335565065836098</v>
      </c>
      <c r="AZ53">
        <v>4.2743439804936996</v>
      </c>
      <c r="BA53">
        <v>0.45932178089887499</v>
      </c>
      <c r="BB53">
        <v>2.8716984926305398</v>
      </c>
      <c r="BC53">
        <v>0</v>
      </c>
      <c r="BD53">
        <v>0</v>
      </c>
      <c r="BE53">
        <v>0</v>
      </c>
      <c r="BF53">
        <v>0</v>
      </c>
      <c r="BG53">
        <v>0.188966099512623</v>
      </c>
      <c r="BH53">
        <v>0.69314718055994495</v>
      </c>
      <c r="BI53">
        <v>0.916290731874155</v>
      </c>
      <c r="BJ53">
        <v>0.81093021621632899</v>
      </c>
      <c r="BK53">
        <v>0.81093021621632899</v>
      </c>
      <c r="BL53">
        <v>0</v>
      </c>
      <c r="BM53">
        <v>0</v>
      </c>
      <c r="BN53">
        <v>0</v>
      </c>
      <c r="BO53">
        <v>0</v>
      </c>
      <c r="BP53">
        <v>0</v>
      </c>
      <c r="BQ53">
        <v>0.22314355131420999</v>
      </c>
      <c r="BR53">
        <v>0</v>
      </c>
      <c r="BS53">
        <v>7.9734968018853505E-2</v>
      </c>
      <c r="BT53">
        <v>0</v>
      </c>
      <c r="BU53">
        <v>4.2743439804936996</v>
      </c>
      <c r="BV53">
        <v>3.4067486117004799</v>
      </c>
      <c r="BW53">
        <v>3.8815637979434401</v>
      </c>
      <c r="BX53">
        <v>0</v>
      </c>
      <c r="BY53">
        <v>4.5971178527972603</v>
      </c>
      <c r="BZ53">
        <v>1.0206507471984001</v>
      </c>
      <c r="CA53">
        <v>1.0303334479148201</v>
      </c>
      <c r="CB53">
        <v>0</v>
      </c>
      <c r="CC53">
        <v>0</v>
      </c>
      <c r="CD53">
        <v>0</v>
      </c>
      <c r="CE53">
        <v>0</v>
      </c>
      <c r="CF53">
        <v>0</v>
      </c>
      <c r="CH53" t="str">
        <f t="shared" si="0"/>
        <v>/*25*/ 000  1 2.81540871942271 2.21046980408624 2.53923699433305 6.07073772800249 5.68357976733868 5.39816270151775 6.85224256905188 0 0.711968934800533 0.654925967739748 0.667829372575655 0.678541028170583 0.24137631957527 0.209450224182207 0.163818085229395 0.198850858745165 0.19062035960865 9.71267107307228E-02 0.425267735404344 0.27763173659828 0.307484699747961 0.425267735404344 1.72686532931006 0 2.60268968544438 0 2.60268968544438 2.23355650658361 4.38411195887322 0 4.48300255201388 4.38411195887322 0.264669298142708 0.346422567474381 0.235072122179484 0.28292075535007 0.174793290373163 0.512823626428664 0.657520002916794 0.307484699747961 0.657520002916794 3.08342258668098 0.535323095366378 3.25809653802148 0 0 2.23355650658361 4.2743439804937 0.459321780898875 2.87169849263054 0 0 0 0 0.188966099512623 0.693147180559945 0.916290731874155 0.810930216216329 0.810930216216329 0 0 0 0 0 0.22314355131421 0 7.97349680188535E-02 0 4.2743439804937 3.40674861170048 3.88156379794344 0 4.59711785279726 1.0206507471984 1.03033344791482 0 0 0 0 0;</v>
      </c>
    </row>
    <row r="54" spans="1:86" x14ac:dyDescent="0.25">
      <c r="A54">
        <v>29</v>
      </c>
      <c r="B54">
        <v>1</v>
      </c>
      <c r="C54">
        <v>0</v>
      </c>
      <c r="D54">
        <v>1</v>
      </c>
      <c r="E54">
        <v>3.1863526331626399</v>
      </c>
      <c r="F54">
        <v>2.1927702269868399</v>
      </c>
      <c r="G54">
        <v>2.42480272571829</v>
      </c>
      <c r="H54">
        <v>6.1675164908883398</v>
      </c>
      <c r="I54">
        <v>6.2245584292753602</v>
      </c>
      <c r="J54">
        <v>5.7493929859082504</v>
      </c>
      <c r="K54">
        <v>7.1654934750608499</v>
      </c>
      <c r="L54">
        <v>8.8926209194401501E-2</v>
      </c>
      <c r="M54">
        <v>0.94584953411569905</v>
      </c>
      <c r="N54">
        <v>1.5422291627406499</v>
      </c>
      <c r="O54">
        <v>1.30833281965018</v>
      </c>
      <c r="P54">
        <v>1.2947271675944001</v>
      </c>
      <c r="Q54">
        <v>0.79840769121743804</v>
      </c>
      <c r="R54">
        <v>0.198850858745165</v>
      </c>
      <c r="S54">
        <v>0.26082461828189801</v>
      </c>
      <c r="T54">
        <v>0.155292884406035</v>
      </c>
      <c r="U54">
        <v>0.20863886511132801</v>
      </c>
      <c r="V54">
        <v>8.25012215117438E-2</v>
      </c>
      <c r="W54">
        <v>0.262364264467491</v>
      </c>
      <c r="X54">
        <v>0.350656871613169</v>
      </c>
      <c r="Y54">
        <v>0.262364264467491</v>
      </c>
      <c r="Z54">
        <v>0.350656871613169</v>
      </c>
      <c r="AA54">
        <v>2.5197910516415001</v>
      </c>
      <c r="AB54">
        <v>0</v>
      </c>
      <c r="AC54">
        <v>3.0768513248387799</v>
      </c>
      <c r="AD54">
        <v>0</v>
      </c>
      <c r="AE54">
        <v>3.0768513248387799</v>
      </c>
      <c r="AF54">
        <v>0</v>
      </c>
      <c r="AG54">
        <v>4.3858941462003704</v>
      </c>
      <c r="AH54">
        <v>0</v>
      </c>
      <c r="AI54">
        <v>4.3858941462003704</v>
      </c>
      <c r="AJ54">
        <v>4.3858941462003704</v>
      </c>
      <c r="AK54">
        <v>0.24686007793152601</v>
      </c>
      <c r="AL54">
        <v>7.9734968018853505E-2</v>
      </c>
      <c r="AM54">
        <v>0.22314355131420999</v>
      </c>
      <c r="AN54">
        <v>0.17563256864315799</v>
      </c>
      <c r="AO54">
        <v>0.17058630057553401</v>
      </c>
      <c r="AP54">
        <v>0.51879379341516796</v>
      </c>
      <c r="AQ54">
        <v>0.16551443847757299</v>
      </c>
      <c r="AR54">
        <v>0.51282362642866397</v>
      </c>
      <c r="AS54">
        <v>0.51879379341516796</v>
      </c>
      <c r="AT54">
        <v>3.2580965380214799</v>
      </c>
      <c r="AU54">
        <v>0.31845373111853498</v>
      </c>
      <c r="AV54">
        <v>3.2580965380214799</v>
      </c>
      <c r="AW54">
        <v>4.3307333402863302</v>
      </c>
      <c r="AX54">
        <v>2.6026896854443802</v>
      </c>
      <c r="AY54">
        <v>3.6506582412937401</v>
      </c>
      <c r="AZ54">
        <v>3.6506582412937401</v>
      </c>
      <c r="BA54">
        <v>0.81093021621632899</v>
      </c>
      <c r="BB54">
        <v>3.7534257877209898</v>
      </c>
      <c r="BC54">
        <v>0</v>
      </c>
      <c r="BD54">
        <v>0</v>
      </c>
      <c r="BE54">
        <v>0.117783035656383</v>
      </c>
      <c r="BF54">
        <v>4.1141943331175199E-2</v>
      </c>
      <c r="BG54">
        <v>0.48550781578170099</v>
      </c>
      <c r="BH54">
        <v>0.69314718055994495</v>
      </c>
      <c r="BI54">
        <v>0.405465108108164</v>
      </c>
      <c r="BJ54">
        <v>0.69314718055994495</v>
      </c>
      <c r="BK54">
        <v>0.60595396885756803</v>
      </c>
      <c r="BL54">
        <v>0</v>
      </c>
      <c r="BM54">
        <v>0</v>
      </c>
      <c r="BN54">
        <v>0.405465108108164</v>
      </c>
      <c r="BO54">
        <v>0.15443635330441899</v>
      </c>
      <c r="BP54">
        <v>0.405465108108164</v>
      </c>
      <c r="BQ54">
        <v>0.81093021621632899</v>
      </c>
      <c r="BR54">
        <v>0.405465108108164</v>
      </c>
      <c r="BS54">
        <v>0.55961578793542299</v>
      </c>
      <c r="BT54">
        <v>2.8716984926305398</v>
      </c>
      <c r="BU54">
        <v>4.0103649484268296</v>
      </c>
      <c r="BV54">
        <v>3.4067486117004799</v>
      </c>
      <c r="BW54">
        <v>3.6176519448255702</v>
      </c>
      <c r="BX54">
        <v>0.15443635330441899</v>
      </c>
      <c r="BY54">
        <v>3.7639173508965502</v>
      </c>
      <c r="BZ54">
        <v>2.5710078905070199</v>
      </c>
      <c r="CA54">
        <v>4.0755524242096204</v>
      </c>
      <c r="CB54">
        <v>0</v>
      </c>
      <c r="CC54">
        <v>0</v>
      </c>
      <c r="CD54">
        <v>0</v>
      </c>
      <c r="CE54">
        <v>0</v>
      </c>
      <c r="CF54">
        <v>0</v>
      </c>
      <c r="CH54" t="str">
        <f t="shared" si="0"/>
        <v>/*29*/ 101  1 3.18635263316264 2.19277022698684 2.42480272571829 6.16751649088834 6.22455842927536 5.74939298590825 7.16549347506085 8.89262091944015E-02 0.945849534115699 1.54222916274065 1.30833281965018 1.2947271675944 0.798407691217438 0.198850858745165 0.260824618281898 0.155292884406035 0.208638865111328 8.25012215117438E-02 0.262364264467491 0.350656871613169 0.262364264467491 0.350656871613169 2.5197910516415 0 3.07685132483878 0 3.07685132483878 0 4.38589414620037 0 4.38589414620037 4.38589414620037 0.246860077931526 7.97349680188535E-02 0.22314355131421 0.175632568643158 0.170586300575534 0.518793793415168 0.165514438477573 0.512823626428664 0.518793793415168 3.25809653802148 0.318453731118535 3.25809653802148 4.33073334028633 2.60268968544438 3.65065824129374 3.65065824129374 0.810930216216329 3.75342578772099 0 0 0.117783035656383 4.11419433311752E-02 0.485507815781701 0.693147180559945 0.405465108108164 0.693147180559945 0.605953968857568 0 0 0.405465108108164 0.154436353304419 0.405465108108164 0.810930216216329 0.405465108108164 0.559615787935423 2.87169849263054 4.01036494842683 3.40674861170048 3.61765194482557 0.154436353304419 3.76391735089655 2.57100789050702 4.07555242420962 0 0 0 0 0;</v>
      </c>
    </row>
    <row r="55" spans="1:86" x14ac:dyDescent="0.25">
      <c r="A55">
        <v>33</v>
      </c>
      <c r="B55">
        <v>0</v>
      </c>
      <c r="C55">
        <v>0</v>
      </c>
      <c r="D55">
        <v>0</v>
      </c>
      <c r="E55">
        <v>2.6461747973841199</v>
      </c>
      <c r="F55">
        <v>2.1871742414827202</v>
      </c>
      <c r="G55">
        <v>2.57413778351594</v>
      </c>
      <c r="H55">
        <v>5.5294290875114198</v>
      </c>
      <c r="I55">
        <v>5.7300997829735696</v>
      </c>
      <c r="J55">
        <v>5.1873858058407496</v>
      </c>
      <c r="K55">
        <v>6.6025878921893399</v>
      </c>
      <c r="L55">
        <v>0</v>
      </c>
      <c r="M55">
        <v>1.0862022685914301</v>
      </c>
      <c r="N55">
        <v>1.11939482785064</v>
      </c>
      <c r="O55">
        <v>1.0605642210305799</v>
      </c>
      <c r="P55">
        <v>1.08889859648047</v>
      </c>
      <c r="Q55">
        <v>0.55503387843031105</v>
      </c>
      <c r="R55">
        <v>0.231111720963387</v>
      </c>
      <c r="S55">
        <v>0.19309662996191301</v>
      </c>
      <c r="T55">
        <v>0.184818436992542</v>
      </c>
      <c r="U55">
        <v>0.20294084399668999</v>
      </c>
      <c r="V55">
        <v>0.184818436992542</v>
      </c>
      <c r="W55">
        <v>0.53062825106217004</v>
      </c>
      <c r="X55">
        <v>0.60976557162089395</v>
      </c>
      <c r="Y55">
        <v>0.33647223662121301</v>
      </c>
      <c r="Z55">
        <v>0.60976557162089395</v>
      </c>
      <c r="AA55">
        <v>2.2781899361593201</v>
      </c>
      <c r="AB55">
        <v>0</v>
      </c>
      <c r="AC55">
        <v>1.6767226592397</v>
      </c>
      <c r="AD55">
        <v>0</v>
      </c>
      <c r="AE55">
        <v>1.6767226592397</v>
      </c>
      <c r="AF55">
        <v>0</v>
      </c>
      <c r="AG55">
        <v>4.5711168986632096</v>
      </c>
      <c r="AH55">
        <v>0</v>
      </c>
      <c r="AI55">
        <v>4.5711168986632096</v>
      </c>
      <c r="AJ55">
        <v>4.5711168986632096</v>
      </c>
      <c r="AK55">
        <v>0.149281702715754</v>
      </c>
      <c r="AL55">
        <v>0.117783035656383</v>
      </c>
      <c r="AM55">
        <v>0.12751332029896001</v>
      </c>
      <c r="AN55">
        <v>0.131905070879939</v>
      </c>
      <c r="AO55">
        <v>8.3421608139072401E-2</v>
      </c>
      <c r="AP55">
        <v>0.25464221837358098</v>
      </c>
      <c r="AQ55">
        <v>0.22314355131420999</v>
      </c>
      <c r="AR55">
        <v>0.24686007793152601</v>
      </c>
      <c r="AS55">
        <v>0.25464221837358098</v>
      </c>
      <c r="AT55">
        <v>3.7534257877209898</v>
      </c>
      <c r="AU55">
        <v>0.25619140536041002</v>
      </c>
      <c r="AV55">
        <v>3.6506582412937401</v>
      </c>
      <c r="AW55">
        <v>2.6026896854443802</v>
      </c>
      <c r="AX55">
        <v>3.6506582412937401</v>
      </c>
      <c r="AY55">
        <v>3.4067486117004799</v>
      </c>
      <c r="AZ55">
        <v>3.7534257877209898</v>
      </c>
      <c r="BA55">
        <v>1.0116009116784801</v>
      </c>
      <c r="BB55">
        <v>4.0831656436306698</v>
      </c>
      <c r="BC55">
        <v>0.31845373111853498</v>
      </c>
      <c r="BD55">
        <v>0.48550781578170099</v>
      </c>
      <c r="BE55">
        <v>0.405465108108164</v>
      </c>
      <c r="BF55">
        <v>0.405465108108164</v>
      </c>
      <c r="BG55">
        <v>0.77334372255422201</v>
      </c>
      <c r="BH55">
        <v>0.405465108108164</v>
      </c>
      <c r="BI55">
        <v>0</v>
      </c>
      <c r="BJ55">
        <v>0.55961578793542299</v>
      </c>
      <c r="BK55">
        <v>0.34854196070854299</v>
      </c>
      <c r="BL55">
        <v>0.55961578793542299</v>
      </c>
      <c r="BM55">
        <v>0.22314355131420999</v>
      </c>
      <c r="BN55">
        <v>0.81093021621632899</v>
      </c>
      <c r="BO55">
        <v>0.55961578793542299</v>
      </c>
      <c r="BP55">
        <v>0.55961578793542299</v>
      </c>
      <c r="BQ55">
        <v>0.22314355131420999</v>
      </c>
      <c r="BR55">
        <v>0.55961578793542299</v>
      </c>
      <c r="BS55">
        <v>0.45932178089887499</v>
      </c>
      <c r="BT55">
        <v>3.6506582412937401</v>
      </c>
      <c r="BU55">
        <v>4.0103649484268296</v>
      </c>
      <c r="BV55">
        <v>2.2335565065836098</v>
      </c>
      <c r="BW55">
        <v>3.2740077423062002</v>
      </c>
      <c r="BX55">
        <v>0.79208712841484896</v>
      </c>
      <c r="BY55">
        <v>2.17566039942038</v>
      </c>
      <c r="BZ55">
        <v>1.9722738384863101</v>
      </c>
      <c r="CA55">
        <v>4.5346618810974801</v>
      </c>
      <c r="CB55">
        <v>0</v>
      </c>
      <c r="CC55">
        <v>0</v>
      </c>
      <c r="CD55">
        <v>0</v>
      </c>
      <c r="CE55">
        <v>0</v>
      </c>
      <c r="CF55">
        <v>0</v>
      </c>
      <c r="CH55" t="str">
        <f t="shared" si="0"/>
        <v>/*33*/ 000  1 2.64617479738412 2.18717424148272 2.57413778351594 5.52942908751142 5.73009978297357 5.18738580584075 6.60258789218934 0 1.08620226859143 1.11939482785064 1.06056422103058 1.08889859648047 0.555033878430311 0.231111720963387 0.193096629961913 0.184818436992542 0.20294084399669 0.184818436992542 0.53062825106217 0.609765571620894 0.336472236621213 0.609765571620894 2.27818993615932 0 1.6767226592397 0 1.6767226592397 0 4.57111689866321 0 4.57111689866321 4.57111689866321 0.149281702715754 0.117783035656383 0.12751332029896 0.131905070879939 8.34216081390724E-02 0.254642218373581 0.22314355131421 0.246860077931526 0.254642218373581 3.75342578772099 0.25619140536041 3.65065824129374 2.60268968544438 3.65065824129374 3.40674861170048 3.75342578772099 1.01160091167848 4.08316564363067 0.318453731118535 0.485507815781701 0.405465108108164 0.405465108108164 0.773343722554222 0.405465108108164 0 0.559615787935423 0.348541960708543 0.559615787935423 0.22314355131421 0.810930216216329 0.559615787935423 0.559615787935423 0.22314355131421 0.559615787935423 0.459321780898875 3.65065824129374 4.01036494842683 2.23355650658361 3.2740077423062 0.792087128414849 2.17566039942038 1.97227383848631 4.53466188109748 0 0 0 0 0;</v>
      </c>
    </row>
    <row r="56" spans="1:86" x14ac:dyDescent="0.25">
      <c r="A56">
        <v>36</v>
      </c>
      <c r="B56">
        <v>0</v>
      </c>
      <c r="C56">
        <v>0</v>
      </c>
      <c r="D56">
        <v>0</v>
      </c>
      <c r="E56">
        <v>3.2846635654062002</v>
      </c>
      <c r="F56">
        <v>2.2690283094652002</v>
      </c>
      <c r="G56">
        <v>2.6203112867942</v>
      </c>
      <c r="H56">
        <v>5.5214609178622496</v>
      </c>
      <c r="I56">
        <v>5.4205349992722898</v>
      </c>
      <c r="J56">
        <v>5.0751738152338302</v>
      </c>
      <c r="K56">
        <v>6.4520489544372301</v>
      </c>
      <c r="L56">
        <v>0</v>
      </c>
      <c r="M56">
        <v>1.11119940417358</v>
      </c>
      <c r="N56">
        <v>0.96049898653847499</v>
      </c>
      <c r="O56">
        <v>1.0777290777516899</v>
      </c>
      <c r="P56">
        <v>1.0518700261159799</v>
      </c>
      <c r="Q56">
        <v>0.468126869232875</v>
      </c>
      <c r="R56">
        <v>0.123102197133983</v>
      </c>
      <c r="S56">
        <v>0.20457216572877401</v>
      </c>
      <c r="T56">
        <v>0.13802129789737499</v>
      </c>
      <c r="U56">
        <v>0.15871169115482101</v>
      </c>
      <c r="V56">
        <v>0.16296882827813999</v>
      </c>
      <c r="W56">
        <v>0.21511137961694499</v>
      </c>
      <c r="X56">
        <v>0.62057648772510998</v>
      </c>
      <c r="Y56">
        <v>0.350656871613169</v>
      </c>
      <c r="Z56">
        <v>0.62057648772510998</v>
      </c>
      <c r="AA56">
        <v>2.4708922384024201</v>
      </c>
      <c r="AB56">
        <v>2.0971586624849898</v>
      </c>
      <c r="AC56">
        <v>1.5197319993496099</v>
      </c>
      <c r="AD56">
        <v>0</v>
      </c>
      <c r="AE56">
        <v>2.4607847076675902</v>
      </c>
      <c r="AF56">
        <v>1.5197319993496099</v>
      </c>
      <c r="AG56">
        <v>4.4205620168877102</v>
      </c>
      <c r="AH56">
        <v>1.5197319993496099</v>
      </c>
      <c r="AI56">
        <v>4.5029824096434998</v>
      </c>
      <c r="AJ56">
        <v>4.4205620168877102</v>
      </c>
      <c r="AK56">
        <v>0.151002873536527</v>
      </c>
      <c r="AL56">
        <v>0.13976194237515899</v>
      </c>
      <c r="AM56">
        <v>0.119559235057639</v>
      </c>
      <c r="AN56">
        <v>0.155292884406035</v>
      </c>
      <c r="AO56">
        <v>0.172271220940453</v>
      </c>
      <c r="AP56">
        <v>0.307484699747961</v>
      </c>
      <c r="AQ56">
        <v>0.32930374714260002</v>
      </c>
      <c r="AR56">
        <v>0.22314355131420999</v>
      </c>
      <c r="AS56">
        <v>0.32930374714260002</v>
      </c>
      <c r="AT56">
        <v>3.4067486117004799</v>
      </c>
      <c r="AU56">
        <v>0.45932178089887499</v>
      </c>
      <c r="AV56">
        <v>0</v>
      </c>
      <c r="AW56">
        <v>3.2580965380214799</v>
      </c>
      <c r="AX56">
        <v>2.6026896854443802</v>
      </c>
      <c r="AY56">
        <v>2.6026896854443802</v>
      </c>
      <c r="AZ56">
        <v>4.0831656436306698</v>
      </c>
      <c r="BA56">
        <v>1.0413362208483801</v>
      </c>
      <c r="BB56">
        <v>4.3307333402863302</v>
      </c>
      <c r="BC56">
        <v>0.117783035656383</v>
      </c>
      <c r="BD56">
        <v>0.22314355131420999</v>
      </c>
      <c r="BE56">
        <v>0</v>
      </c>
      <c r="BF56">
        <v>0.117783035656383</v>
      </c>
      <c r="BG56">
        <v>0.25619140536041002</v>
      </c>
      <c r="BH56">
        <v>0.22314355131420999</v>
      </c>
      <c r="BI56">
        <v>0.22314355131420999</v>
      </c>
      <c r="BJ56">
        <v>0</v>
      </c>
      <c r="BK56">
        <v>0.15443635330441899</v>
      </c>
      <c r="BL56">
        <v>0.405465108108164</v>
      </c>
      <c r="BM56">
        <v>0.69314718055994495</v>
      </c>
      <c r="BN56">
        <v>0.22314355131420999</v>
      </c>
      <c r="BO56">
        <v>0.45932178089887499</v>
      </c>
      <c r="BP56">
        <v>0.22314355131420999</v>
      </c>
      <c r="BQ56">
        <v>0.69314718055994495</v>
      </c>
      <c r="BR56">
        <v>0.405465108108164</v>
      </c>
      <c r="BS56">
        <v>0.45932178089887499</v>
      </c>
      <c r="BT56">
        <v>3.6506582412937401</v>
      </c>
      <c r="BU56">
        <v>3.7534257877209898</v>
      </c>
      <c r="BV56">
        <v>3.0834225866809799</v>
      </c>
      <c r="BW56">
        <v>3.4605034875595599</v>
      </c>
      <c r="BX56">
        <v>0.55961578793542299</v>
      </c>
      <c r="BY56">
        <v>4.02656523980081</v>
      </c>
      <c r="BZ56">
        <v>2.81899509505394</v>
      </c>
      <c r="CA56">
        <v>3.8271620419139398</v>
      </c>
      <c r="CB56">
        <v>0</v>
      </c>
      <c r="CC56">
        <v>0</v>
      </c>
      <c r="CD56">
        <v>0</v>
      </c>
      <c r="CE56">
        <v>0</v>
      </c>
      <c r="CF56">
        <v>0</v>
      </c>
      <c r="CH56" t="str">
        <f t="shared" si="0"/>
        <v>/*36*/ 000  1 3.2846635654062 2.2690283094652 2.6203112867942 5.52146091786225 5.42053499927229 5.07517381523383 6.45204895443723 0 1.11119940417358 0.960498986538475 1.07772907775169 1.05187002611598 0.468126869232875 0.123102197133983 0.204572165728774 0.138021297897375 0.158711691154821 0.16296882827814 0.215111379616945 0.62057648772511 0.350656871613169 0.62057648772511 2.47089223840242 2.09715866248499 1.51973199934961 0 2.46078470766759 1.51973199934961 4.42056201688771 1.51973199934961 4.5029824096435 4.42056201688771 0.151002873536527 0.139761942375159 0.119559235057639 0.155292884406035 0.172271220940453 0.307484699747961 0.3293037471426 0.22314355131421 0.3293037471426 3.40674861170048 0.459321780898875 0 3.25809653802148 2.60268968544438 2.60268968544438 4.08316564363067 1.04133622084838 4.33073334028633 0.117783035656383 0.22314355131421 0 0.117783035656383 0.25619140536041 0.22314355131421 0.22314355131421 0 0.154436353304419 0.405465108108164 0.693147180559945 0.22314355131421 0.459321780898875 0.22314355131421 0.693147180559945 0.405465108108164 0.459321780898875 3.65065824129374 3.75342578772099 3.08342258668098 3.46050348755956 0.559615787935423 4.02656523980081 2.81899509505394 3.82716204191394 0 0 0 0 0;</v>
      </c>
    </row>
    <row r="57" spans="1:86" x14ac:dyDescent="0.25">
      <c r="A57">
        <v>39</v>
      </c>
      <c r="B57">
        <v>0</v>
      </c>
      <c r="C57">
        <v>0</v>
      </c>
      <c r="D57">
        <v>0</v>
      </c>
      <c r="E57">
        <v>2.6026896854443802</v>
      </c>
      <c r="F57">
        <v>2.2512917986065002</v>
      </c>
      <c r="G57">
        <v>2.42480272571829</v>
      </c>
      <c r="H57">
        <v>6.16961073249146</v>
      </c>
      <c r="I57">
        <v>6.28785856016178</v>
      </c>
      <c r="J57">
        <v>6.1841488909374798</v>
      </c>
      <c r="K57">
        <v>7.3125534981026004</v>
      </c>
      <c r="L57">
        <v>0</v>
      </c>
      <c r="M57">
        <v>0.667829372575655</v>
      </c>
      <c r="N57">
        <v>0.52354439617376503</v>
      </c>
      <c r="O57">
        <v>0.741937344729377</v>
      </c>
      <c r="P57">
        <v>0.64867269045811604</v>
      </c>
      <c r="Q57">
        <v>0.21511137961694499</v>
      </c>
      <c r="R57">
        <v>0.24920108563349899</v>
      </c>
      <c r="S57">
        <v>0.26620304077465701</v>
      </c>
      <c r="T57">
        <v>0.37843643572024499</v>
      </c>
      <c r="U57">
        <v>0.29936357722561902</v>
      </c>
      <c r="V57">
        <v>0.30674913516900698</v>
      </c>
      <c r="W57">
        <v>0.350656871613169</v>
      </c>
      <c r="X57">
        <v>0.33647223662121301</v>
      </c>
      <c r="Y57">
        <v>1.09861228866811</v>
      </c>
      <c r="Z57">
        <v>1.09861228866811</v>
      </c>
      <c r="AA57">
        <v>1.2845384521655001</v>
      </c>
      <c r="AB57">
        <v>0</v>
      </c>
      <c r="AC57">
        <v>4.6151205168412597</v>
      </c>
      <c r="AD57">
        <v>0</v>
      </c>
      <c r="AE57">
        <v>4.6151205168412597</v>
      </c>
      <c r="AF57">
        <v>0</v>
      </c>
      <c r="AG57">
        <v>0</v>
      </c>
      <c r="AH57">
        <v>0</v>
      </c>
      <c r="AI57">
        <v>0</v>
      </c>
      <c r="AJ57">
        <v>4.6151205168412597</v>
      </c>
      <c r="AK57">
        <v>6.7658648473814906E-2</v>
      </c>
      <c r="AL57">
        <v>0.12486898204586901</v>
      </c>
      <c r="AM57">
        <v>0.122217632724249</v>
      </c>
      <c r="AN57">
        <v>0.10526051065749301</v>
      </c>
      <c r="AO57">
        <v>6.1095099359810799E-2</v>
      </c>
      <c r="AP57">
        <v>0.131028262406404</v>
      </c>
      <c r="AQ57">
        <v>0.25464221837358098</v>
      </c>
      <c r="AR57">
        <v>0.17395330712343801</v>
      </c>
      <c r="AS57">
        <v>0.25464221837358098</v>
      </c>
      <c r="AT57">
        <v>0</v>
      </c>
      <c r="AU57">
        <v>0.188966099512623</v>
      </c>
      <c r="AV57">
        <v>3.9318256327243302</v>
      </c>
      <c r="AW57">
        <v>4.6151205168412597</v>
      </c>
      <c r="AX57">
        <v>4.4830025520138799</v>
      </c>
      <c r="AY57">
        <v>4.3841119588732198</v>
      </c>
      <c r="AZ57">
        <v>4.3307333402863302</v>
      </c>
      <c r="BA57">
        <v>0</v>
      </c>
      <c r="BB57">
        <v>0</v>
      </c>
      <c r="BC57">
        <v>0</v>
      </c>
      <c r="BD57">
        <v>0</v>
      </c>
      <c r="BE57">
        <v>0</v>
      </c>
      <c r="BF57">
        <v>0</v>
      </c>
      <c r="BG57">
        <v>0.117783035656383</v>
      </c>
      <c r="BH57">
        <v>0</v>
      </c>
      <c r="BI57">
        <v>0</v>
      </c>
      <c r="BJ57">
        <v>0</v>
      </c>
      <c r="BK57">
        <v>0</v>
      </c>
      <c r="BL57">
        <v>0</v>
      </c>
      <c r="BM57">
        <v>0</v>
      </c>
      <c r="BN57">
        <v>0</v>
      </c>
      <c r="BO57">
        <v>0</v>
      </c>
      <c r="BP57">
        <v>0.55961578793542299</v>
      </c>
      <c r="BQ57">
        <v>0</v>
      </c>
      <c r="BR57">
        <v>0.69314718055994495</v>
      </c>
      <c r="BS57">
        <v>0.45932178089887499</v>
      </c>
      <c r="BT57">
        <v>2.2335565065836098</v>
      </c>
      <c r="BU57">
        <v>4.5290124221383596</v>
      </c>
      <c r="BV57">
        <v>0</v>
      </c>
      <c r="BW57">
        <v>3.5177351979101101</v>
      </c>
      <c r="BX57">
        <v>0.433080275141138</v>
      </c>
      <c r="BY57">
        <v>4.3966689114107496</v>
      </c>
      <c r="BZ57">
        <v>2.5063419305080701</v>
      </c>
      <c r="CA57">
        <v>3.0359140631868202</v>
      </c>
      <c r="CB57">
        <v>0</v>
      </c>
      <c r="CC57">
        <v>0</v>
      </c>
      <c r="CD57">
        <v>0</v>
      </c>
      <c r="CE57">
        <v>0</v>
      </c>
      <c r="CF57">
        <v>0</v>
      </c>
      <c r="CH57" t="str">
        <f t="shared" si="0"/>
        <v>/*39*/ 000  1 2.60268968544438 2.2512917986065 2.42480272571829 6.16961073249146 6.28785856016178 6.18414889093748 7.3125534981026 0 0.667829372575655 0.523544396173765 0.741937344729377 0.648672690458116 0.215111379616945 0.249201085633499 0.266203040774657 0.378436435720245 0.299363577225619 0.306749135169007 0.350656871613169 0.336472236621213 1.09861228866811 1.09861228866811 1.2845384521655 0 4.61512051684126 0 4.61512051684126 0 0 0 0 4.61512051684126 6.76586484738149E-02 0.124868982045869 0.122217632724249 0.105260510657493 6.10950993598108E-02 0.131028262406404 0.254642218373581 0.173953307123438 0.254642218373581 0 0.188966099512623 3.93182563272433 4.61512051684126 4.48300255201388 4.38411195887322 4.33073334028633 0 0 0 0 0 0 0.117783035656383 0 0 0 0 0 0 0 0 0.559615787935423 0 0.693147180559945 0.459321780898875 2.23355650658361 4.52901242213836 0 3.51773519791011 0.433080275141138 4.39666891141075 2.50634193050807 3.03591406318682 0 0 0 0 0;</v>
      </c>
    </row>
    <row r="58" spans="1:86" x14ac:dyDescent="0.25">
      <c r="A58">
        <v>40</v>
      </c>
      <c r="B58">
        <v>1</v>
      </c>
      <c r="C58">
        <v>1</v>
      </c>
      <c r="D58">
        <v>1</v>
      </c>
      <c r="E58">
        <v>2.7972813348301502</v>
      </c>
      <c r="F58">
        <v>2.2115656946068798</v>
      </c>
      <c r="G58">
        <v>2.4731713935695798</v>
      </c>
      <c r="H58">
        <v>7.0681720003880404</v>
      </c>
      <c r="I58">
        <v>6.5147126908725301</v>
      </c>
      <c r="J58">
        <v>7.3031700512368003</v>
      </c>
      <c r="K58">
        <v>8.1113280032867294</v>
      </c>
      <c r="L58">
        <v>0.93570112539397798</v>
      </c>
      <c r="M58">
        <v>2.1474505960440502</v>
      </c>
      <c r="N58">
        <v>1.81645208181843</v>
      </c>
      <c r="O58">
        <v>1.9058319254878999</v>
      </c>
      <c r="P58">
        <v>1.96655275960122</v>
      </c>
      <c r="Q58">
        <v>1.02209115076037</v>
      </c>
      <c r="R58">
        <v>0.26543646350446098</v>
      </c>
      <c r="S58">
        <v>0.23744085601503401</v>
      </c>
      <c r="T58">
        <v>0.15785808461558001</v>
      </c>
      <c r="U58">
        <v>0.221542269947236</v>
      </c>
      <c r="V58">
        <v>0.12133228516752501</v>
      </c>
      <c r="W58">
        <v>0.405465108108164</v>
      </c>
      <c r="X58">
        <v>0.39204208777602401</v>
      </c>
      <c r="Y58">
        <v>0.482426149244293</v>
      </c>
      <c r="Z58">
        <v>0.482426149244293</v>
      </c>
      <c r="AA58">
        <v>3.25161403345597</v>
      </c>
      <c r="AB58">
        <v>0</v>
      </c>
      <c r="AC58">
        <v>1.71289662080233</v>
      </c>
      <c r="AD58">
        <v>0</v>
      </c>
      <c r="AE58">
        <v>1.71289662080233</v>
      </c>
      <c r="AF58">
        <v>1.18570699551904</v>
      </c>
      <c r="AG58">
        <v>4.5452290805211204</v>
      </c>
      <c r="AH58">
        <v>0</v>
      </c>
      <c r="AI58">
        <v>4.5690765783398497</v>
      </c>
      <c r="AJ58">
        <v>4.5452290805211204</v>
      </c>
      <c r="AK58">
        <v>0.27002713721305999</v>
      </c>
      <c r="AL58">
        <v>0.33145969479766901</v>
      </c>
      <c r="AM58">
        <v>0.33861280112032399</v>
      </c>
      <c r="AN58">
        <v>0.31188676114859798</v>
      </c>
      <c r="AO58">
        <v>0.21993842036526101</v>
      </c>
      <c r="AP58">
        <v>0.71294980785612505</v>
      </c>
      <c r="AQ58">
        <v>0.63127177684185798</v>
      </c>
      <c r="AR58">
        <v>0.62057648772510998</v>
      </c>
      <c r="AS58">
        <v>0.71294980785612505</v>
      </c>
      <c r="AT58">
        <v>3.9318256327243302</v>
      </c>
      <c r="AU58">
        <v>0.33002291294130598</v>
      </c>
      <c r="AV58">
        <v>0</v>
      </c>
      <c r="AW58">
        <v>2.6026896854443802</v>
      </c>
      <c r="AX58">
        <v>2.6026896854443802</v>
      </c>
      <c r="AY58">
        <v>2.2335565065836098</v>
      </c>
      <c r="AZ58">
        <v>3.9318256327243302</v>
      </c>
      <c r="BA58">
        <v>0.77334372255422201</v>
      </c>
      <c r="BB58">
        <v>3.7534257877209898</v>
      </c>
      <c r="BC58">
        <v>0</v>
      </c>
      <c r="BD58">
        <v>0</v>
      </c>
      <c r="BE58">
        <v>0.22314355131420999</v>
      </c>
      <c r="BF58">
        <v>7.9734968018853505E-2</v>
      </c>
      <c r="BG58">
        <v>0.28743204119657201</v>
      </c>
      <c r="BH58">
        <v>0.405465108108164</v>
      </c>
      <c r="BI58">
        <v>0.69314718055994495</v>
      </c>
      <c r="BJ58">
        <v>0</v>
      </c>
      <c r="BK58">
        <v>0.405465108108164</v>
      </c>
      <c r="BL58">
        <v>0.55961578793542299</v>
      </c>
      <c r="BM58">
        <v>1.0116009116784801</v>
      </c>
      <c r="BN58">
        <v>0.22314355131420999</v>
      </c>
      <c r="BO58">
        <v>0.65076146406350699</v>
      </c>
      <c r="BP58">
        <v>0.55961578793542299</v>
      </c>
      <c r="BQ58">
        <v>0.22314355131420999</v>
      </c>
      <c r="BR58">
        <v>0</v>
      </c>
      <c r="BS58">
        <v>0.28743204119657201</v>
      </c>
      <c r="BT58">
        <v>2.6026896854443802</v>
      </c>
      <c r="BU58">
        <v>4.4830025520138799</v>
      </c>
      <c r="BV58">
        <v>0</v>
      </c>
      <c r="BW58">
        <v>3.5361069907765299</v>
      </c>
      <c r="BX58">
        <v>0.188966099512623</v>
      </c>
      <c r="BY58">
        <v>4.1373561578153497</v>
      </c>
      <c r="BZ58">
        <v>2.7791297827831598</v>
      </c>
      <c r="CA58">
        <v>3.6728262887916898</v>
      </c>
      <c r="CB58">
        <v>0</v>
      </c>
      <c r="CC58">
        <v>0</v>
      </c>
      <c r="CD58">
        <v>0</v>
      </c>
      <c r="CE58">
        <v>0</v>
      </c>
      <c r="CF58">
        <v>0</v>
      </c>
      <c r="CH58" t="str">
        <f t="shared" si="0"/>
        <v>/*40*/ 111  1 2.79728133483015 2.21156569460688 2.47317139356958 7.06817200038804 6.51471269087253 7.3031700512368 8.11132800328673 0.935701125393978 2.14745059604405 1.81645208181843 1.9058319254879 1.96655275960122 1.02209115076037 0.265436463504461 0.237440856015034 0.15785808461558 0.221542269947236 0.121332285167525 0.405465108108164 0.392042087776024 0.482426149244293 0.482426149244293 3.25161403345597 0 1.71289662080233 0 1.71289662080233 1.18570699551904 4.54522908052112 0 4.56907657833985 4.54522908052112 0.27002713721306 0.331459694797669 0.338612801120324 0.311886761148598 0.219938420365261 0.712949807856125 0.631271776841858 0.62057648772511 0.712949807856125 3.93182563272433 0.330022912941306 0 2.60268968544438 2.60268968544438 2.23355650658361 3.93182563272433 0.773343722554222 3.75342578772099 0 0 0.22314355131421 7.97349680188535E-02 0.287432041196572 0.405465108108164 0.693147180559945 0 0.405465108108164 0.559615787935423 1.01160091167848 0.22314355131421 0.650761464063507 0.559615787935423 0.22314355131421 0 0.287432041196572 2.60268968544438 4.48300255201388 0 3.53610699077653 0.188966099512623 4.13735615781535 2.77912978278316 3.67282628879169 0 0 0 0 0;</v>
      </c>
    </row>
    <row r="59" spans="1:86" x14ac:dyDescent="0.25">
      <c r="A59">
        <v>41</v>
      </c>
      <c r="B59">
        <v>0</v>
      </c>
      <c r="C59">
        <v>0</v>
      </c>
      <c r="D59">
        <v>0</v>
      </c>
      <c r="E59">
        <v>3.0056826044071601</v>
      </c>
      <c r="F59">
        <v>2.2321626286975</v>
      </c>
      <c r="G59">
        <v>2.72850620966959</v>
      </c>
      <c r="H59">
        <v>6.6066501861982196</v>
      </c>
      <c r="I59">
        <v>6.31896811374643</v>
      </c>
      <c r="J59">
        <v>6.3207682942505796</v>
      </c>
      <c r="K59">
        <v>7.5224002313871203</v>
      </c>
      <c r="L59">
        <v>0</v>
      </c>
      <c r="M59">
        <v>1.4048707466928301</v>
      </c>
      <c r="N59">
        <v>1.30833281965018</v>
      </c>
      <c r="O59">
        <v>1.43174562402381</v>
      </c>
      <c r="P59">
        <v>1.3807791804317799</v>
      </c>
      <c r="Q59">
        <v>0.60867802393349502</v>
      </c>
      <c r="R59">
        <v>0.242946178610389</v>
      </c>
      <c r="S59">
        <v>0.20945022418220699</v>
      </c>
      <c r="T59">
        <v>0.17479329037316299</v>
      </c>
      <c r="U59">
        <v>0.210260925483196</v>
      </c>
      <c r="V59">
        <v>0.12751332029896001</v>
      </c>
      <c r="W59">
        <v>0.482426149244293</v>
      </c>
      <c r="X59">
        <v>0.41871033485818498</v>
      </c>
      <c r="Y59">
        <v>0.405465108108164</v>
      </c>
      <c r="Z59">
        <v>0.482426149244293</v>
      </c>
      <c r="AA59">
        <v>2.6182713618554199</v>
      </c>
      <c r="AB59">
        <v>1.3714344982128699</v>
      </c>
      <c r="AC59">
        <v>1.9289093073752901</v>
      </c>
      <c r="AD59">
        <v>0</v>
      </c>
      <c r="AE59">
        <v>2.2848283714047901</v>
      </c>
      <c r="AF59">
        <v>2.7540428049526802</v>
      </c>
      <c r="AG59">
        <v>4.3499036727830402</v>
      </c>
      <c r="AH59">
        <v>0</v>
      </c>
      <c r="AI59">
        <v>4.5236997929900298</v>
      </c>
      <c r="AJ59">
        <v>4.3499036727830402</v>
      </c>
      <c r="AK59">
        <v>0.136277618292548</v>
      </c>
      <c r="AL59">
        <v>0.27002713721305999</v>
      </c>
      <c r="AM59">
        <v>0.2390169004705</v>
      </c>
      <c r="AN59">
        <v>0.21672298351128699</v>
      </c>
      <c r="AO59">
        <v>0.15871169115482101</v>
      </c>
      <c r="AP59">
        <v>0.231111720963387</v>
      </c>
      <c r="AQ59">
        <v>0.62057648772510998</v>
      </c>
      <c r="AR59">
        <v>0.405465108108164</v>
      </c>
      <c r="AS59">
        <v>0.62057648772510998</v>
      </c>
      <c r="AT59">
        <v>3.6506582412937401</v>
      </c>
      <c r="AU59">
        <v>0.34854196070854299</v>
      </c>
      <c r="AV59">
        <v>2.6026896854443802</v>
      </c>
      <c r="AW59">
        <v>3.6506582412937401</v>
      </c>
      <c r="AX59">
        <v>2.6026896854443802</v>
      </c>
      <c r="AY59">
        <v>3.0834225866809799</v>
      </c>
      <c r="AZ59">
        <v>3.7534257877209898</v>
      </c>
      <c r="BA59">
        <v>1.09861228866811</v>
      </c>
      <c r="BB59">
        <v>4.3307333402863302</v>
      </c>
      <c r="BC59">
        <v>0.117783035656383</v>
      </c>
      <c r="BD59">
        <v>0</v>
      </c>
      <c r="BE59">
        <v>0</v>
      </c>
      <c r="BF59">
        <v>4.1141943331175199E-2</v>
      </c>
      <c r="BG59">
        <v>0</v>
      </c>
      <c r="BH59">
        <v>0.69314718055994495</v>
      </c>
      <c r="BI59">
        <v>0.69314718055994495</v>
      </c>
      <c r="BJ59">
        <v>0</v>
      </c>
      <c r="BK59">
        <v>0.51102560376865702</v>
      </c>
      <c r="BL59">
        <v>0</v>
      </c>
      <c r="BM59">
        <v>0</v>
      </c>
      <c r="BN59">
        <v>0</v>
      </c>
      <c r="BO59">
        <v>0</v>
      </c>
      <c r="BP59">
        <v>0.55961578793542299</v>
      </c>
      <c r="BQ59">
        <v>0.69314718055994495</v>
      </c>
      <c r="BR59">
        <v>0.69314718055994495</v>
      </c>
      <c r="BS59">
        <v>0.65076146406350699</v>
      </c>
      <c r="BT59">
        <v>3.0834225866809799</v>
      </c>
      <c r="BU59">
        <v>4.0831656436306698</v>
      </c>
      <c r="BV59">
        <v>3.0834225866809799</v>
      </c>
      <c r="BW59">
        <v>3.5777244047477699</v>
      </c>
      <c r="BX59">
        <v>0.99621035505002897</v>
      </c>
      <c r="BY59">
        <v>4.6151205168412597</v>
      </c>
      <c r="BZ59">
        <v>0</v>
      </c>
      <c r="CA59">
        <v>0</v>
      </c>
      <c r="CB59">
        <v>0</v>
      </c>
      <c r="CC59">
        <v>0</v>
      </c>
      <c r="CD59">
        <v>0</v>
      </c>
      <c r="CE59">
        <v>0</v>
      </c>
      <c r="CF59">
        <v>0</v>
      </c>
      <c r="CH59" t="str">
        <f t="shared" si="0"/>
        <v>/*41*/ 000  1 3.00568260440716 2.2321626286975 2.72850620966959 6.60665018619822 6.31896811374643 6.32076829425058 7.52240023138712 0 1.40487074669283 1.30833281965018 1.43174562402381 1.38077918043178 0.608678023933495 0.242946178610389 0.209450224182207 0.174793290373163 0.210260925483196 0.12751332029896 0.482426149244293 0.418710334858185 0.405465108108164 0.482426149244293 2.61827136185542 1.37143449821287 1.92890930737529 0 2.28482837140479 2.75404280495268 4.34990367278304 0 4.52369979299003 4.34990367278304 0.136277618292548 0.27002713721306 0.2390169004705 0.216722983511287 0.158711691154821 0.231111720963387 0.62057648772511 0.405465108108164 0.62057648772511 3.65065824129374 0.348541960708543 2.60268968544438 3.65065824129374 2.60268968544438 3.08342258668098 3.75342578772099 1.09861228866811 4.33073334028633 0.117783035656383 0 0 4.11419433311752E-02 0 0.693147180559945 0.693147180559945 0 0.511025603768657 0 0 0 0 0.559615787935423 0.693147180559945 0.693147180559945 0.650761464063507 3.08342258668098 4.08316564363067 3.08342258668098 3.57772440474777 0.996210355050029 4.61512051684126 0 0 0 0 0 0 0;</v>
      </c>
    </row>
    <row r="60" spans="1:86" x14ac:dyDescent="0.25">
      <c r="A60">
        <v>52</v>
      </c>
      <c r="B60">
        <v>0</v>
      </c>
      <c r="C60">
        <v>1</v>
      </c>
      <c r="D60">
        <v>0</v>
      </c>
      <c r="E60">
        <v>2.7278528283983898</v>
      </c>
      <c r="F60">
        <v>2.2679936482244298</v>
      </c>
      <c r="G60">
        <v>2.3924257969938401</v>
      </c>
      <c r="H60">
        <v>5.3706380281276598</v>
      </c>
      <c r="I60">
        <v>5.6240175061873403</v>
      </c>
      <c r="J60">
        <v>6.7833252006039597</v>
      </c>
      <c r="K60">
        <v>7.2247534057679701</v>
      </c>
      <c r="L60">
        <v>4.3059489460446999E-2</v>
      </c>
      <c r="M60">
        <v>0.88087078664289498</v>
      </c>
      <c r="N60">
        <v>1.0862022685914301</v>
      </c>
      <c r="O60">
        <v>1.1939224684724301</v>
      </c>
      <c r="P60">
        <v>1.0619483042965201</v>
      </c>
      <c r="Q60">
        <v>0.43889988419440201</v>
      </c>
      <c r="R60">
        <v>0.18232155679395501</v>
      </c>
      <c r="S60">
        <v>0.19721016928770499</v>
      </c>
      <c r="T60">
        <v>0.23507212217948401</v>
      </c>
      <c r="U60">
        <v>0.20457216572877401</v>
      </c>
      <c r="V60">
        <v>7.6034686275997604E-2</v>
      </c>
      <c r="W60">
        <v>0.24686007793152601</v>
      </c>
      <c r="X60">
        <v>0.33647223662121301</v>
      </c>
      <c r="Y60">
        <v>0.322083499169113</v>
      </c>
      <c r="Z60">
        <v>0.33647223662121301</v>
      </c>
      <c r="AA60">
        <v>2.2338778949842499</v>
      </c>
      <c r="AB60">
        <v>0</v>
      </c>
      <c r="AC60">
        <v>2.5287640328517802</v>
      </c>
      <c r="AD60">
        <v>0</v>
      </c>
      <c r="AE60">
        <v>2.5287640328517802</v>
      </c>
      <c r="AF60">
        <v>3.00721608149528</v>
      </c>
      <c r="AG60">
        <v>4.2517898089987902</v>
      </c>
      <c r="AH60">
        <v>0</v>
      </c>
      <c r="AI60">
        <v>4.4938139541151898</v>
      </c>
      <c r="AJ60">
        <v>4.2517898089987902</v>
      </c>
      <c r="AK60">
        <v>0.46121512321265601</v>
      </c>
      <c r="AL60">
        <v>0.419368013277156</v>
      </c>
      <c r="AM60">
        <v>0.26543646350446098</v>
      </c>
      <c r="AN60">
        <v>0.38797979376714498</v>
      </c>
      <c r="AO60">
        <v>0.18979357163265601</v>
      </c>
      <c r="AP60">
        <v>0.68813463873640102</v>
      </c>
      <c r="AQ60">
        <v>0.667829372575655</v>
      </c>
      <c r="AR60">
        <v>0.350656871613169</v>
      </c>
      <c r="AS60">
        <v>0.68813463873640102</v>
      </c>
      <c r="AT60">
        <v>3.4067486117004799</v>
      </c>
      <c r="AU60">
        <v>0.53532309536637801</v>
      </c>
      <c r="AV60">
        <v>0</v>
      </c>
      <c r="AW60">
        <v>0</v>
      </c>
      <c r="AX60">
        <v>0</v>
      </c>
      <c r="AY60">
        <v>0</v>
      </c>
      <c r="AZ60">
        <v>4.2743439804936996</v>
      </c>
      <c r="BA60">
        <v>1.26553815998409</v>
      </c>
      <c r="BB60">
        <v>4.3307333402863302</v>
      </c>
      <c r="BC60">
        <v>0.405465108108164</v>
      </c>
      <c r="BD60">
        <v>0.55961578793542299</v>
      </c>
      <c r="BE60">
        <v>0.62860865942237398</v>
      </c>
      <c r="BF60">
        <v>0.53532309536637801</v>
      </c>
      <c r="BG60">
        <v>0.34854196070854299</v>
      </c>
      <c r="BH60">
        <v>0.405465108108164</v>
      </c>
      <c r="BI60">
        <v>0</v>
      </c>
      <c r="BJ60">
        <v>0</v>
      </c>
      <c r="BK60">
        <v>0.15443635330441899</v>
      </c>
      <c r="BL60">
        <v>0.22314355131420999</v>
      </c>
      <c r="BM60">
        <v>0.81093021621632899</v>
      </c>
      <c r="BN60">
        <v>0.22314355131420999</v>
      </c>
      <c r="BO60">
        <v>0.45932178089887499</v>
      </c>
      <c r="BP60">
        <v>0</v>
      </c>
      <c r="BQ60">
        <v>0</v>
      </c>
      <c r="BR60">
        <v>0.22314355131420999</v>
      </c>
      <c r="BS60">
        <v>7.9734968018853505E-2</v>
      </c>
      <c r="BT60">
        <v>1.64229224930505</v>
      </c>
      <c r="BU60">
        <v>4.3307333402863302</v>
      </c>
      <c r="BV60">
        <v>3.0834225866809799</v>
      </c>
      <c r="BW60">
        <v>3.69199958145018</v>
      </c>
      <c r="BX60">
        <v>0.60595396885756803</v>
      </c>
      <c r="BY60">
        <v>2.1320339917990099</v>
      </c>
      <c r="BZ60">
        <v>1.8113986844804</v>
      </c>
      <c r="CA60">
        <v>4.53868844468726</v>
      </c>
      <c r="CB60">
        <v>0</v>
      </c>
      <c r="CC60">
        <v>0</v>
      </c>
      <c r="CD60">
        <v>0</v>
      </c>
      <c r="CE60">
        <v>0</v>
      </c>
      <c r="CF60">
        <v>0</v>
      </c>
      <c r="CH60" t="str">
        <f t="shared" si="0"/>
        <v>/*52*/ 010  1 2.72785282839839 2.26799364822443 2.39242579699384 5.37063802812766 5.62401750618734 6.78332520060396 7.22475340576797 0.043059489460447 0.880870786642895 1.08620226859143 1.19392246847243 1.06194830429652 0.438899884194402 0.182321556793955 0.197210169287705 0.235072122179484 0.204572165728774 7.60346862759976E-02 0.246860077931526 0.336472236621213 0.322083499169113 0.336472236621213 2.23387789498425 0 2.52876403285178 0 2.52876403285178 3.00721608149528 4.25178980899879 0 4.49381395411519 4.25178980899879 0.461215123212656 0.419368013277156 0.265436463504461 0.387979793767145 0.189793571632656 0.688134638736401 0.667829372575655 0.350656871613169 0.688134638736401 3.40674861170048 0.535323095366378 0 0 0 0 4.2743439804937 1.26553815998409 4.33073334028633 0.405465108108164 0.559615787935423 0.628608659422374 0.535323095366378 0.348541960708543 0.405465108108164 0 0 0.154436353304419 0.22314355131421 0.810930216216329 0.22314355131421 0.459321780898875 0 0 0.22314355131421 7.97349680188535E-02 1.64229224930505 4.33073334028633 3.08342258668098 3.69199958145018 0.605953968857568 2.13203399179901 1.8113986844804 4.53868844468726 0 0 0 0 0;</v>
      </c>
    </row>
    <row r="61" spans="1:86" x14ac:dyDescent="0.25">
      <c r="A61">
        <v>56</v>
      </c>
      <c r="B61">
        <v>1</v>
      </c>
      <c r="C61">
        <v>1</v>
      </c>
      <c r="D61">
        <v>1</v>
      </c>
      <c r="E61">
        <v>2.9444389791664398</v>
      </c>
      <c r="F61">
        <v>2.2332350148592499</v>
      </c>
      <c r="G61">
        <v>2.5779415157551901</v>
      </c>
      <c r="H61">
        <v>6.2766434893416401</v>
      </c>
      <c r="I61">
        <v>5.8805329864007003</v>
      </c>
      <c r="J61">
        <v>6.4997870406558498</v>
      </c>
      <c r="K61">
        <v>7.3479438231486904</v>
      </c>
      <c r="L61">
        <v>0.50500873844442595</v>
      </c>
      <c r="M61">
        <v>1.5713205903209699</v>
      </c>
      <c r="N61">
        <v>1.30508430569435</v>
      </c>
      <c r="O61">
        <v>1.3185507090333699</v>
      </c>
      <c r="P61">
        <v>1.40585186033542</v>
      </c>
      <c r="Q61">
        <v>0.65907320022619398</v>
      </c>
      <c r="R61">
        <v>0.27002713721305999</v>
      </c>
      <c r="S61">
        <v>0.155292884406035</v>
      </c>
      <c r="T61">
        <v>0.23665190133900199</v>
      </c>
      <c r="U61">
        <v>0.22394323148477399</v>
      </c>
      <c r="V61">
        <v>0.16381808522939501</v>
      </c>
      <c r="W61">
        <v>0.55388511322643796</v>
      </c>
      <c r="X61">
        <v>0.231111720963387</v>
      </c>
      <c r="Y61">
        <v>0.54232429082536204</v>
      </c>
      <c r="Z61">
        <v>0.55388511322643796</v>
      </c>
      <c r="AA61">
        <v>2.5869366253493702</v>
      </c>
      <c r="AB61">
        <v>0</v>
      </c>
      <c r="AC61">
        <v>0</v>
      </c>
      <c r="AD61">
        <v>0</v>
      </c>
      <c r="AE61">
        <v>0</v>
      </c>
      <c r="AF61">
        <v>1.4662601427577699</v>
      </c>
      <c r="AG61">
        <v>4.5815637333124197</v>
      </c>
      <c r="AH61">
        <v>0</v>
      </c>
      <c r="AI61">
        <v>4.6151205168412597</v>
      </c>
      <c r="AJ61">
        <v>4.5815637333124197</v>
      </c>
      <c r="AK61">
        <v>0.108854404912082</v>
      </c>
      <c r="AL61">
        <v>0.25464221837358098</v>
      </c>
      <c r="AM61">
        <v>0.21591750622247</v>
      </c>
      <c r="AN61">
        <v>0.180653499693258</v>
      </c>
      <c r="AO61">
        <v>0.184818436992542</v>
      </c>
      <c r="AP61">
        <v>0.37156355643248301</v>
      </c>
      <c r="AQ61">
        <v>0.66268797307523697</v>
      </c>
      <c r="AR61">
        <v>0.45107561936021701</v>
      </c>
      <c r="AS61">
        <v>0.66268797307523697</v>
      </c>
      <c r="AT61">
        <v>3.5361069907765299</v>
      </c>
      <c r="AU61">
        <v>0.377065633586466</v>
      </c>
      <c r="AV61">
        <v>3.9318256327243302</v>
      </c>
      <c r="AW61">
        <v>0</v>
      </c>
      <c r="AX61">
        <v>2.6026896854443802</v>
      </c>
      <c r="AY61">
        <v>3.0834225866809799</v>
      </c>
      <c r="AZ61">
        <v>3.84658808264264</v>
      </c>
      <c r="BA61">
        <v>0.916290731874155</v>
      </c>
      <c r="BB61">
        <v>3.9318256327243302</v>
      </c>
      <c r="BC61">
        <v>0.117783035656383</v>
      </c>
      <c r="BD61">
        <v>0.22314355131420999</v>
      </c>
      <c r="BE61">
        <v>0.31845373111853498</v>
      </c>
      <c r="BF61">
        <v>0.22314355131420999</v>
      </c>
      <c r="BG61">
        <v>0.45932178089887499</v>
      </c>
      <c r="BH61">
        <v>0.22314355131420999</v>
      </c>
      <c r="BI61">
        <v>0.69314718055994495</v>
      </c>
      <c r="BJ61">
        <v>0.405465108108164</v>
      </c>
      <c r="BK61">
        <v>0.45932178089887499</v>
      </c>
      <c r="BL61">
        <v>0.22314355131420999</v>
      </c>
      <c r="BM61">
        <v>0</v>
      </c>
      <c r="BN61">
        <v>0.22314355131420999</v>
      </c>
      <c r="BO61">
        <v>0.15443635330441899</v>
      </c>
      <c r="BP61">
        <v>0.916290731874155</v>
      </c>
      <c r="BQ61">
        <v>0</v>
      </c>
      <c r="BR61">
        <v>0.55961578793542299</v>
      </c>
      <c r="BS61">
        <v>0.55961578793542299</v>
      </c>
      <c r="BT61">
        <v>3.4067486117004799</v>
      </c>
      <c r="BU61">
        <v>3.84658808264264</v>
      </c>
      <c r="BV61">
        <v>3.2580965380214799</v>
      </c>
      <c r="BW61">
        <v>3.4927124904979299</v>
      </c>
      <c r="BX61">
        <v>0.60595396885756803</v>
      </c>
      <c r="BY61">
        <v>4.0028504253886403</v>
      </c>
      <c r="BZ61">
        <v>2.8285554540864899</v>
      </c>
      <c r="CA61">
        <v>3.8553679942715702</v>
      </c>
      <c r="CB61">
        <v>0</v>
      </c>
      <c r="CC61">
        <v>0</v>
      </c>
      <c r="CD61">
        <v>0</v>
      </c>
      <c r="CE61">
        <v>0</v>
      </c>
      <c r="CF61">
        <v>0</v>
      </c>
      <c r="CH61" t="str">
        <f t="shared" si="0"/>
        <v>/*56*/ 111  1 2.94443897916644 2.23323501485925 2.57794151575519 6.27664348934164 5.8805329864007 6.49978704065585 7.34794382314869 0.505008738444426 1.57132059032097 1.30508430569435 1.31855070903337 1.40585186033542 0.659073200226194 0.27002713721306 0.155292884406035 0.236651901339002 0.223943231484774 0.163818085229395 0.553885113226438 0.231111720963387 0.542324290825362 0.553885113226438 2.58693662534937 0 0 0 0 1.46626014275777 4.58156373331242 0 4.61512051684126 4.58156373331242 0.108854404912082 0.254642218373581 0.21591750622247 0.180653499693258 0.184818436992542 0.371563556432483 0.662687973075237 0.451075619360217 0.662687973075237 3.53610699077653 0.377065633586466 3.93182563272433 0 2.60268968544438 3.08342258668098 3.84658808264264 0.916290731874155 3.93182563272433 0.117783035656383 0.22314355131421 0.318453731118535 0.22314355131421 0.459321780898875 0.22314355131421 0.693147180559945 0.405465108108164 0.459321780898875 0.22314355131421 0 0.22314355131421 0.154436353304419 0.916290731874155 0 0.559615787935423 0.559615787935423 3.40674861170048 3.84658808264264 3.25809653802148 3.49271249049793 0.605953968857568 4.00285042538864 2.82855545408649 3.85536799427157 0 0 0 0 0;</v>
      </c>
    </row>
    <row r="62" spans="1:86" x14ac:dyDescent="0.25">
      <c r="A62">
        <v>57</v>
      </c>
      <c r="B62">
        <v>0</v>
      </c>
      <c r="C62">
        <v>0</v>
      </c>
      <c r="D62">
        <v>0</v>
      </c>
      <c r="E62">
        <v>3.0445224377234199</v>
      </c>
      <c r="F62">
        <v>2.26384426467762</v>
      </c>
      <c r="G62">
        <v>2.3905959703167601</v>
      </c>
      <c r="H62">
        <v>5.4595855141441598</v>
      </c>
      <c r="I62">
        <v>5.4595855141441598</v>
      </c>
      <c r="J62">
        <v>5.4595855141441598</v>
      </c>
      <c r="K62">
        <v>6.5553568918106704</v>
      </c>
      <c r="L62">
        <v>0</v>
      </c>
      <c r="M62">
        <v>0.93137636929219603</v>
      </c>
      <c r="N62">
        <v>0.92624106272732298</v>
      </c>
      <c r="O62">
        <v>0.75377180237637997</v>
      </c>
      <c r="P62">
        <v>0.87380068025320301</v>
      </c>
      <c r="Q62">
        <v>0.28442677973110803</v>
      </c>
      <c r="R62">
        <v>0.22633844221072899</v>
      </c>
      <c r="S62">
        <v>0.231111720963387</v>
      </c>
      <c r="T62">
        <v>0.28968007511445398</v>
      </c>
      <c r="U62">
        <v>0.24920108563349899</v>
      </c>
      <c r="V62">
        <v>8.0657903017454499E-2</v>
      </c>
      <c r="W62">
        <v>0.307484699747961</v>
      </c>
      <c r="X62">
        <v>0.33647223662121301</v>
      </c>
      <c r="Y62">
        <v>0.37843643572024499</v>
      </c>
      <c r="Z62">
        <v>0.37843643572024499</v>
      </c>
      <c r="AA62">
        <v>1.7793494491513699</v>
      </c>
      <c r="AB62">
        <v>0</v>
      </c>
      <c r="AC62">
        <v>3.4067486117004799</v>
      </c>
      <c r="AD62">
        <v>2.2335565065836098</v>
      </c>
      <c r="AE62">
        <v>3.6506582412937401</v>
      </c>
      <c r="AF62">
        <v>2.6026896854443802</v>
      </c>
      <c r="AG62">
        <v>3.9318256327243302</v>
      </c>
      <c r="AH62">
        <v>0</v>
      </c>
      <c r="AI62">
        <v>4.1510399058986502</v>
      </c>
      <c r="AJ62">
        <v>3.9318256327243302</v>
      </c>
      <c r="AK62">
        <v>0.35136084911496401</v>
      </c>
      <c r="AL62">
        <v>0.360467742177429</v>
      </c>
      <c r="AM62">
        <v>0.210260925483196</v>
      </c>
      <c r="AN62">
        <v>0.30968815271439598</v>
      </c>
      <c r="AO62">
        <v>0.147557564357615</v>
      </c>
      <c r="AP62">
        <v>0.51282362642866397</v>
      </c>
      <c r="AQ62">
        <v>0.54232429082536204</v>
      </c>
      <c r="AR62">
        <v>0.36464311358790902</v>
      </c>
      <c r="AS62">
        <v>0.54232429082536204</v>
      </c>
      <c r="AT62">
        <v>2.8716984926305398</v>
      </c>
      <c r="AU62">
        <v>0.55961578793542299</v>
      </c>
      <c r="AV62">
        <v>0</v>
      </c>
      <c r="AW62">
        <v>0</v>
      </c>
      <c r="AX62">
        <v>3.2580965380214799</v>
      </c>
      <c r="AY62">
        <v>2.2335565065836098</v>
      </c>
      <c r="AZ62">
        <v>4.3307333402863302</v>
      </c>
      <c r="BA62">
        <v>0.69314718055994495</v>
      </c>
      <c r="BB62">
        <v>3.5361069907765299</v>
      </c>
      <c r="BC62">
        <v>0</v>
      </c>
      <c r="BD62">
        <v>0</v>
      </c>
      <c r="BE62">
        <v>0</v>
      </c>
      <c r="BF62">
        <v>0</v>
      </c>
      <c r="BG62">
        <v>7.9734968018853505E-2</v>
      </c>
      <c r="BH62">
        <v>0.69314718055994495</v>
      </c>
      <c r="BI62">
        <v>1.09861228866811</v>
      </c>
      <c r="BJ62">
        <v>0.69314718055994495</v>
      </c>
      <c r="BK62">
        <v>0.84715499303929298</v>
      </c>
      <c r="BL62">
        <v>0</v>
      </c>
      <c r="BM62">
        <v>0</v>
      </c>
      <c r="BN62">
        <v>0</v>
      </c>
      <c r="BO62">
        <v>0</v>
      </c>
      <c r="BP62">
        <v>0.22314355131420999</v>
      </c>
      <c r="BQ62">
        <v>0.22314355131420999</v>
      </c>
      <c r="BR62">
        <v>0.405465108108164</v>
      </c>
      <c r="BS62">
        <v>0.28743204119657201</v>
      </c>
      <c r="BT62">
        <v>2.8716984926305398</v>
      </c>
      <c r="BU62">
        <v>4.43477324748243</v>
      </c>
      <c r="BV62">
        <v>0</v>
      </c>
      <c r="BW62">
        <v>3.2740077423062002</v>
      </c>
      <c r="BX62">
        <v>0.28743204119657201</v>
      </c>
      <c r="BY62">
        <v>4.3217988091233996</v>
      </c>
      <c r="BZ62">
        <v>2.6360528205949598</v>
      </c>
      <c r="CA62">
        <v>3.2837642847700601</v>
      </c>
      <c r="CB62">
        <v>0</v>
      </c>
      <c r="CC62">
        <v>0</v>
      </c>
      <c r="CD62">
        <v>0</v>
      </c>
      <c r="CE62">
        <v>0</v>
      </c>
      <c r="CF62">
        <v>0</v>
      </c>
      <c r="CH62" t="str">
        <f t="shared" si="0"/>
        <v>/*57*/ 000  1 3.04452243772342 2.26384426467762 2.39059597031676 5.45958551414416 5.45958551414416 5.45958551414416 6.55535689181067 0 0.931376369292196 0.926241062727323 0.75377180237638 0.873800680253203 0.284426779731108 0.226338442210729 0.231111720963387 0.289680075114454 0.249201085633499 8.06579030174545E-02 0.307484699747961 0.336472236621213 0.378436435720245 0.378436435720245 1.77934944915137 0 3.40674861170048 2.23355650658361 3.65065824129374 2.60268968544438 3.93182563272433 0 4.15103990589865 3.93182563272433 0.351360849114964 0.360467742177429 0.210260925483196 0.309688152714396 0.147557564357615 0.512823626428664 0.542324290825362 0.364643113587909 0.542324290825362 2.87169849263054 0.559615787935423 0 0 3.25809653802148 2.23355650658361 4.33073334028633 0.693147180559945 3.53610699077653 0 0 0 0 7.97349680188535E-02 0.693147180559945 1.09861228866811 0.693147180559945 0.847154993039293 0 0 0 0 0.22314355131421 0.22314355131421 0.405465108108164 0.287432041196572 2.87169849263054 4.43477324748243 0 3.2740077423062 0.287432041196572 4.3217988091234 2.63605282059496 3.28376428477006 0 0 0 0 0;</v>
      </c>
    </row>
    <row r="63" spans="1:86" x14ac:dyDescent="0.25">
      <c r="A63">
        <v>65</v>
      </c>
      <c r="B63">
        <v>1</v>
      </c>
      <c r="C63">
        <v>1</v>
      </c>
      <c r="D63">
        <v>1</v>
      </c>
      <c r="E63">
        <v>2.7013612129514102</v>
      </c>
      <c r="F63">
        <v>2.27521389619791</v>
      </c>
      <c r="G63">
        <v>2.5748996883147099</v>
      </c>
      <c r="H63">
        <v>6.5410299991898997</v>
      </c>
      <c r="I63">
        <v>6.1841488909374798</v>
      </c>
      <c r="J63">
        <v>6.0378709199221401</v>
      </c>
      <c r="K63">
        <v>7.3746290152189404</v>
      </c>
      <c r="L63">
        <v>0.47125284864616701</v>
      </c>
      <c r="M63">
        <v>1.09861228866811</v>
      </c>
      <c r="N63">
        <v>0.993251773010283</v>
      </c>
      <c r="O63">
        <v>0.98879742266090298</v>
      </c>
      <c r="P63">
        <v>1.0281898243715599</v>
      </c>
      <c r="Q63">
        <v>0.32786386208461299</v>
      </c>
      <c r="R63">
        <v>0.155292884406035</v>
      </c>
      <c r="S63">
        <v>0.184818436992542</v>
      </c>
      <c r="T63">
        <v>0.192271887647123</v>
      </c>
      <c r="U63">
        <v>0.17730901497040999</v>
      </c>
      <c r="V63">
        <v>6.8592791465611702E-2</v>
      </c>
      <c r="W63">
        <v>0.262364264467491</v>
      </c>
      <c r="X63">
        <v>0.262364264467491</v>
      </c>
      <c r="Y63">
        <v>0.27763173659828</v>
      </c>
      <c r="Z63">
        <v>0.27763173659828</v>
      </c>
      <c r="AA63">
        <v>2.3259109182975402</v>
      </c>
      <c r="AB63">
        <v>0</v>
      </c>
      <c r="AC63">
        <v>1.32919476907932</v>
      </c>
      <c r="AD63">
        <v>0</v>
      </c>
      <c r="AE63">
        <v>1.32919476907932</v>
      </c>
      <c r="AF63">
        <v>1.32919476907932</v>
      </c>
      <c r="AG63">
        <v>4.5585396880597804</v>
      </c>
      <c r="AH63">
        <v>0</v>
      </c>
      <c r="AI63">
        <v>4.58723022285543</v>
      </c>
      <c r="AJ63">
        <v>4.5585396880597804</v>
      </c>
      <c r="AK63">
        <v>0.31772619380015799</v>
      </c>
      <c r="AL63">
        <v>0.29266961396281999</v>
      </c>
      <c r="AM63">
        <v>0.25619140536041002</v>
      </c>
      <c r="AN63">
        <v>0.288931291852213</v>
      </c>
      <c r="AO63">
        <v>0.20130685670503501</v>
      </c>
      <c r="AP63">
        <v>0.55961578793542299</v>
      </c>
      <c r="AQ63">
        <v>0.58778666490211895</v>
      </c>
      <c r="AR63">
        <v>0.63127177684185798</v>
      </c>
      <c r="AS63">
        <v>0.63127177684185798</v>
      </c>
      <c r="AT63">
        <v>3.6506582412937401</v>
      </c>
      <c r="AU63">
        <v>0.45932178089887499</v>
      </c>
      <c r="AV63">
        <v>2.6026896854443802</v>
      </c>
      <c r="AW63">
        <v>0</v>
      </c>
      <c r="AX63">
        <v>0</v>
      </c>
      <c r="AY63">
        <v>1.64229224930505</v>
      </c>
      <c r="AZ63">
        <v>4.0831656436306698</v>
      </c>
      <c r="BA63">
        <v>0.95551144502743601</v>
      </c>
      <c r="BB63">
        <v>3.5361069907765299</v>
      </c>
      <c r="BC63">
        <v>0</v>
      </c>
      <c r="BD63">
        <v>0</v>
      </c>
      <c r="BE63">
        <v>0</v>
      </c>
      <c r="BF63">
        <v>0</v>
      </c>
      <c r="BG63">
        <v>4.2101176018635299E-2</v>
      </c>
      <c r="BH63">
        <v>0.22314355131420999</v>
      </c>
      <c r="BI63">
        <v>0.22314355131420999</v>
      </c>
      <c r="BJ63">
        <v>0</v>
      </c>
      <c r="BK63">
        <v>0.167207918983906</v>
      </c>
      <c r="BL63">
        <v>0</v>
      </c>
      <c r="BM63">
        <v>0</v>
      </c>
      <c r="BN63">
        <v>0.28743204119657201</v>
      </c>
      <c r="BO63">
        <v>8.7094706850933706E-2</v>
      </c>
      <c r="BP63">
        <v>0.81093021621632899</v>
      </c>
      <c r="BQ63">
        <v>0.81093021621632899</v>
      </c>
      <c r="BR63">
        <v>0</v>
      </c>
      <c r="BS63">
        <v>0.64657954474361101</v>
      </c>
      <c r="BT63">
        <v>0</v>
      </c>
      <c r="BU63">
        <v>4.43477324748243</v>
      </c>
      <c r="BV63">
        <v>2.8716984926305398</v>
      </c>
      <c r="BW63">
        <v>3.74851535200981</v>
      </c>
      <c r="BX63">
        <v>0.69314718055994495</v>
      </c>
      <c r="BY63">
        <v>4.6151205168412597</v>
      </c>
      <c r="BZ63">
        <v>0</v>
      </c>
      <c r="CA63">
        <v>0</v>
      </c>
      <c r="CB63">
        <v>0</v>
      </c>
      <c r="CC63">
        <v>0</v>
      </c>
      <c r="CD63">
        <v>0</v>
      </c>
      <c r="CE63">
        <v>0</v>
      </c>
      <c r="CF63">
        <v>0</v>
      </c>
      <c r="CH63" t="str">
        <f t="shared" si="0"/>
        <v>/*65*/ 111  1 2.70136121295141 2.27521389619791 2.57489968831471 6.5410299991899 6.18414889093748 6.03787091992214 7.37462901521894 0.471252848646167 1.09861228866811 0.993251773010283 0.988797422660903 1.02818982437156 0.327863862084613 0.155292884406035 0.184818436992542 0.192271887647123 0.17730901497041 6.85927914656117E-02 0.262364264467491 0.262364264467491 0.27763173659828 0.27763173659828 2.32591091829754 0 1.32919476907932 0 1.32919476907932 1.32919476907932 4.55853968805978 0 4.58723022285543 4.55853968805978 0.317726193800158 0.29266961396282 0.25619140536041 0.288931291852213 0.201306856705035 0.559615787935423 0.587786664902119 0.631271776841858 0.631271776841858 3.65065824129374 0.459321780898875 2.60268968544438 0 0 1.64229224930505 4.08316564363067 0.955511445027436 3.53610699077653 0 0 0 0 4.21011760186353E-02 0.22314355131421 0.22314355131421 0 0.167207918983906 0 0 0.287432041196572 8.70947068509337E-02 0.810930216216329 0.810930216216329 0 0.646579544743611 0 4.43477324748243 2.87169849263054 3.74851535200981 0.693147180559945 4.61512051684126 0 0 0 0 0 0 0;</v>
      </c>
    </row>
    <row r="64" spans="1:86" x14ac:dyDescent="0.25">
      <c r="A64">
        <v>73</v>
      </c>
      <c r="B64">
        <v>1</v>
      </c>
      <c r="C64">
        <v>0</v>
      </c>
      <c r="D64">
        <v>1</v>
      </c>
      <c r="E64">
        <v>2.7663191092261901</v>
      </c>
      <c r="F64">
        <v>2.2628042229821999</v>
      </c>
      <c r="G64">
        <v>2.6041700706148201</v>
      </c>
      <c r="H64">
        <v>6.5764695690482204</v>
      </c>
      <c r="I64">
        <v>6.5764695690482204</v>
      </c>
      <c r="J64">
        <v>6.5764695690482204</v>
      </c>
      <c r="K64">
        <v>7.6741529212816797</v>
      </c>
      <c r="L64">
        <v>5.4488185284069797E-2</v>
      </c>
      <c r="M64">
        <v>1.4410192608091399</v>
      </c>
      <c r="N64">
        <v>1.27396517614597</v>
      </c>
      <c r="O64">
        <v>1.37371557891303</v>
      </c>
      <c r="P64">
        <v>1.3653260546836901</v>
      </c>
      <c r="Q64">
        <v>0.46121512321265601</v>
      </c>
      <c r="R64">
        <v>0.38933572617828099</v>
      </c>
      <c r="S64">
        <v>0.325700139639302</v>
      </c>
      <c r="T64">
        <v>0.37569294977449402</v>
      </c>
      <c r="U64">
        <v>0.36533731701738498</v>
      </c>
      <c r="V64">
        <v>0.122217632724249</v>
      </c>
      <c r="W64">
        <v>0.51879379341516796</v>
      </c>
      <c r="X64">
        <v>0.494696241836107</v>
      </c>
      <c r="Y64">
        <v>0.50681760236845197</v>
      </c>
      <c r="Z64">
        <v>0.51879379341516796</v>
      </c>
      <c r="AA64">
        <v>2.0290688760151601</v>
      </c>
      <c r="AB64">
        <v>0</v>
      </c>
      <c r="AC64">
        <v>3.4219799208446799</v>
      </c>
      <c r="AD64">
        <v>0</v>
      </c>
      <c r="AE64">
        <v>3.4219799208446799</v>
      </c>
      <c r="AF64">
        <v>2.4941141305389101</v>
      </c>
      <c r="AG64">
        <v>4.0986519388084002</v>
      </c>
      <c r="AH64">
        <v>0</v>
      </c>
      <c r="AI64">
        <v>4.2678776129829803</v>
      </c>
      <c r="AJ64">
        <v>4.0986519388084002</v>
      </c>
      <c r="AK64">
        <v>0.26849925303500699</v>
      </c>
      <c r="AL64">
        <v>0.50380100882902601</v>
      </c>
      <c r="AM64">
        <v>0.22872792960811</v>
      </c>
      <c r="AN64">
        <v>0.33074156191222798</v>
      </c>
      <c r="AO64">
        <v>0.26159473768846198</v>
      </c>
      <c r="AP64">
        <v>0.53649337051456802</v>
      </c>
      <c r="AQ64">
        <v>0.80200158547202705</v>
      </c>
      <c r="AR64">
        <v>0.47000362924573602</v>
      </c>
      <c r="AS64">
        <v>0.80200158547202705</v>
      </c>
      <c r="AT64">
        <v>2.2335565065836098</v>
      </c>
      <c r="AU64">
        <v>0.64657954474361101</v>
      </c>
      <c r="AV64">
        <v>0</v>
      </c>
      <c r="AW64">
        <v>0</v>
      </c>
      <c r="AX64">
        <v>0</v>
      </c>
      <c r="AY64">
        <v>0</v>
      </c>
      <c r="AZ64">
        <v>4.43477324748243</v>
      </c>
      <c r="BA64">
        <v>0.84715499303929298</v>
      </c>
      <c r="BB64">
        <v>3.7534257877209898</v>
      </c>
      <c r="BC64">
        <v>0</v>
      </c>
      <c r="BD64">
        <v>0.117783035656383</v>
      </c>
      <c r="BE64">
        <v>0</v>
      </c>
      <c r="BF64">
        <v>4.1141943331175199E-2</v>
      </c>
      <c r="BG64">
        <v>0.377065633586466</v>
      </c>
      <c r="BH64">
        <v>0.405465108108164</v>
      </c>
      <c r="BI64">
        <v>0.22314355131420999</v>
      </c>
      <c r="BJ64">
        <v>0.69314718055994495</v>
      </c>
      <c r="BK64">
        <v>0.45932178089887499</v>
      </c>
      <c r="BL64">
        <v>0.22314355131420999</v>
      </c>
      <c r="BM64">
        <v>0.55961578793542299</v>
      </c>
      <c r="BN64">
        <v>0</v>
      </c>
      <c r="BO64">
        <v>0.28743204119657201</v>
      </c>
      <c r="BP64">
        <v>0.69314718055994495</v>
      </c>
      <c r="BQ64">
        <v>0.55961578793542299</v>
      </c>
      <c r="BR64">
        <v>1.0116009116784801</v>
      </c>
      <c r="BS64">
        <v>0.77334372255422201</v>
      </c>
      <c r="BT64">
        <v>2.6026896854443802</v>
      </c>
      <c r="BU64">
        <v>4.3307333402863302</v>
      </c>
      <c r="BV64">
        <v>2.6026896854443802</v>
      </c>
      <c r="BW64">
        <v>3.6342912638295299</v>
      </c>
      <c r="BX64">
        <v>0.34854196070854299</v>
      </c>
      <c r="BY64">
        <v>4.5362701673330399</v>
      </c>
      <c r="BZ64">
        <v>2.2322699190790201</v>
      </c>
      <c r="CA64">
        <v>2.1584837490197901</v>
      </c>
      <c r="CB64">
        <v>0</v>
      </c>
      <c r="CC64">
        <v>0</v>
      </c>
      <c r="CD64">
        <v>0</v>
      </c>
      <c r="CE64">
        <v>0</v>
      </c>
      <c r="CF64">
        <v>0</v>
      </c>
      <c r="CH64" t="str">
        <f t="shared" si="0"/>
        <v>/*73*/ 101  1 2.76631910922619 2.2628042229822 2.60417007061482 6.57646956904822 6.57646956904822 6.57646956904822 7.67415292128168 5.44881852840698E-02 1.44101926080914 1.27396517614597 1.37371557891303 1.36532605468369 0.461215123212656 0.389335726178281 0.325700139639302 0.375692949774494 0.365337317017385 0.122217632724249 0.518793793415168 0.494696241836107 0.506817602368452 0.518793793415168 2.02906887601516 0 3.42197992084468 0 3.42197992084468 2.49411413053891 4.0986519388084 0 4.26787761298298 4.0986519388084 0.268499253035007 0.503801008829026 0.22872792960811 0.330741561912228 0.261594737688462 0.536493370514568 0.802001585472027 0.470003629245736 0.802001585472027 2.23355650658361 0.646579544743611 0 0 0 0 4.43477324748243 0.847154993039293 3.75342578772099 0 0.117783035656383 0 4.11419433311752E-02 0.377065633586466 0.405465108108164 0.22314355131421 0.693147180559945 0.459321780898875 0.22314355131421 0.559615787935423 0 0.287432041196572 0.693147180559945 0.559615787935423 1.01160091167848 0.773343722554222 2.60268968544438 4.33073334028633 2.60268968544438 3.63429126382953 0.348541960708543 4.53627016733304 2.23226991907902 2.15848374901979 0 0 0 0 0;</v>
      </c>
    </row>
    <row r="65" spans="1:86" x14ac:dyDescent="0.25">
      <c r="A65">
        <v>77</v>
      </c>
      <c r="B65">
        <v>1</v>
      </c>
      <c r="C65">
        <v>1</v>
      </c>
      <c r="D65">
        <v>1</v>
      </c>
      <c r="E65">
        <v>3.1000922888782299</v>
      </c>
      <c r="F65">
        <v>2.2310890912889798</v>
      </c>
      <c r="G65">
        <v>2.53449014997683</v>
      </c>
      <c r="H65">
        <v>6.49828214947643</v>
      </c>
      <c r="I65">
        <v>6.0234475929610296</v>
      </c>
      <c r="J65">
        <v>6.2728770065461701</v>
      </c>
      <c r="K65">
        <v>7.3808790355641198</v>
      </c>
      <c r="L65">
        <v>0.13976194237515899</v>
      </c>
      <c r="M65">
        <v>1.2564703732836899</v>
      </c>
      <c r="N65">
        <v>1.47017584510059</v>
      </c>
      <c r="O65">
        <v>1.2947271675944001</v>
      </c>
      <c r="P65">
        <v>1.3449513975855101</v>
      </c>
      <c r="Q65">
        <v>0.66217237626051495</v>
      </c>
      <c r="R65">
        <v>0.27307592006241899</v>
      </c>
      <c r="S65">
        <v>0.33002291294130598</v>
      </c>
      <c r="T65">
        <v>0.195566783543975</v>
      </c>
      <c r="U65">
        <v>0.27231459532065899</v>
      </c>
      <c r="V65">
        <v>0.123102197133983</v>
      </c>
      <c r="W65">
        <v>0.33647223662121301</v>
      </c>
      <c r="X65">
        <v>0.482426149244293</v>
      </c>
      <c r="Y65">
        <v>0.322083499169113</v>
      </c>
      <c r="Z65">
        <v>0.482426149244293</v>
      </c>
      <c r="AA65">
        <v>2.30985857696054</v>
      </c>
      <c r="AB65">
        <v>1.4412559191938601</v>
      </c>
      <c r="AC65">
        <v>1.4412559191938601</v>
      </c>
      <c r="AD65">
        <v>0</v>
      </c>
      <c r="AE65">
        <v>2.0084824527393401</v>
      </c>
      <c r="AF65">
        <v>0</v>
      </c>
      <c r="AG65">
        <v>4.4784384801489496</v>
      </c>
      <c r="AH65">
        <v>2.0084824527393401</v>
      </c>
      <c r="AI65">
        <v>4.5491076420515499</v>
      </c>
      <c r="AJ65">
        <v>4.4784384801489496</v>
      </c>
      <c r="AK65">
        <v>0.32135859881116502</v>
      </c>
      <c r="AL65">
        <v>0.24920108563349899</v>
      </c>
      <c r="AM65">
        <v>0.37912113276856202</v>
      </c>
      <c r="AN65">
        <v>0.30895420772732102</v>
      </c>
      <c r="AO65">
        <v>0.24607852259670601</v>
      </c>
      <c r="AP65">
        <v>0.62057648772510998</v>
      </c>
      <c r="AQ65">
        <v>0.75141608868392096</v>
      </c>
      <c r="AR65">
        <v>0.66268797307523697</v>
      </c>
      <c r="AS65">
        <v>0.75141608868392096</v>
      </c>
      <c r="AT65">
        <v>3.84658808264264</v>
      </c>
      <c r="AU65">
        <v>0.298622012490115</v>
      </c>
      <c r="AV65">
        <v>2.6026896854443802</v>
      </c>
      <c r="AW65">
        <v>3.6506582412937401</v>
      </c>
      <c r="AX65">
        <v>0</v>
      </c>
      <c r="AY65">
        <v>2.8716984926305398</v>
      </c>
      <c r="AZ65">
        <v>3.84658808264264</v>
      </c>
      <c r="BA65">
        <v>0.65076146406350699</v>
      </c>
      <c r="BB65">
        <v>3.2580965380214799</v>
      </c>
      <c r="BC65">
        <v>0.117783035656383</v>
      </c>
      <c r="BD65">
        <v>0</v>
      </c>
      <c r="BE65">
        <v>0</v>
      </c>
      <c r="BF65">
        <v>4.1141943331175199E-2</v>
      </c>
      <c r="BG65">
        <v>0.188966099512623</v>
      </c>
      <c r="BH65">
        <v>0</v>
      </c>
      <c r="BI65">
        <v>0</v>
      </c>
      <c r="BJ65">
        <v>0</v>
      </c>
      <c r="BK65">
        <v>0</v>
      </c>
      <c r="BL65">
        <v>0</v>
      </c>
      <c r="BM65">
        <v>0</v>
      </c>
      <c r="BN65">
        <v>0.55961578793542299</v>
      </c>
      <c r="BO65">
        <v>0.22314355131420999</v>
      </c>
      <c r="BP65">
        <v>0.55961578793542299</v>
      </c>
      <c r="BQ65">
        <v>1.0116009116784801</v>
      </c>
      <c r="BR65">
        <v>0</v>
      </c>
      <c r="BS65">
        <v>0.60595396885756803</v>
      </c>
      <c r="BT65">
        <v>2.2335565065836098</v>
      </c>
      <c r="BU65">
        <v>4.1510399058986502</v>
      </c>
      <c r="BV65">
        <v>3.4067486117004799</v>
      </c>
      <c r="BW65">
        <v>3.9070104636046001</v>
      </c>
      <c r="BX65">
        <v>0.405465108108164</v>
      </c>
      <c r="BY65">
        <v>4.5546029437503499</v>
      </c>
      <c r="BZ65">
        <v>2.19031185051126</v>
      </c>
      <c r="CA65">
        <v>1.9360041029358499</v>
      </c>
      <c r="CB65">
        <v>0</v>
      </c>
      <c r="CC65">
        <v>0</v>
      </c>
      <c r="CD65">
        <v>0</v>
      </c>
      <c r="CE65">
        <v>0</v>
      </c>
      <c r="CF65">
        <v>0</v>
      </c>
      <c r="CH65" t="str">
        <f t="shared" si="0"/>
        <v>/*77*/ 111  1 3.10009228887823 2.23108909128898 2.53449014997683 6.49828214947643 6.02344759296103 6.27287700654617 7.38087903556412 0.139761942375159 1.25647037328369 1.47017584510059 1.2947271675944 1.34495139758551 0.662172376260515 0.273075920062419 0.330022912941306 0.195566783543975 0.272314595320659 0.123102197133983 0.336472236621213 0.482426149244293 0.322083499169113 0.482426149244293 2.30985857696054 1.44125591919386 1.44125591919386 0 2.00848245273934 0 4.47843848014895 2.00848245273934 4.54910764205155 4.47843848014895 0.321358598811165 0.249201085633499 0.379121132768562 0.308954207727321 0.246078522596706 0.62057648772511 0.751416088683921 0.662687973075237 0.751416088683921 3.84658808264264 0.298622012490115 2.60268968544438 3.65065824129374 0 2.87169849263054 3.84658808264264 0.650761464063507 3.25809653802148 0.117783035656383 0 0 4.11419433311752E-02 0.188966099512623 0 0 0 0 0 0 0.559615787935423 0.22314355131421 0.559615787935423 1.01160091167848 0 0.605953968857568 2.23355650658361 4.15103990589865 3.40674861170048 3.9070104636046 0.405465108108164 4.55460294375035 2.19031185051126 1.93600410293585 0 0 0 0 0;</v>
      </c>
    </row>
    <row r="66" spans="1:86" x14ac:dyDescent="0.25">
      <c r="A66">
        <v>80</v>
      </c>
      <c r="B66">
        <v>0</v>
      </c>
      <c r="C66">
        <v>0</v>
      </c>
      <c r="D66">
        <v>0</v>
      </c>
      <c r="E66">
        <v>2.9601050959108401</v>
      </c>
      <c r="F66">
        <v>2.3055806019738401</v>
      </c>
      <c r="G66">
        <v>2.52972066557779</v>
      </c>
      <c r="H66">
        <v>6.3473892096560096</v>
      </c>
      <c r="I66">
        <v>6.5806391372849502</v>
      </c>
      <c r="J66">
        <v>5.9738096118692603</v>
      </c>
      <c r="K66">
        <v>7.4283331941908104</v>
      </c>
      <c r="L66">
        <v>0</v>
      </c>
      <c r="M66">
        <v>1.6170091779304201</v>
      </c>
      <c r="N66">
        <v>1.43817498299688</v>
      </c>
      <c r="O66">
        <v>1.3415584672784999</v>
      </c>
      <c r="P66">
        <v>1.4720132365224301</v>
      </c>
      <c r="Q66">
        <v>0.82680356537261901</v>
      </c>
      <c r="R66">
        <v>0.202124184090134</v>
      </c>
      <c r="S66">
        <v>0.20130685670503501</v>
      </c>
      <c r="T66">
        <v>0.17142911562753099</v>
      </c>
      <c r="U66">
        <v>0.19062035960865001</v>
      </c>
      <c r="V66">
        <v>0.131028262406404</v>
      </c>
      <c r="W66">
        <v>0.431782416425538</v>
      </c>
      <c r="X66">
        <v>0.405465108108164</v>
      </c>
      <c r="Y66">
        <v>0.33647223662121301</v>
      </c>
      <c r="Z66">
        <v>0.431782416425538</v>
      </c>
      <c r="AA66">
        <v>2.8314470792461299</v>
      </c>
      <c r="AB66">
        <v>0</v>
      </c>
      <c r="AC66">
        <v>3.5071477233384099</v>
      </c>
      <c r="AD66">
        <v>0</v>
      </c>
      <c r="AE66">
        <v>3.5071477233384099</v>
      </c>
      <c r="AF66">
        <v>1.3714344982128699</v>
      </c>
      <c r="AG66">
        <v>4.1851902455216798</v>
      </c>
      <c r="AH66">
        <v>0</v>
      </c>
      <c r="AI66">
        <v>4.2289774313319404</v>
      </c>
      <c r="AJ66">
        <v>4.1851902455216798</v>
      </c>
      <c r="AK66">
        <v>0.13889199886661899</v>
      </c>
      <c r="AL66">
        <v>8.3421608139072401E-2</v>
      </c>
      <c r="AM66">
        <v>0.12751332029896001</v>
      </c>
      <c r="AN66">
        <v>0.113328685307003</v>
      </c>
      <c r="AO66">
        <v>0.109750863959119</v>
      </c>
      <c r="AP66">
        <v>0.385262400790645</v>
      </c>
      <c r="AQ66">
        <v>0.2390169004705</v>
      </c>
      <c r="AR66">
        <v>0.231111720963387</v>
      </c>
      <c r="AS66">
        <v>0.385262400790645</v>
      </c>
      <c r="AT66">
        <v>2.8716984926305398</v>
      </c>
      <c r="AU66">
        <v>0.25619140536041002</v>
      </c>
      <c r="AV66">
        <v>4.1510399058986502</v>
      </c>
      <c r="AW66">
        <v>4.1510399058986502</v>
      </c>
      <c r="AX66">
        <v>3.6506582412937401</v>
      </c>
      <c r="AY66">
        <v>4.0103649484268296</v>
      </c>
      <c r="AZ66">
        <v>3.84658808264264</v>
      </c>
      <c r="BA66">
        <v>0.45932178089887499</v>
      </c>
      <c r="BB66">
        <v>2.8716984926305398</v>
      </c>
      <c r="BC66">
        <v>0.48550781578170099</v>
      </c>
      <c r="BD66">
        <v>0.55961578793542299</v>
      </c>
      <c r="BE66">
        <v>0.117783035656383</v>
      </c>
      <c r="BF66">
        <v>0.405465108108164</v>
      </c>
      <c r="BG66">
        <v>0.671923544108319</v>
      </c>
      <c r="BH66">
        <v>0.405465108108164</v>
      </c>
      <c r="BI66">
        <v>0.22314355131420999</v>
      </c>
      <c r="BJ66">
        <v>0.22314355131420999</v>
      </c>
      <c r="BK66">
        <v>0.28743204119657201</v>
      </c>
      <c r="BL66">
        <v>0.916290731874155</v>
      </c>
      <c r="BM66">
        <v>0.69314718055994495</v>
      </c>
      <c r="BN66">
        <v>0.69314718055994495</v>
      </c>
      <c r="BO66">
        <v>0.77334372255422201</v>
      </c>
      <c r="BP66">
        <v>0.916290731874155</v>
      </c>
      <c r="BQ66">
        <v>1.09861228866811</v>
      </c>
      <c r="BR66">
        <v>0.405465108108164</v>
      </c>
      <c r="BS66">
        <v>0.84715499303929298</v>
      </c>
      <c r="BT66">
        <v>3.6506582412937401</v>
      </c>
      <c r="BU66">
        <v>3.7534257877209898</v>
      </c>
      <c r="BV66">
        <v>3.0834225866809799</v>
      </c>
      <c r="BW66">
        <v>3.50531712788385</v>
      </c>
      <c r="BX66">
        <v>0.51102560376865702</v>
      </c>
      <c r="BY66">
        <v>2.3774142336146902</v>
      </c>
      <c r="BZ66">
        <v>2.2194208517332799</v>
      </c>
      <c r="CA66">
        <v>4.5133070582674399</v>
      </c>
      <c r="CB66">
        <v>0</v>
      </c>
      <c r="CC66">
        <v>0</v>
      </c>
      <c r="CD66">
        <v>0</v>
      </c>
      <c r="CE66">
        <v>0</v>
      </c>
      <c r="CF66">
        <v>0</v>
      </c>
      <c r="CH66" t="str">
        <f t="shared" si="0"/>
        <v>/*80*/ 000  1 2.96010509591084 2.30558060197384 2.52972066557779 6.34738920965601 6.58063913728495 5.97380961186926 7.42833319419081 0 1.61700917793042 1.43817498299688 1.3415584672785 1.47201323652243 0.826803565372619 0.202124184090134 0.201306856705035 0.171429115627531 0.19062035960865 0.131028262406404 0.431782416425538 0.405465108108164 0.336472236621213 0.431782416425538 2.83144707924613 0 3.50714772333841 0 3.50714772333841 1.37143449821287 4.18519024552168 0 4.22897743133194 4.18519024552168 0.138891998866619 8.34216081390724E-02 0.12751332029896 0.113328685307003 0.109750863959119 0.385262400790645 0.2390169004705 0.231111720963387 0.385262400790645 2.87169849263054 0.25619140536041 4.15103990589865 4.15103990589865 3.65065824129374 4.01036494842683 3.84658808264264 0.459321780898875 2.87169849263054 0.485507815781701 0.559615787935423 0.117783035656383 0.405465108108164 0.671923544108319 0.405465108108164 0.22314355131421 0.22314355131421 0.287432041196572 0.916290731874155 0.693147180559945 0.693147180559945 0.773343722554222 0.916290731874155 1.09861228866811 0.405465108108164 0.847154993039293 3.65065824129374 3.75342578772099 3.08342258668098 3.50531712788385 0.511025603768657 2.37741423361469 2.21942085173328 4.51330705826744 0 0 0 0 0;</v>
      </c>
    </row>
    <row r="67" spans="1:86" x14ac:dyDescent="0.25">
      <c r="A67">
        <v>82</v>
      </c>
      <c r="B67">
        <v>1</v>
      </c>
      <c r="C67">
        <v>1</v>
      </c>
      <c r="D67">
        <v>1</v>
      </c>
      <c r="E67">
        <v>2.9391619220655998</v>
      </c>
      <c r="F67">
        <v>2.2202898502672199</v>
      </c>
      <c r="G67">
        <v>2.6290069937617599</v>
      </c>
      <c r="H67">
        <v>6.4473058625412101</v>
      </c>
      <c r="I67">
        <v>6.2461067654815601</v>
      </c>
      <c r="J67">
        <v>6.7080840838530698</v>
      </c>
      <c r="K67">
        <v>7.5827384889144103</v>
      </c>
      <c r="L67">
        <v>0.99768637007814898</v>
      </c>
      <c r="M67">
        <v>1.52887840457568</v>
      </c>
      <c r="N67">
        <v>1.6020103966053001</v>
      </c>
      <c r="O67">
        <v>1.59432427462405</v>
      </c>
      <c r="P67">
        <v>1.5754673928629499</v>
      </c>
      <c r="Q67">
        <v>0.71832747909024397</v>
      </c>
      <c r="R67">
        <v>0.36949244764934702</v>
      </c>
      <c r="S67">
        <v>0.19967019512856801</v>
      </c>
      <c r="T67">
        <v>0.20538682972495101</v>
      </c>
      <c r="U67">
        <v>0.26620304077465701</v>
      </c>
      <c r="V67">
        <v>0.202124184090134</v>
      </c>
      <c r="W67">
        <v>0.73236789371322697</v>
      </c>
      <c r="X67">
        <v>0.482426149244293</v>
      </c>
      <c r="Y67">
        <v>0.36464311358790902</v>
      </c>
      <c r="Z67">
        <v>0.73236789371322697</v>
      </c>
      <c r="AA67">
        <v>2.6070505334801699</v>
      </c>
      <c r="AB67">
        <v>0</v>
      </c>
      <c r="AC67">
        <v>1.71289662080233</v>
      </c>
      <c r="AD67">
        <v>1.18570699551904</v>
      </c>
      <c r="AE67">
        <v>2.0564287673707602</v>
      </c>
      <c r="AF67">
        <v>0</v>
      </c>
      <c r="AG67">
        <v>4.5452290805211204</v>
      </c>
      <c r="AH67">
        <v>0</v>
      </c>
      <c r="AI67">
        <v>4.5452290805211204</v>
      </c>
      <c r="AJ67">
        <v>4.5452290805211204</v>
      </c>
      <c r="AK67">
        <v>0.16381808522939501</v>
      </c>
      <c r="AL67">
        <v>0.26696903085423901</v>
      </c>
      <c r="AM67">
        <v>0.21107097007994</v>
      </c>
      <c r="AN67">
        <v>0.20863886511132801</v>
      </c>
      <c r="AO67">
        <v>0.20375683751401999</v>
      </c>
      <c r="AP67">
        <v>0.636576829071551</v>
      </c>
      <c r="AQ67">
        <v>0.57661336430399401</v>
      </c>
      <c r="AR67">
        <v>0.48858001481867103</v>
      </c>
      <c r="AS67">
        <v>0.636576829071551</v>
      </c>
      <c r="AT67">
        <v>3.7534257877209898</v>
      </c>
      <c r="AU67">
        <v>0.25619140536041002</v>
      </c>
      <c r="AV67">
        <v>4.1510399058986502</v>
      </c>
      <c r="AW67">
        <v>2.6026896854443802</v>
      </c>
      <c r="AX67">
        <v>2.6026896854443802</v>
      </c>
      <c r="AY67">
        <v>3.4067486117004799</v>
      </c>
      <c r="AZ67">
        <v>3.7534257877209898</v>
      </c>
      <c r="BA67">
        <v>0.69314718055994495</v>
      </c>
      <c r="BB67">
        <v>3.2580965380214799</v>
      </c>
      <c r="BC67">
        <v>0.22314355131420999</v>
      </c>
      <c r="BD67">
        <v>0</v>
      </c>
      <c r="BE67">
        <v>0</v>
      </c>
      <c r="BF67">
        <v>7.9734968018853505E-2</v>
      </c>
      <c r="BG67">
        <v>0.433080275141138</v>
      </c>
      <c r="BH67">
        <v>0.55961578793542299</v>
      </c>
      <c r="BI67">
        <v>0.22314355131420999</v>
      </c>
      <c r="BJ67">
        <v>0</v>
      </c>
      <c r="BK67">
        <v>0.28743204119657201</v>
      </c>
      <c r="BL67">
        <v>0</v>
      </c>
      <c r="BM67">
        <v>0.22314355131420999</v>
      </c>
      <c r="BN67">
        <v>0.69314718055994495</v>
      </c>
      <c r="BO67">
        <v>0.34854196070854299</v>
      </c>
      <c r="BP67">
        <v>1.09861228866811</v>
      </c>
      <c r="BQ67">
        <v>0.69314718055994495</v>
      </c>
      <c r="BR67">
        <v>0.55961578793542299</v>
      </c>
      <c r="BS67">
        <v>0.81093021621632899</v>
      </c>
      <c r="BT67">
        <v>4.0103649484268296</v>
      </c>
      <c r="BU67">
        <v>3.4067486117004799</v>
      </c>
      <c r="BV67">
        <v>2.8716984926305398</v>
      </c>
      <c r="BW67">
        <v>3.2532772515855299</v>
      </c>
      <c r="BX67">
        <v>0.188966099512623</v>
      </c>
      <c r="BY67">
        <v>3.5376495047976602</v>
      </c>
      <c r="BZ67">
        <v>2.5945081597030799</v>
      </c>
      <c r="CA67">
        <v>4.21381506219827</v>
      </c>
      <c r="CB67">
        <v>0</v>
      </c>
      <c r="CC67">
        <v>0</v>
      </c>
      <c r="CD67">
        <v>0</v>
      </c>
      <c r="CE67">
        <v>0</v>
      </c>
      <c r="CF67">
        <v>0</v>
      </c>
      <c r="CH67" t="str">
        <f t="shared" ref="CH67:CH89" si="1">CONCATENATE("/*",A67,"*/ ",B67,C67,D67," "," 1 ")&amp;ConcatRange(E67:CF67," ")&amp;";"</f>
        <v>/*82*/ 111  1 2.9391619220656 2.22028985026722 2.62900699376176 6.44730586254121 6.24610676548156 6.70808408385307 7.58273848891441 0.997686370078149 1.52887840457568 1.6020103966053 1.59432427462405 1.57546739286295 0.718327479090244 0.369492447649347 0.199670195128568 0.205386829724951 0.266203040774657 0.202124184090134 0.732367893713227 0.482426149244293 0.364643113587909 0.732367893713227 2.60705053348017 0 1.71289662080233 1.18570699551904 2.05642876737076 0 4.54522908052112 0 4.54522908052112 4.54522908052112 0.163818085229395 0.266969030854239 0.21107097007994 0.208638865111328 0.20375683751402 0.636576829071551 0.576613364303994 0.488580014818671 0.636576829071551 3.75342578772099 0.25619140536041 4.15103990589865 2.60268968544438 2.60268968544438 3.40674861170048 3.75342578772099 0.693147180559945 3.25809653802148 0.22314355131421 0 0 7.97349680188535E-02 0.433080275141138 0.559615787935423 0.22314355131421 0 0.287432041196572 0 0.22314355131421 0.693147180559945 0.348541960708543 1.09861228866811 0.693147180559945 0.559615787935423 0.810930216216329 4.01036494842683 3.40674861170048 2.87169849263054 3.25327725158553 0.188966099512623 3.53764950479766 2.59450815970308 4.21381506219827 0 0 0 0 0;</v>
      </c>
    </row>
    <row r="68" spans="1:86" x14ac:dyDescent="0.25">
      <c r="A68">
        <v>101</v>
      </c>
      <c r="B68">
        <v>0</v>
      </c>
      <c r="C68">
        <v>0</v>
      </c>
      <c r="D68">
        <v>0</v>
      </c>
      <c r="E68">
        <v>2.92852352386054</v>
      </c>
      <c r="F68">
        <v>2.1815467646169902</v>
      </c>
      <c r="G68">
        <v>2.6093342281630498</v>
      </c>
      <c r="H68">
        <v>5.4510384535657002</v>
      </c>
      <c r="I68">
        <v>5.6312117818213698</v>
      </c>
      <c r="J68">
        <v>5.9763509092979303</v>
      </c>
      <c r="K68">
        <v>6.8068293603921797</v>
      </c>
      <c r="L68">
        <v>0</v>
      </c>
      <c r="M68">
        <v>1.09861228866811</v>
      </c>
      <c r="N68">
        <v>1.1515209443235099</v>
      </c>
      <c r="O68">
        <v>1.1394342831883599</v>
      </c>
      <c r="P68">
        <v>1.13011095572748</v>
      </c>
      <c r="Q68">
        <v>0.453620149995211</v>
      </c>
      <c r="R68">
        <v>0.116893751471499</v>
      </c>
      <c r="S68">
        <v>0.200488860749404</v>
      </c>
      <c r="T68">
        <v>0.188137942115395</v>
      </c>
      <c r="U68">
        <v>0.17142911562753099</v>
      </c>
      <c r="V68">
        <v>0.10436001532424299</v>
      </c>
      <c r="W68">
        <v>0.21511137961694499</v>
      </c>
      <c r="X68">
        <v>0.322083499169113</v>
      </c>
      <c r="Y68">
        <v>0.350656871613169</v>
      </c>
      <c r="Z68">
        <v>0.350656871613169</v>
      </c>
      <c r="AA68">
        <v>2.5025828348009398</v>
      </c>
      <c r="AB68">
        <v>2.0664829405154399</v>
      </c>
      <c r="AC68">
        <v>1.4924545569482801</v>
      </c>
      <c r="AD68">
        <v>2.4287771182318001</v>
      </c>
      <c r="AE68">
        <v>3.0768513248387799</v>
      </c>
      <c r="AF68">
        <v>2.6941540959101</v>
      </c>
      <c r="AG68">
        <v>4.1974575540894499</v>
      </c>
      <c r="AH68">
        <v>0</v>
      </c>
      <c r="AI68">
        <v>4.3858941462003704</v>
      </c>
      <c r="AJ68">
        <v>4.1974575540894499</v>
      </c>
      <c r="AK68">
        <v>0.20538682972495101</v>
      </c>
      <c r="AL68">
        <v>0.10345870836823</v>
      </c>
      <c r="AM68">
        <v>0.13802129789737499</v>
      </c>
      <c r="AN68">
        <v>0.144965770250186</v>
      </c>
      <c r="AO68">
        <v>0.13453089295760601</v>
      </c>
      <c r="AP68">
        <v>0.36464311358790902</v>
      </c>
      <c r="AQ68">
        <v>0.41871033485818498</v>
      </c>
      <c r="AR68">
        <v>0.34358970439007702</v>
      </c>
      <c r="AS68">
        <v>0.41871033485818498</v>
      </c>
      <c r="AT68">
        <v>3.5361069907765299</v>
      </c>
      <c r="AU68">
        <v>0.28743204119657201</v>
      </c>
      <c r="AV68">
        <v>0</v>
      </c>
      <c r="AW68">
        <v>3.9318256327243302</v>
      </c>
      <c r="AX68">
        <v>3.9318256327243302</v>
      </c>
      <c r="AY68">
        <v>3.5361069907765299</v>
      </c>
      <c r="AZ68">
        <v>3.5361069907765299</v>
      </c>
      <c r="BA68">
        <v>0.94895151411370304</v>
      </c>
      <c r="BB68">
        <v>4.0831656436306698</v>
      </c>
      <c r="BC68">
        <v>0</v>
      </c>
      <c r="BD68">
        <v>0</v>
      </c>
      <c r="BE68">
        <v>0</v>
      </c>
      <c r="BF68">
        <v>0</v>
      </c>
      <c r="BG68">
        <v>0.15443635330441899</v>
      </c>
      <c r="BH68">
        <v>0</v>
      </c>
      <c r="BI68">
        <v>0</v>
      </c>
      <c r="BJ68">
        <v>0.22314355131420999</v>
      </c>
      <c r="BK68">
        <v>7.9734968018853505E-2</v>
      </c>
      <c r="BL68">
        <v>0</v>
      </c>
      <c r="BM68">
        <v>0</v>
      </c>
      <c r="BN68">
        <v>0.22314355131420999</v>
      </c>
      <c r="BO68">
        <v>7.9734968018853505E-2</v>
      </c>
      <c r="BP68">
        <v>0</v>
      </c>
      <c r="BQ68">
        <v>0.69314718055994495</v>
      </c>
      <c r="BR68">
        <v>0.81093021621632899</v>
      </c>
      <c r="BS68">
        <v>0.55961578793542299</v>
      </c>
      <c r="BT68">
        <v>2.6026896854443802</v>
      </c>
      <c r="BU68">
        <v>4.1510399058986502</v>
      </c>
      <c r="BV68">
        <v>3.2580965380214799</v>
      </c>
      <c r="BW68">
        <v>3.6342912638295299</v>
      </c>
      <c r="BX68">
        <v>0.87171168847618796</v>
      </c>
      <c r="BY68">
        <v>4.5971178527972603</v>
      </c>
      <c r="BZ68">
        <v>0.96088161520202997</v>
      </c>
      <c r="CA68">
        <v>1.0303334479148201</v>
      </c>
      <c r="CB68">
        <v>0</v>
      </c>
      <c r="CC68">
        <v>0</v>
      </c>
      <c r="CD68">
        <v>0</v>
      </c>
      <c r="CE68">
        <v>0</v>
      </c>
      <c r="CF68">
        <v>0</v>
      </c>
      <c r="CH68" t="str">
        <f t="shared" si="1"/>
        <v>/*101*/ 000  1 2.92852352386054 2.18154676461699 2.60933422816305 5.4510384535657 5.63121178182137 5.97635090929793 6.80682936039218 0 1.09861228866811 1.15152094432351 1.13943428318836 1.13011095572748 0.453620149995211 0.116893751471499 0.200488860749404 0.188137942115395 0.171429115627531 0.104360015324243 0.215111379616945 0.322083499169113 0.350656871613169 0.350656871613169 2.50258283480094 2.06648294051544 1.49245455694828 2.4287771182318 3.07685132483878 2.6941540959101 4.19745755408945 0 4.38589414620037 4.19745755408945 0.205386829724951 0.10345870836823 0.138021297897375 0.144965770250186 0.134530892957606 0.364643113587909 0.418710334858185 0.343589704390077 0.418710334858185 3.53610699077653 0.287432041196572 0 3.93182563272433 3.93182563272433 3.53610699077653 3.53610699077653 0.948951514113703 4.08316564363067 0 0 0 0 0.154436353304419 0 0 0.22314355131421 7.97349680188535E-02 0 0 0.22314355131421 7.97349680188535E-02 0 0.693147180559945 0.810930216216329 0.559615787935423 2.60268968544438 4.15103990589865 3.25809653802148 3.63429126382953 0.871711688476188 4.59711785279726 0.96088161520203 1.03033344791482 0 0 0 0 0;</v>
      </c>
    </row>
    <row r="69" spans="1:86" x14ac:dyDescent="0.25">
      <c r="A69">
        <v>103</v>
      </c>
      <c r="B69">
        <v>1</v>
      </c>
      <c r="C69">
        <v>0</v>
      </c>
      <c r="D69">
        <v>0</v>
      </c>
      <c r="E69">
        <v>2.8094026953625</v>
      </c>
      <c r="F69">
        <v>2.2104698040862401</v>
      </c>
      <c r="G69">
        <v>2.4756977107026898</v>
      </c>
      <c r="H69">
        <v>6.7322107064672103</v>
      </c>
      <c r="I69">
        <v>6.4329400927391802</v>
      </c>
      <c r="J69">
        <v>5.9348941956195898</v>
      </c>
      <c r="K69">
        <v>7.5158890852151297</v>
      </c>
      <c r="L69">
        <v>0.151002873536527</v>
      </c>
      <c r="M69">
        <v>1.2455944790167599</v>
      </c>
      <c r="N69">
        <v>1.2878542883066399</v>
      </c>
      <c r="O69">
        <v>1.3150668518315201</v>
      </c>
      <c r="P69">
        <v>1.28315360220038</v>
      </c>
      <c r="Q69">
        <v>0.60212778217277696</v>
      </c>
      <c r="R69">
        <v>0.131028262406404</v>
      </c>
      <c r="S69">
        <v>0.19062035960865001</v>
      </c>
      <c r="T69">
        <v>0.116003675756306</v>
      </c>
      <c r="U69">
        <v>0.14669437915080299</v>
      </c>
      <c r="V69">
        <v>0.109750863959119</v>
      </c>
      <c r="W69">
        <v>0.24686007793152601</v>
      </c>
      <c r="X69">
        <v>0.41871033485818498</v>
      </c>
      <c r="Y69">
        <v>0.231111720963387</v>
      </c>
      <c r="Z69">
        <v>0.41871033485818498</v>
      </c>
      <c r="AA69">
        <v>2.8640277825565601</v>
      </c>
      <c r="AB69">
        <v>0</v>
      </c>
      <c r="AC69">
        <v>1.8803806608815801</v>
      </c>
      <c r="AD69">
        <v>2.2335565065836098</v>
      </c>
      <c r="AE69">
        <v>2.7006226852734101</v>
      </c>
      <c r="AF69">
        <v>1.8803806608815801</v>
      </c>
      <c r="AG69">
        <v>4.4012899008547297</v>
      </c>
      <c r="AH69">
        <v>0</v>
      </c>
      <c r="AI69">
        <v>4.4671831675031699</v>
      </c>
      <c r="AJ69">
        <v>4.4012899008547297</v>
      </c>
      <c r="AK69">
        <v>0.25309062768216201</v>
      </c>
      <c r="AL69">
        <v>0.20945022418220699</v>
      </c>
      <c r="AM69">
        <v>0.15357908792830099</v>
      </c>
      <c r="AN69">
        <v>0.20620083058389799</v>
      </c>
      <c r="AO69">
        <v>0.20782684720231701</v>
      </c>
      <c r="AP69">
        <v>0.71294980785612505</v>
      </c>
      <c r="AQ69">
        <v>0.41871033485818498</v>
      </c>
      <c r="AR69">
        <v>0.42526773540434398</v>
      </c>
      <c r="AS69">
        <v>0.71294980785612505</v>
      </c>
      <c r="AT69">
        <v>3.5361069907765299</v>
      </c>
      <c r="AU69">
        <v>0.36116484921158398</v>
      </c>
      <c r="AV69">
        <v>3.2580965380214799</v>
      </c>
      <c r="AW69">
        <v>3.6506582412937401</v>
      </c>
      <c r="AX69">
        <v>0</v>
      </c>
      <c r="AY69">
        <v>3.0834225866809799</v>
      </c>
      <c r="AZ69">
        <v>3.7534257877209898</v>
      </c>
      <c r="BA69">
        <v>0.69314718055994495</v>
      </c>
      <c r="BB69">
        <v>3.2580965380214799</v>
      </c>
      <c r="BC69">
        <v>0.31845373111853498</v>
      </c>
      <c r="BD69">
        <v>0.55961578793542299</v>
      </c>
      <c r="BE69">
        <v>0</v>
      </c>
      <c r="BF69">
        <v>0.31845373111853498</v>
      </c>
      <c r="BG69">
        <v>0.69314718055994495</v>
      </c>
      <c r="BH69">
        <v>0.22314355131420999</v>
      </c>
      <c r="BI69">
        <v>0.55961578793542299</v>
      </c>
      <c r="BJ69">
        <v>0</v>
      </c>
      <c r="BK69">
        <v>0.28743204119657201</v>
      </c>
      <c r="BL69">
        <v>0.405465108108164</v>
      </c>
      <c r="BM69">
        <v>0.55961578793542299</v>
      </c>
      <c r="BN69">
        <v>0.22314355131420999</v>
      </c>
      <c r="BO69">
        <v>0.405465108108164</v>
      </c>
      <c r="BP69">
        <v>0.405465108108164</v>
      </c>
      <c r="BQ69">
        <v>0.81093021621632899</v>
      </c>
      <c r="BR69">
        <v>0.22314355131420999</v>
      </c>
      <c r="BS69">
        <v>0.51102560376865702</v>
      </c>
      <c r="BT69">
        <v>3.7534257877209898</v>
      </c>
      <c r="BU69">
        <v>3.84658808264264</v>
      </c>
      <c r="BV69">
        <v>2.6026896854443802</v>
      </c>
      <c r="BW69">
        <v>3.2896324733190001</v>
      </c>
      <c r="BX69">
        <v>0.405465108108164</v>
      </c>
      <c r="BY69">
        <v>3.2450112984728299</v>
      </c>
      <c r="BZ69">
        <v>2.6896825437440302</v>
      </c>
      <c r="CA69">
        <v>4.3351708483886204</v>
      </c>
      <c r="CB69">
        <v>0</v>
      </c>
      <c r="CC69">
        <v>0</v>
      </c>
      <c r="CD69">
        <v>0</v>
      </c>
      <c r="CE69">
        <v>0</v>
      </c>
      <c r="CF69">
        <v>0</v>
      </c>
      <c r="CH69" t="str">
        <f t="shared" si="1"/>
        <v>/*103*/ 100  1 2.8094026953625 2.21046980408624 2.47569771070269 6.73221070646721 6.43294009273918 5.93489419561959 7.51588908521513 0.151002873536527 1.24559447901676 1.28785428830664 1.31506685183152 1.28315360220038 0.602127782172777 0.131028262406404 0.19062035960865 0.116003675756306 0.146694379150803 0.109750863959119 0.246860077931526 0.418710334858185 0.231111720963387 0.418710334858185 2.86402778255656 0 1.88038066088158 2.23355650658361 2.70062268527341 1.88038066088158 4.40128990085473 0 4.46718316750317 4.40128990085473 0.253090627682162 0.209450224182207 0.153579087928301 0.206200830583898 0.207826847202317 0.712949807856125 0.418710334858185 0.425267735404344 0.712949807856125 3.53610699077653 0.361164849211584 3.25809653802148 3.65065824129374 0 3.08342258668098 3.75342578772099 0.693147180559945 3.25809653802148 0.318453731118535 0.559615787935423 0 0.318453731118535 0.693147180559945 0.22314355131421 0.559615787935423 0 0.287432041196572 0.405465108108164 0.559615787935423 0.22314355131421 0.405465108108164 0.405465108108164 0.810930216216329 0.22314355131421 0.511025603768657 3.75342578772099 3.84658808264264 2.60268968544438 3.289632473319 0.405465108108164 3.24501129847283 2.68968254374403 4.33517084838862 0 0 0 0 0;</v>
      </c>
    </row>
    <row r="70" spans="1:86" x14ac:dyDescent="0.25">
      <c r="A70">
        <v>105</v>
      </c>
      <c r="B70">
        <v>0</v>
      </c>
      <c r="C70">
        <v>0</v>
      </c>
      <c r="D70">
        <v>0</v>
      </c>
      <c r="E70">
        <v>2.6173958328340801</v>
      </c>
      <c r="F70">
        <v>2.22354188565359</v>
      </c>
      <c r="G70">
        <v>2.5862591440482898</v>
      </c>
      <c r="H70">
        <v>6.4645883036899603</v>
      </c>
      <c r="I70">
        <v>6.0473721790462802</v>
      </c>
      <c r="J70">
        <v>5.3612921657094299</v>
      </c>
      <c r="K70">
        <v>7.1514854639047396</v>
      </c>
      <c r="L70">
        <v>0</v>
      </c>
      <c r="M70">
        <v>1.29828248379668</v>
      </c>
      <c r="N70">
        <v>1.21283343275813</v>
      </c>
      <c r="O70">
        <v>1.28093384546206</v>
      </c>
      <c r="P70">
        <v>1.2646915393606399</v>
      </c>
      <c r="Q70">
        <v>0.51760260804501401</v>
      </c>
      <c r="R70">
        <v>0.111541374732907</v>
      </c>
      <c r="S70">
        <v>0.131028262406404</v>
      </c>
      <c r="T70">
        <v>9.8033740271365397E-2</v>
      </c>
      <c r="U70">
        <v>0.113328685307003</v>
      </c>
      <c r="V70">
        <v>5.7325066619269401E-2</v>
      </c>
      <c r="W70">
        <v>0.231111720963387</v>
      </c>
      <c r="X70">
        <v>0.262364264467491</v>
      </c>
      <c r="Y70">
        <v>0.198850858745165</v>
      </c>
      <c r="Z70">
        <v>0.262364264467491</v>
      </c>
      <c r="AA70">
        <v>3.1014877112198498</v>
      </c>
      <c r="AB70">
        <v>0</v>
      </c>
      <c r="AC70">
        <v>0</v>
      </c>
      <c r="AD70">
        <v>0</v>
      </c>
      <c r="AE70">
        <v>0</v>
      </c>
      <c r="AF70">
        <v>0</v>
      </c>
      <c r="AG70">
        <v>4.6151205168412597</v>
      </c>
      <c r="AH70">
        <v>0</v>
      </c>
      <c r="AI70">
        <v>4.6151205168412597</v>
      </c>
      <c r="AJ70">
        <v>4.6151205168412597</v>
      </c>
      <c r="AK70">
        <v>0.30895420772732102</v>
      </c>
      <c r="AL70">
        <v>0.24059046491793001</v>
      </c>
      <c r="AM70">
        <v>0.24216155714997201</v>
      </c>
      <c r="AN70">
        <v>0.26466929814270801</v>
      </c>
      <c r="AO70">
        <v>0.17730901497040999</v>
      </c>
      <c r="AP70">
        <v>0.53062825106217004</v>
      </c>
      <c r="AQ70">
        <v>0.55961578793542299</v>
      </c>
      <c r="AR70">
        <v>0.41871033485818498</v>
      </c>
      <c r="AS70">
        <v>0.55961578793542299</v>
      </c>
      <c r="AT70">
        <v>4.2145986164699201</v>
      </c>
      <c r="AU70">
        <v>0.28743204119657201</v>
      </c>
      <c r="AV70">
        <v>0</v>
      </c>
      <c r="AW70">
        <v>0</v>
      </c>
      <c r="AX70">
        <v>0</v>
      </c>
      <c r="AY70">
        <v>0</v>
      </c>
      <c r="AZ70">
        <v>4.2145986164699201</v>
      </c>
      <c r="BA70">
        <v>0.77334372255422201</v>
      </c>
      <c r="BB70">
        <v>2.8716984926305398</v>
      </c>
      <c r="BC70">
        <v>0.117783035656383</v>
      </c>
      <c r="BD70">
        <v>0</v>
      </c>
      <c r="BE70">
        <v>0</v>
      </c>
      <c r="BF70">
        <v>4.1141943331175199E-2</v>
      </c>
      <c r="BG70">
        <v>4.1141943331175199E-2</v>
      </c>
      <c r="BH70">
        <v>0</v>
      </c>
      <c r="BI70">
        <v>0.22314355131420999</v>
      </c>
      <c r="BJ70">
        <v>0</v>
      </c>
      <c r="BK70">
        <v>7.9734968018853505E-2</v>
      </c>
      <c r="BL70">
        <v>0</v>
      </c>
      <c r="BM70">
        <v>0</v>
      </c>
      <c r="BN70">
        <v>0.69314718055994495</v>
      </c>
      <c r="BO70">
        <v>0.28743204119657201</v>
      </c>
      <c r="BP70">
        <v>0</v>
      </c>
      <c r="BQ70">
        <v>0.69314718055994495</v>
      </c>
      <c r="BR70">
        <v>0</v>
      </c>
      <c r="BS70">
        <v>0.28743204119657201</v>
      </c>
      <c r="BT70">
        <v>3.5361069907765299</v>
      </c>
      <c r="BU70">
        <v>4.0831656436306698</v>
      </c>
      <c r="BV70">
        <v>2.2335565065836098</v>
      </c>
      <c r="BW70">
        <v>3.2500643663242199</v>
      </c>
      <c r="BX70">
        <v>0</v>
      </c>
      <c r="BY70">
        <v>3.1987547468719799</v>
      </c>
      <c r="BZ70">
        <v>2.3331142980288702</v>
      </c>
      <c r="CA70">
        <v>4.3502521295746996</v>
      </c>
      <c r="CB70">
        <v>0</v>
      </c>
      <c r="CC70">
        <v>0</v>
      </c>
      <c r="CD70">
        <v>0</v>
      </c>
      <c r="CE70">
        <v>0</v>
      </c>
      <c r="CF70">
        <v>0</v>
      </c>
      <c r="CH70" t="str">
        <f t="shared" si="1"/>
        <v>/*105*/ 000  1 2.61739583283408 2.22354188565359 2.58625914404829 6.46458830368996 6.04737217904628 5.36129216570943 7.15148546390474 0 1.29828248379668 1.21283343275813 1.28093384546206 1.26469153936064 0.517602608045014 0.111541374732907 0.131028262406404 9.80337402713654E-02 0.113328685307003 5.73250666192694E-02 0.231111720963387 0.262364264467491 0.198850858745165 0.262364264467491 3.10148771121985 0 0 0 0 0 4.61512051684126 0 4.61512051684126 4.61512051684126 0.308954207727321 0.24059046491793 0.242161557149972 0.264669298142708 0.17730901497041 0.53062825106217 0.559615787935423 0.418710334858185 0.559615787935423 4.21459861646992 0.287432041196572 0 0 0 0 4.21459861646992 0.773343722554222 2.87169849263054 0.117783035656383 0 0 4.11419433311752E-02 4.11419433311752E-02 0 0.22314355131421 0 7.97349680188535E-02 0 0 0.693147180559945 0.287432041196572 0 0.693147180559945 0 0.287432041196572 3.53610699077653 4.08316564363067 2.23355650658361 3.25006436632422 0 3.19875474687198 2.33311429802887 4.3502521295747 0 0 0 0 0;</v>
      </c>
    </row>
    <row r="71" spans="1:86" x14ac:dyDescent="0.25">
      <c r="A71">
        <v>113</v>
      </c>
      <c r="B71">
        <v>0</v>
      </c>
      <c r="C71">
        <v>0</v>
      </c>
      <c r="D71">
        <v>0</v>
      </c>
      <c r="E71">
        <v>3.0252910757955398</v>
      </c>
      <c r="F71">
        <v>2.2782924004249998</v>
      </c>
      <c r="G71">
        <v>2.44060639089142</v>
      </c>
      <c r="H71">
        <v>5.1059454739005803</v>
      </c>
      <c r="I71">
        <v>4.6249728132842698</v>
      </c>
      <c r="J71">
        <v>5.0039463059454601</v>
      </c>
      <c r="K71">
        <v>6.0258659738253098</v>
      </c>
      <c r="L71">
        <v>0</v>
      </c>
      <c r="M71">
        <v>0.782987884559735</v>
      </c>
      <c r="N71">
        <v>0.87045619553035603</v>
      </c>
      <c r="O71">
        <v>0.88087078664289498</v>
      </c>
      <c r="P71">
        <v>0.84543899090220398</v>
      </c>
      <c r="Q71">
        <v>0.195566783543975</v>
      </c>
      <c r="R71">
        <v>0.12663265093336601</v>
      </c>
      <c r="S71">
        <v>0.109750863959119</v>
      </c>
      <c r="T71">
        <v>0.20782684720231701</v>
      </c>
      <c r="U71">
        <v>0.147557564357615</v>
      </c>
      <c r="V71">
        <v>0.123985979780991</v>
      </c>
      <c r="W71">
        <v>0.16551443847757299</v>
      </c>
      <c r="X71">
        <v>0.16551443847757299</v>
      </c>
      <c r="Y71">
        <v>0.57097954658573802</v>
      </c>
      <c r="Z71">
        <v>0.57097954658573802</v>
      </c>
      <c r="AA71">
        <v>2.2375130962503298</v>
      </c>
      <c r="AB71">
        <v>0</v>
      </c>
      <c r="AC71">
        <v>3.2188758248682001</v>
      </c>
      <c r="AD71">
        <v>0</v>
      </c>
      <c r="AE71">
        <v>3.2188758248682001</v>
      </c>
      <c r="AF71">
        <v>3.0445224377234199</v>
      </c>
      <c r="AG71">
        <v>4.0430512678345503</v>
      </c>
      <c r="AH71">
        <v>0</v>
      </c>
      <c r="AI71">
        <v>4.3438054218536797</v>
      </c>
      <c r="AJ71">
        <v>4.0430512678345503</v>
      </c>
      <c r="AK71">
        <v>0.29936357722561902</v>
      </c>
      <c r="AL71">
        <v>0.26082461828189801</v>
      </c>
      <c r="AM71">
        <v>0.27002713721305999</v>
      </c>
      <c r="AN71">
        <v>0.27611543608031602</v>
      </c>
      <c r="AO71">
        <v>0.12044615307586699</v>
      </c>
      <c r="AP71">
        <v>0.350656871613169</v>
      </c>
      <c r="AQ71">
        <v>0.55961578793542299</v>
      </c>
      <c r="AR71">
        <v>0.350656871613169</v>
      </c>
      <c r="AS71">
        <v>0.55961578793542299</v>
      </c>
      <c r="AT71">
        <v>3.2580965380214799</v>
      </c>
      <c r="AU71">
        <v>0.55961578793542299</v>
      </c>
      <c r="AV71">
        <v>0</v>
      </c>
      <c r="AW71">
        <v>0</v>
      </c>
      <c r="AX71">
        <v>0</v>
      </c>
      <c r="AY71">
        <v>0</v>
      </c>
      <c r="AZ71">
        <v>4.3307333402863302</v>
      </c>
      <c r="BA71">
        <v>0.60595396885756803</v>
      </c>
      <c r="BB71">
        <v>2.8716984926305398</v>
      </c>
      <c r="BC71">
        <v>0.117783035656383</v>
      </c>
      <c r="BD71">
        <v>0.75377180237637997</v>
      </c>
      <c r="BE71">
        <v>0.55961578793542299</v>
      </c>
      <c r="BF71">
        <v>0.51102560376865702</v>
      </c>
      <c r="BG71">
        <v>0.84715499303929298</v>
      </c>
      <c r="BH71">
        <v>0</v>
      </c>
      <c r="BI71">
        <v>0</v>
      </c>
      <c r="BJ71">
        <v>0</v>
      </c>
      <c r="BK71">
        <v>0</v>
      </c>
      <c r="BL71">
        <v>0</v>
      </c>
      <c r="BM71">
        <v>0</v>
      </c>
      <c r="BN71">
        <v>0</v>
      </c>
      <c r="BO71">
        <v>0</v>
      </c>
      <c r="BP71">
        <v>0</v>
      </c>
      <c r="BQ71">
        <v>0</v>
      </c>
      <c r="BR71">
        <v>0.22314355131420999</v>
      </c>
      <c r="BS71">
        <v>7.9734968018853505E-2</v>
      </c>
      <c r="BT71">
        <v>1.64229224930505</v>
      </c>
      <c r="BU71">
        <v>4.0831656436306698</v>
      </c>
      <c r="BV71">
        <v>3.6506582412937401</v>
      </c>
      <c r="BW71">
        <v>3.8331529432703602</v>
      </c>
      <c r="BX71">
        <v>0.98095424519987695</v>
      </c>
      <c r="BY71">
        <v>1.0303334479148201</v>
      </c>
      <c r="BZ71">
        <v>1.19664602893948</v>
      </c>
      <c r="CA71">
        <v>4.5971178527972603</v>
      </c>
      <c r="CB71">
        <v>0</v>
      </c>
      <c r="CC71">
        <v>0</v>
      </c>
      <c r="CD71">
        <v>0</v>
      </c>
      <c r="CE71">
        <v>0</v>
      </c>
      <c r="CF71">
        <v>0</v>
      </c>
      <c r="CH71" t="str">
        <f t="shared" si="1"/>
        <v>/*113*/ 000  1 3.02529107579554 2.278292400425 2.44060639089142 5.10594547390058 4.62497281328427 5.00394630594546 6.02586597382531 0 0.782987884559735 0.870456195530356 0.880870786642895 0.845438990902204 0.195566783543975 0.126632650933366 0.109750863959119 0.207826847202317 0.147557564357615 0.123985979780991 0.165514438477573 0.165514438477573 0.570979546585738 0.570979546585738 2.23751309625033 0 3.2188758248682 0 3.2188758248682 3.04452243772342 4.04305126783455 0 4.34380542185368 4.04305126783455 0.299363577225619 0.260824618281898 0.27002713721306 0.276115436080316 0.120446153075867 0.350656871613169 0.559615787935423 0.350656871613169 0.559615787935423 3.25809653802148 0.559615787935423 0 0 0 0 4.33073334028633 0.605953968857568 2.87169849263054 0.117783035656383 0.75377180237638 0.559615787935423 0.511025603768657 0.847154993039293 0 0 0 0 0 0 0 0 0 0 0.22314355131421 7.97349680188535E-02 1.64229224930505 4.08316564363067 3.65065824129374 3.83315294327036 0.980954245199877 1.03033344791482 1.19664602893948 4.59711785279726 0 0 0 0 0;</v>
      </c>
    </row>
    <row r="72" spans="1:86" x14ac:dyDescent="0.25">
      <c r="A72">
        <v>119</v>
      </c>
      <c r="B72">
        <v>0</v>
      </c>
      <c r="C72">
        <v>0</v>
      </c>
      <c r="D72">
        <v>0</v>
      </c>
      <c r="E72">
        <v>2.99573227355399</v>
      </c>
      <c r="F72">
        <v>2.2224590485147599</v>
      </c>
      <c r="G72">
        <v>2.6511270537025902</v>
      </c>
      <c r="H72">
        <v>6.6846117276679298</v>
      </c>
      <c r="I72">
        <v>6.3080984415095296</v>
      </c>
      <c r="J72">
        <v>6.1964441277945204</v>
      </c>
      <c r="K72">
        <v>7.5164333029156296</v>
      </c>
      <c r="L72">
        <v>0</v>
      </c>
      <c r="M72">
        <v>1.2914340800959301</v>
      </c>
      <c r="N72">
        <v>1.4731598941414701</v>
      </c>
      <c r="O72">
        <v>1.3578948865981899</v>
      </c>
      <c r="P72">
        <v>1.3770013142083</v>
      </c>
      <c r="Q72">
        <v>0.870874868343673</v>
      </c>
      <c r="R72">
        <v>0.35346981298978403</v>
      </c>
      <c r="S72">
        <v>0.28065745751481702</v>
      </c>
      <c r="T72">
        <v>0.279145741429495</v>
      </c>
      <c r="U72">
        <v>0.303801454331664</v>
      </c>
      <c r="V72">
        <v>0.108854404912082</v>
      </c>
      <c r="W72">
        <v>0.44468582126144601</v>
      </c>
      <c r="X72">
        <v>0.405465108108164</v>
      </c>
      <c r="Y72">
        <v>0.431782416425538</v>
      </c>
      <c r="Z72">
        <v>0.44468582126144601</v>
      </c>
      <c r="AA72">
        <v>2.2340920965487499</v>
      </c>
      <c r="AB72">
        <v>0</v>
      </c>
      <c r="AC72">
        <v>4.2040506223101604</v>
      </c>
      <c r="AD72">
        <v>3.2783515516633099</v>
      </c>
      <c r="AE72">
        <v>4.5270897185280496</v>
      </c>
      <c r="AF72">
        <v>1.1403938226830601</v>
      </c>
      <c r="AG72">
        <v>1.99918006007703</v>
      </c>
      <c r="AH72">
        <v>0</v>
      </c>
      <c r="AI72">
        <v>2.2524490235002501</v>
      </c>
      <c r="AJ72">
        <v>4.2040506223101604</v>
      </c>
      <c r="AK72">
        <v>0.156148682489931</v>
      </c>
      <c r="AL72">
        <v>0.19638881400538999</v>
      </c>
      <c r="AM72">
        <v>0.16126814759612201</v>
      </c>
      <c r="AN72">
        <v>0.17142911562753099</v>
      </c>
      <c r="AO72">
        <v>0.10436001532424299</v>
      </c>
      <c r="AP72">
        <v>0.32930374714260002</v>
      </c>
      <c r="AQ72">
        <v>0.33647223662121301</v>
      </c>
      <c r="AR72">
        <v>0.35767444427181599</v>
      </c>
      <c r="AS72">
        <v>0.35767444427181599</v>
      </c>
      <c r="AT72">
        <v>2.2335565065836098</v>
      </c>
      <c r="AU72">
        <v>0.53532309536637801</v>
      </c>
      <c r="AV72">
        <v>0</v>
      </c>
      <c r="AW72">
        <v>3.6506582412937401</v>
      </c>
      <c r="AX72">
        <v>3.2580965380214799</v>
      </c>
      <c r="AY72">
        <v>3.0834225866809799</v>
      </c>
      <c r="AZ72">
        <v>4.2743439804936996</v>
      </c>
      <c r="BA72">
        <v>0.28743204119657201</v>
      </c>
      <c r="BB72">
        <v>2.2335565065836098</v>
      </c>
      <c r="BC72">
        <v>0</v>
      </c>
      <c r="BD72">
        <v>0</v>
      </c>
      <c r="BE72">
        <v>0.22314355131420999</v>
      </c>
      <c r="BF72">
        <v>7.9734968018853505E-2</v>
      </c>
      <c r="BG72">
        <v>7.9734968018853505E-2</v>
      </c>
      <c r="BH72">
        <v>1.0116009116784801</v>
      </c>
      <c r="BI72">
        <v>1.0116009116784801</v>
      </c>
      <c r="BJ72">
        <v>0.916290731874155</v>
      </c>
      <c r="BK72">
        <v>0.98095424519987695</v>
      </c>
      <c r="BL72">
        <v>0.22314355131420999</v>
      </c>
      <c r="BM72">
        <v>0</v>
      </c>
      <c r="BN72">
        <v>0</v>
      </c>
      <c r="BO72">
        <v>7.9734968018853505E-2</v>
      </c>
      <c r="BP72">
        <v>0.55961578793542299</v>
      </c>
      <c r="BQ72">
        <v>1.0116009116784801</v>
      </c>
      <c r="BR72">
        <v>0.916290731874155</v>
      </c>
      <c r="BS72">
        <v>0.84715499303929298</v>
      </c>
      <c r="BT72">
        <v>0</v>
      </c>
      <c r="BU72">
        <v>4.6151205168412597</v>
      </c>
      <c r="BV72">
        <v>0</v>
      </c>
      <c r="BW72">
        <v>3.5892800888911802</v>
      </c>
      <c r="BX72">
        <v>0.60595396885756803</v>
      </c>
      <c r="BY72">
        <v>4.6121457997245203</v>
      </c>
      <c r="BZ72">
        <v>0.38185524246903102</v>
      </c>
      <c r="CA72">
        <v>0.262364264467491</v>
      </c>
      <c r="CB72">
        <v>0</v>
      </c>
      <c r="CC72">
        <v>0</v>
      </c>
      <c r="CD72">
        <v>0</v>
      </c>
      <c r="CE72">
        <v>0</v>
      </c>
      <c r="CF72">
        <v>0</v>
      </c>
      <c r="CH72" t="str">
        <f t="shared" si="1"/>
        <v>/*119*/ 000  1 2.99573227355399 2.22245904851476 2.65112705370259 6.68461172766793 6.30809844150953 6.19644412779452 7.51643330291563 0 1.29143408009593 1.47315989414147 1.35789488659819 1.3770013142083 0.870874868343673 0.353469812989784 0.280657457514817 0.279145741429495 0.303801454331664 0.108854404912082 0.444685821261446 0.405465108108164 0.431782416425538 0.444685821261446 2.23409209654875 0 4.20405062231016 3.27835155166331 4.52708971852805 1.14039382268306 1.99918006007703 0 2.25244902350025 4.20405062231016 0.156148682489931 0.19638881400539 0.161268147596122 0.171429115627531 0.104360015324243 0.3293037471426 0.336472236621213 0.357674444271816 0.357674444271816 2.23355650658361 0.535323095366378 0 3.65065824129374 3.25809653802148 3.08342258668098 4.2743439804937 0.287432041196572 2.23355650658361 0 0 0.22314355131421 7.97349680188535E-02 7.97349680188535E-02 1.01160091167848 1.01160091167848 0.916290731874155 0.980954245199877 0.22314355131421 0 0 7.97349680188535E-02 0.559615787935423 1.01160091167848 0.916290731874155 0.847154993039293 0 4.61512051684126 0 3.58928008889118 0.605953968857568 4.61214579972452 0.381855242469031 0.262364264467491 0 0 0 0 0;</v>
      </c>
    </row>
    <row r="73" spans="1:86" x14ac:dyDescent="0.25">
      <c r="A73">
        <v>120</v>
      </c>
      <c r="B73">
        <v>1</v>
      </c>
      <c r="C73">
        <v>1</v>
      </c>
      <c r="D73">
        <v>1</v>
      </c>
      <c r="E73">
        <v>2.7212954278522301</v>
      </c>
      <c r="F73">
        <v>2.1882959465919201</v>
      </c>
      <c r="G73">
        <v>2.5257286443082601</v>
      </c>
      <c r="H73">
        <v>7.1631723908466398</v>
      </c>
      <c r="I73">
        <v>6.8926416411720899</v>
      </c>
      <c r="J73">
        <v>6.7522703761417402</v>
      </c>
      <c r="K73">
        <v>8.0487882835342006</v>
      </c>
      <c r="L73">
        <v>0.61193712513440202</v>
      </c>
      <c r="M73">
        <v>1.85629799036563</v>
      </c>
      <c r="N73">
        <v>1.63666389868769</v>
      </c>
      <c r="O73">
        <v>1.6094379124341001</v>
      </c>
      <c r="P73">
        <v>1.7071089396075501</v>
      </c>
      <c r="Q73">
        <v>0.85356390196584997</v>
      </c>
      <c r="R73">
        <v>0.23428129572466599</v>
      </c>
      <c r="S73">
        <v>0.22234323114344101</v>
      </c>
      <c r="T73">
        <v>0.17479329037316299</v>
      </c>
      <c r="U73">
        <v>0.210260925483196</v>
      </c>
      <c r="V73">
        <v>0.12575120530556</v>
      </c>
      <c r="W73">
        <v>0.45742484703887498</v>
      </c>
      <c r="X73">
        <v>0.36464311358790902</v>
      </c>
      <c r="Y73">
        <v>0.431782416425538</v>
      </c>
      <c r="Z73">
        <v>0.45742484703887498</v>
      </c>
      <c r="AA73">
        <v>3.0094872387863298</v>
      </c>
      <c r="AB73">
        <v>1.18570699551904</v>
      </c>
      <c r="AC73">
        <v>2.9539723393057602</v>
      </c>
      <c r="AD73">
        <v>3.4192010061017299</v>
      </c>
      <c r="AE73">
        <v>3.9318256327243302</v>
      </c>
      <c r="AF73">
        <v>1.18570699551904</v>
      </c>
      <c r="AG73">
        <v>3.8862332912418398</v>
      </c>
      <c r="AH73">
        <v>0</v>
      </c>
      <c r="AI73">
        <v>3.9318256327243302</v>
      </c>
      <c r="AJ73">
        <v>3.8862332912418398</v>
      </c>
      <c r="AK73">
        <v>0.111541374732907</v>
      </c>
      <c r="AL73">
        <v>0.21107097007994</v>
      </c>
      <c r="AM73">
        <v>0.21591750622247</v>
      </c>
      <c r="AN73">
        <v>0.184818436992542</v>
      </c>
      <c r="AO73">
        <v>0.17563256864315799</v>
      </c>
      <c r="AP73">
        <v>0.24686007793152601</v>
      </c>
      <c r="AQ73">
        <v>0.52472852893498201</v>
      </c>
      <c r="AR73">
        <v>0.50681760236845197</v>
      </c>
      <c r="AS73">
        <v>0.52472852893498201</v>
      </c>
      <c r="AT73">
        <v>3.2580965380214799</v>
      </c>
      <c r="AU73">
        <v>0.405465108108164</v>
      </c>
      <c r="AV73">
        <v>3.2580965380214799</v>
      </c>
      <c r="AW73">
        <v>3.2580965380214799</v>
      </c>
      <c r="AX73">
        <v>3.2580965380214799</v>
      </c>
      <c r="AY73">
        <v>3.2580965380214799</v>
      </c>
      <c r="AZ73">
        <v>3.9318256327243302</v>
      </c>
      <c r="BA73">
        <v>0.81093021621632899</v>
      </c>
      <c r="BB73">
        <v>3.7534257877209898</v>
      </c>
      <c r="BC73">
        <v>0.81093021621632899</v>
      </c>
      <c r="BD73">
        <v>0.55961578793542299</v>
      </c>
      <c r="BE73">
        <v>0.22314355131420999</v>
      </c>
      <c r="BF73">
        <v>0.55961578793542299</v>
      </c>
      <c r="BG73">
        <v>0.81093021621632899</v>
      </c>
      <c r="BH73">
        <v>0.405465108108164</v>
      </c>
      <c r="BI73">
        <v>0.81093021621632899</v>
      </c>
      <c r="BJ73">
        <v>0.22314355131420999</v>
      </c>
      <c r="BK73">
        <v>0.51102560376865702</v>
      </c>
      <c r="BL73">
        <v>0</v>
      </c>
      <c r="BM73">
        <v>0.22314355131420999</v>
      </c>
      <c r="BN73">
        <v>0.22314355131420999</v>
      </c>
      <c r="BO73">
        <v>0.15443635330441899</v>
      </c>
      <c r="BP73">
        <v>1.0116009116784801</v>
      </c>
      <c r="BQ73">
        <v>0.81093021621632899</v>
      </c>
      <c r="BR73">
        <v>0.69314718055994495</v>
      </c>
      <c r="BS73">
        <v>0.84715499303929298</v>
      </c>
      <c r="BT73">
        <v>3.2580965380214799</v>
      </c>
      <c r="BU73">
        <v>4.3307333402863302</v>
      </c>
      <c r="BV73">
        <v>0</v>
      </c>
      <c r="BW73">
        <v>3.4605034875595599</v>
      </c>
      <c r="BX73">
        <v>0.79208712841484896</v>
      </c>
      <c r="BY73">
        <v>3.6259929010587499</v>
      </c>
      <c r="BZ73">
        <v>2.8176815836106801</v>
      </c>
      <c r="CA73">
        <v>4.16570352120391</v>
      </c>
      <c r="CB73">
        <v>0</v>
      </c>
      <c r="CC73">
        <v>0</v>
      </c>
      <c r="CD73">
        <v>0</v>
      </c>
      <c r="CE73">
        <v>0</v>
      </c>
      <c r="CF73">
        <v>0</v>
      </c>
      <c r="CH73" t="str">
        <f t="shared" si="1"/>
        <v>/*120*/ 111  1 2.72129542785223 2.18829594659192 2.52572864430826 7.16317239084664 6.89264164117209 6.75227037614174 8.0487882835342 0.611937125134402 1.85629799036563 1.63666389868769 1.6094379124341 1.70710893960755 0.85356390196585 0.234281295724666 0.222343231143441 0.174793290373163 0.210260925483196 0.12575120530556 0.457424847038875 0.364643113587909 0.431782416425538 0.457424847038875 3.00948723878633 1.18570699551904 2.95397233930576 3.41920100610173 3.93182563272433 1.18570699551904 3.88623329124184 0 3.93182563272433 3.88623329124184 0.111541374732907 0.21107097007994 0.21591750622247 0.184818436992542 0.175632568643158 0.246860077931526 0.524728528934982 0.506817602368452 0.524728528934982 3.25809653802148 0.405465108108164 3.25809653802148 3.25809653802148 3.25809653802148 3.25809653802148 3.93182563272433 0.810930216216329 3.75342578772099 0.810930216216329 0.559615787935423 0.22314355131421 0.559615787935423 0.810930216216329 0.405465108108164 0.810930216216329 0.22314355131421 0.511025603768657 0 0.22314355131421 0.22314355131421 0.154436353304419 1.01160091167848 0.810930216216329 0.693147180559945 0.847154993039293 3.25809653802148 4.33073334028633 0 3.46050348755956 0.792087128414849 3.62599290105875 2.81768158361068 4.16570352120391 0 0 0 0 0;</v>
      </c>
    </row>
    <row r="74" spans="1:86" x14ac:dyDescent="0.25">
      <c r="A74">
        <v>129</v>
      </c>
      <c r="B74">
        <v>0</v>
      </c>
      <c r="C74">
        <v>0</v>
      </c>
      <c r="D74">
        <v>0</v>
      </c>
      <c r="E74">
        <v>2.8848007128467099</v>
      </c>
      <c r="F74">
        <v>2.15059873599616</v>
      </c>
      <c r="G74">
        <v>2.4203681286504302</v>
      </c>
      <c r="H74">
        <v>6.0799331950955899</v>
      </c>
      <c r="I74">
        <v>6.0112671744041597</v>
      </c>
      <c r="J74">
        <v>5.8550719222024297</v>
      </c>
      <c r="K74">
        <v>7.0833878476252998</v>
      </c>
      <c r="L74">
        <v>0</v>
      </c>
      <c r="M74">
        <v>0.85441532815606802</v>
      </c>
      <c r="N74">
        <v>0.85441532815606802</v>
      </c>
      <c r="O74">
        <v>0.68056839835308502</v>
      </c>
      <c r="P74">
        <v>0.79975691561820395</v>
      </c>
      <c r="Q74">
        <v>0.34783599527152798</v>
      </c>
      <c r="R74">
        <v>0.31481073984003399</v>
      </c>
      <c r="S74">
        <v>0.32353172534547803</v>
      </c>
      <c r="T74">
        <v>0.34003730278570898</v>
      </c>
      <c r="U74">
        <v>0.32642190076771199</v>
      </c>
      <c r="V74">
        <v>0.107957141505092</v>
      </c>
      <c r="W74">
        <v>0.47000362924573602</v>
      </c>
      <c r="X74">
        <v>0.41871033485818498</v>
      </c>
      <c r="Y74">
        <v>0.41871033485818498</v>
      </c>
      <c r="Z74">
        <v>0.47000362924573602</v>
      </c>
      <c r="AA74">
        <v>1.4295932855150399</v>
      </c>
      <c r="AB74">
        <v>0</v>
      </c>
      <c r="AC74">
        <v>1.6094379124341001</v>
      </c>
      <c r="AD74">
        <v>1.6094379124341001</v>
      </c>
      <c r="AE74">
        <v>2.19722457733622</v>
      </c>
      <c r="AF74">
        <v>1.6094379124341001</v>
      </c>
      <c r="AG74">
        <v>4.4886363697321396</v>
      </c>
      <c r="AH74">
        <v>0</v>
      </c>
      <c r="AI74">
        <v>4.5325994931532598</v>
      </c>
      <c r="AJ74">
        <v>4.4886363697321396</v>
      </c>
      <c r="AK74">
        <v>0.28593053941297503</v>
      </c>
      <c r="AL74">
        <v>0.33861280112032399</v>
      </c>
      <c r="AM74">
        <v>0.34074879338847303</v>
      </c>
      <c r="AN74">
        <v>0.32353172534547803</v>
      </c>
      <c r="AO74">
        <v>0.19309662996191301</v>
      </c>
      <c r="AP74">
        <v>0.62057648772510998</v>
      </c>
      <c r="AQ74">
        <v>0.67294447324242601</v>
      </c>
      <c r="AR74">
        <v>0.54232429082536204</v>
      </c>
      <c r="AS74">
        <v>0.67294447324242601</v>
      </c>
      <c r="AT74">
        <v>2.2335565065836098</v>
      </c>
      <c r="AU74">
        <v>0.60595396885756803</v>
      </c>
      <c r="AV74">
        <v>2.6026896854443802</v>
      </c>
      <c r="AW74">
        <v>2.6026896854443802</v>
      </c>
      <c r="AX74">
        <v>0</v>
      </c>
      <c r="AY74">
        <v>2.2335565065836098</v>
      </c>
      <c r="AZ74">
        <v>4.43477324748243</v>
      </c>
      <c r="BA74">
        <v>0.55961578793542299</v>
      </c>
      <c r="BB74">
        <v>2.8716984926305398</v>
      </c>
      <c r="BC74">
        <v>0</v>
      </c>
      <c r="BD74">
        <v>0</v>
      </c>
      <c r="BE74">
        <v>0.117783035656383</v>
      </c>
      <c r="BF74">
        <v>4.1141943331175199E-2</v>
      </c>
      <c r="BG74">
        <v>0.188966099512623</v>
      </c>
      <c r="BH74">
        <v>1.0116009116784801</v>
      </c>
      <c r="BI74">
        <v>1.0116009116784801</v>
      </c>
      <c r="BJ74">
        <v>1.0116009116784801</v>
      </c>
      <c r="BK74">
        <v>1.0116009116784801</v>
      </c>
      <c r="BL74">
        <v>0</v>
      </c>
      <c r="BM74">
        <v>0</v>
      </c>
      <c r="BN74">
        <v>0</v>
      </c>
      <c r="BO74">
        <v>0</v>
      </c>
      <c r="BP74">
        <v>0.69314718055994495</v>
      </c>
      <c r="BQ74">
        <v>0</v>
      </c>
      <c r="BR74">
        <v>0.22314355131420999</v>
      </c>
      <c r="BS74">
        <v>0.34854196070854299</v>
      </c>
      <c r="BT74">
        <v>0</v>
      </c>
      <c r="BU74">
        <v>3.6506582412937401</v>
      </c>
      <c r="BV74">
        <v>4.1510399058986502</v>
      </c>
      <c r="BW74">
        <v>4.0364505838031999</v>
      </c>
      <c r="BX74">
        <v>4.1141943331175199E-2</v>
      </c>
      <c r="BY74">
        <v>4.4427571332381204</v>
      </c>
      <c r="BZ74">
        <v>2.5289235352047701</v>
      </c>
      <c r="CA74">
        <v>2.8326837921036199</v>
      </c>
      <c r="CB74">
        <v>0</v>
      </c>
      <c r="CC74">
        <v>0</v>
      </c>
      <c r="CD74">
        <v>0</v>
      </c>
      <c r="CE74">
        <v>0</v>
      </c>
      <c r="CF74">
        <v>0</v>
      </c>
      <c r="CH74" t="str">
        <f t="shared" si="1"/>
        <v>/*129*/ 000  1 2.88480071284671 2.15059873599616 2.42036812865043 6.07993319509559 6.01126717440416 5.85507192220243 7.0833878476253 0 0.854415328156068 0.854415328156068 0.680568398353085 0.799756915618204 0.347835995271528 0.314810739840034 0.323531725345478 0.340037302785709 0.326421900767712 0.107957141505092 0.470003629245736 0.418710334858185 0.418710334858185 0.470003629245736 1.42959328551504 0 1.6094379124341 1.6094379124341 2.19722457733622 1.6094379124341 4.48863636973214 0 4.53259949315326 4.48863636973214 0.285930539412975 0.338612801120324 0.340748793388473 0.323531725345478 0.193096629961913 0.62057648772511 0.672944473242426 0.542324290825362 0.672944473242426 2.23355650658361 0.605953968857568 2.60268968544438 2.60268968544438 0 2.23355650658361 4.43477324748243 0.559615787935423 2.87169849263054 0 0 0.117783035656383 4.11419433311752E-02 0.188966099512623 1.01160091167848 1.01160091167848 1.01160091167848 1.01160091167848 0 0 0 0 0.693147180559945 0 0.22314355131421 0.348541960708543 0 3.65065824129374 4.15103990589865 4.0364505838032 4.11419433311752E-02 4.44275713323812 2.52892353520477 2.83268379210362 0 0 0 0 0;</v>
      </c>
    </row>
    <row r="75" spans="1:86" x14ac:dyDescent="0.25">
      <c r="A75">
        <v>150</v>
      </c>
      <c r="B75">
        <v>0</v>
      </c>
      <c r="C75">
        <v>0</v>
      </c>
      <c r="D75">
        <v>0</v>
      </c>
      <c r="E75">
        <v>2.8959119382717802</v>
      </c>
      <c r="F75">
        <v>2.1365305086639599</v>
      </c>
      <c r="G75">
        <v>2.4336133554004502</v>
      </c>
      <c r="H75">
        <v>5.6733232671714902</v>
      </c>
      <c r="I75">
        <v>5.3890717298165001</v>
      </c>
      <c r="J75">
        <v>5.0814043649844596</v>
      </c>
      <c r="K75">
        <v>6.5057840601282297</v>
      </c>
      <c r="L75">
        <v>0</v>
      </c>
      <c r="M75">
        <v>1.0024684281152101</v>
      </c>
      <c r="N75">
        <v>1.2014696741078199</v>
      </c>
      <c r="O75">
        <v>0.88087078664289498</v>
      </c>
      <c r="P75">
        <v>1.0370914320198601</v>
      </c>
      <c r="Q75">
        <v>0.73188700887587599</v>
      </c>
      <c r="R75">
        <v>0.15871169115482101</v>
      </c>
      <c r="S75">
        <v>0.107059072293408</v>
      </c>
      <c r="T75">
        <v>0.16381808522939501</v>
      </c>
      <c r="U75">
        <v>0.14410034397375701</v>
      </c>
      <c r="V75">
        <v>8.4341148433750998E-2</v>
      </c>
      <c r="W75">
        <v>0.36464311358790902</v>
      </c>
      <c r="X75">
        <v>0.16551443847757299</v>
      </c>
      <c r="Y75">
        <v>0.24686007793152601</v>
      </c>
      <c r="Z75">
        <v>0.36464311358790902</v>
      </c>
      <c r="AA75">
        <v>2.54647200544616</v>
      </c>
      <c r="AB75">
        <v>0</v>
      </c>
      <c r="AC75">
        <v>2.5649493574615398</v>
      </c>
      <c r="AD75">
        <v>2.19722457733622</v>
      </c>
      <c r="AE75">
        <v>3.0445224377234199</v>
      </c>
      <c r="AF75">
        <v>2.8332133440562202</v>
      </c>
      <c r="AG75">
        <v>4.1743872698956404</v>
      </c>
      <c r="AH75">
        <v>0</v>
      </c>
      <c r="AI75">
        <v>4.39444915467244</v>
      </c>
      <c r="AJ75">
        <v>4.1743872698956404</v>
      </c>
      <c r="AK75">
        <v>0.17058630057553401</v>
      </c>
      <c r="AL75">
        <v>0.18979357163265601</v>
      </c>
      <c r="AM75">
        <v>0.14669437915080299</v>
      </c>
      <c r="AN75">
        <v>0.16889853646181399</v>
      </c>
      <c r="AO75">
        <v>0.12663265093336601</v>
      </c>
      <c r="AP75">
        <v>0.29266961396281999</v>
      </c>
      <c r="AQ75">
        <v>0.37156355643248301</v>
      </c>
      <c r="AR75">
        <v>0.36464311358790902</v>
      </c>
      <c r="AS75">
        <v>0.37156355643248301</v>
      </c>
      <c r="AT75">
        <v>3.7534257877209898</v>
      </c>
      <c r="AU75">
        <v>0.34854196070854299</v>
      </c>
      <c r="AV75">
        <v>0</v>
      </c>
      <c r="AW75">
        <v>3.2580965380214799</v>
      </c>
      <c r="AX75">
        <v>3.2580965380214799</v>
      </c>
      <c r="AY75">
        <v>2.8716984926305398</v>
      </c>
      <c r="AZ75">
        <v>3.7534257877209898</v>
      </c>
      <c r="BA75">
        <v>0.94895151411370304</v>
      </c>
      <c r="BB75">
        <v>4.0831656436306698</v>
      </c>
      <c r="BC75">
        <v>0</v>
      </c>
      <c r="BD75">
        <v>0</v>
      </c>
      <c r="BE75">
        <v>0</v>
      </c>
      <c r="BF75">
        <v>0</v>
      </c>
      <c r="BG75">
        <v>4.1141943331175199E-2</v>
      </c>
      <c r="BH75">
        <v>0</v>
      </c>
      <c r="BI75">
        <v>0</v>
      </c>
      <c r="BJ75">
        <v>0.22314355131420999</v>
      </c>
      <c r="BK75">
        <v>7.9734968018853505E-2</v>
      </c>
      <c r="BL75">
        <v>0.69314718055994495</v>
      </c>
      <c r="BM75">
        <v>0.916290731874155</v>
      </c>
      <c r="BN75">
        <v>0.55961578793542299</v>
      </c>
      <c r="BO75">
        <v>0.73380916227883497</v>
      </c>
      <c r="BP75">
        <v>0.22314355131420999</v>
      </c>
      <c r="BQ75">
        <v>0</v>
      </c>
      <c r="BR75">
        <v>0.81093021621632899</v>
      </c>
      <c r="BS75">
        <v>0.405465108108164</v>
      </c>
      <c r="BT75">
        <v>4.0831656436306698</v>
      </c>
      <c r="BU75">
        <v>3.5361069907765299</v>
      </c>
      <c r="BV75">
        <v>2.2335565065836098</v>
      </c>
      <c r="BW75">
        <v>3.1209101222822202</v>
      </c>
      <c r="BX75">
        <v>0.45932178089887499</v>
      </c>
      <c r="BY75">
        <v>4.1578513012555396</v>
      </c>
      <c r="BZ75">
        <v>2.8885923979960899</v>
      </c>
      <c r="CA75">
        <v>3.6393214952655901</v>
      </c>
      <c r="CB75">
        <v>0</v>
      </c>
      <c r="CC75">
        <v>0</v>
      </c>
      <c r="CD75">
        <v>0</v>
      </c>
      <c r="CE75">
        <v>0</v>
      </c>
      <c r="CF75">
        <v>0</v>
      </c>
      <c r="CH75" t="str">
        <f t="shared" si="1"/>
        <v>/*150*/ 000  1 2.89591193827178 2.13653050866396 2.43361335540045 5.67332326717149 5.3890717298165 5.08140436498446 6.50578406012823 0 1.00246842811521 1.20146967410782 0.880870786642895 1.03709143201986 0.731887008875876 0.158711691154821 0.107059072293408 0.163818085229395 0.144100343973757 0.084341148433751 0.364643113587909 0.165514438477573 0.246860077931526 0.364643113587909 2.54647200544616 0 2.56494935746154 2.19722457733622 3.04452243772342 2.83321334405622 4.17438726989564 0 4.39444915467244 4.17438726989564 0.170586300575534 0.189793571632656 0.146694379150803 0.168898536461814 0.126632650933366 0.29266961396282 0.371563556432483 0.364643113587909 0.371563556432483 3.75342578772099 0.348541960708543 0 3.25809653802148 3.25809653802148 2.87169849263054 3.75342578772099 0.948951514113703 4.08316564363067 0 0 0 0 4.11419433311752E-02 0 0 0.22314355131421 7.97349680188535E-02 0.693147180559945 0.916290731874155 0.559615787935423 0.733809162278835 0.22314355131421 0 0.810930216216329 0.405465108108164 4.08316564363067 3.53610699077653 2.23355650658361 3.12091012228222 0.459321780898875 4.15785130125554 2.88859239799609 3.63932149526559 0 0 0 0 0;</v>
      </c>
    </row>
    <row r="76" spans="1:86" x14ac:dyDescent="0.25">
      <c r="A76">
        <v>161</v>
      </c>
      <c r="B76">
        <v>0</v>
      </c>
      <c r="C76">
        <v>1</v>
      </c>
      <c r="D76">
        <v>1</v>
      </c>
      <c r="E76">
        <v>2.8332133440562202</v>
      </c>
      <c r="F76">
        <v>2.2213750375685</v>
      </c>
      <c r="G76">
        <v>2.49485698064117</v>
      </c>
      <c r="H76">
        <v>6.7310181004820802</v>
      </c>
      <c r="I76">
        <v>7.2145044141511399</v>
      </c>
      <c r="J76">
        <v>6.4892049313253199</v>
      </c>
      <c r="K76">
        <v>7.9561263512135003</v>
      </c>
      <c r="L76">
        <v>0.155292884406035</v>
      </c>
      <c r="M76">
        <v>1.2947271675944001</v>
      </c>
      <c r="N76">
        <v>1.5892352051165799</v>
      </c>
      <c r="O76">
        <v>1.4350845252893201</v>
      </c>
      <c r="P76">
        <v>1.44691898293633</v>
      </c>
      <c r="Q76">
        <v>0.77103371921701602</v>
      </c>
      <c r="R76">
        <v>0.20945022418220699</v>
      </c>
      <c r="S76">
        <v>0.24920108563349899</v>
      </c>
      <c r="T76">
        <v>0.213497174262404</v>
      </c>
      <c r="U76">
        <v>0.224742272677907</v>
      </c>
      <c r="V76">
        <v>0.133656384812674</v>
      </c>
      <c r="W76">
        <v>0.43825493093115497</v>
      </c>
      <c r="X76">
        <v>0.52472852893498201</v>
      </c>
      <c r="Y76">
        <v>0.41871033485818498</v>
      </c>
      <c r="Z76">
        <v>0.52472852893498201</v>
      </c>
      <c r="AA76">
        <v>2.6310971599340802</v>
      </c>
      <c r="AB76">
        <v>0</v>
      </c>
      <c r="AC76">
        <v>2.4690313006297102</v>
      </c>
      <c r="AD76">
        <v>0</v>
      </c>
      <c r="AE76">
        <v>2.4690313006297102</v>
      </c>
      <c r="AF76">
        <v>2.8458391839793702</v>
      </c>
      <c r="AG76">
        <v>4.3037001617599202</v>
      </c>
      <c r="AH76">
        <v>0</v>
      </c>
      <c r="AI76">
        <v>4.5019074684124103</v>
      </c>
      <c r="AJ76">
        <v>4.3037001617599202</v>
      </c>
      <c r="AK76">
        <v>0.24059046491793001</v>
      </c>
      <c r="AL76">
        <v>0.186479566942618</v>
      </c>
      <c r="AM76">
        <v>0.19144646457095499</v>
      </c>
      <c r="AN76">
        <v>0.20620083058389799</v>
      </c>
      <c r="AO76">
        <v>0.157003748809665</v>
      </c>
      <c r="AP76">
        <v>0.431782416425538</v>
      </c>
      <c r="AQ76">
        <v>0.37156355643248301</v>
      </c>
      <c r="AR76">
        <v>0.47000362924573602</v>
      </c>
      <c r="AS76">
        <v>0.47000362924573602</v>
      </c>
      <c r="AT76">
        <v>3.2580965380214799</v>
      </c>
      <c r="AU76">
        <v>0.377065633586466</v>
      </c>
      <c r="AV76">
        <v>2.6026896854443802</v>
      </c>
      <c r="AW76">
        <v>3.2580965380214799</v>
      </c>
      <c r="AX76">
        <v>3.9318256327243302</v>
      </c>
      <c r="AY76">
        <v>3.4067486117004799</v>
      </c>
      <c r="AZ76">
        <v>3.84658808264264</v>
      </c>
      <c r="BA76">
        <v>0.55961578793542299</v>
      </c>
      <c r="BB76">
        <v>2.8716984926305398</v>
      </c>
      <c r="BC76">
        <v>0</v>
      </c>
      <c r="BD76">
        <v>0</v>
      </c>
      <c r="BE76">
        <v>0</v>
      </c>
      <c r="BF76">
        <v>0</v>
      </c>
      <c r="BG76">
        <v>0.377065633586466</v>
      </c>
      <c r="BH76">
        <v>0.405465108108164</v>
      </c>
      <c r="BI76">
        <v>0.22314355131420999</v>
      </c>
      <c r="BJ76">
        <v>0.22314355131420999</v>
      </c>
      <c r="BK76">
        <v>0.28743204119657201</v>
      </c>
      <c r="BL76">
        <v>0.22314355131420999</v>
      </c>
      <c r="BM76">
        <v>0.55961578793542299</v>
      </c>
      <c r="BN76">
        <v>0</v>
      </c>
      <c r="BO76">
        <v>0.28743204119657201</v>
      </c>
      <c r="BP76">
        <v>0</v>
      </c>
      <c r="BQ76">
        <v>0.81093021621632899</v>
      </c>
      <c r="BR76">
        <v>0.405465108108164</v>
      </c>
      <c r="BS76">
        <v>0.45932178089887499</v>
      </c>
      <c r="BT76">
        <v>2.8716984926305398</v>
      </c>
      <c r="BU76">
        <v>4.3841119588732198</v>
      </c>
      <c r="BV76">
        <v>1.64229224930505</v>
      </c>
      <c r="BW76">
        <v>3.3644296574699402</v>
      </c>
      <c r="BX76">
        <v>0.65076146406350699</v>
      </c>
      <c r="BY76">
        <v>4.5434862532999603</v>
      </c>
      <c r="BZ76">
        <v>2.30098381162707</v>
      </c>
      <c r="CA76">
        <v>2.0771890066265399</v>
      </c>
      <c r="CB76">
        <v>0</v>
      </c>
      <c r="CC76">
        <v>0</v>
      </c>
      <c r="CD76">
        <v>0</v>
      </c>
      <c r="CE76">
        <v>0</v>
      </c>
      <c r="CF76">
        <v>0</v>
      </c>
      <c r="CH76" t="str">
        <f t="shared" si="1"/>
        <v>/*161*/ 011  1 2.83321334405622 2.2213750375685 2.49485698064117 6.73101810048208 7.21450441415114 6.48920493132532 7.9561263512135 0.155292884406035 1.2947271675944 1.58923520511658 1.43508452528932 1.44691898293633 0.771033719217016 0.209450224182207 0.249201085633499 0.213497174262404 0.224742272677907 0.133656384812674 0.438254930931155 0.524728528934982 0.418710334858185 0.524728528934982 2.63109715993408 0 2.46903130062971 0 2.46903130062971 2.84583918397937 4.30370016175992 0 4.50190746841241 4.30370016175992 0.24059046491793 0.186479566942618 0.191446464570955 0.206200830583898 0.157003748809665 0.431782416425538 0.371563556432483 0.470003629245736 0.470003629245736 3.25809653802148 0.377065633586466 2.60268968544438 3.25809653802148 3.93182563272433 3.40674861170048 3.84658808264264 0.559615787935423 2.87169849263054 0 0 0 0 0.377065633586466 0.405465108108164 0.22314355131421 0.22314355131421 0.287432041196572 0.22314355131421 0.559615787935423 0 0.287432041196572 0 0.810930216216329 0.405465108108164 0.459321780898875 2.87169849263054 4.38411195887322 1.64229224930505 3.36442965746994 0.650761464063507 4.54348625329996 2.30098381162707 2.07718900662654 0 0 0 0 0;</v>
      </c>
    </row>
    <row r="77" spans="1:86" x14ac:dyDescent="0.25">
      <c r="A77">
        <v>178</v>
      </c>
      <c r="B77">
        <v>1</v>
      </c>
      <c r="C77">
        <v>1</v>
      </c>
      <c r="D77">
        <v>1</v>
      </c>
      <c r="E77">
        <v>3.0252910757955398</v>
      </c>
      <c r="F77">
        <v>2.24812890719799</v>
      </c>
      <c r="G77">
        <v>2.6588599569114399</v>
      </c>
      <c r="H77">
        <v>7.5464462737460201</v>
      </c>
      <c r="I77">
        <v>7.5147997604886703</v>
      </c>
      <c r="J77">
        <v>7.3323692059290604</v>
      </c>
      <c r="K77">
        <v>8.5671255601644507</v>
      </c>
      <c r="L77">
        <v>1.06298511102496</v>
      </c>
      <c r="M77">
        <v>1.6559397460855201</v>
      </c>
      <c r="N77">
        <v>1.73165554515835</v>
      </c>
      <c r="O77">
        <v>1.7917594692280501</v>
      </c>
      <c r="P77">
        <v>1.72793180648189</v>
      </c>
      <c r="Q77">
        <v>0.95127170076940104</v>
      </c>
      <c r="R77">
        <v>0.27155269052189701</v>
      </c>
      <c r="S77">
        <v>0.27231459532065899</v>
      </c>
      <c r="T77">
        <v>0.25231392861398999</v>
      </c>
      <c r="U77">
        <v>0.26543646350446098</v>
      </c>
      <c r="V77">
        <v>0.131028262406404</v>
      </c>
      <c r="W77">
        <v>0.405465108108164</v>
      </c>
      <c r="X77">
        <v>0.55388511322643796</v>
      </c>
      <c r="Y77">
        <v>0.41871033485818498</v>
      </c>
      <c r="Z77">
        <v>0.55388511322643796</v>
      </c>
      <c r="AA77">
        <v>2.7870462073287099</v>
      </c>
      <c r="AB77">
        <v>0</v>
      </c>
      <c r="AC77">
        <v>1.32919476907932</v>
      </c>
      <c r="AD77">
        <v>3.14510010520481</v>
      </c>
      <c r="AE77">
        <v>3.2580965380214799</v>
      </c>
      <c r="AF77">
        <v>2.2335565065836098</v>
      </c>
      <c r="AG77">
        <v>4.2145986164699201</v>
      </c>
      <c r="AH77">
        <v>0</v>
      </c>
      <c r="AI77">
        <v>4.3307333402863302</v>
      </c>
      <c r="AJ77">
        <v>4.2145986164699201</v>
      </c>
      <c r="AK77">
        <v>0.19309662996191301</v>
      </c>
      <c r="AL77">
        <v>0.227135572583747</v>
      </c>
      <c r="AM77">
        <v>0.23665190133900199</v>
      </c>
      <c r="AN77">
        <v>0.21913552991667101</v>
      </c>
      <c r="AO77">
        <v>0.15443635330441899</v>
      </c>
      <c r="AP77">
        <v>0.39204208777602401</v>
      </c>
      <c r="AQ77">
        <v>0.42526773540434398</v>
      </c>
      <c r="AR77">
        <v>0.44468582126144601</v>
      </c>
      <c r="AS77">
        <v>0.44468582126144601</v>
      </c>
      <c r="AT77">
        <v>3.0834225866809799</v>
      </c>
      <c r="AU77">
        <v>0.405465108108164</v>
      </c>
      <c r="AV77">
        <v>3.2580965380214799</v>
      </c>
      <c r="AW77">
        <v>3.6506582412937401</v>
      </c>
      <c r="AX77">
        <v>3.2580965380214799</v>
      </c>
      <c r="AY77">
        <v>3.4067486117004799</v>
      </c>
      <c r="AZ77">
        <v>3.9318256327243302</v>
      </c>
      <c r="BA77">
        <v>0.69314718055994495</v>
      </c>
      <c r="BB77">
        <v>3.7534257877209898</v>
      </c>
      <c r="BC77">
        <v>0.117783035656383</v>
      </c>
      <c r="BD77">
        <v>0.55961578793542299</v>
      </c>
      <c r="BE77">
        <v>0.405465108108164</v>
      </c>
      <c r="BF77">
        <v>0.377065633586466</v>
      </c>
      <c r="BG77">
        <v>0.671923544108319</v>
      </c>
      <c r="BH77">
        <v>0.69314718055994495</v>
      </c>
      <c r="BI77">
        <v>0.51102560376865702</v>
      </c>
      <c r="BJ77">
        <v>0</v>
      </c>
      <c r="BK77">
        <v>0.435023910349709</v>
      </c>
      <c r="BL77">
        <v>0</v>
      </c>
      <c r="BM77">
        <v>0</v>
      </c>
      <c r="BN77">
        <v>0.22314355131420999</v>
      </c>
      <c r="BO77">
        <v>7.9734968018853505E-2</v>
      </c>
      <c r="BP77">
        <v>1.09861228866811</v>
      </c>
      <c r="BQ77">
        <v>1.0116009116784801</v>
      </c>
      <c r="BR77">
        <v>0.405465108108164</v>
      </c>
      <c r="BS77">
        <v>0.88252710172134596</v>
      </c>
      <c r="BT77">
        <v>3.4067486117004799</v>
      </c>
      <c r="BU77">
        <v>4.0103649484268296</v>
      </c>
      <c r="BV77">
        <v>2.8716984926305398</v>
      </c>
      <c r="BW77">
        <v>3.4927124904979299</v>
      </c>
      <c r="BX77">
        <v>0.405465108108164</v>
      </c>
      <c r="BY77">
        <v>4.0289345503356504</v>
      </c>
      <c r="BZ77">
        <v>2.6154962194915998</v>
      </c>
      <c r="CA77">
        <v>3.8242622568206399</v>
      </c>
      <c r="CB77">
        <v>0</v>
      </c>
      <c r="CC77">
        <v>0</v>
      </c>
      <c r="CD77">
        <v>0</v>
      </c>
      <c r="CE77">
        <v>0</v>
      </c>
      <c r="CF77">
        <v>0</v>
      </c>
      <c r="CH77" t="str">
        <f t="shared" si="1"/>
        <v>/*178*/ 111  1 3.02529107579554 2.24812890719799 2.65885995691144 7.54644627374602 7.51479976048867 7.33236920592906 8.56712556016445 1.06298511102496 1.65593974608552 1.73165554515835 1.79175946922805 1.72793180648189 0.951271700769401 0.271552690521897 0.272314595320659 0.25231392861399 0.265436463504461 0.131028262406404 0.405465108108164 0.553885113226438 0.418710334858185 0.553885113226438 2.78704620732871 0 1.32919476907932 3.14510010520481 3.25809653802148 2.23355650658361 4.21459861646992 0 4.33073334028633 4.21459861646992 0.193096629961913 0.227135572583747 0.236651901339002 0.219135529916671 0.154436353304419 0.392042087776024 0.425267735404344 0.444685821261446 0.444685821261446 3.08342258668098 0.405465108108164 3.25809653802148 3.65065824129374 3.25809653802148 3.40674861170048 3.93182563272433 0.693147180559945 3.75342578772099 0.117783035656383 0.559615787935423 0.405465108108164 0.377065633586466 0.671923544108319 0.693147180559945 0.511025603768657 0 0.435023910349709 0 0 0.22314355131421 7.97349680188535E-02 1.09861228866811 1.01160091167848 0.405465108108164 0.882527101721346 3.40674861170048 4.01036494842683 2.87169849263054 3.49271249049793 0.405465108108164 4.02893455033565 2.6154962194916 3.82426225682064 0 0 0 0 0;</v>
      </c>
    </row>
    <row r="78" spans="1:86" x14ac:dyDescent="0.25">
      <c r="A78">
        <v>193</v>
      </c>
      <c r="B78">
        <v>1</v>
      </c>
      <c r="C78">
        <v>1</v>
      </c>
      <c r="D78">
        <v>1</v>
      </c>
      <c r="E78">
        <v>2.8735646395797798</v>
      </c>
      <c r="F78">
        <v>2.2310890912889798</v>
      </c>
      <c r="G78">
        <v>2.5862591440482898</v>
      </c>
      <c r="H78">
        <v>7.0130157896396303</v>
      </c>
      <c r="I78">
        <v>7.0396603498620802</v>
      </c>
      <c r="J78">
        <v>7.5427435453685501</v>
      </c>
      <c r="K78">
        <v>8.3277261664614102</v>
      </c>
      <c r="L78">
        <v>1.31184017519494</v>
      </c>
      <c r="M78">
        <v>2.13025347022944</v>
      </c>
      <c r="N78">
        <v>2.1117877177190501</v>
      </c>
      <c r="O78">
        <v>2.1747517214841601</v>
      </c>
      <c r="P78">
        <v>2.1400661634962699</v>
      </c>
      <c r="Q78">
        <v>1.37573884718037</v>
      </c>
      <c r="R78">
        <v>0.38458189719174002</v>
      </c>
      <c r="S78">
        <v>0.37363038458814601</v>
      </c>
      <c r="T78">
        <v>0.19803085049913499</v>
      </c>
      <c r="U78">
        <v>0.31845373111853498</v>
      </c>
      <c r="V78">
        <v>0.24842135849847799</v>
      </c>
      <c r="W78">
        <v>0.741937344729377</v>
      </c>
      <c r="X78">
        <v>0.62057648772510998</v>
      </c>
      <c r="Y78">
        <v>0.47000362924573602</v>
      </c>
      <c r="Z78">
        <v>0.741937344729377</v>
      </c>
      <c r="AA78">
        <v>3.0442366826136098</v>
      </c>
      <c r="AB78">
        <v>1.17000228475478</v>
      </c>
      <c r="AC78">
        <v>2.0369254045767602</v>
      </c>
      <c r="AD78">
        <v>2.2914230282878498</v>
      </c>
      <c r="AE78">
        <v>2.93268597183636</v>
      </c>
      <c r="AF78">
        <v>0</v>
      </c>
      <c r="AG78">
        <v>4.4215117359504701</v>
      </c>
      <c r="AH78">
        <v>0</v>
      </c>
      <c r="AI78">
        <v>4.4215117359504701</v>
      </c>
      <c r="AJ78">
        <v>4.4215117359504701</v>
      </c>
      <c r="AK78">
        <v>0.21188035903549901</v>
      </c>
      <c r="AL78">
        <v>0.210260925483196</v>
      </c>
      <c r="AM78">
        <v>0.33718626735487001</v>
      </c>
      <c r="AN78">
        <v>0.27459683290312498</v>
      </c>
      <c r="AO78">
        <v>0.23586232372198401</v>
      </c>
      <c r="AP78">
        <v>0.431782416425538</v>
      </c>
      <c r="AQ78">
        <v>0.59332684527773405</v>
      </c>
      <c r="AR78">
        <v>0.77010822169607396</v>
      </c>
      <c r="AS78">
        <v>0.77010822169607396</v>
      </c>
      <c r="AT78">
        <v>3.7534257877209898</v>
      </c>
      <c r="AU78">
        <v>0.25619140536041002</v>
      </c>
      <c r="AV78">
        <v>3.9318256327243302</v>
      </c>
      <c r="AW78">
        <v>3.2580965380214799</v>
      </c>
      <c r="AX78">
        <v>2.6026896854443802</v>
      </c>
      <c r="AY78">
        <v>3.4067486117004799</v>
      </c>
      <c r="AZ78">
        <v>3.7534257877209898</v>
      </c>
      <c r="BA78">
        <v>0.405465108108164</v>
      </c>
      <c r="BB78">
        <v>2.8716984926305398</v>
      </c>
      <c r="BC78">
        <v>0</v>
      </c>
      <c r="BD78">
        <v>0.22314355131420999</v>
      </c>
      <c r="BE78">
        <v>0</v>
      </c>
      <c r="BF78">
        <v>7.9734968018853505E-2</v>
      </c>
      <c r="BG78">
        <v>0.28743204119657201</v>
      </c>
      <c r="BH78">
        <v>0.405465108108164</v>
      </c>
      <c r="BI78">
        <v>0</v>
      </c>
      <c r="BJ78">
        <v>0</v>
      </c>
      <c r="BK78">
        <v>0.15443635330441899</v>
      </c>
      <c r="BL78">
        <v>0.22314355131420999</v>
      </c>
      <c r="BM78">
        <v>0.22314355131420999</v>
      </c>
      <c r="BN78">
        <v>0.22314355131420999</v>
      </c>
      <c r="BO78">
        <v>0.22314355131420999</v>
      </c>
      <c r="BP78">
        <v>1.0116009116784801</v>
      </c>
      <c r="BQ78">
        <v>0.916290731874155</v>
      </c>
      <c r="BR78">
        <v>0.55961578793542299</v>
      </c>
      <c r="BS78">
        <v>0.84715499303929298</v>
      </c>
      <c r="BT78">
        <v>3.84658808264264</v>
      </c>
      <c r="BU78">
        <v>2.8716984926305398</v>
      </c>
      <c r="BV78">
        <v>3.5361069907765299</v>
      </c>
      <c r="BW78">
        <v>3.52762443143168</v>
      </c>
      <c r="BX78">
        <v>0.58333231455273904</v>
      </c>
      <c r="BY78">
        <v>4.1032217101597004</v>
      </c>
      <c r="BZ78">
        <v>2.8440950988910298</v>
      </c>
      <c r="CA78">
        <v>3.7248496979031702</v>
      </c>
      <c r="CB78">
        <v>0</v>
      </c>
      <c r="CC78">
        <v>0</v>
      </c>
      <c r="CD78">
        <v>0</v>
      </c>
      <c r="CE78">
        <v>0</v>
      </c>
      <c r="CF78">
        <v>0</v>
      </c>
      <c r="CH78" t="str">
        <f t="shared" si="1"/>
        <v>/*193*/ 111  1 2.87356463957978 2.23108909128898 2.58625914404829 7.01301578963963 7.03966034986208 7.54274354536855 8.32772616646141 1.31184017519494 2.13025347022944 2.11178771771905 2.17475172148416 2.14006616349627 1.37573884718037 0.38458189719174 0.373630384588146 0.198030850499135 0.318453731118535 0.248421358498478 0.741937344729377 0.62057648772511 0.470003629245736 0.741937344729377 3.04423668261361 1.17000228475478 2.03692540457676 2.29142302828785 2.93268597183636 0 4.42151173595047 0 4.42151173595047 4.42151173595047 0.211880359035499 0.210260925483196 0.33718626735487 0.274596832903125 0.235862323721984 0.431782416425538 0.593326845277734 0.770108221696074 0.770108221696074 3.75342578772099 0.25619140536041 3.93182563272433 3.25809653802148 2.60268968544438 3.40674861170048 3.75342578772099 0.405465108108164 2.87169849263054 0 0.22314355131421 0 7.97349680188535E-02 0.287432041196572 0.405465108108164 0 0 0.154436353304419 0.22314355131421 0.22314355131421 0.22314355131421 0.22314355131421 1.01160091167848 0.916290731874155 0.559615787935423 0.847154993039293 3.84658808264264 2.87169849263054 3.53610699077653 3.52762443143168 0.583332314552739 4.1032217101597 2.84409509889103 3.72484969790317 0 0 0 0 0;</v>
      </c>
    </row>
    <row r="79" spans="1:86" x14ac:dyDescent="0.25">
      <c r="A79">
        <v>201</v>
      </c>
      <c r="B79">
        <v>1</v>
      </c>
      <c r="C79">
        <v>1</v>
      </c>
      <c r="D79">
        <v>1</v>
      </c>
      <c r="E79">
        <v>2.8332133440562202</v>
      </c>
      <c r="F79">
        <v>2.2617630984737902</v>
      </c>
      <c r="G79">
        <v>2.5915163848462601</v>
      </c>
      <c r="H79">
        <v>7.0246490304536398</v>
      </c>
      <c r="I79">
        <v>6.9037472575846</v>
      </c>
      <c r="J79">
        <v>6.6424868013672604</v>
      </c>
      <c r="K79">
        <v>7.9672801789422003</v>
      </c>
      <c r="L79">
        <v>1.1317246401183101</v>
      </c>
      <c r="M79">
        <v>1.44691898293633</v>
      </c>
      <c r="N79">
        <v>1.4019216170055899</v>
      </c>
      <c r="O79">
        <v>1.2311014717141899</v>
      </c>
      <c r="P79">
        <v>1.36430434322828</v>
      </c>
      <c r="Q79">
        <v>0.81359333363581299</v>
      </c>
      <c r="R79">
        <v>0.29490591754110101</v>
      </c>
      <c r="S79">
        <v>0.27002713721305999</v>
      </c>
      <c r="T79">
        <v>0.288931291852213</v>
      </c>
      <c r="U79">
        <v>0.28442677973110803</v>
      </c>
      <c r="V79">
        <v>0.21107097007994</v>
      </c>
      <c r="W79">
        <v>0.47000362924573602</v>
      </c>
      <c r="X79">
        <v>0.41871033485818498</v>
      </c>
      <c r="Y79">
        <v>0.87546873735389996</v>
      </c>
      <c r="Z79">
        <v>0.87546873735389996</v>
      </c>
      <c r="AA79">
        <v>2.2863540798836302</v>
      </c>
      <c r="AB79">
        <v>0</v>
      </c>
      <c r="AC79">
        <v>3.4836679090257401</v>
      </c>
      <c r="AD79">
        <v>1.2897834607390499</v>
      </c>
      <c r="AE79">
        <v>3.5613585337861</v>
      </c>
      <c r="AF79">
        <v>1.8346593035432801</v>
      </c>
      <c r="AG79">
        <v>4.1194598497005002</v>
      </c>
      <c r="AH79">
        <v>0</v>
      </c>
      <c r="AI79">
        <v>4.2015383963242199</v>
      </c>
      <c r="AJ79">
        <v>4.1194598497005002</v>
      </c>
      <c r="AK79">
        <v>0.13453089295760601</v>
      </c>
      <c r="AL79">
        <v>0.213497174262404</v>
      </c>
      <c r="AM79">
        <v>0.26082461828189801</v>
      </c>
      <c r="AN79">
        <v>0.20130685670503501</v>
      </c>
      <c r="AO79">
        <v>0.227135572583747</v>
      </c>
      <c r="AP79">
        <v>0.70803579305369602</v>
      </c>
      <c r="AQ79">
        <v>0.67803354274989702</v>
      </c>
      <c r="AR79">
        <v>0.54232429082536204</v>
      </c>
      <c r="AS79">
        <v>0.70803579305369602</v>
      </c>
      <c r="AT79">
        <v>3.0834225866809799</v>
      </c>
      <c r="AU79">
        <v>0.34854196070854299</v>
      </c>
      <c r="AV79">
        <v>4.1510399058986502</v>
      </c>
      <c r="AW79">
        <v>3.2580965380214799</v>
      </c>
      <c r="AX79">
        <v>3.2580965380214799</v>
      </c>
      <c r="AY79">
        <v>3.6506582412937401</v>
      </c>
      <c r="AZ79">
        <v>3.7534257877209898</v>
      </c>
      <c r="BA79">
        <v>0.65076146406350699</v>
      </c>
      <c r="BB79">
        <v>3.5361069907765299</v>
      </c>
      <c r="BC79">
        <v>0.117783035656383</v>
      </c>
      <c r="BD79">
        <v>0</v>
      </c>
      <c r="BE79">
        <v>0.22314355131420999</v>
      </c>
      <c r="BF79">
        <v>0.117783035656383</v>
      </c>
      <c r="BG79">
        <v>0.28743204119657201</v>
      </c>
      <c r="BH79">
        <v>0</v>
      </c>
      <c r="BI79">
        <v>0.55961578793542299</v>
      </c>
      <c r="BJ79">
        <v>0.69314718055994495</v>
      </c>
      <c r="BK79">
        <v>0.45932178089887499</v>
      </c>
      <c r="BL79">
        <v>0</v>
      </c>
      <c r="BM79">
        <v>0.69314718055994495</v>
      </c>
      <c r="BN79">
        <v>0.22314355131420999</v>
      </c>
      <c r="BO79">
        <v>0.34854196070854299</v>
      </c>
      <c r="BP79">
        <v>1.2527629684953701</v>
      </c>
      <c r="BQ79">
        <v>0.405465108108164</v>
      </c>
      <c r="BR79">
        <v>0.55961578793542299</v>
      </c>
      <c r="BS79">
        <v>0.81093021621632899</v>
      </c>
      <c r="BT79">
        <v>0</v>
      </c>
      <c r="BU79">
        <v>4.2743439804936996</v>
      </c>
      <c r="BV79">
        <v>3.4067486117004799</v>
      </c>
      <c r="BW79">
        <v>3.81953483999298</v>
      </c>
      <c r="BX79">
        <v>0.48550781578170099</v>
      </c>
      <c r="BY79">
        <v>4.5027941013712196</v>
      </c>
      <c r="BZ79">
        <v>2.35962683336124</v>
      </c>
      <c r="CA79">
        <v>2.4622349105235801</v>
      </c>
      <c r="CB79">
        <v>0</v>
      </c>
      <c r="CC79">
        <v>0</v>
      </c>
      <c r="CD79">
        <v>0</v>
      </c>
      <c r="CE79">
        <v>0</v>
      </c>
      <c r="CF79">
        <v>0</v>
      </c>
      <c r="CH79" t="str">
        <f t="shared" si="1"/>
        <v>/*201*/ 111  1 2.83321334405622 2.26176309847379 2.59151638484626 7.02464903045364 6.9037472575846 6.64248680136726 7.9672801789422 1.13172464011831 1.44691898293633 1.40192161700559 1.23110147171419 1.36430434322828 0.813593333635813 0.294905917541101 0.27002713721306 0.288931291852213 0.284426779731108 0.21107097007994 0.470003629245736 0.418710334858185 0.8754687373539 0.8754687373539 2.28635407988363 0 3.48366790902574 1.28978346073905 3.5613585337861 1.83465930354328 4.1194598497005 0 4.20153839632422 4.1194598497005 0.134530892957606 0.213497174262404 0.260824618281898 0.201306856705035 0.227135572583747 0.708035793053696 0.678033542749897 0.542324290825362 0.708035793053696 3.08342258668098 0.348541960708543 4.15103990589865 3.25809653802148 3.25809653802148 3.65065824129374 3.75342578772099 0.650761464063507 3.53610699077653 0.117783035656383 0 0.22314355131421 0.117783035656383 0.287432041196572 0 0.559615787935423 0.693147180559945 0.459321780898875 0 0.693147180559945 0.22314355131421 0.348541960708543 1.25276296849537 0.405465108108164 0.559615787935423 0.810930216216329 0 4.2743439804937 3.40674861170048 3.81953483999298 0.485507815781701 4.50279410137122 2.35962683336124 2.46223491052358 0 0 0 0 0;</v>
      </c>
    </row>
    <row r="80" spans="1:86" x14ac:dyDescent="0.25">
      <c r="A80">
        <v>202</v>
      </c>
      <c r="B80">
        <v>0</v>
      </c>
      <c r="C80">
        <v>0</v>
      </c>
      <c r="D80">
        <v>0</v>
      </c>
      <c r="E80">
        <v>2.79116510781272</v>
      </c>
      <c r="F80">
        <v>2.2027647577118299</v>
      </c>
      <c r="G80">
        <v>2.5022552881226101</v>
      </c>
      <c r="H80">
        <v>6.4599044543775301</v>
      </c>
      <c r="I80">
        <v>5.9107966440405297</v>
      </c>
      <c r="J80">
        <v>5.9162020626074296</v>
      </c>
      <c r="K80">
        <v>7.22766249872865</v>
      </c>
      <c r="L80">
        <v>0</v>
      </c>
      <c r="M80">
        <v>0.84372003903932002</v>
      </c>
      <c r="N80">
        <v>0.82198005240291405</v>
      </c>
      <c r="O80">
        <v>0.974559639998131</v>
      </c>
      <c r="P80">
        <v>0.88252710172134596</v>
      </c>
      <c r="Q80">
        <v>0.47809579914307199</v>
      </c>
      <c r="R80">
        <v>0.25773819607870901</v>
      </c>
      <c r="S80">
        <v>0.27611543608031602</v>
      </c>
      <c r="T80">
        <v>0.20701416938432601</v>
      </c>
      <c r="U80">
        <v>0.24686007793152601</v>
      </c>
      <c r="V80">
        <v>0.131028262406404</v>
      </c>
      <c r="W80">
        <v>0.405465108108164</v>
      </c>
      <c r="X80">
        <v>0.405465108108164</v>
      </c>
      <c r="Y80">
        <v>0.350656871613169</v>
      </c>
      <c r="Z80">
        <v>0.405465108108164</v>
      </c>
      <c r="AA80">
        <v>1.80038879592611</v>
      </c>
      <c r="AB80">
        <v>0</v>
      </c>
      <c r="AC80">
        <v>3.84658808264264</v>
      </c>
      <c r="AD80">
        <v>0</v>
      </c>
      <c r="AE80">
        <v>3.84658808264264</v>
      </c>
      <c r="AF80">
        <v>3.0834225866809799</v>
      </c>
      <c r="AG80">
        <v>3.5361069907765299</v>
      </c>
      <c r="AH80">
        <v>0</v>
      </c>
      <c r="AI80">
        <v>4.0103649484268296</v>
      </c>
      <c r="AJ80">
        <v>3.84658808264264</v>
      </c>
      <c r="AK80">
        <v>4.2101176018635299E-2</v>
      </c>
      <c r="AL80">
        <v>5.16432331518384E-2</v>
      </c>
      <c r="AM80">
        <v>7.2320661579626105E-2</v>
      </c>
      <c r="AN80">
        <v>5.5434706888100503E-2</v>
      </c>
      <c r="AO80">
        <v>5.3540766928029802E-2</v>
      </c>
      <c r="AP80">
        <v>0.122217632724249</v>
      </c>
      <c r="AQ80">
        <v>0.113328685307003</v>
      </c>
      <c r="AR80">
        <v>0.18232155679395501</v>
      </c>
      <c r="AS80">
        <v>0.18232155679395501</v>
      </c>
      <c r="AT80">
        <v>2.6026896854443802</v>
      </c>
      <c r="AU80">
        <v>0.15443635330441899</v>
      </c>
      <c r="AV80">
        <v>4.1510399058986502</v>
      </c>
      <c r="AW80">
        <v>4.4830025520138799</v>
      </c>
      <c r="AX80">
        <v>4.1510399058986502</v>
      </c>
      <c r="AY80">
        <v>4.2743439804936996</v>
      </c>
      <c r="AZ80">
        <v>4.2145986164699201</v>
      </c>
      <c r="BA80">
        <v>0.34854196070854299</v>
      </c>
      <c r="BB80">
        <v>2.8716984926305398</v>
      </c>
      <c r="BC80">
        <v>0</v>
      </c>
      <c r="BD80">
        <v>0</v>
      </c>
      <c r="BE80">
        <v>0</v>
      </c>
      <c r="BF80">
        <v>0</v>
      </c>
      <c r="BG80">
        <v>4.1141943331175199E-2</v>
      </c>
      <c r="BH80">
        <v>0.81093021621632899</v>
      </c>
      <c r="BI80">
        <v>0.916290731874155</v>
      </c>
      <c r="BJ80">
        <v>0.55961578793542299</v>
      </c>
      <c r="BK80">
        <v>0.77334372255422201</v>
      </c>
      <c r="BL80">
        <v>0</v>
      </c>
      <c r="BM80">
        <v>0</v>
      </c>
      <c r="BN80">
        <v>0</v>
      </c>
      <c r="BO80">
        <v>0</v>
      </c>
      <c r="BP80">
        <v>1.1786549963416499</v>
      </c>
      <c r="BQ80">
        <v>1.44691898293633</v>
      </c>
      <c r="BR80">
        <v>1.2527629684953701</v>
      </c>
      <c r="BS80">
        <v>1.2993738890891899</v>
      </c>
      <c r="BT80">
        <v>0</v>
      </c>
      <c r="BU80">
        <v>4.0103649484268296</v>
      </c>
      <c r="BV80">
        <v>3.84658808264264</v>
      </c>
      <c r="BW80">
        <v>3.8772659154701401</v>
      </c>
      <c r="BX80">
        <v>0.45932178089887499</v>
      </c>
      <c r="BY80">
        <v>4.4943950376287702</v>
      </c>
      <c r="BZ80">
        <v>2.4741826864250198</v>
      </c>
      <c r="CA80">
        <v>2.5246080166395499</v>
      </c>
      <c r="CB80">
        <v>0</v>
      </c>
      <c r="CC80">
        <v>0</v>
      </c>
      <c r="CD80">
        <v>0</v>
      </c>
      <c r="CE80">
        <v>0</v>
      </c>
      <c r="CF80">
        <v>0</v>
      </c>
      <c r="CH80" t="str">
        <f t="shared" si="1"/>
        <v>/*202*/ 000  1 2.79116510781272 2.20276475771183 2.50225528812261 6.45990445437753 5.91079664404053 5.91620206260743 7.22766249872865 0 0.84372003903932 0.821980052402914 0.974559639998131 0.882527101721346 0.478095799143072 0.257738196078709 0.276115436080316 0.207014169384326 0.246860077931526 0.131028262406404 0.405465108108164 0.405465108108164 0.350656871613169 0.405465108108164 1.80038879592611 0 3.84658808264264 0 3.84658808264264 3.08342258668098 3.53610699077653 0 4.01036494842683 3.84658808264264 4.21011760186353E-02 5.16432331518384E-02 7.23206615796261E-02 5.54347068881005E-02 5.35407669280298E-02 0.122217632724249 0.113328685307003 0.182321556793955 0.182321556793955 2.60268968544438 0.154436353304419 4.15103990589865 4.48300255201388 4.15103990589865 4.2743439804937 4.21459861646992 0.348541960708543 2.87169849263054 0 0 0 0 4.11419433311752E-02 0.810930216216329 0.916290731874155 0.559615787935423 0.773343722554222 0 0 0 0 1.17865499634165 1.44691898293633 1.25276296849537 1.29937388908919 0 4.01036494842683 3.84658808264264 3.87726591547014 0.459321780898875 4.49439503762877 2.47418268642502 2.52460801663955 0 0 0 0 0;</v>
      </c>
    </row>
    <row r="81" spans="1:86" x14ac:dyDescent="0.25">
      <c r="A81">
        <v>203</v>
      </c>
      <c r="B81">
        <v>1</v>
      </c>
      <c r="C81">
        <v>1</v>
      </c>
      <c r="D81">
        <v>1</v>
      </c>
      <c r="E81">
        <v>2.5257286443082601</v>
      </c>
      <c r="F81">
        <v>2.1435893615035901</v>
      </c>
      <c r="G81">
        <v>2.4798941079644599</v>
      </c>
      <c r="H81">
        <v>7.3198649298089702</v>
      </c>
      <c r="I81">
        <v>6.6720329454610701</v>
      </c>
      <c r="J81">
        <v>7.2640301428995304</v>
      </c>
      <c r="K81">
        <v>8.2230905511615298</v>
      </c>
      <c r="L81">
        <v>0.46750049902761698</v>
      </c>
      <c r="M81">
        <v>2.0573237364262198</v>
      </c>
      <c r="N81">
        <v>1.9740810260220101</v>
      </c>
      <c r="O81">
        <v>1.9844438130575599</v>
      </c>
      <c r="P81">
        <v>2.0059295457431601</v>
      </c>
      <c r="Q81">
        <v>0.98693557144348698</v>
      </c>
      <c r="R81">
        <v>0.350656871613169</v>
      </c>
      <c r="S81">
        <v>0.324977857195478</v>
      </c>
      <c r="T81">
        <v>0.362557607096888</v>
      </c>
      <c r="U81">
        <v>0.34642256747438099</v>
      </c>
      <c r="V81">
        <v>0.184818436992542</v>
      </c>
      <c r="W81">
        <v>0.55388511322643796</v>
      </c>
      <c r="X81">
        <v>0.51879379341516796</v>
      </c>
      <c r="Y81">
        <v>0.69314718055994495</v>
      </c>
      <c r="Z81">
        <v>0.69314718055994495</v>
      </c>
      <c r="AA81">
        <v>2.8068089731254702</v>
      </c>
      <c r="AB81">
        <v>2.2524490235002501</v>
      </c>
      <c r="AC81">
        <v>0</v>
      </c>
      <c r="AD81">
        <v>1.65918000432891</v>
      </c>
      <c r="AE81">
        <v>2.6222017839761702</v>
      </c>
      <c r="AF81">
        <v>2.4542756062344799</v>
      </c>
      <c r="AG81">
        <v>4.3515158794688604</v>
      </c>
      <c r="AH81">
        <v>0</v>
      </c>
      <c r="AI81">
        <v>4.4799923762598599</v>
      </c>
      <c r="AJ81">
        <v>4.3515158794688604</v>
      </c>
      <c r="AK81">
        <v>0.24920108563349899</v>
      </c>
      <c r="AL81">
        <v>0.29490591754110101</v>
      </c>
      <c r="AM81">
        <v>0.33504264381161902</v>
      </c>
      <c r="AN81">
        <v>0.29936357722561902</v>
      </c>
      <c r="AO81">
        <v>0.192271887647123</v>
      </c>
      <c r="AP81">
        <v>0.482426149244293</v>
      </c>
      <c r="AQ81">
        <v>0.53649337051456802</v>
      </c>
      <c r="AR81">
        <v>0.62593843086649503</v>
      </c>
      <c r="AS81">
        <v>0.62593843086649503</v>
      </c>
      <c r="AT81">
        <v>3.84658808264264</v>
      </c>
      <c r="AU81">
        <v>0.405465108108164</v>
      </c>
      <c r="AV81">
        <v>0</v>
      </c>
      <c r="AW81">
        <v>2.6026896854443802</v>
      </c>
      <c r="AX81">
        <v>0</v>
      </c>
      <c r="AY81">
        <v>1.64229224930505</v>
      </c>
      <c r="AZ81">
        <v>3.9318256327243302</v>
      </c>
      <c r="BA81">
        <v>0.916290731874155</v>
      </c>
      <c r="BB81">
        <v>3.9318256327243302</v>
      </c>
      <c r="BC81">
        <v>0.81093021621632899</v>
      </c>
      <c r="BD81">
        <v>0.31845373111853498</v>
      </c>
      <c r="BE81">
        <v>0.22314355131420999</v>
      </c>
      <c r="BF81">
        <v>0.48550781578170099</v>
      </c>
      <c r="BG81">
        <v>0.69314718055994495</v>
      </c>
      <c r="BH81">
        <v>0.405465108108164</v>
      </c>
      <c r="BI81">
        <v>0.916290731874155</v>
      </c>
      <c r="BJ81">
        <v>0.55961578793542299</v>
      </c>
      <c r="BK81">
        <v>0.65076146406350699</v>
      </c>
      <c r="BL81">
        <v>0</v>
      </c>
      <c r="BM81">
        <v>0.405465108108164</v>
      </c>
      <c r="BN81">
        <v>0.22314355131420999</v>
      </c>
      <c r="BO81">
        <v>0.22314355131420999</v>
      </c>
      <c r="BP81">
        <v>0.55961578793542299</v>
      </c>
      <c r="BQ81">
        <v>0</v>
      </c>
      <c r="BR81">
        <v>0.81093021621632899</v>
      </c>
      <c r="BS81">
        <v>0.51102560376865702</v>
      </c>
      <c r="BT81">
        <v>2.2335565065836098</v>
      </c>
      <c r="BU81">
        <v>4.3307333402863302</v>
      </c>
      <c r="BV81">
        <v>2.8716984926305398</v>
      </c>
      <c r="BW81">
        <v>3.7287009483006099</v>
      </c>
      <c r="BX81">
        <v>0.899348011143843</v>
      </c>
      <c r="BY81">
        <v>4.1240813421521896</v>
      </c>
      <c r="BZ81">
        <v>2.7429024118694199</v>
      </c>
      <c r="CA81">
        <v>3.6935933263401601</v>
      </c>
      <c r="CB81">
        <v>0</v>
      </c>
      <c r="CC81">
        <v>0</v>
      </c>
      <c r="CD81">
        <v>0</v>
      </c>
      <c r="CE81">
        <v>0</v>
      </c>
      <c r="CF81">
        <v>0</v>
      </c>
      <c r="CH81" t="str">
        <f t="shared" si="1"/>
        <v>/*203*/ 111  1 2.52572864430826 2.14358936150359 2.47989410796446 7.31986492980897 6.67203294546107 7.26403014289953 8.22309055116153 0.467500499027617 2.05732373642622 1.97408102602201 1.98444381305756 2.00592954574316 0.986935571443487 0.350656871613169 0.324977857195478 0.362557607096888 0.346422567474381 0.184818436992542 0.553885113226438 0.518793793415168 0.693147180559945 0.693147180559945 2.80680897312547 2.25244902350025 0 1.65918000432891 2.62220178397617 2.45427560623448 4.35151587946886 0 4.47999237625986 4.35151587946886 0.249201085633499 0.294905917541101 0.335042643811619 0.299363577225619 0.192271887647123 0.482426149244293 0.536493370514568 0.625938430866495 0.625938430866495 3.84658808264264 0.405465108108164 0 2.60268968544438 0 1.64229224930505 3.93182563272433 0.916290731874155 3.93182563272433 0.810930216216329 0.318453731118535 0.22314355131421 0.485507815781701 0.693147180559945 0.405465108108164 0.916290731874155 0.559615787935423 0.650761464063507 0 0.405465108108164 0.22314355131421 0.22314355131421 0.559615787935423 0 0.810930216216329 0.511025603768657 2.23355650658361 4.33073334028633 2.87169849263054 3.72870094830061 0.899348011143843 4.12408134215219 2.74290241186942 3.69359332634016 0 0 0 0 0;</v>
      </c>
    </row>
    <row r="82" spans="1:86" x14ac:dyDescent="0.25">
      <c r="A82">
        <v>204</v>
      </c>
      <c r="B82">
        <v>1</v>
      </c>
      <c r="C82">
        <v>1</v>
      </c>
      <c r="D82">
        <v>1</v>
      </c>
      <c r="E82">
        <v>2.6026896854443802</v>
      </c>
      <c r="F82">
        <v>2.2071749081893901</v>
      </c>
      <c r="G82">
        <v>2.3786197792700401</v>
      </c>
      <c r="H82">
        <v>7.4821189235521199</v>
      </c>
      <c r="I82">
        <v>7.5126175446745096</v>
      </c>
      <c r="J82">
        <v>7.4506607962115403</v>
      </c>
      <c r="K82">
        <v>8.5803557663738808</v>
      </c>
      <c r="L82">
        <v>1.0145057793711101</v>
      </c>
      <c r="M82">
        <v>1.7917594692280501</v>
      </c>
      <c r="N82">
        <v>1.6795235200007901</v>
      </c>
      <c r="O82">
        <v>1.66297867936213</v>
      </c>
      <c r="P82">
        <v>1.71307694719359</v>
      </c>
      <c r="Q82">
        <v>0.93648543915967397</v>
      </c>
      <c r="R82">
        <v>0.26466929814270801</v>
      </c>
      <c r="S82">
        <v>0.316998126785834</v>
      </c>
      <c r="T82">
        <v>0.45932178089887499</v>
      </c>
      <c r="U82">
        <v>0.34995239817790602</v>
      </c>
      <c r="V82">
        <v>0.23822918873225099</v>
      </c>
      <c r="W82">
        <v>0.62057648772510998</v>
      </c>
      <c r="X82">
        <v>0.47000362924573602</v>
      </c>
      <c r="Y82">
        <v>0.65232518603969003</v>
      </c>
      <c r="Z82">
        <v>0.65232518603969003</v>
      </c>
      <c r="AA82">
        <v>2.4719058376107501</v>
      </c>
      <c r="AB82">
        <v>0</v>
      </c>
      <c r="AC82">
        <v>3.2580965380214799</v>
      </c>
      <c r="AD82">
        <v>0</v>
      </c>
      <c r="AE82">
        <v>3.2580965380214799</v>
      </c>
      <c r="AF82">
        <v>0</v>
      </c>
      <c r="AG82">
        <v>4.3307333402863302</v>
      </c>
      <c r="AH82">
        <v>0</v>
      </c>
      <c r="AI82">
        <v>4.3307333402863302</v>
      </c>
      <c r="AJ82">
        <v>4.3307333402863302</v>
      </c>
      <c r="AK82">
        <v>0.19062035960865001</v>
      </c>
      <c r="AL82">
        <v>0.184818436992542</v>
      </c>
      <c r="AM82">
        <v>0.18564934688662901</v>
      </c>
      <c r="AN82">
        <v>0.186479566942618</v>
      </c>
      <c r="AO82">
        <v>0.20294084399668999</v>
      </c>
      <c r="AP82">
        <v>0.34358970439007702</v>
      </c>
      <c r="AQ82">
        <v>0.47623417899637199</v>
      </c>
      <c r="AR82">
        <v>0.636576829071551</v>
      </c>
      <c r="AS82">
        <v>0.636576829071551</v>
      </c>
      <c r="AT82">
        <v>3.0834225866809799</v>
      </c>
      <c r="AU82">
        <v>0.22314355131420999</v>
      </c>
      <c r="AV82">
        <v>3.6506582412937401</v>
      </c>
      <c r="AW82">
        <v>4.1510399058986502</v>
      </c>
      <c r="AX82">
        <v>4.1510399058986502</v>
      </c>
      <c r="AY82">
        <v>4.0103649484268296</v>
      </c>
      <c r="AZ82">
        <v>3.9318256327243302</v>
      </c>
      <c r="BA82">
        <v>0.45932178089887499</v>
      </c>
      <c r="BB82">
        <v>3.2580965380214799</v>
      </c>
      <c r="BC82">
        <v>0.117783035656383</v>
      </c>
      <c r="BD82">
        <v>0.117783035656383</v>
      </c>
      <c r="BE82">
        <v>0.117783035656383</v>
      </c>
      <c r="BF82">
        <v>0.117783035656383</v>
      </c>
      <c r="BG82">
        <v>0.69314718055994495</v>
      </c>
      <c r="BH82">
        <v>0.55961578793542299</v>
      </c>
      <c r="BI82">
        <v>0.69314718055994495</v>
      </c>
      <c r="BJ82">
        <v>0.81093021621632899</v>
      </c>
      <c r="BK82">
        <v>0.69314718055994495</v>
      </c>
      <c r="BL82">
        <v>0.22314355131420999</v>
      </c>
      <c r="BM82">
        <v>0</v>
      </c>
      <c r="BN82">
        <v>0</v>
      </c>
      <c r="BO82">
        <v>7.9734968018853505E-2</v>
      </c>
      <c r="BP82">
        <v>1.3862943611198899</v>
      </c>
      <c r="BQ82">
        <v>1.1786549963416499</v>
      </c>
      <c r="BR82">
        <v>1.44691898293633</v>
      </c>
      <c r="BS82">
        <v>1.34364778639842</v>
      </c>
      <c r="BT82">
        <v>1.64229224930505</v>
      </c>
      <c r="BU82">
        <v>4.0103649484268296</v>
      </c>
      <c r="BV82">
        <v>3.7534257877209898</v>
      </c>
      <c r="BW82">
        <v>3.9070104636046001</v>
      </c>
      <c r="BX82">
        <v>0.65076146406350699</v>
      </c>
      <c r="BY82">
        <v>3.5662597405660299</v>
      </c>
      <c r="BZ82">
        <v>2.7271990199409699</v>
      </c>
      <c r="CA82">
        <v>4.1989447889335203</v>
      </c>
      <c r="CB82">
        <v>0</v>
      </c>
      <c r="CC82">
        <v>0</v>
      </c>
      <c r="CD82">
        <v>0</v>
      </c>
      <c r="CE82">
        <v>0</v>
      </c>
      <c r="CF82">
        <v>0</v>
      </c>
      <c r="CH82" t="str">
        <f t="shared" si="1"/>
        <v>/*204*/ 111  1 2.60268968544438 2.20717490818939 2.37861977927004 7.48211892355212 7.51261754467451 7.45066079621154 8.58035576637388 1.01450577937111 1.79175946922805 1.67952352000079 1.66297867936213 1.71307694719359 0.936485439159674 0.264669298142708 0.316998126785834 0.459321780898875 0.349952398177906 0.238229188732251 0.62057648772511 0.470003629245736 0.65232518603969 0.65232518603969 2.47190583761075 0 3.25809653802148 0 3.25809653802148 0 4.33073334028633 0 4.33073334028633 4.33073334028633 0.19062035960865 0.184818436992542 0.185649346886629 0.186479566942618 0.20294084399669 0.343589704390077 0.476234178996372 0.636576829071551 0.636576829071551 3.08342258668098 0.22314355131421 3.65065824129374 4.15103990589865 4.15103990589865 4.01036494842683 3.93182563272433 0.459321780898875 3.25809653802148 0.117783035656383 0.117783035656383 0.117783035656383 0.117783035656383 0.693147180559945 0.559615787935423 0.693147180559945 0.810930216216329 0.693147180559945 0.22314355131421 0 0 7.97349680188535E-02 1.38629436111989 1.17865499634165 1.44691898293633 1.34364778639842 1.64229224930505 4.01036494842683 3.75342578772099 3.9070104636046 0.650761464063507 3.56625974056603 2.72719901994097 4.19894478893352 0 0 0 0 0;</v>
      </c>
    </row>
    <row r="83" spans="1:86" x14ac:dyDescent="0.25">
      <c r="A83">
        <v>5</v>
      </c>
      <c r="B83">
        <v>1</v>
      </c>
      <c r="C83">
        <v>0</v>
      </c>
      <c r="D83">
        <v>1</v>
      </c>
      <c r="E83">
        <v>2.8848007128467099</v>
      </c>
      <c r="F83">
        <v>2.2470723830637902</v>
      </c>
      <c r="G83">
        <v>2.5817308344235399</v>
      </c>
      <c r="H83">
        <v>6.3868793193626496</v>
      </c>
      <c r="I83">
        <v>6.5708829623395797</v>
      </c>
      <c r="J83">
        <v>6.4831073514571997</v>
      </c>
      <c r="K83">
        <v>7.5806997522245601</v>
      </c>
      <c r="L83">
        <v>5.9211859631845998E-2</v>
      </c>
      <c r="M83">
        <v>1.2383742310432699</v>
      </c>
      <c r="N83">
        <v>1.30833281965018</v>
      </c>
      <c r="O83">
        <v>1.5040773967762699</v>
      </c>
      <c r="P83">
        <v>1.3566080507495299</v>
      </c>
      <c r="Q83">
        <v>0.67345454721420905</v>
      </c>
      <c r="R83">
        <v>0.111541374732907</v>
      </c>
      <c r="S83">
        <v>0.12663265093336601</v>
      </c>
      <c r="T83">
        <v>0.169742774587095</v>
      </c>
      <c r="U83">
        <v>0.136277618292548</v>
      </c>
      <c r="V83">
        <v>7.6034686275997604E-2</v>
      </c>
      <c r="W83">
        <v>0.262364264467491</v>
      </c>
      <c r="X83">
        <v>0.29266961396281999</v>
      </c>
      <c r="Y83">
        <v>0.307484699747961</v>
      </c>
      <c r="Z83">
        <v>0.307484699747961</v>
      </c>
      <c r="AA83">
        <v>3.0317748649009202</v>
      </c>
      <c r="AB83">
        <v>1.8803806608815801</v>
      </c>
      <c r="AC83">
        <v>2.7006226852734101</v>
      </c>
      <c r="AD83">
        <v>0</v>
      </c>
      <c r="AE83">
        <v>3.0176894409060302</v>
      </c>
      <c r="AF83">
        <v>1.32919476907932</v>
      </c>
      <c r="AG83">
        <v>4.3666337700664002</v>
      </c>
      <c r="AH83">
        <v>0</v>
      </c>
      <c r="AI83">
        <v>4.4012899008547297</v>
      </c>
      <c r="AJ83">
        <v>4.3666337700664002</v>
      </c>
      <c r="AK83">
        <v>0.19967019512856801</v>
      </c>
      <c r="AL83">
        <v>0.118671529717499</v>
      </c>
      <c r="AM83">
        <v>0.10345870836823</v>
      </c>
      <c r="AN83">
        <v>0.13976194237515899</v>
      </c>
      <c r="AO83">
        <v>0.16211884947643501</v>
      </c>
      <c r="AP83">
        <v>0.52472852893498201</v>
      </c>
      <c r="AQ83">
        <v>0.41210965082683298</v>
      </c>
      <c r="AR83">
        <v>0.34358970439007702</v>
      </c>
      <c r="AS83">
        <v>0.52472852893498201</v>
      </c>
      <c r="AT83">
        <v>3.0834225866809799</v>
      </c>
      <c r="AU83">
        <v>0.188966099512623</v>
      </c>
      <c r="AV83">
        <v>3.6506582412937401</v>
      </c>
      <c r="AW83">
        <v>4.3307333402863302</v>
      </c>
      <c r="AX83">
        <v>4.1510399058986502</v>
      </c>
      <c r="AY83">
        <v>4.0831656436306698</v>
      </c>
      <c r="AZ83">
        <v>3.5361069907765299</v>
      </c>
      <c r="BA83">
        <v>0.69314718055994495</v>
      </c>
      <c r="BB83">
        <v>2.8716984926305398</v>
      </c>
      <c r="BC83">
        <v>0.405465108108164</v>
      </c>
      <c r="BD83">
        <v>0.48550781578170099</v>
      </c>
      <c r="BE83">
        <v>0.55961578793542299</v>
      </c>
      <c r="BF83">
        <v>0.48550781578170099</v>
      </c>
      <c r="BG83">
        <v>0.73380916227883497</v>
      </c>
      <c r="BH83">
        <v>0.22314355131420999</v>
      </c>
      <c r="BI83">
        <v>0</v>
      </c>
      <c r="BJ83">
        <v>0</v>
      </c>
      <c r="BK83">
        <v>7.9734968018853505E-2</v>
      </c>
      <c r="BL83">
        <v>0.81093021621632899</v>
      </c>
      <c r="BM83">
        <v>0.55961578793542299</v>
      </c>
      <c r="BN83">
        <v>0.916290731874155</v>
      </c>
      <c r="BO83">
        <v>0.77334372255422201</v>
      </c>
      <c r="BP83">
        <v>0.22314355131420999</v>
      </c>
      <c r="BQ83">
        <v>0.405465108108164</v>
      </c>
      <c r="BR83">
        <v>0.69314718055994495</v>
      </c>
      <c r="BS83">
        <v>0.45932178089887499</v>
      </c>
      <c r="BT83">
        <v>1.64229224930505</v>
      </c>
      <c r="BU83">
        <v>4.5290124221383596</v>
      </c>
      <c r="BV83">
        <v>1.64229224930505</v>
      </c>
      <c r="BW83">
        <v>3.5115454388310199</v>
      </c>
      <c r="BX83">
        <v>0.81093021621632899</v>
      </c>
      <c r="BY83">
        <v>2.3965307058365699</v>
      </c>
      <c r="BZ83">
        <v>2.0749313862019498</v>
      </c>
      <c r="CA83">
        <v>4.5110243280978599</v>
      </c>
      <c r="CB83">
        <v>0</v>
      </c>
      <c r="CC83">
        <v>0</v>
      </c>
      <c r="CD83">
        <v>0</v>
      </c>
      <c r="CE83">
        <v>0</v>
      </c>
      <c r="CF83">
        <v>0</v>
      </c>
      <c r="CH83" t="str">
        <f t="shared" si="1"/>
        <v>/*5*/ 101  1 2.88480071284671 2.24707238306379 2.58173083442354 6.38687931936265 6.57088296233958 6.4831073514572 7.58069975222456 0.059211859631846 1.23837423104327 1.30833281965018 1.50407739677627 1.35660805074953 0.673454547214209 0.111541374732907 0.126632650933366 0.169742774587095 0.136277618292548 7.60346862759976E-02 0.262364264467491 0.29266961396282 0.307484699747961 0.307484699747961 3.03177486490092 1.88038066088158 2.70062268527341 0 3.01768944090603 1.32919476907932 4.3666337700664 0 4.40128990085473 4.3666337700664 0.199670195128568 0.118671529717499 0.10345870836823 0.139761942375159 0.162118849476435 0.524728528934982 0.412109650826833 0.343589704390077 0.524728528934982 3.08342258668098 0.188966099512623 3.65065824129374 4.33073334028633 4.15103990589865 4.08316564363067 3.53610699077653 0.693147180559945 2.87169849263054 0.405465108108164 0.485507815781701 0.559615787935423 0.485507815781701 0.733809162278835 0.22314355131421 0 0 7.97349680188535E-02 0.810930216216329 0.559615787935423 0.916290731874155 0.773343722554222 0.22314355131421 0.405465108108164 0.693147180559945 0.459321780898875 1.64229224930505 4.52901242213836 1.64229224930505 3.51154543883102 0.810930216216329 2.39653070583657 2.07493138620195 4.51102432809786 0 0 0 0 0;</v>
      </c>
    </row>
    <row r="84" spans="1:86" x14ac:dyDescent="0.25">
      <c r="A84">
        <v>8</v>
      </c>
      <c r="B84">
        <v>0</v>
      </c>
      <c r="C84">
        <v>0</v>
      </c>
      <c r="D84">
        <v>0</v>
      </c>
      <c r="E84">
        <v>2.8507065015037298</v>
      </c>
      <c r="F84">
        <v>2.2321626286975</v>
      </c>
      <c r="G84">
        <v>2.6878474937846901</v>
      </c>
      <c r="H84">
        <v>5.8998973535824897</v>
      </c>
      <c r="I84">
        <v>6.12249280951439</v>
      </c>
      <c r="J84">
        <v>6.0822189103764499</v>
      </c>
      <c r="K84">
        <v>7.1364832085902501</v>
      </c>
      <c r="L84">
        <v>0</v>
      </c>
      <c r="M84">
        <v>1.3217558399823199</v>
      </c>
      <c r="N84">
        <v>1.2527629684953701</v>
      </c>
      <c r="O84">
        <v>1.4872702784598899</v>
      </c>
      <c r="P84">
        <v>1.35892316432376</v>
      </c>
      <c r="Q84">
        <v>0.57210885218288898</v>
      </c>
      <c r="R84">
        <v>0.147557564357615</v>
      </c>
      <c r="S84">
        <v>0.157003748809665</v>
      </c>
      <c r="T84">
        <v>0.116003675756306</v>
      </c>
      <c r="U84">
        <v>0.14063112973974601</v>
      </c>
      <c r="V84">
        <v>9.0754363268464103E-2</v>
      </c>
      <c r="W84">
        <v>0.322083499169113</v>
      </c>
      <c r="X84">
        <v>0.33647223662121301</v>
      </c>
      <c r="Y84">
        <v>0.262364264467491</v>
      </c>
      <c r="Z84">
        <v>0.33647223662121301</v>
      </c>
      <c r="AA84">
        <v>3.00602907903136</v>
      </c>
      <c r="AB84">
        <v>0</v>
      </c>
      <c r="AC84">
        <v>2.3393990661167599</v>
      </c>
      <c r="AD84">
        <v>1.41706601978664</v>
      </c>
      <c r="AE84">
        <v>2.6026896854443802</v>
      </c>
      <c r="AF84">
        <v>3.37159691188586</v>
      </c>
      <c r="AG84">
        <v>4.1005751119727396</v>
      </c>
      <c r="AH84">
        <v>0</v>
      </c>
      <c r="AI84">
        <v>4.4830025520138799</v>
      </c>
      <c r="AJ84">
        <v>4.1005751119727396</v>
      </c>
      <c r="AK84">
        <v>0.14583044821154001</v>
      </c>
      <c r="AL84">
        <v>0.169742774587095</v>
      </c>
      <c r="AM84">
        <v>0.16296882827813999</v>
      </c>
      <c r="AN84">
        <v>0.159564569671338</v>
      </c>
      <c r="AO84">
        <v>0.13015068446504499</v>
      </c>
      <c r="AP84">
        <v>0.262364264467491</v>
      </c>
      <c r="AQ84">
        <v>0.482426149244293</v>
      </c>
      <c r="AR84">
        <v>0.262364264467491</v>
      </c>
      <c r="AS84">
        <v>0.482426149244293</v>
      </c>
      <c r="AT84">
        <v>4.2145986164699201</v>
      </c>
      <c r="AU84">
        <v>0.15443635330441899</v>
      </c>
      <c r="AV84">
        <v>3.2580965380214799</v>
      </c>
      <c r="AW84">
        <v>2.6026896854443802</v>
      </c>
      <c r="AX84">
        <v>2.6026896854443802</v>
      </c>
      <c r="AY84">
        <v>2.8716984926305398</v>
      </c>
      <c r="AZ84">
        <v>4.2145986164699201</v>
      </c>
      <c r="BA84">
        <v>0.60595396885756803</v>
      </c>
      <c r="BB84">
        <v>2.8716984926305398</v>
      </c>
      <c r="BC84">
        <v>0.22314355131420999</v>
      </c>
      <c r="BD84">
        <v>0.22314355131420999</v>
      </c>
      <c r="BE84">
        <v>0.22314355131420999</v>
      </c>
      <c r="BF84">
        <v>0.22314355131420999</v>
      </c>
      <c r="BG84">
        <v>0.48550781578170099</v>
      </c>
      <c r="BH84">
        <v>0.22314355131420999</v>
      </c>
      <c r="BI84">
        <v>0.405465108108164</v>
      </c>
      <c r="BJ84">
        <v>0</v>
      </c>
      <c r="BK84">
        <v>0.22314355131420999</v>
      </c>
      <c r="BL84">
        <v>0.55961578793542299</v>
      </c>
      <c r="BM84">
        <v>0.55961578793542299</v>
      </c>
      <c r="BN84">
        <v>1.2527629684953701</v>
      </c>
      <c r="BO84">
        <v>0.84715499303929298</v>
      </c>
      <c r="BP84">
        <v>0.405465108108164</v>
      </c>
      <c r="BQ84">
        <v>0.55961578793542299</v>
      </c>
      <c r="BR84">
        <v>0.405465108108164</v>
      </c>
      <c r="BS84">
        <v>0.45932178089887499</v>
      </c>
      <c r="BT84">
        <v>2.8716984926305398</v>
      </c>
      <c r="BU84">
        <v>4.2145986164699201</v>
      </c>
      <c r="BV84">
        <v>2.8716984926305398</v>
      </c>
      <c r="BW84">
        <v>3.5541473409128899</v>
      </c>
      <c r="BX84">
        <v>0.75377180237637997</v>
      </c>
      <c r="BY84">
        <v>2.8801530577018299</v>
      </c>
      <c r="BZ84">
        <v>1.99931549720055</v>
      </c>
      <c r="CA84">
        <v>4.4329930006261504</v>
      </c>
      <c r="CB84">
        <v>0</v>
      </c>
      <c r="CC84">
        <v>0</v>
      </c>
      <c r="CD84">
        <v>0</v>
      </c>
      <c r="CE84">
        <v>0</v>
      </c>
      <c r="CF84">
        <v>0</v>
      </c>
      <c r="CH84" t="str">
        <f t="shared" si="1"/>
        <v>/*8*/ 000  1 2.85070650150373 2.2321626286975 2.68784749378469 5.89989735358249 6.12249280951439 6.08221891037645 7.13648320859025 0 1.32175583998232 1.25276296849537 1.48727027845989 1.35892316432376 0.572108852182889 0.147557564357615 0.157003748809665 0.116003675756306 0.140631129739746 9.07543632684641E-02 0.322083499169113 0.336472236621213 0.262364264467491 0.336472236621213 3.00602907903136 0 2.33939906611676 1.41706601978664 2.60268968544438 3.37159691188586 4.10057511197274 0 4.48300255201388 4.10057511197274 0.14583044821154 0.169742774587095 0.16296882827814 0.159564569671338 0.130150684465045 0.262364264467491 0.482426149244293 0.262364264467491 0.482426149244293 4.21459861646992 0.154436353304419 3.25809653802148 2.60268968544438 2.60268968544438 2.87169849263054 4.21459861646992 0.605953968857568 2.87169849263054 0.22314355131421 0.22314355131421 0.22314355131421 0.22314355131421 0.485507815781701 0.22314355131421 0.405465108108164 0 0.22314355131421 0.559615787935423 0.559615787935423 1.25276296849537 0.847154993039293 0.405465108108164 0.559615787935423 0.405465108108164 0.459321780898875 2.87169849263054 4.21459861646992 2.87169849263054 3.55414734091289 0.75377180237638 2.88015305770183 1.99931549720055 4.43299300062615 0 0 0 0 0;</v>
      </c>
    </row>
    <row r="85" spans="1:86" x14ac:dyDescent="0.25">
      <c r="A85">
        <v>10</v>
      </c>
      <c r="B85">
        <v>0</v>
      </c>
      <c r="C85">
        <v>0</v>
      </c>
      <c r="D85">
        <v>0</v>
      </c>
      <c r="E85">
        <v>2.58021682959233</v>
      </c>
      <c r="F85">
        <v>2.1667653698515101</v>
      </c>
      <c r="G85">
        <v>2.6203112867942</v>
      </c>
      <c r="H85">
        <v>5.6094717951849598</v>
      </c>
      <c r="I85">
        <v>5.7268477475872004</v>
      </c>
      <c r="J85">
        <v>5.8111409929766999</v>
      </c>
      <c r="K85">
        <v>6.8156399900743301</v>
      </c>
      <c r="L85">
        <v>0</v>
      </c>
      <c r="M85">
        <v>1.4141526892482901</v>
      </c>
      <c r="N85">
        <v>1.31184017519494</v>
      </c>
      <c r="O85">
        <v>1.3545456628053101</v>
      </c>
      <c r="P85">
        <v>1.3609765531356</v>
      </c>
      <c r="Q85">
        <v>0.74146104083849596</v>
      </c>
      <c r="R85">
        <v>0.148420005118273</v>
      </c>
      <c r="S85">
        <v>0.109750863959119</v>
      </c>
      <c r="T85">
        <v>0.117783035656383</v>
      </c>
      <c r="U85">
        <v>0.123985979780991</v>
      </c>
      <c r="V85">
        <v>5.3540766928029802E-2</v>
      </c>
      <c r="W85">
        <v>0.21511137961694499</v>
      </c>
      <c r="X85">
        <v>0.17395330712343801</v>
      </c>
      <c r="Y85">
        <v>0.198850858745165</v>
      </c>
      <c r="Z85">
        <v>0.21511137961694499</v>
      </c>
      <c r="AA85">
        <v>3.1361896262492501</v>
      </c>
      <c r="AB85">
        <v>0</v>
      </c>
      <c r="AC85">
        <v>2.4941141305389101</v>
      </c>
      <c r="AD85">
        <v>2.4941141305389101</v>
      </c>
      <c r="AE85">
        <v>3.14510010520481</v>
      </c>
      <c r="AF85">
        <v>2.1290646921531602</v>
      </c>
      <c r="AG85">
        <v>4.2678776129829803</v>
      </c>
      <c r="AH85">
        <v>0</v>
      </c>
      <c r="AI85">
        <v>4.3666337700664002</v>
      </c>
      <c r="AJ85">
        <v>4.2678776129829803</v>
      </c>
      <c r="AK85">
        <v>0.16211884947643501</v>
      </c>
      <c r="AL85">
        <v>0.157003748809665</v>
      </c>
      <c r="AM85">
        <v>0.10526051065749301</v>
      </c>
      <c r="AN85">
        <v>0.17395330712343801</v>
      </c>
      <c r="AO85">
        <v>0.19474407679251199</v>
      </c>
      <c r="AP85">
        <v>0.32930374714260002</v>
      </c>
      <c r="AQ85">
        <v>0.32930374714260002</v>
      </c>
      <c r="AR85">
        <v>0.322083499169113</v>
      </c>
      <c r="AS85">
        <v>0.32930374714260002</v>
      </c>
      <c r="AT85">
        <v>3.9318256327243302</v>
      </c>
      <c r="AU85">
        <v>0.25619140536041002</v>
      </c>
      <c r="AV85">
        <v>3.6506582412937401</v>
      </c>
      <c r="AW85">
        <v>0</v>
      </c>
      <c r="AX85">
        <v>3.2580965380214799</v>
      </c>
      <c r="AY85">
        <v>3.0834225866809799</v>
      </c>
      <c r="AZ85">
        <v>3.9318256327243302</v>
      </c>
      <c r="BA85">
        <v>0.69314718055994495</v>
      </c>
      <c r="BB85">
        <v>2.2335565065836098</v>
      </c>
      <c r="BC85">
        <v>0.117783035656383</v>
      </c>
      <c r="BD85">
        <v>0</v>
      </c>
      <c r="BE85">
        <v>0.22314355131420999</v>
      </c>
      <c r="BF85">
        <v>0.117783035656383</v>
      </c>
      <c r="BG85">
        <v>0.65076146406350699</v>
      </c>
      <c r="BH85">
        <v>0.22314355131420999</v>
      </c>
      <c r="BI85">
        <v>0.22314355131420999</v>
      </c>
      <c r="BJ85">
        <v>0.55961578793542299</v>
      </c>
      <c r="BK85">
        <v>0.34854196070854299</v>
      </c>
      <c r="BL85">
        <v>0.69314718055994495</v>
      </c>
      <c r="BM85">
        <v>1.2527629684953701</v>
      </c>
      <c r="BN85">
        <v>1.1786549963416499</v>
      </c>
      <c r="BO85">
        <v>1.07055569088558</v>
      </c>
      <c r="BP85">
        <v>0</v>
      </c>
      <c r="BQ85">
        <v>0.405465108108164</v>
      </c>
      <c r="BR85">
        <v>0.55961578793542299</v>
      </c>
      <c r="BS85">
        <v>0.34854196070854299</v>
      </c>
      <c r="BT85">
        <v>4.0103649484268296</v>
      </c>
      <c r="BU85">
        <v>3.7534257877209898</v>
      </c>
      <c r="BV85">
        <v>1.64229224930505</v>
      </c>
      <c r="BW85">
        <v>3.0719059677768299</v>
      </c>
      <c r="BX85">
        <v>0.84715499303929298</v>
      </c>
      <c r="BY85">
        <v>1.42383096464862</v>
      </c>
      <c r="BZ85">
        <v>1.1477198627751399</v>
      </c>
      <c r="CA85">
        <v>4.5834050341998802</v>
      </c>
      <c r="CB85">
        <v>0</v>
      </c>
      <c r="CC85">
        <v>0</v>
      </c>
      <c r="CD85">
        <v>0</v>
      </c>
      <c r="CE85">
        <v>0</v>
      </c>
      <c r="CF85">
        <v>0</v>
      </c>
      <c r="CH85" t="str">
        <f t="shared" si="1"/>
        <v>/*10*/ 000  1 2.58021682959233 2.16676536985151 2.6203112867942 5.60947179518496 5.7268477475872 5.8111409929767 6.81563999007433 0 1.41415268924829 1.31184017519494 1.35454566280531 1.3609765531356 0.741461040838496 0.148420005118273 0.109750863959119 0.117783035656383 0.123985979780991 5.35407669280298E-02 0.215111379616945 0.173953307123438 0.198850858745165 0.215111379616945 3.13618962624925 0 2.49411413053891 2.49411413053891 3.14510010520481 2.12906469215316 4.26787761298298 0 4.3666337700664 4.26787761298298 0.162118849476435 0.157003748809665 0.105260510657493 0.173953307123438 0.194744076792512 0.3293037471426 0.3293037471426 0.322083499169113 0.3293037471426 3.93182563272433 0.25619140536041 3.65065824129374 0 3.25809653802148 3.08342258668098 3.93182563272433 0.693147180559945 2.23355650658361 0.117783035656383 0 0.22314355131421 0.117783035656383 0.650761464063507 0.22314355131421 0.22314355131421 0.559615787935423 0.348541960708543 0.693147180559945 1.25276296849537 1.17865499634165 1.07055569088558 0 0.405465108108164 0.559615787935423 0.348541960708543 4.01036494842683 3.75342578772099 1.64229224930505 3.07190596777683 0.847154993039293 1.42383096464862 1.14771986277514 4.58340503419988 0 0 0 0 0;</v>
      </c>
    </row>
    <row r="86" spans="1:86" x14ac:dyDescent="0.25">
      <c r="A86">
        <v>17</v>
      </c>
      <c r="B86">
        <v>0</v>
      </c>
      <c r="C86">
        <v>1</v>
      </c>
      <c r="D86">
        <v>1</v>
      </c>
      <c r="E86">
        <v>2.7013612129514102</v>
      </c>
      <c r="F86">
        <v>2.2321626286975</v>
      </c>
      <c r="G86">
        <v>2.5376572151735299</v>
      </c>
      <c r="H86">
        <v>6.7900972355139002</v>
      </c>
      <c r="I86">
        <v>6.6682282484173996</v>
      </c>
      <c r="J86">
        <v>6.70196036600254</v>
      </c>
      <c r="K86">
        <v>7.8192344538590701</v>
      </c>
      <c r="L86">
        <v>6.9526062648610304E-2</v>
      </c>
      <c r="M86">
        <v>1.83864305512691</v>
      </c>
      <c r="N86">
        <v>1.7771533168386899</v>
      </c>
      <c r="O86">
        <v>1.6486586255873801</v>
      </c>
      <c r="P86">
        <v>1.7578579175523701</v>
      </c>
      <c r="Q86">
        <v>1.04063000612976</v>
      </c>
      <c r="R86">
        <v>0.19309662996191301</v>
      </c>
      <c r="S86">
        <v>0.21511137961694499</v>
      </c>
      <c r="T86">
        <v>0.23031775506221</v>
      </c>
      <c r="U86">
        <v>0.212689093410351</v>
      </c>
      <c r="V86">
        <v>0.143234168085908</v>
      </c>
      <c r="W86">
        <v>0.46373401623214</v>
      </c>
      <c r="X86">
        <v>0.54232429082536204</v>
      </c>
      <c r="Y86">
        <v>0.45742484703887498</v>
      </c>
      <c r="Z86">
        <v>0.54232429082536204</v>
      </c>
      <c r="AA86">
        <v>3.0555565751996601</v>
      </c>
      <c r="AB86">
        <v>0</v>
      </c>
      <c r="AC86">
        <v>2.3536583631780501</v>
      </c>
      <c r="AD86">
        <v>2.0971586624849898</v>
      </c>
      <c r="AE86">
        <v>2.8716984926305398</v>
      </c>
      <c r="AF86">
        <v>0</v>
      </c>
      <c r="AG86">
        <v>4.4061337100171096</v>
      </c>
      <c r="AH86">
        <v>1.21817152372575</v>
      </c>
      <c r="AI86">
        <v>4.43477324748243</v>
      </c>
      <c r="AJ86">
        <v>4.4061337100171096</v>
      </c>
      <c r="AK86">
        <v>0.17395330712343801</v>
      </c>
      <c r="AL86">
        <v>0.12927233570413901</v>
      </c>
      <c r="AM86">
        <v>0.181487876045377</v>
      </c>
      <c r="AN86">
        <v>0.16211884947643501</v>
      </c>
      <c r="AO86">
        <v>0.141499562273699</v>
      </c>
      <c r="AP86">
        <v>0.45107561936021701</v>
      </c>
      <c r="AQ86">
        <v>0.33647223662121301</v>
      </c>
      <c r="AR86">
        <v>0.42526773540434398</v>
      </c>
      <c r="AS86">
        <v>0.45107561936021701</v>
      </c>
      <c r="AT86">
        <v>3.7534257877209898</v>
      </c>
      <c r="AU86">
        <v>0.188966099512623</v>
      </c>
      <c r="AV86">
        <v>3.6506582412937401</v>
      </c>
      <c r="AW86">
        <v>3.6506582412937401</v>
      </c>
      <c r="AX86">
        <v>3.6506582412937401</v>
      </c>
      <c r="AY86">
        <v>3.6506582412937401</v>
      </c>
      <c r="AZ86">
        <v>3.7534257877209898</v>
      </c>
      <c r="BA86">
        <v>0.69314718055994495</v>
      </c>
      <c r="BB86">
        <v>3.2580965380214799</v>
      </c>
      <c r="BC86">
        <v>0.48550781578170099</v>
      </c>
      <c r="BD86">
        <v>0.48550781578170099</v>
      </c>
      <c r="BE86">
        <v>0.55961578793542299</v>
      </c>
      <c r="BF86">
        <v>0.51102560376865702</v>
      </c>
      <c r="BG86">
        <v>0.71392971974247399</v>
      </c>
      <c r="BH86">
        <v>0.405465108108164</v>
      </c>
      <c r="BI86">
        <v>0.22314355131420999</v>
      </c>
      <c r="BJ86">
        <v>0.55961578793542299</v>
      </c>
      <c r="BK86">
        <v>0.405465108108164</v>
      </c>
      <c r="BL86">
        <v>0.55961578793542299</v>
      </c>
      <c r="BM86">
        <v>1.09861228866811</v>
      </c>
      <c r="BN86">
        <v>0.69314718055994495</v>
      </c>
      <c r="BO86">
        <v>0.81093021621632899</v>
      </c>
      <c r="BP86">
        <v>0.69314718055994495</v>
      </c>
      <c r="BQ86">
        <v>0.81093021621632899</v>
      </c>
      <c r="BR86">
        <v>1.09861228866811</v>
      </c>
      <c r="BS86">
        <v>0.88252710172134596</v>
      </c>
      <c r="BT86">
        <v>3.2580965380214799</v>
      </c>
      <c r="BU86">
        <v>4.0831656436306698</v>
      </c>
      <c r="BV86">
        <v>2.8716984926305398</v>
      </c>
      <c r="BW86">
        <v>3.4990195552816798</v>
      </c>
      <c r="BX86">
        <v>0.34854196070854299</v>
      </c>
      <c r="BY86">
        <v>2.99167405009314</v>
      </c>
      <c r="BZ86">
        <v>1.9787921335299099</v>
      </c>
      <c r="CA86">
        <v>4.4077065645841103</v>
      </c>
      <c r="CB86">
        <v>0</v>
      </c>
      <c r="CC86">
        <v>0</v>
      </c>
      <c r="CD86">
        <v>0</v>
      </c>
      <c r="CE86">
        <v>0</v>
      </c>
      <c r="CF86">
        <v>0</v>
      </c>
      <c r="CH86" t="str">
        <f t="shared" si="1"/>
        <v>/*17*/ 011  1 2.70136121295141 2.2321626286975 2.53765721517353 6.7900972355139 6.6682282484174 6.70196036600254 7.81923445385907 6.95260626486103E-02 1.83864305512691 1.77715331683869 1.64865862558738 1.75785791755237 1.04063000612976 0.193096629961913 0.215111379616945 0.23031775506221 0.212689093410351 0.143234168085908 0.46373401623214 0.542324290825362 0.457424847038875 0.542324290825362 3.05555657519966 0 2.35365836317805 2.09715866248499 2.87169849263054 0 4.40613371001711 1.21817152372575 4.43477324748243 4.40613371001711 0.173953307123438 0.129272335704139 0.181487876045377 0.162118849476435 0.141499562273699 0.451075619360217 0.336472236621213 0.425267735404344 0.451075619360217 3.75342578772099 0.188966099512623 3.65065824129374 3.65065824129374 3.65065824129374 3.65065824129374 3.75342578772099 0.693147180559945 3.25809653802148 0.485507815781701 0.485507815781701 0.559615787935423 0.511025603768657 0.713929719742474 0.405465108108164 0.22314355131421 0.559615787935423 0.405465108108164 0.559615787935423 1.09861228866811 0.693147180559945 0.810930216216329 0.693147180559945 0.810930216216329 1.09861228866811 0.882527101721346 3.25809653802148 4.08316564363067 2.87169849263054 3.49901955528168 0.348541960708543 2.99167405009314 1.97879213352991 4.40770656458411 0 0 0 0 0;</v>
      </c>
    </row>
    <row r="87" spans="1:86" x14ac:dyDescent="0.25">
      <c r="A87" t="s">
        <v>11</v>
      </c>
      <c r="B87">
        <v>0</v>
      </c>
      <c r="C87">
        <v>0</v>
      </c>
      <c r="D87">
        <v>0</v>
      </c>
      <c r="E87">
        <v>2.8332133440562202</v>
      </c>
      <c r="F87">
        <v>2.2049722641270502</v>
      </c>
      <c r="G87">
        <v>2.4989739069994399</v>
      </c>
      <c r="H87">
        <v>5.6489742381612098</v>
      </c>
      <c r="I87">
        <v>5.8692969131337698</v>
      </c>
      <c r="J87">
        <v>5.9532433342877802</v>
      </c>
      <c r="K87">
        <v>6.9285378181646697</v>
      </c>
      <c r="L87">
        <v>0</v>
      </c>
      <c r="M87">
        <v>0.98394938034796997</v>
      </c>
      <c r="N87">
        <v>0.98394938034796997</v>
      </c>
      <c r="O87">
        <v>1.21639532432449</v>
      </c>
      <c r="P87">
        <v>1.0674655596712701</v>
      </c>
      <c r="Q87">
        <v>0.42330502623649502</v>
      </c>
      <c r="R87">
        <v>0.20701416938432601</v>
      </c>
      <c r="S87">
        <v>0.195566783543975</v>
      </c>
      <c r="T87">
        <v>0.23348984336835399</v>
      </c>
      <c r="U87">
        <v>0.21430460264700499</v>
      </c>
      <c r="V87">
        <v>7.6034686275997604E-2</v>
      </c>
      <c r="W87">
        <v>0.262364264467491</v>
      </c>
      <c r="X87">
        <v>0.262364264467491</v>
      </c>
      <c r="Y87">
        <v>0.322083499169113</v>
      </c>
      <c r="Z87">
        <v>0.322083499169113</v>
      </c>
      <c r="AA87">
        <v>2.19399715257715</v>
      </c>
      <c r="AB87">
        <v>1.3714344982128699</v>
      </c>
      <c r="AC87">
        <v>3.9318256327243302</v>
      </c>
      <c r="AD87">
        <v>2.2848283714047901</v>
      </c>
      <c r="AE87">
        <v>4.1393975932701697</v>
      </c>
      <c r="AF87">
        <v>2.7540428049526802</v>
      </c>
      <c r="AG87">
        <v>3.1998560910309499</v>
      </c>
      <c r="AH87">
        <v>0</v>
      </c>
      <c r="AI87">
        <v>3.6695692055794402</v>
      </c>
      <c r="AJ87">
        <v>3.9318256327243302</v>
      </c>
      <c r="AK87">
        <v>6.5787740538003195E-2</v>
      </c>
      <c r="AL87">
        <v>0.14236724128692199</v>
      </c>
      <c r="AM87">
        <v>4.4016885416774301E-2</v>
      </c>
      <c r="AN87">
        <v>8.25012215117438E-2</v>
      </c>
      <c r="AO87">
        <v>0.107059072293408</v>
      </c>
      <c r="AP87">
        <v>0.16551443847757299</v>
      </c>
      <c r="AQ87">
        <v>0.45742484703887498</v>
      </c>
      <c r="AR87">
        <v>0.157003748809665</v>
      </c>
      <c r="AS87">
        <v>0.45742484703887498</v>
      </c>
      <c r="AT87">
        <v>2.2335565065836098</v>
      </c>
      <c r="AU87">
        <v>0.34854196070854299</v>
      </c>
      <c r="AV87">
        <v>3.6506582412937401</v>
      </c>
      <c r="AW87">
        <v>3.6506582412937401</v>
      </c>
      <c r="AX87">
        <v>4.3307333402863302</v>
      </c>
      <c r="AY87">
        <v>3.9318256327243302</v>
      </c>
      <c r="AZ87">
        <v>3.7534257877209898</v>
      </c>
      <c r="BA87">
        <v>0.15443635330441899</v>
      </c>
      <c r="BB87">
        <v>2.2335565065836098</v>
      </c>
      <c r="BC87">
        <v>0.117783035656383</v>
      </c>
      <c r="BD87">
        <v>0.117783035656383</v>
      </c>
      <c r="BE87">
        <v>0</v>
      </c>
      <c r="BF87">
        <v>7.9734968018853505E-2</v>
      </c>
      <c r="BG87">
        <v>7.9734968018853505E-2</v>
      </c>
      <c r="BH87">
        <v>0.81093021621632899</v>
      </c>
      <c r="BI87">
        <v>1.2527629684953701</v>
      </c>
      <c r="BJ87">
        <v>1.0116009116784801</v>
      </c>
      <c r="BK87">
        <v>1.0413362208483801</v>
      </c>
      <c r="BL87">
        <v>0</v>
      </c>
      <c r="BM87">
        <v>0</v>
      </c>
      <c r="BN87">
        <v>0</v>
      </c>
      <c r="BO87">
        <v>0</v>
      </c>
      <c r="BP87">
        <v>1.0116009116784801</v>
      </c>
      <c r="BQ87">
        <v>1.1786549963416499</v>
      </c>
      <c r="BR87">
        <v>1.2527629684953701</v>
      </c>
      <c r="BS87">
        <v>1.1527847675564999</v>
      </c>
      <c r="BT87">
        <v>0</v>
      </c>
      <c r="BU87">
        <v>4.2145986164699201</v>
      </c>
      <c r="BV87">
        <v>3.5361069907765299</v>
      </c>
      <c r="BW87">
        <v>3.8729286842870598</v>
      </c>
      <c r="BX87">
        <v>0.34854196070854299</v>
      </c>
      <c r="BY87">
        <v>3.7998392644221899</v>
      </c>
      <c r="BZ87">
        <v>2.4242716112506399</v>
      </c>
      <c r="CA87">
        <v>4.0484053302806604</v>
      </c>
      <c r="CB87">
        <v>0</v>
      </c>
      <c r="CC87">
        <v>0</v>
      </c>
      <c r="CD87">
        <v>0</v>
      </c>
      <c r="CE87">
        <v>0</v>
      </c>
      <c r="CF87">
        <v>0</v>
      </c>
      <c r="CH87" t="str">
        <f t="shared" si="1"/>
        <v>/*28b*/ 000  1 2.83321334405622 2.20497226412705 2.49897390699944 5.64897423816121 5.86929691313377 5.95324333428778 6.92853781816467 0 0.98394938034797 0.98394938034797 1.21639532432449 1.06746555967127 0.423305026236495 0.207014169384326 0.195566783543975 0.233489843368354 0.214304602647005 7.60346862759976E-02 0.262364264467491 0.262364264467491 0.322083499169113 0.322083499169113 2.19399715257715 1.37143449821287 3.93182563272433 2.28482837140479 4.13939759327017 2.75404280495268 3.19985609103095 0 3.66956920557944 3.93182563272433 6.57877405380032E-02 0.142367241286922 4.40168854167743E-02 8.25012215117438E-02 0.107059072293408 0.165514438477573 0.457424847038875 0.157003748809665 0.457424847038875 2.23355650658361 0.348541960708543 3.65065824129374 3.65065824129374 4.33073334028633 3.93182563272433 3.75342578772099 0.154436353304419 2.23355650658361 0.117783035656383 0.117783035656383 0 7.97349680188535E-02 7.97349680188535E-02 0.810930216216329 1.25276296849537 1.01160091167848 1.04133622084838 0 0 0 0 1.01160091167848 1.17865499634165 1.25276296849537 1.1527847675565 0 4.21459861646992 3.53610699077653 3.87292868428706 0.348541960708543 3.79983926442219 2.42427161125064 4.04840533028066 0 0 0 0 0;</v>
      </c>
    </row>
    <row r="88" spans="1:86" x14ac:dyDescent="0.25">
      <c r="A88">
        <v>24</v>
      </c>
      <c r="B88">
        <v>1</v>
      </c>
      <c r="C88">
        <v>1</v>
      </c>
      <c r="D88">
        <v>1</v>
      </c>
      <c r="E88">
        <v>2.7663191092261901</v>
      </c>
      <c r="F88">
        <v>2.1621729392772999</v>
      </c>
      <c r="G88">
        <v>2.4185887687503498</v>
      </c>
      <c r="H88">
        <v>6.7673431252653904</v>
      </c>
      <c r="I88">
        <v>6.2557500417533696</v>
      </c>
      <c r="J88">
        <v>6.1923624894748697</v>
      </c>
      <c r="K88">
        <v>7.5374300365865103</v>
      </c>
      <c r="L88">
        <v>0.63974640383282999</v>
      </c>
      <c r="M88">
        <v>1.4558204237685</v>
      </c>
      <c r="N88">
        <v>1.5475625087160101</v>
      </c>
      <c r="O88">
        <v>1.4929040961781499</v>
      </c>
      <c r="P88">
        <v>1.49939980722516</v>
      </c>
      <c r="Q88">
        <v>0.63816287222718604</v>
      </c>
      <c r="R88">
        <v>0.24686007793152601</v>
      </c>
      <c r="S88">
        <v>0.14063112973974601</v>
      </c>
      <c r="T88">
        <v>0.25773819607870901</v>
      </c>
      <c r="U88">
        <v>0.21913552991667101</v>
      </c>
      <c r="V88">
        <v>0.13889199886661899</v>
      </c>
      <c r="W88">
        <v>0.47000362924573602</v>
      </c>
      <c r="X88">
        <v>0.33647223662121301</v>
      </c>
      <c r="Y88">
        <v>0.431782416425538</v>
      </c>
      <c r="Z88">
        <v>0.47000362924573602</v>
      </c>
      <c r="AA88">
        <v>2.7222160565751099</v>
      </c>
      <c r="AB88">
        <v>1.2527629684953701</v>
      </c>
      <c r="AC88">
        <v>1.7917594692280501</v>
      </c>
      <c r="AD88">
        <v>0</v>
      </c>
      <c r="AE88">
        <v>2.1400661634962699</v>
      </c>
      <c r="AF88">
        <v>1.7917594692280501</v>
      </c>
      <c r="AG88">
        <v>4.45434729625351</v>
      </c>
      <c r="AH88">
        <v>1.2527629684953701</v>
      </c>
      <c r="AI88">
        <v>4.5379614362946397</v>
      </c>
      <c r="AJ88">
        <v>4.45434729625351</v>
      </c>
      <c r="AK88">
        <v>0.109750863959119</v>
      </c>
      <c r="AL88">
        <v>0.181487876045377</v>
      </c>
      <c r="AM88">
        <v>0.11511280710050401</v>
      </c>
      <c r="AN88">
        <v>0.136277618292548</v>
      </c>
      <c r="AO88">
        <v>0.136277618292548</v>
      </c>
      <c r="AP88">
        <v>0.27002713721305999</v>
      </c>
      <c r="AQ88">
        <v>0.36464311358790902</v>
      </c>
      <c r="AR88">
        <v>0.52472852893498201</v>
      </c>
      <c r="AS88">
        <v>0.52472852893498201</v>
      </c>
      <c r="AT88">
        <v>3.4067486117004799</v>
      </c>
      <c r="AU88">
        <v>0.28743204119657201</v>
      </c>
      <c r="AV88">
        <v>3.9318256327243302</v>
      </c>
      <c r="AW88">
        <v>0</v>
      </c>
      <c r="AX88">
        <v>4.1510399058986502</v>
      </c>
      <c r="AY88">
        <v>3.6506582412937401</v>
      </c>
      <c r="AZ88">
        <v>3.5361069907765299</v>
      </c>
      <c r="BA88">
        <v>0.81093021621632899</v>
      </c>
      <c r="BB88">
        <v>3.7534257877209898</v>
      </c>
      <c r="BC88">
        <v>0.117783035656383</v>
      </c>
      <c r="BD88">
        <v>0</v>
      </c>
      <c r="BE88">
        <v>0.31845373111853498</v>
      </c>
      <c r="BF88">
        <v>0.15443635330441899</v>
      </c>
      <c r="BG88">
        <v>0.671923544108319</v>
      </c>
      <c r="BH88">
        <v>0.81093021621632899</v>
      </c>
      <c r="BI88">
        <v>0.405465108108164</v>
      </c>
      <c r="BJ88">
        <v>0.916290731874155</v>
      </c>
      <c r="BK88">
        <v>0.73380916227883497</v>
      </c>
      <c r="BL88">
        <v>0.405465108108164</v>
      </c>
      <c r="BM88">
        <v>0.69314718055994495</v>
      </c>
      <c r="BN88">
        <v>0</v>
      </c>
      <c r="BO88">
        <v>0.405465108108164</v>
      </c>
      <c r="BP88">
        <v>1.0116009116784801</v>
      </c>
      <c r="BQ88">
        <v>0.22314355131420999</v>
      </c>
      <c r="BR88">
        <v>1.3217558399823199</v>
      </c>
      <c r="BS88">
        <v>0.94895151411370304</v>
      </c>
      <c r="BT88">
        <v>2.2335565065836098</v>
      </c>
      <c r="BU88">
        <v>4.1510399058986502</v>
      </c>
      <c r="BV88">
        <v>3.4067486117004799</v>
      </c>
      <c r="BW88">
        <v>3.6560462970187002</v>
      </c>
      <c r="BX88">
        <v>0.60595396885756803</v>
      </c>
      <c r="BY88">
        <v>2.1841393377875602</v>
      </c>
      <c r="BZ88">
        <v>2.1993334631835699</v>
      </c>
      <c r="CA88">
        <v>4.5338567669693202</v>
      </c>
      <c r="CB88">
        <v>0</v>
      </c>
      <c r="CC88">
        <v>0</v>
      </c>
      <c r="CD88">
        <v>0</v>
      </c>
      <c r="CE88">
        <v>0</v>
      </c>
      <c r="CF88">
        <v>0</v>
      </c>
      <c r="CH88" t="str">
        <f t="shared" si="1"/>
        <v>/*24*/ 111  1 2.76631910922619 2.1621729392773 2.41858876875035 6.76734312526539 6.25575004175337 6.19236248947487 7.53743003658651 0.63974640383283 1.4558204237685 1.54756250871601 1.49290409617815 1.49939980722516 0.638162872227186 0.246860077931526 0.140631129739746 0.257738196078709 0.219135529916671 0.138891998866619 0.470003629245736 0.336472236621213 0.431782416425538 0.470003629245736 2.72221605657511 1.25276296849537 1.79175946922805 0 2.14006616349627 1.79175946922805 4.45434729625351 1.25276296849537 4.53796143629464 4.45434729625351 0.109750863959119 0.181487876045377 0.115112807100504 0.136277618292548 0.136277618292548 0.27002713721306 0.364643113587909 0.524728528934982 0.524728528934982 3.40674861170048 0.287432041196572 3.93182563272433 0 4.15103990589865 3.65065824129374 3.53610699077653 0.810930216216329 3.75342578772099 0.117783035656383 0 0.318453731118535 0.154436353304419 0.671923544108319 0.810930216216329 0.405465108108164 0.916290731874155 0.733809162278835 0.405465108108164 0.693147180559945 0 0.405465108108164 1.01160091167848 0.22314355131421 1.32175583998232 0.948951514113703 2.23355650658361 4.15103990589865 3.40674861170048 3.6560462970187 0.605953968857568 2.18413933778756 2.19933346318357 4.53385676696932 0 0 0 0 0;</v>
      </c>
    </row>
    <row r="89" spans="1:86" x14ac:dyDescent="0.25">
      <c r="A89">
        <v>61</v>
      </c>
      <c r="B89">
        <v>0</v>
      </c>
      <c r="C89">
        <v>1</v>
      </c>
      <c r="D89">
        <v>0</v>
      </c>
      <c r="E89">
        <v>3.14415227867226</v>
      </c>
      <c r="F89">
        <v>2.2617630984737902</v>
      </c>
      <c r="G89">
        <v>2.6108048166633702</v>
      </c>
      <c r="H89">
        <v>7.53689712956617</v>
      </c>
      <c r="I89">
        <v>7.2841348061952003</v>
      </c>
      <c r="J89">
        <v>7.3479438231486904</v>
      </c>
      <c r="K89">
        <v>8.4937198352305892</v>
      </c>
      <c r="L89">
        <v>1.19285708652738E-2</v>
      </c>
      <c r="M89">
        <v>1.43817498299688</v>
      </c>
      <c r="N89">
        <v>1.7875840978175701</v>
      </c>
      <c r="O89">
        <v>2.2746998895045101</v>
      </c>
      <c r="P89">
        <v>1.8928107132977801</v>
      </c>
      <c r="Q89">
        <v>1.39599713658128</v>
      </c>
      <c r="R89">
        <v>0.29117596170603699</v>
      </c>
      <c r="S89">
        <v>0.210260925483196</v>
      </c>
      <c r="T89">
        <v>0.27838902554018802</v>
      </c>
      <c r="U89">
        <v>0.25928259793008301</v>
      </c>
      <c r="V89">
        <v>0.17142911562753099</v>
      </c>
      <c r="W89">
        <v>0.494696241836107</v>
      </c>
      <c r="X89">
        <v>0.41871033485818498</v>
      </c>
      <c r="Y89">
        <v>0.73236789371322697</v>
      </c>
      <c r="Z89">
        <v>0.73236789371322697</v>
      </c>
      <c r="AA89">
        <v>2.9970314292856099</v>
      </c>
      <c r="AB89">
        <v>1.1549926221042199</v>
      </c>
      <c r="AC89">
        <v>2.2717134293269599</v>
      </c>
      <c r="AD89">
        <v>2.2717134293269599</v>
      </c>
      <c r="AE89">
        <v>3.0235906016823901</v>
      </c>
      <c r="AF89">
        <v>0</v>
      </c>
      <c r="AG89">
        <v>4.3163274402155603</v>
      </c>
      <c r="AH89">
        <v>2.0178320600481401</v>
      </c>
      <c r="AI89">
        <v>4.3998051560255202</v>
      </c>
      <c r="AJ89">
        <v>4.3163274402155603</v>
      </c>
      <c r="AK89">
        <v>0.144965770250186</v>
      </c>
      <c r="AL89">
        <v>0.25153662581542802</v>
      </c>
      <c r="AM89">
        <v>0.116893751471499</v>
      </c>
      <c r="AN89">
        <v>0.16636153721522501</v>
      </c>
      <c r="AO89">
        <v>0.173112617708645</v>
      </c>
      <c r="AP89">
        <v>0.52472852893498201</v>
      </c>
      <c r="AQ89">
        <v>0.57661336430399401</v>
      </c>
      <c r="AR89">
        <v>0.34358970439007702</v>
      </c>
      <c r="AS89">
        <v>0.57661336430399401</v>
      </c>
      <c r="AT89">
        <v>3.2580965380214799</v>
      </c>
      <c r="AU89">
        <v>0.34854196070854299</v>
      </c>
      <c r="AV89">
        <v>3.2580965380214799</v>
      </c>
      <c r="AW89">
        <v>2.6026896854443802</v>
      </c>
      <c r="AX89">
        <v>4.1510399058986502</v>
      </c>
      <c r="AY89">
        <v>3.5361069907765299</v>
      </c>
      <c r="AZ89">
        <v>3.7534257877209898</v>
      </c>
      <c r="BA89">
        <v>1.2038727993256</v>
      </c>
      <c r="BB89">
        <v>4.2145986164699201</v>
      </c>
      <c r="BC89">
        <v>0.117783035656383</v>
      </c>
      <c r="BD89">
        <v>0.22314355131420999</v>
      </c>
      <c r="BE89">
        <v>0</v>
      </c>
      <c r="BF89">
        <v>0.117783035656383</v>
      </c>
      <c r="BG89">
        <v>0.48550781578170099</v>
      </c>
      <c r="BH89">
        <v>0.55961578793542299</v>
      </c>
      <c r="BI89">
        <v>0.22314355131420999</v>
      </c>
      <c r="BJ89">
        <v>0</v>
      </c>
      <c r="BK89">
        <v>0.28743204119657201</v>
      </c>
      <c r="BL89">
        <v>0.69314718055994495</v>
      </c>
      <c r="BM89">
        <v>1.3862943611198899</v>
      </c>
      <c r="BN89">
        <v>0.916290731874155</v>
      </c>
      <c r="BO89">
        <v>1.0413362208483801</v>
      </c>
      <c r="BP89">
        <v>0.81093021621632899</v>
      </c>
      <c r="BQ89">
        <v>0.405465108108164</v>
      </c>
      <c r="BR89">
        <v>0.55961578793542299</v>
      </c>
      <c r="BS89">
        <v>0.60595396885756803</v>
      </c>
      <c r="BT89">
        <v>3.5361069907765299</v>
      </c>
      <c r="BU89">
        <v>4.0831656436306698</v>
      </c>
      <c r="BV89">
        <v>2.2335565065836098</v>
      </c>
      <c r="BW89">
        <v>3.4067486117004799</v>
      </c>
      <c r="BX89">
        <v>0.48550781578170099</v>
      </c>
      <c r="BY89">
        <v>3.5295319608798001</v>
      </c>
      <c r="BZ89">
        <v>2.7865532625901501</v>
      </c>
      <c r="CA89">
        <v>4.21791820729928</v>
      </c>
      <c r="CB89">
        <v>0</v>
      </c>
      <c r="CC89">
        <v>0</v>
      </c>
      <c r="CD89">
        <v>0</v>
      </c>
      <c r="CE89">
        <v>0</v>
      </c>
      <c r="CF89">
        <v>0</v>
      </c>
      <c r="CH89" t="str">
        <f t="shared" si="1"/>
        <v>/*61*/ 010  1 3.14415227867226 2.26176309847379 2.61080481666337 7.53689712956617 7.2841348061952 7.34794382314869 8.49371983523059 1.19285708652738E-02 1.43817498299688 1.78758409781757 2.27469988950451 1.89281071329778 1.39599713658128 0.291175961706037 0.210260925483196 0.278389025540188 0.259282597930083 0.171429115627531 0.494696241836107 0.418710334858185 0.732367893713227 0.732367893713227 2.99703142928561 1.15499262210422 2.27171342932696 2.27171342932696 3.02359060168239 0 4.31632744021556 2.01783206004814 4.39980515602552 4.31632744021556 0.144965770250186 0.251536625815428 0.116893751471499 0.166361537215225 0.173112617708645 0.524728528934982 0.576613364303994 0.343589704390077 0.576613364303994 3.25809653802148 0.348541960708543 3.25809653802148 2.60268968544438 4.15103990589865 3.53610699077653 3.75342578772099 1.2038727993256 4.21459861646992 0.117783035656383 0.22314355131421 0 0.117783035656383 0.485507815781701 0.559615787935423 0.22314355131421 0 0.287432041196572 0.693147180559945 1.38629436111989 0.916290731874155 1.04133622084838 0.810930216216329 0.405465108108164 0.559615787935423 0.605953968857568 3.53610699077653 4.08316564363067 2.23355650658361 3.40674861170048 0.485507815781701 3.5295319608798 2.78655326259015 4.21791820729928 0 0 0 0 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88"/>
  <sheetViews>
    <sheetView workbookViewId="0">
      <selection sqref="A1:A88"/>
    </sheetView>
  </sheetViews>
  <sheetFormatPr defaultRowHeight="15" x14ac:dyDescent="0.25"/>
  <sheetData>
    <row r="1" spans="1:1" x14ac:dyDescent="0.25">
      <c r="A1" t="s">
        <v>585</v>
      </c>
    </row>
    <row r="2" spans="1:1" x14ac:dyDescent="0.25">
      <c r="A2" t="s">
        <v>538</v>
      </c>
    </row>
    <row r="3" spans="1:1" x14ac:dyDescent="0.25">
      <c r="A3" t="s">
        <v>586</v>
      </c>
    </row>
    <row r="4" spans="1:1" x14ac:dyDescent="0.25">
      <c r="A4" t="s">
        <v>539</v>
      </c>
    </row>
    <row r="5" spans="1:1" x14ac:dyDescent="0.25">
      <c r="A5" t="s">
        <v>587</v>
      </c>
    </row>
    <row r="6" spans="1:1" x14ac:dyDescent="0.25">
      <c r="A6" t="s">
        <v>540</v>
      </c>
    </row>
    <row r="7" spans="1:1" x14ac:dyDescent="0.25">
      <c r="A7" t="s">
        <v>588</v>
      </c>
    </row>
    <row r="8" spans="1:1" x14ac:dyDescent="0.25">
      <c r="A8" t="s">
        <v>541</v>
      </c>
    </row>
    <row r="9" spans="1:1" x14ac:dyDescent="0.25">
      <c r="A9" t="s">
        <v>589</v>
      </c>
    </row>
    <row r="10" spans="1:1" x14ac:dyDescent="0.25">
      <c r="A10" t="s">
        <v>590</v>
      </c>
    </row>
    <row r="11" spans="1:1" x14ac:dyDescent="0.25">
      <c r="A11" t="s">
        <v>591</v>
      </c>
    </row>
    <row r="12" spans="1:1" x14ac:dyDescent="0.25">
      <c r="A12" t="s">
        <v>542</v>
      </c>
    </row>
    <row r="13" spans="1:1" x14ac:dyDescent="0.25">
      <c r="A13" t="s">
        <v>543</v>
      </c>
    </row>
    <row r="14" spans="1:1" x14ac:dyDescent="0.25">
      <c r="A14" t="s">
        <v>544</v>
      </c>
    </row>
    <row r="15" spans="1:1" x14ac:dyDescent="0.25">
      <c r="A15" t="s">
        <v>592</v>
      </c>
    </row>
    <row r="16" spans="1:1" x14ac:dyDescent="0.25">
      <c r="A16" t="s">
        <v>593</v>
      </c>
    </row>
    <row r="17" spans="1:1" x14ac:dyDescent="0.25">
      <c r="A17" t="s">
        <v>545</v>
      </c>
    </row>
    <row r="18" spans="1:1" x14ac:dyDescent="0.25">
      <c r="A18" t="s">
        <v>594</v>
      </c>
    </row>
    <row r="19" spans="1:1" x14ac:dyDescent="0.25">
      <c r="A19" t="s">
        <v>546</v>
      </c>
    </row>
    <row r="20" spans="1:1" x14ac:dyDescent="0.25">
      <c r="A20" t="s">
        <v>547</v>
      </c>
    </row>
    <row r="21" spans="1:1" x14ac:dyDescent="0.25">
      <c r="A21" t="s">
        <v>548</v>
      </c>
    </row>
    <row r="22" spans="1:1" x14ac:dyDescent="0.25">
      <c r="A22" t="s">
        <v>595</v>
      </c>
    </row>
    <row r="23" spans="1:1" x14ac:dyDescent="0.25">
      <c r="A23" t="s">
        <v>549</v>
      </c>
    </row>
    <row r="24" spans="1:1" x14ac:dyDescent="0.25">
      <c r="A24" t="s">
        <v>550</v>
      </c>
    </row>
    <row r="25" spans="1:1" x14ac:dyDescent="0.25">
      <c r="A25" t="s">
        <v>596</v>
      </c>
    </row>
    <row r="26" spans="1:1" x14ac:dyDescent="0.25">
      <c r="A26" t="s">
        <v>597</v>
      </c>
    </row>
    <row r="27" spans="1:1" x14ac:dyDescent="0.25">
      <c r="A27" t="s">
        <v>598</v>
      </c>
    </row>
    <row r="28" spans="1:1" x14ac:dyDescent="0.25">
      <c r="A28" t="s">
        <v>551</v>
      </c>
    </row>
    <row r="29" spans="1:1" x14ac:dyDescent="0.25">
      <c r="A29" t="s">
        <v>552</v>
      </c>
    </row>
    <row r="30" spans="1:1" x14ac:dyDescent="0.25">
      <c r="A30" t="s">
        <v>599</v>
      </c>
    </row>
    <row r="31" spans="1:1" x14ac:dyDescent="0.25">
      <c r="A31" t="s">
        <v>553</v>
      </c>
    </row>
    <row r="32" spans="1:1" x14ac:dyDescent="0.25">
      <c r="A32" t="s">
        <v>554</v>
      </c>
    </row>
    <row r="33" spans="1:1" x14ac:dyDescent="0.25">
      <c r="A33" t="s">
        <v>600</v>
      </c>
    </row>
    <row r="34" spans="1:1" x14ac:dyDescent="0.25">
      <c r="A34" t="s">
        <v>555</v>
      </c>
    </row>
    <row r="35" spans="1:1" x14ac:dyDescent="0.25">
      <c r="A35" t="s">
        <v>601</v>
      </c>
    </row>
    <row r="36" spans="1:1" x14ac:dyDescent="0.25">
      <c r="A36" t="s">
        <v>556</v>
      </c>
    </row>
    <row r="37" spans="1:1" x14ac:dyDescent="0.25">
      <c r="A37" t="s">
        <v>557</v>
      </c>
    </row>
    <row r="38" spans="1:1" x14ac:dyDescent="0.25">
      <c r="A38" t="s">
        <v>558</v>
      </c>
    </row>
    <row r="39" spans="1:1" x14ac:dyDescent="0.25">
      <c r="A39" t="s">
        <v>559</v>
      </c>
    </row>
    <row r="40" spans="1:1" x14ac:dyDescent="0.25">
      <c r="A40" t="s">
        <v>602</v>
      </c>
    </row>
    <row r="41" spans="1:1" x14ac:dyDescent="0.25">
      <c r="A41" t="s">
        <v>603</v>
      </c>
    </row>
    <row r="42" spans="1:1" x14ac:dyDescent="0.25">
      <c r="A42" t="s">
        <v>560</v>
      </c>
    </row>
    <row r="43" spans="1:1" x14ac:dyDescent="0.25">
      <c r="A43" t="s">
        <v>604</v>
      </c>
    </row>
    <row r="44" spans="1:1" x14ac:dyDescent="0.25">
      <c r="A44" t="s">
        <v>561</v>
      </c>
    </row>
    <row r="45" spans="1:1" x14ac:dyDescent="0.25">
      <c r="A45" t="s">
        <v>562</v>
      </c>
    </row>
    <row r="46" spans="1:1" x14ac:dyDescent="0.25">
      <c r="A46" t="s">
        <v>605</v>
      </c>
    </row>
    <row r="47" spans="1:1" x14ac:dyDescent="0.25">
      <c r="A47" t="s">
        <v>606</v>
      </c>
    </row>
    <row r="48" spans="1:1" x14ac:dyDescent="0.25">
      <c r="A48" t="s">
        <v>607</v>
      </c>
    </row>
    <row r="49" spans="1:1" x14ac:dyDescent="0.25">
      <c r="A49" t="s">
        <v>608</v>
      </c>
    </row>
    <row r="50" spans="1:1" x14ac:dyDescent="0.25">
      <c r="A50" t="s">
        <v>609</v>
      </c>
    </row>
    <row r="51" spans="1:1" x14ac:dyDescent="0.25">
      <c r="A51" t="s">
        <v>610</v>
      </c>
    </row>
    <row r="52" spans="1:1" x14ac:dyDescent="0.25">
      <c r="A52" t="s">
        <v>611</v>
      </c>
    </row>
    <row r="53" spans="1:1" x14ac:dyDescent="0.25">
      <c r="A53" t="s">
        <v>612</v>
      </c>
    </row>
    <row r="54" spans="1:1" x14ac:dyDescent="0.25">
      <c r="A54" t="s">
        <v>563</v>
      </c>
    </row>
    <row r="55" spans="1:1" x14ac:dyDescent="0.25">
      <c r="A55" t="s">
        <v>564</v>
      </c>
    </row>
    <row r="56" spans="1:1" x14ac:dyDescent="0.25">
      <c r="A56" t="s">
        <v>565</v>
      </c>
    </row>
    <row r="57" spans="1:1" x14ac:dyDescent="0.25">
      <c r="A57" t="s">
        <v>613</v>
      </c>
    </row>
    <row r="58" spans="1:1" x14ac:dyDescent="0.25">
      <c r="A58" t="s">
        <v>566</v>
      </c>
    </row>
    <row r="59" spans="1:1" x14ac:dyDescent="0.25">
      <c r="A59" t="s">
        <v>614</v>
      </c>
    </row>
    <row r="60" spans="1:1" x14ac:dyDescent="0.25">
      <c r="A60" t="s">
        <v>615</v>
      </c>
    </row>
    <row r="61" spans="1:1" x14ac:dyDescent="0.25">
      <c r="A61" t="s">
        <v>567</v>
      </c>
    </row>
    <row r="62" spans="1:1" x14ac:dyDescent="0.25">
      <c r="A62" t="s">
        <v>616</v>
      </c>
    </row>
    <row r="63" spans="1:1" x14ac:dyDescent="0.25">
      <c r="A63" t="s">
        <v>617</v>
      </c>
    </row>
    <row r="64" spans="1:1" x14ac:dyDescent="0.25">
      <c r="A64" t="s">
        <v>618</v>
      </c>
    </row>
    <row r="65" spans="1:1" x14ac:dyDescent="0.25">
      <c r="A65" t="s">
        <v>568</v>
      </c>
    </row>
    <row r="66" spans="1:1" x14ac:dyDescent="0.25">
      <c r="A66" t="s">
        <v>619</v>
      </c>
    </row>
    <row r="67" spans="1:1" x14ac:dyDescent="0.25">
      <c r="A67" t="s">
        <v>569</v>
      </c>
    </row>
    <row r="68" spans="1:1" x14ac:dyDescent="0.25">
      <c r="A68" t="s">
        <v>620</v>
      </c>
    </row>
    <row r="69" spans="1:1" x14ac:dyDescent="0.25">
      <c r="A69" t="s">
        <v>570</v>
      </c>
    </row>
    <row r="70" spans="1:1" x14ac:dyDescent="0.25">
      <c r="A70" t="s">
        <v>571</v>
      </c>
    </row>
    <row r="71" spans="1:1" x14ac:dyDescent="0.25">
      <c r="A71" t="s">
        <v>572</v>
      </c>
    </row>
    <row r="72" spans="1:1" x14ac:dyDescent="0.25">
      <c r="A72" t="s">
        <v>621</v>
      </c>
    </row>
    <row r="73" spans="1:1" x14ac:dyDescent="0.25">
      <c r="A73" t="s">
        <v>573</v>
      </c>
    </row>
    <row r="74" spans="1:1" x14ac:dyDescent="0.25">
      <c r="A74" t="s">
        <v>574</v>
      </c>
    </row>
    <row r="75" spans="1:1" x14ac:dyDescent="0.25">
      <c r="A75" t="s">
        <v>622</v>
      </c>
    </row>
    <row r="76" spans="1:1" x14ac:dyDescent="0.25">
      <c r="A76" t="s">
        <v>623</v>
      </c>
    </row>
    <row r="77" spans="1:1" x14ac:dyDescent="0.25">
      <c r="A77" t="s">
        <v>624</v>
      </c>
    </row>
    <row r="78" spans="1:1" x14ac:dyDescent="0.25">
      <c r="A78" t="s">
        <v>625</v>
      </c>
    </row>
    <row r="79" spans="1:1" x14ac:dyDescent="0.25">
      <c r="A79" t="s">
        <v>575</v>
      </c>
    </row>
    <row r="80" spans="1:1" x14ac:dyDescent="0.25">
      <c r="A80" t="s">
        <v>626</v>
      </c>
    </row>
    <row r="81" spans="1:1" x14ac:dyDescent="0.25">
      <c r="A81" t="s">
        <v>627</v>
      </c>
    </row>
    <row r="82" spans="1:1" x14ac:dyDescent="0.25">
      <c r="A82" t="s">
        <v>628</v>
      </c>
    </row>
    <row r="83" spans="1:1" x14ac:dyDescent="0.25">
      <c r="A83" t="s">
        <v>576</v>
      </c>
    </row>
    <row r="84" spans="1:1" x14ac:dyDescent="0.25">
      <c r="A84" t="s">
        <v>577</v>
      </c>
    </row>
    <row r="85" spans="1:1" x14ac:dyDescent="0.25">
      <c r="A85" t="s">
        <v>629</v>
      </c>
    </row>
    <row r="86" spans="1:1" x14ac:dyDescent="0.25">
      <c r="A86" t="s">
        <v>578</v>
      </c>
    </row>
    <row r="87" spans="1:1" x14ac:dyDescent="0.25">
      <c r="A87" t="s">
        <v>579</v>
      </c>
    </row>
    <row r="88" spans="1:1" x14ac:dyDescent="0.25">
      <c r="A88" t="s">
        <v>630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Habitat18</vt:lpstr>
      <vt:lpstr>dim_sub_mac</vt:lpstr>
      <vt:lpstr>flow_instream</vt:lpstr>
      <vt:lpstr>Riparian</vt:lpstr>
      <vt:lpstr>copy_paste</vt:lpstr>
      <vt:lpstr>PctSubOpt</vt:lpstr>
      <vt:lpstr>bkt_prelim_occ</vt:lpstr>
      <vt:lpstr>LogTransformed</vt:lpstr>
      <vt:lpstr>BKTLogTransformed EncHist</vt:lpstr>
      <vt:lpstr>BRT_analysis</vt:lpstr>
      <vt:lpstr>brt_logTransformed_EncHist</vt:lpstr>
    </vt:vector>
  </TitlesOfParts>
  <Company>Iowa State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Kelly, Brett B [NREM]</dc:creator>
  <cp:lastModifiedBy>Kelly, Brett B [NREM]</cp:lastModifiedBy>
  <cp:lastPrinted>2018-11-29T15:44:54Z</cp:lastPrinted>
  <dcterms:created xsi:type="dcterms:W3CDTF">2018-11-28T14:49:25Z</dcterms:created>
  <dcterms:modified xsi:type="dcterms:W3CDTF">2019-01-17T23:05:55Z</dcterms:modified>
</cp:coreProperties>
</file>